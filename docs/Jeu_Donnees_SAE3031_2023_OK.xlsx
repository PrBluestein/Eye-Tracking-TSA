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fid_y\OneDrive - Université de Tours\Bureau\BUT_MMI_2023_Yassine\ETUDIANTS\SAE_303_2023\"/>
    </mc:Choice>
  </mc:AlternateContent>
  <bookViews>
    <workbookView xWindow="0" yWindow="110" windowWidth="11720" windowHeight="7490" firstSheet="1" activeTab="4"/>
  </bookViews>
  <sheets>
    <sheet name="Data_EyeTracking" sheetId="1" r:id="rId1"/>
    <sheet name="Data_Netteyage" sheetId="3" r:id="rId2"/>
    <sheet name="Data_Ponderation_TTT" sheetId="4" r:id="rId3"/>
    <sheet name="Graphique_interactif_Param" sheetId="5" r:id="rId4"/>
    <sheet name="Graphique_Interactif_All_Param" sheetId="6" r:id="rId5"/>
  </sheets>
  <definedNames>
    <definedName name="_xlnm._FilterDatabase" localSheetId="1" hidden="1">Data_Netteyage!$A$3:$CU$3</definedName>
    <definedName name="_xlnm._FilterDatabase" localSheetId="2" hidden="1">Data_Ponderation_TTT!$A$3:$CU$3</definedName>
    <definedName name="_xlnm._FilterDatabase" localSheetId="3" hidden="1">Graphique_interactif_Param!$A$3:$CU$168</definedName>
    <definedName name="_xlchart.v1.0" hidden="1">Graphique_interactif_Param!$CV$4:$CV$48</definedName>
    <definedName name="_xlchart.v1.1" hidden="1">Graphique_interactif_Param!$CV$97:$CV$130</definedName>
    <definedName name="_xlchart.v1.10" hidden="1">Graphique_interactif_Param!$CV$131:$CV$168</definedName>
    <definedName name="_xlchart.v1.11" hidden="1">Graphique_interactif_Param!$CV$49:$CV$96</definedName>
    <definedName name="_xlchart.v1.2" hidden="1">Graphique_interactif_Param!$CV$4:$CV$96</definedName>
    <definedName name="_xlchart.v1.3" hidden="1">Graphique_interactif_Param!$CV$97:$CV$168</definedName>
    <definedName name="_xlchart.v1.4" hidden="1">Graphique_interactif_Param!$CV$131:$CV$168</definedName>
    <definedName name="_xlchart.v1.5" hidden="1">Graphique_interactif_Param!$CV$49:$CV$96</definedName>
    <definedName name="_xlchart.v1.6" hidden="1">Graphique_interactif_Param!$CV$4:$CV$48</definedName>
    <definedName name="_xlchart.v1.7" hidden="1">Graphique_interactif_Param!$CV$97:$CV$130</definedName>
    <definedName name="_xlchart.v1.8" hidden="1">Graphique_interactif_Param!$CV$4:$CV$96</definedName>
    <definedName name="_xlchart.v1.9" hidden="1">Graphique_interactif_Param!$CV$97:$CV$168</definedName>
  </definedNames>
  <calcPr calcId="162913"/>
  <fileRecoveryPr repairLoad="1"/>
</workbook>
</file>

<file path=xl/calcChain.xml><?xml version="1.0" encoding="utf-8"?>
<calcChain xmlns="http://schemas.openxmlformats.org/spreadsheetml/2006/main">
  <c r="F193" i="6" l="1"/>
  <c r="G193" i="6"/>
  <c r="H193" i="6"/>
  <c r="I193" i="6"/>
  <c r="J193" i="6"/>
  <c r="O193" i="6"/>
  <c r="T193" i="6"/>
  <c r="Y193" i="6"/>
  <c r="AD193" i="6"/>
  <c r="AI193" i="6"/>
  <c r="AN193" i="6"/>
  <c r="AS193" i="6"/>
  <c r="AT193" i="6"/>
  <c r="AU193" i="6"/>
  <c r="AV193" i="6"/>
  <c r="AW193" i="6"/>
  <c r="AX193" i="6"/>
  <c r="BC193" i="6"/>
  <c r="BH193" i="6"/>
  <c r="BM193" i="6"/>
  <c r="BR193" i="6"/>
  <c r="BS193" i="6"/>
  <c r="BT193" i="6"/>
  <c r="BU193" i="6"/>
  <c r="BV193" i="6"/>
  <c r="BW193" i="6"/>
  <c r="CB193" i="6"/>
  <c r="CG193" i="6"/>
  <c r="CL193" i="6"/>
  <c r="CQ193" i="6"/>
  <c r="CR193" i="6"/>
  <c r="CS193" i="6"/>
  <c r="CT193" i="6"/>
  <c r="CU193" i="6"/>
  <c r="E145" i="3"/>
  <c r="G205" i="6" l="1" a="1"/>
  <c r="G205" i="6" s="1"/>
  <c r="H205" i="6" a="1"/>
  <c r="H205" i="6" s="1"/>
  <c r="I205" i="6" a="1"/>
  <c r="I205" i="6" s="1"/>
  <c r="J205" i="6" a="1"/>
  <c r="J205" i="6"/>
  <c r="O205" i="6" a="1"/>
  <c r="O205" i="6" s="1"/>
  <c r="T205" i="6" a="1"/>
  <c r="T205" i="6" s="1"/>
  <c r="Y205" i="6" a="1"/>
  <c r="Y205" i="6" s="1"/>
  <c r="AD205" i="6" a="1"/>
  <c r="AD205" i="6"/>
  <c r="AI205" i="6" a="1"/>
  <c r="AI205" i="6" s="1"/>
  <c r="AN205" i="6" a="1"/>
  <c r="AN205" i="6" s="1"/>
  <c r="AS205" i="6" a="1"/>
  <c r="AS205" i="6" s="1"/>
  <c r="AT205" i="6" a="1"/>
  <c r="AT205" i="6"/>
  <c r="AU205" i="6" a="1"/>
  <c r="AU205" i="6" s="1"/>
  <c r="AV205" i="6" a="1"/>
  <c r="AV205" i="6" s="1"/>
  <c r="AW205" i="6" a="1"/>
  <c r="AW205" i="6" s="1"/>
  <c r="AX205" i="6" a="1"/>
  <c r="AX205" i="6"/>
  <c r="BC205" i="6" a="1"/>
  <c r="BC205" i="6" s="1"/>
  <c r="BH205" i="6" a="1"/>
  <c r="BH205" i="6" s="1"/>
  <c r="BM205" i="6" a="1"/>
  <c r="BM205" i="6" s="1"/>
  <c r="BR205" i="6" a="1"/>
  <c r="BR205" i="6"/>
  <c r="BS205" i="6" a="1"/>
  <c r="BS205" i="6" s="1"/>
  <c r="BT205" i="6" a="1"/>
  <c r="BT205" i="6" s="1"/>
  <c r="BU205" i="6" a="1"/>
  <c r="BU205" i="6" s="1"/>
  <c r="BV205" i="6" a="1"/>
  <c r="BV205" i="6"/>
  <c r="BW205" i="6" a="1"/>
  <c r="BW205" i="6" s="1"/>
  <c r="CB205" i="6" a="1"/>
  <c r="CB205" i="6" s="1"/>
  <c r="CG205" i="6" a="1"/>
  <c r="CG205" i="6" s="1"/>
  <c r="CL205" i="6" a="1"/>
  <c r="CL205" i="6"/>
  <c r="CQ205" i="6" a="1"/>
  <c r="CQ205" i="6" s="1"/>
  <c r="CR205" i="6" a="1"/>
  <c r="CR205" i="6" s="1"/>
  <c r="CS205" i="6" a="1"/>
  <c r="CS205" i="6" s="1"/>
  <c r="CT205" i="6" a="1"/>
  <c r="CT205" i="6" s="1"/>
  <c r="CU205" i="6" a="1"/>
  <c r="CU205" i="6" s="1"/>
  <c r="F205" i="6" a="1"/>
  <c r="F205" i="6" s="1"/>
  <c r="G195" i="6" a="1"/>
  <c r="G195" i="6" s="1"/>
  <c r="H195" i="6" a="1"/>
  <c r="H195" i="6" s="1"/>
  <c r="I195" i="6" a="1"/>
  <c r="I195" i="6" s="1"/>
  <c r="J195" i="6" a="1"/>
  <c r="J195" i="6" s="1"/>
  <c r="O195" i="6" a="1"/>
  <c r="O195" i="6" s="1"/>
  <c r="T195" i="6" a="1"/>
  <c r="T195" i="6" s="1"/>
  <c r="Y195" i="6" a="1"/>
  <c r="Y195" i="6" s="1"/>
  <c r="AD195" i="6" a="1"/>
  <c r="AD195" i="6" s="1"/>
  <c r="AI195" i="6" a="1"/>
  <c r="AI195" i="6" s="1"/>
  <c r="AN195" i="6" a="1"/>
  <c r="AN195" i="6" s="1"/>
  <c r="AS195" i="6" a="1"/>
  <c r="AS195" i="6" s="1"/>
  <c r="AT195" i="6" a="1"/>
  <c r="AT195" i="6" s="1"/>
  <c r="AU195" i="6" a="1"/>
  <c r="AU195" i="6" s="1"/>
  <c r="AV195" i="6" a="1"/>
  <c r="AV195" i="6" s="1"/>
  <c r="AW195" i="6" a="1"/>
  <c r="AW195" i="6" s="1"/>
  <c r="AX195" i="6" a="1"/>
  <c r="AX195" i="6" s="1"/>
  <c r="BC195" i="6" a="1"/>
  <c r="BC195" i="6" s="1"/>
  <c r="BH195" i="6" a="1"/>
  <c r="BH195" i="6" s="1"/>
  <c r="BM195" i="6" a="1"/>
  <c r="BM195" i="6" s="1"/>
  <c r="BR195" i="6" a="1"/>
  <c r="BR195" i="6" s="1"/>
  <c r="BS195" i="6" a="1"/>
  <c r="BS195" i="6" s="1"/>
  <c r="BT195" i="6" a="1"/>
  <c r="BT195" i="6" s="1"/>
  <c r="BU195" i="6" a="1"/>
  <c r="BU195" i="6" s="1"/>
  <c r="BV195" i="6" a="1"/>
  <c r="BV195" i="6" s="1"/>
  <c r="BW195" i="6" a="1"/>
  <c r="BW195" i="6" s="1"/>
  <c r="CB195" i="6" a="1"/>
  <c r="CB195" i="6" s="1"/>
  <c r="CG195" i="6" a="1"/>
  <c r="CG195" i="6" s="1"/>
  <c r="CL195" i="6" a="1"/>
  <c r="CL195" i="6" s="1"/>
  <c r="CQ195" i="6" a="1"/>
  <c r="CQ195" i="6" s="1"/>
  <c r="CR195" i="6" a="1"/>
  <c r="CR195" i="6" s="1"/>
  <c r="CS195" i="6" a="1"/>
  <c r="CS195" i="6" s="1"/>
  <c r="CT195" i="6" a="1"/>
  <c r="CT195" i="6" s="1"/>
  <c r="CU195" i="6" a="1"/>
  <c r="CU195" i="6" s="1"/>
  <c r="F195" i="6" a="1"/>
  <c r="F195" i="6" s="1"/>
  <c r="G184" i="6" a="1"/>
  <c r="G184" i="6" s="1"/>
  <c r="H184" i="6" a="1"/>
  <c r="H184" i="6" s="1"/>
  <c r="I184" i="6" a="1"/>
  <c r="I184" i="6" s="1"/>
  <c r="J184" i="6" a="1"/>
  <c r="J184" i="6" s="1"/>
  <c r="O184" i="6" a="1"/>
  <c r="O184" i="6" s="1"/>
  <c r="T184" i="6" a="1"/>
  <c r="T184" i="6" s="1"/>
  <c r="Y184" i="6" a="1"/>
  <c r="Y184" i="6" s="1"/>
  <c r="AD184" i="6" a="1"/>
  <c r="AD184" i="6"/>
  <c r="AI184" i="6" a="1"/>
  <c r="AI184" i="6" s="1"/>
  <c r="AN184" i="6" a="1"/>
  <c r="AN184" i="6" s="1"/>
  <c r="AS184" i="6" a="1"/>
  <c r="AS184" i="6" s="1"/>
  <c r="AT184" i="6" a="1"/>
  <c r="AT184" i="6"/>
  <c r="AU184" i="6" a="1"/>
  <c r="AU184" i="6" s="1"/>
  <c r="AV184" i="6" a="1"/>
  <c r="AV184" i="6" s="1"/>
  <c r="AW184" i="6" a="1"/>
  <c r="AW184" i="6" s="1"/>
  <c r="AX184" i="6" a="1"/>
  <c r="AX184" i="6"/>
  <c r="BC184" i="6" a="1"/>
  <c r="BC184" i="6" s="1"/>
  <c r="BH184" i="6" a="1"/>
  <c r="BH184" i="6" s="1"/>
  <c r="BM184" i="6" a="1"/>
  <c r="BM184" i="6" s="1"/>
  <c r="BR184" i="6" a="1"/>
  <c r="BR184" i="6"/>
  <c r="BS184" i="6" a="1"/>
  <c r="BS184" i="6" s="1"/>
  <c r="BT184" i="6" a="1"/>
  <c r="BT184" i="6" s="1"/>
  <c r="BU184" i="6" a="1"/>
  <c r="BU184" i="6" s="1"/>
  <c r="BV184" i="6" a="1"/>
  <c r="BV184" i="6"/>
  <c r="BW184" i="6" a="1"/>
  <c r="BW184" i="6" s="1"/>
  <c r="CB184" i="6" a="1"/>
  <c r="CB184" i="6" s="1"/>
  <c r="CG184" i="6" a="1"/>
  <c r="CG184" i="6" s="1"/>
  <c r="CL184" i="6" a="1"/>
  <c r="CL184" i="6" s="1"/>
  <c r="CQ184" i="6" a="1"/>
  <c r="CQ184" i="6" s="1"/>
  <c r="CR184" i="6" a="1"/>
  <c r="CR184" i="6" s="1"/>
  <c r="CS184" i="6" a="1"/>
  <c r="CS184" i="6" s="1"/>
  <c r="CT184" i="6" a="1"/>
  <c r="CT184" i="6" s="1"/>
  <c r="CU184" i="6" a="1"/>
  <c r="CU184" i="6" s="1"/>
  <c r="F184" i="6" a="1"/>
  <c r="F184" i="6" s="1"/>
  <c r="DG12" i="5" l="1"/>
  <c r="I226" i="6"/>
  <c r="I225" i="6"/>
  <c r="A211" i="6"/>
  <c r="A212" i="6" s="1"/>
  <c r="B204" i="6"/>
  <c r="G202" i="6" a="1"/>
  <c r="G202" i="6" s="1"/>
  <c r="H202" i="6" a="1"/>
  <c r="H202" i="6" s="1"/>
  <c r="I202" i="6" a="1"/>
  <c r="I202" i="6" s="1"/>
  <c r="J202" i="6" a="1"/>
  <c r="J202" i="6" s="1"/>
  <c r="O202" i="6" a="1"/>
  <c r="O202" i="6" s="1"/>
  <c r="T202" i="6" a="1"/>
  <c r="T202" i="6" s="1"/>
  <c r="Y202" i="6" a="1"/>
  <c r="Y202" i="6" s="1"/>
  <c r="AD202" i="6" a="1"/>
  <c r="AD202" i="6" s="1"/>
  <c r="AI202" i="6" a="1"/>
  <c r="AI202" i="6" s="1"/>
  <c r="AN202" i="6" a="1"/>
  <c r="AN202" i="6" s="1"/>
  <c r="AS202" i="6" a="1"/>
  <c r="AS202" i="6" s="1"/>
  <c r="AT202" i="6" a="1"/>
  <c r="AT202" i="6" s="1"/>
  <c r="AU202" i="6" a="1"/>
  <c r="AU202" i="6" s="1"/>
  <c r="AV202" i="6" a="1"/>
  <c r="AV202" i="6" s="1"/>
  <c r="AW202" i="6" a="1"/>
  <c r="AW202" i="6" s="1"/>
  <c r="AX202" i="6" a="1"/>
  <c r="AX202" i="6" s="1"/>
  <c r="BC202" i="6" a="1"/>
  <c r="BC202" i="6" s="1"/>
  <c r="BH202" i="6" a="1"/>
  <c r="BH202" i="6" s="1"/>
  <c r="BM202" i="6" a="1"/>
  <c r="BM202" i="6" s="1"/>
  <c r="BR202" i="6" a="1"/>
  <c r="BR202" i="6" s="1"/>
  <c r="BS202" i="6" a="1"/>
  <c r="BS202" i="6" s="1"/>
  <c r="BT202" i="6" a="1"/>
  <c r="BT202" i="6" s="1"/>
  <c r="BU202" i="6" a="1"/>
  <c r="BU202" i="6" s="1"/>
  <c r="BV202" i="6" a="1"/>
  <c r="BV202" i="6" s="1"/>
  <c r="BW202" i="6" a="1"/>
  <c r="BW202" i="6" s="1"/>
  <c r="CB202" i="6" a="1"/>
  <c r="CB202" i="6" s="1"/>
  <c r="CG202" i="6" a="1"/>
  <c r="CG202" i="6" s="1"/>
  <c r="CL202" i="6" a="1"/>
  <c r="CL202" i="6" s="1"/>
  <c r="CQ202" i="6" a="1"/>
  <c r="CQ202" i="6" s="1"/>
  <c r="CR202" i="6" a="1"/>
  <c r="CR202" i="6" s="1"/>
  <c r="CS202" i="6" a="1"/>
  <c r="CS202" i="6" s="1"/>
  <c r="CT202" i="6" a="1"/>
  <c r="CT202" i="6" s="1"/>
  <c r="CU202" i="6" a="1"/>
  <c r="CU202" i="6" s="1"/>
  <c r="G201" i="6"/>
  <c r="H201" i="6"/>
  <c r="I201" i="6"/>
  <c r="J201" i="6"/>
  <c r="O201" i="6"/>
  <c r="T201" i="6"/>
  <c r="Y201" i="6"/>
  <c r="AD201" i="6"/>
  <c r="AI201" i="6"/>
  <c r="AN201" i="6"/>
  <c r="AS201" i="6"/>
  <c r="AT201" i="6"/>
  <c r="AU201" i="6"/>
  <c r="AV201" i="6"/>
  <c r="AW201" i="6"/>
  <c r="AX201" i="6"/>
  <c r="BC201" i="6"/>
  <c r="BH201" i="6"/>
  <c r="BM201" i="6"/>
  <c r="BR201" i="6"/>
  <c r="BS201" i="6"/>
  <c r="BT201" i="6"/>
  <c r="BU201" i="6"/>
  <c r="BV201" i="6"/>
  <c r="BW201" i="6"/>
  <c r="CB201" i="6"/>
  <c r="CG201" i="6"/>
  <c r="CL201" i="6"/>
  <c r="CQ201" i="6"/>
  <c r="CR201" i="6"/>
  <c r="CS201" i="6"/>
  <c r="CT201" i="6"/>
  <c r="CU201" i="6"/>
  <c r="G199" i="6" a="1"/>
  <c r="G199" i="6" s="1"/>
  <c r="H199" i="6" a="1"/>
  <c r="H199" i="6" s="1"/>
  <c r="I199" i="6" a="1"/>
  <c r="I199" i="6" s="1"/>
  <c r="J199" i="6" a="1"/>
  <c r="J199" i="6" s="1"/>
  <c r="O199" i="6" a="1"/>
  <c r="O199" i="6" s="1"/>
  <c r="T199" i="6" a="1"/>
  <c r="T199" i="6" s="1"/>
  <c r="Y199" i="6" a="1"/>
  <c r="Y199" i="6" s="1"/>
  <c r="AD199" i="6" a="1"/>
  <c r="AD199" i="6" s="1"/>
  <c r="AI199" i="6" a="1"/>
  <c r="AI199" i="6" s="1"/>
  <c r="AN199" i="6" a="1"/>
  <c r="AN199" i="6" s="1"/>
  <c r="AS199" i="6" a="1"/>
  <c r="AS199" i="6" s="1"/>
  <c r="AT199" i="6" a="1"/>
  <c r="AT199" i="6" s="1"/>
  <c r="AU199" i="6" a="1"/>
  <c r="AU199" i="6" s="1"/>
  <c r="AV199" i="6" a="1"/>
  <c r="AV199" i="6" s="1"/>
  <c r="AW199" i="6" a="1"/>
  <c r="AW199" i="6" s="1"/>
  <c r="AX199" i="6" a="1"/>
  <c r="AX199" i="6" s="1"/>
  <c r="BC199" i="6" a="1"/>
  <c r="BC199" i="6" s="1"/>
  <c r="BH199" i="6" a="1"/>
  <c r="BH199" i="6" s="1"/>
  <c r="BM199" i="6" a="1"/>
  <c r="BM199" i="6" s="1"/>
  <c r="BR199" i="6" a="1"/>
  <c r="BR199" i="6" s="1"/>
  <c r="BS199" i="6" a="1"/>
  <c r="BS199" i="6" s="1"/>
  <c r="BT199" i="6" a="1"/>
  <c r="BT199" i="6" s="1"/>
  <c r="BU199" i="6" a="1"/>
  <c r="BU199" i="6" s="1"/>
  <c r="BV199" i="6" a="1"/>
  <c r="BV199" i="6" s="1"/>
  <c r="BW199" i="6" a="1"/>
  <c r="BW199" i="6" s="1"/>
  <c r="CB199" i="6" a="1"/>
  <c r="CB199" i="6" s="1"/>
  <c r="CG199" i="6" a="1"/>
  <c r="CG199" i="6" s="1"/>
  <c r="CL199" i="6" a="1"/>
  <c r="CL199" i="6" s="1"/>
  <c r="CQ199" i="6" a="1"/>
  <c r="CQ199" i="6" s="1"/>
  <c r="CR199" i="6" a="1"/>
  <c r="CR199" i="6" s="1"/>
  <c r="CS199" i="6" a="1"/>
  <c r="CS199" i="6" s="1"/>
  <c r="CT199" i="6" a="1"/>
  <c r="CT199" i="6" s="1"/>
  <c r="CU199" i="6" a="1"/>
  <c r="CU199" i="6" s="1"/>
  <c r="G198" i="6" a="1"/>
  <c r="G198" i="6" s="1"/>
  <c r="G203" i="6" s="1"/>
  <c r="H198" i="6" a="1"/>
  <c r="H198" i="6" s="1"/>
  <c r="I198" i="6" a="1"/>
  <c r="I198" i="6" s="1"/>
  <c r="J198" i="6" a="1"/>
  <c r="J198" i="6" s="1"/>
  <c r="J203" i="6" s="1"/>
  <c r="O198" i="6" a="1"/>
  <c r="O198" i="6" s="1"/>
  <c r="O203" i="6" s="1"/>
  <c r="T198" i="6" a="1"/>
  <c r="T198" i="6" s="1"/>
  <c r="Y198" i="6" a="1"/>
  <c r="Y198" i="6" s="1"/>
  <c r="Y203" i="6" s="1"/>
  <c r="AD198" i="6" a="1"/>
  <c r="AD198" i="6" s="1"/>
  <c r="AD203" i="6" s="1"/>
  <c r="AI198" i="6" a="1"/>
  <c r="AI198" i="6" s="1"/>
  <c r="AI203" i="6" s="1"/>
  <c r="AN198" i="6" a="1"/>
  <c r="AN198" i="6" s="1"/>
  <c r="AN203" i="6" s="1"/>
  <c r="AS198" i="6" a="1"/>
  <c r="AS198" i="6" s="1"/>
  <c r="AS203" i="6" s="1"/>
  <c r="AT198" i="6" a="1"/>
  <c r="AT198" i="6" s="1"/>
  <c r="AT203" i="6" s="1"/>
  <c r="AU198" i="6" a="1"/>
  <c r="AU198" i="6" s="1"/>
  <c r="AU203" i="6" s="1"/>
  <c r="AV198" i="6" a="1"/>
  <c r="AV198" i="6" s="1"/>
  <c r="AW198" i="6" a="1"/>
  <c r="AW198" i="6" s="1"/>
  <c r="AW203" i="6" s="1"/>
  <c r="AX198" i="6" a="1"/>
  <c r="AX198" i="6" s="1"/>
  <c r="AX203" i="6" s="1"/>
  <c r="BC198" i="6" a="1"/>
  <c r="BC198" i="6" s="1"/>
  <c r="BC203" i="6" s="1"/>
  <c r="BH198" i="6" a="1"/>
  <c r="BH198" i="6" s="1"/>
  <c r="BH203" i="6" s="1"/>
  <c r="BM198" i="6" a="1"/>
  <c r="BM198" i="6" s="1"/>
  <c r="BM203" i="6" s="1"/>
  <c r="BR198" i="6" a="1"/>
  <c r="BR198" i="6" s="1"/>
  <c r="BR203" i="6" s="1"/>
  <c r="BS198" i="6" a="1"/>
  <c r="BS198" i="6" s="1"/>
  <c r="BS203" i="6" s="1"/>
  <c r="BT198" i="6" a="1"/>
  <c r="BT198" i="6" s="1"/>
  <c r="BU198" i="6" a="1"/>
  <c r="BU198" i="6" s="1"/>
  <c r="BU203" i="6" s="1"/>
  <c r="BV198" i="6" a="1"/>
  <c r="BV198" i="6" s="1"/>
  <c r="BV203" i="6" s="1"/>
  <c r="BW198" i="6" a="1"/>
  <c r="BW198" i="6" s="1"/>
  <c r="BW203" i="6" s="1"/>
  <c r="CB198" i="6" a="1"/>
  <c r="CB198" i="6" s="1"/>
  <c r="CB203" i="6" s="1"/>
  <c r="CG198" i="6" a="1"/>
  <c r="CG198" i="6" s="1"/>
  <c r="CG203" i="6" s="1"/>
  <c r="CL198" i="6" a="1"/>
  <c r="CL198" i="6" s="1"/>
  <c r="CL203" i="6" s="1"/>
  <c r="CQ198" i="6" a="1"/>
  <c r="CQ198" i="6" s="1"/>
  <c r="CQ203" i="6" s="1"/>
  <c r="CR198" i="6" a="1"/>
  <c r="CR198" i="6" s="1"/>
  <c r="CS198" i="6" a="1"/>
  <c r="CS198" i="6"/>
  <c r="CS203" i="6" s="1"/>
  <c r="CT198" i="6" a="1"/>
  <c r="CT198" i="6" s="1"/>
  <c r="CT203" i="6" s="1"/>
  <c r="CU198" i="6" a="1"/>
  <c r="CU198" i="6" s="1"/>
  <c r="CU203" i="6" s="1"/>
  <c r="F202" i="6" a="1"/>
  <c r="F202" i="6" s="1"/>
  <c r="F201" i="6"/>
  <c r="F199" i="6" a="1"/>
  <c r="F199" i="6" s="1"/>
  <c r="F198" i="6" a="1"/>
  <c r="F198" i="6" s="1"/>
  <c r="F203" i="6" s="1"/>
  <c r="G191" i="6" a="1"/>
  <c r="G191" i="6" s="1"/>
  <c r="H191" i="6" a="1"/>
  <c r="H191" i="6" s="1"/>
  <c r="I191" i="6" a="1"/>
  <c r="I191" i="6" s="1"/>
  <c r="J191" i="6" a="1"/>
  <c r="J191" i="6" s="1"/>
  <c r="O191" i="6" a="1"/>
  <c r="O191" i="6" s="1"/>
  <c r="T191" i="6" a="1"/>
  <c r="T191" i="6" s="1"/>
  <c r="Y191" i="6" a="1"/>
  <c r="Y191" i="6" s="1"/>
  <c r="AD191" i="6" a="1"/>
  <c r="AD191" i="6" s="1"/>
  <c r="AI191" i="6" a="1"/>
  <c r="AI191" i="6" s="1"/>
  <c r="AN191" i="6" a="1"/>
  <c r="AN191" i="6" s="1"/>
  <c r="AS191" i="6" a="1"/>
  <c r="AS191" i="6" s="1"/>
  <c r="AT191" i="6" a="1"/>
  <c r="AT191" i="6" s="1"/>
  <c r="AU191" i="6" a="1"/>
  <c r="AU191" i="6" s="1"/>
  <c r="AV191" i="6" a="1"/>
  <c r="AV191" i="6" s="1"/>
  <c r="AW191" i="6" a="1"/>
  <c r="AW191" i="6" s="1"/>
  <c r="AX191" i="6" a="1"/>
  <c r="AX191" i="6" s="1"/>
  <c r="BC191" i="6" a="1"/>
  <c r="BC191" i="6" s="1"/>
  <c r="BH191" i="6" a="1"/>
  <c r="BH191" i="6" s="1"/>
  <c r="BM191" i="6" a="1"/>
  <c r="BM191" i="6" s="1"/>
  <c r="BR191" i="6" a="1"/>
  <c r="BR191" i="6" s="1"/>
  <c r="BS191" i="6" a="1"/>
  <c r="BS191" i="6" s="1"/>
  <c r="BT191" i="6" a="1"/>
  <c r="BT191" i="6" s="1"/>
  <c r="BU191" i="6" a="1"/>
  <c r="BU191" i="6" s="1"/>
  <c r="BV191" i="6" a="1"/>
  <c r="BV191" i="6" s="1"/>
  <c r="BW191" i="6" a="1"/>
  <c r="BW191" i="6" s="1"/>
  <c r="CB191" i="6" a="1"/>
  <c r="CB191" i="6" s="1"/>
  <c r="CG191" i="6" a="1"/>
  <c r="CG191" i="6" s="1"/>
  <c r="CL191" i="6" a="1"/>
  <c r="CL191" i="6" s="1"/>
  <c r="CQ191" i="6" a="1"/>
  <c r="CQ191" i="6" s="1"/>
  <c r="CR191" i="6" a="1"/>
  <c r="CR191" i="6" s="1"/>
  <c r="CS191" i="6" a="1"/>
  <c r="CS191" i="6" s="1"/>
  <c r="CT191" i="6" a="1"/>
  <c r="CT191" i="6" s="1"/>
  <c r="CU191" i="6" a="1"/>
  <c r="CU191" i="6" s="1"/>
  <c r="G190" i="6"/>
  <c r="H190" i="6"/>
  <c r="I190" i="6"/>
  <c r="J190" i="6"/>
  <c r="O190" i="6"/>
  <c r="T190" i="6"/>
  <c r="Y190" i="6"/>
  <c r="AD190" i="6"/>
  <c r="AI190" i="6"/>
  <c r="AN190" i="6"/>
  <c r="AS190" i="6"/>
  <c r="AT190" i="6"/>
  <c r="AU190" i="6"/>
  <c r="AV190" i="6"/>
  <c r="AW190" i="6"/>
  <c r="AX190" i="6"/>
  <c r="BC190" i="6"/>
  <c r="BH190" i="6"/>
  <c r="BM190" i="6"/>
  <c r="BR190" i="6"/>
  <c r="BS190" i="6"/>
  <c r="BT190" i="6"/>
  <c r="BU190" i="6"/>
  <c r="BV190" i="6"/>
  <c r="BW190" i="6"/>
  <c r="CB190" i="6"/>
  <c r="CG190" i="6"/>
  <c r="CL190" i="6"/>
  <c r="CQ190" i="6"/>
  <c r="CR190" i="6"/>
  <c r="CS190" i="6"/>
  <c r="CT190" i="6"/>
  <c r="CU190" i="6"/>
  <c r="G188" i="6" a="1"/>
  <c r="G188" i="6" s="1"/>
  <c r="H188" i="6" a="1"/>
  <c r="H188" i="6" s="1"/>
  <c r="I188" i="6" a="1"/>
  <c r="I188" i="6" s="1"/>
  <c r="O188" i="6" a="1"/>
  <c r="O188" i="6" s="1"/>
  <c r="T188" i="6" a="1"/>
  <c r="T188" i="6" s="1"/>
  <c r="Y188" i="6" a="1"/>
  <c r="Y188" i="6" s="1"/>
  <c r="AD188" i="6" a="1"/>
  <c r="AD188" i="6" s="1"/>
  <c r="AI188" i="6" a="1"/>
  <c r="AI188" i="6" s="1"/>
  <c r="AN188" i="6" a="1"/>
  <c r="AN188" i="6" s="1"/>
  <c r="AS188" i="6" a="1"/>
  <c r="AS188" i="6" s="1"/>
  <c r="AT188" i="6" a="1"/>
  <c r="AT188" i="6" s="1"/>
  <c r="AU188" i="6" a="1"/>
  <c r="AU188" i="6" s="1"/>
  <c r="AV188" i="6" a="1"/>
  <c r="AV188" i="6" s="1"/>
  <c r="AW188" i="6" a="1"/>
  <c r="AW188" i="6" s="1"/>
  <c r="AX188" i="6" a="1"/>
  <c r="AX188" i="6" s="1"/>
  <c r="BC188" i="6" a="1"/>
  <c r="BC188" i="6" s="1"/>
  <c r="BH188" i="6" a="1"/>
  <c r="BH188" i="6" s="1"/>
  <c r="BM188" i="6" a="1"/>
  <c r="BM188" i="6" s="1"/>
  <c r="BR188" i="6" a="1"/>
  <c r="BR188" i="6" s="1"/>
  <c r="BS188" i="6" a="1"/>
  <c r="BS188" i="6" s="1"/>
  <c r="BT188" i="6" a="1"/>
  <c r="BT188" i="6" s="1"/>
  <c r="BU188" i="6" a="1"/>
  <c r="BU188" i="6" s="1"/>
  <c r="BV188" i="6" a="1"/>
  <c r="BV188" i="6" s="1"/>
  <c r="BW188" i="6" a="1"/>
  <c r="BW188" i="6" s="1"/>
  <c r="CB188" i="6" a="1"/>
  <c r="CB188" i="6" s="1"/>
  <c r="CG188" i="6" a="1"/>
  <c r="CG188" i="6" s="1"/>
  <c r="CL188" i="6" a="1"/>
  <c r="CL188" i="6" s="1"/>
  <c r="CQ188" i="6" a="1"/>
  <c r="CQ188" i="6" s="1"/>
  <c r="CR188" i="6" a="1"/>
  <c r="CR188" i="6" s="1"/>
  <c r="CS188" i="6" a="1"/>
  <c r="CS188" i="6" s="1"/>
  <c r="CT188" i="6" a="1"/>
  <c r="CT188" i="6" s="1"/>
  <c r="CU188" i="6" a="1"/>
  <c r="CU188" i="6" s="1"/>
  <c r="G187" i="6"/>
  <c r="H187" i="6"/>
  <c r="I187" i="6"/>
  <c r="O187" i="6"/>
  <c r="T187" i="6"/>
  <c r="Y187" i="6"/>
  <c r="AD187" i="6"/>
  <c r="AI187" i="6"/>
  <c r="AN187" i="6"/>
  <c r="AS187" i="6"/>
  <c r="AT187" i="6"/>
  <c r="AU187" i="6"/>
  <c r="AV187" i="6"/>
  <c r="AW187" i="6"/>
  <c r="AX187" i="6"/>
  <c r="BC187" i="6"/>
  <c r="BH187" i="6"/>
  <c r="BM187" i="6"/>
  <c r="BR187" i="6"/>
  <c r="BS187" i="6"/>
  <c r="BT187" i="6"/>
  <c r="BU187" i="6"/>
  <c r="BV187" i="6"/>
  <c r="BW187" i="6"/>
  <c r="CB187" i="6"/>
  <c r="CG187" i="6"/>
  <c r="CL187" i="6"/>
  <c r="CQ187" i="6"/>
  <c r="CR187" i="6"/>
  <c r="CS187" i="6"/>
  <c r="CT187" i="6"/>
  <c r="CU187" i="6"/>
  <c r="F191" i="6" a="1"/>
  <c r="F191" i="6" s="1"/>
  <c r="F190" i="6"/>
  <c r="F188" i="6" a="1"/>
  <c r="F188" i="6" s="1"/>
  <c r="F187" i="6"/>
  <c r="B194" i="6"/>
  <c r="AD180" i="6" a="1"/>
  <c r="AD180" i="6" s="1"/>
  <c r="AI180" i="6" a="1"/>
  <c r="AI180" i="6" s="1"/>
  <c r="AN180" i="6" a="1"/>
  <c r="AN180" i="6" s="1"/>
  <c r="AS180" i="6" a="1"/>
  <c r="AS180" i="6" s="1"/>
  <c r="AT180" i="6" a="1"/>
  <c r="AT180" i="6" s="1"/>
  <c r="AU180" i="6" a="1"/>
  <c r="AU180" i="6" s="1"/>
  <c r="AV180" i="6" a="1"/>
  <c r="AV180" i="6" s="1"/>
  <c r="AW180" i="6" a="1"/>
  <c r="AW180" i="6" s="1"/>
  <c r="AX180" i="6" a="1"/>
  <c r="AX180" i="6" s="1"/>
  <c r="BC180" i="6" a="1"/>
  <c r="BC180" i="6" s="1"/>
  <c r="BH180" i="6" a="1"/>
  <c r="BH180" i="6" s="1"/>
  <c r="BM180" i="6" a="1"/>
  <c r="BM180" i="6" s="1"/>
  <c r="BR180" i="6" a="1"/>
  <c r="BR180" i="6" s="1"/>
  <c r="BS180" i="6" a="1"/>
  <c r="BS180" i="6" s="1"/>
  <c r="BT180" i="6" a="1"/>
  <c r="BT180" i="6" s="1"/>
  <c r="BU180" i="6" a="1"/>
  <c r="BU180" i="6" s="1"/>
  <c r="BV180" i="6" a="1"/>
  <c r="BV180" i="6" s="1"/>
  <c r="BW180" i="6" a="1"/>
  <c r="BW180" i="6" s="1"/>
  <c r="CB180" i="6" a="1"/>
  <c r="CB180" i="6" s="1"/>
  <c r="CG180" i="6" a="1"/>
  <c r="CG180" i="6" s="1"/>
  <c r="CL180" i="6" a="1"/>
  <c r="CL180" i="6" s="1"/>
  <c r="CQ180" i="6" a="1"/>
  <c r="CQ180" i="6" s="1"/>
  <c r="CR180" i="6" a="1"/>
  <c r="CR180" i="6" s="1"/>
  <c r="CS180" i="6" a="1"/>
  <c r="CS180" i="6" s="1"/>
  <c r="CT180" i="6" a="1"/>
  <c r="CT180" i="6" s="1"/>
  <c r="CU180" i="6" a="1"/>
  <c r="CU180" i="6" s="1"/>
  <c r="AD179" i="6"/>
  <c r="AI179" i="6"/>
  <c r="AN179" i="6"/>
  <c r="AS179" i="6"/>
  <c r="AT179" i="6"/>
  <c r="AU179" i="6"/>
  <c r="AV179" i="6"/>
  <c r="AW179" i="6"/>
  <c r="AX179" i="6"/>
  <c r="BC179" i="6"/>
  <c r="BH179" i="6"/>
  <c r="BM179" i="6"/>
  <c r="BR179" i="6"/>
  <c r="BS179" i="6"/>
  <c r="BT179" i="6"/>
  <c r="BU179" i="6"/>
  <c r="BV179" i="6"/>
  <c r="BW179" i="6"/>
  <c r="CB179" i="6"/>
  <c r="CG179" i="6"/>
  <c r="CL179" i="6"/>
  <c r="CQ179" i="6"/>
  <c r="CR179" i="6"/>
  <c r="CS179" i="6"/>
  <c r="CT179" i="6"/>
  <c r="CU179" i="6"/>
  <c r="AD177" i="6" a="1"/>
  <c r="AD177" i="6" s="1"/>
  <c r="AI177" i="6" a="1"/>
  <c r="AI177" i="6" s="1"/>
  <c r="AN177" i="6" a="1"/>
  <c r="AN177" i="6" s="1"/>
  <c r="AS177" i="6" a="1"/>
  <c r="AS177" i="6" s="1"/>
  <c r="AT177" i="6" a="1"/>
  <c r="AT177" i="6" s="1"/>
  <c r="AU177" i="6" a="1"/>
  <c r="AU177" i="6" s="1"/>
  <c r="AV177" i="6" a="1"/>
  <c r="AV177" i="6" s="1"/>
  <c r="AW177" i="6" a="1"/>
  <c r="AW177" i="6" s="1"/>
  <c r="AX177" i="6" a="1"/>
  <c r="AX177" i="6" s="1"/>
  <c r="BC177" i="6" a="1"/>
  <c r="BC177" i="6" s="1"/>
  <c r="BH177" i="6" a="1"/>
  <c r="BH177" i="6" s="1"/>
  <c r="BM177" i="6" a="1"/>
  <c r="BM177" i="6" s="1"/>
  <c r="BR177" i="6" a="1"/>
  <c r="BR177" i="6" s="1"/>
  <c r="BS177" i="6" a="1"/>
  <c r="BS177" i="6" s="1"/>
  <c r="BT177" i="6" a="1"/>
  <c r="BT177" i="6" s="1"/>
  <c r="BU177" i="6" a="1"/>
  <c r="BU177" i="6" s="1"/>
  <c r="BV177" i="6" a="1"/>
  <c r="BV177" i="6" s="1"/>
  <c r="BW177" i="6" a="1"/>
  <c r="BW177" i="6" s="1"/>
  <c r="CB177" i="6" a="1"/>
  <c r="CB177" i="6" s="1"/>
  <c r="CG177" i="6" a="1"/>
  <c r="CG177" i="6" s="1"/>
  <c r="CL177" i="6" a="1"/>
  <c r="CL177" i="6" s="1"/>
  <c r="CQ177" i="6" a="1"/>
  <c r="CQ177" i="6" s="1"/>
  <c r="CR177" i="6" a="1"/>
  <c r="CR177" i="6" s="1"/>
  <c r="CS177" i="6" a="1"/>
  <c r="CS177" i="6" s="1"/>
  <c r="CT177" i="6" a="1"/>
  <c r="CT177" i="6" s="1"/>
  <c r="CU177" i="6" a="1"/>
  <c r="CU177" i="6" s="1"/>
  <c r="AD176" i="6"/>
  <c r="AI176" i="6"/>
  <c r="AN176" i="6"/>
  <c r="AN182" i="6" s="1"/>
  <c r="AS176" i="6"/>
  <c r="AT176" i="6"/>
  <c r="AU176" i="6"/>
  <c r="AU182" i="6" s="1"/>
  <c r="AV176" i="6"/>
  <c r="AW176" i="6"/>
  <c r="AW182" i="6" s="1"/>
  <c r="AX176" i="6"/>
  <c r="BC176" i="6"/>
  <c r="BH176" i="6"/>
  <c r="BH182" i="6" s="1"/>
  <c r="BM176" i="6"/>
  <c r="BR176" i="6"/>
  <c r="BS176" i="6"/>
  <c r="BS182" i="6" s="1"/>
  <c r="BT176" i="6"/>
  <c r="BU176" i="6"/>
  <c r="BU182" i="6" s="1"/>
  <c r="BV176" i="6"/>
  <c r="BW176" i="6"/>
  <c r="CB176" i="6"/>
  <c r="CB182" i="6" s="1"/>
  <c r="CG176" i="6"/>
  <c r="CL176" i="6"/>
  <c r="CQ176" i="6"/>
  <c r="CQ182" i="6" s="1"/>
  <c r="CR176" i="6"/>
  <c r="CS176" i="6"/>
  <c r="CS182" i="6" s="1"/>
  <c r="CT176" i="6"/>
  <c r="CU176" i="6"/>
  <c r="T180" i="6" a="1"/>
  <c r="T180" i="6" s="1"/>
  <c r="Y180" i="6" a="1"/>
  <c r="Y180" i="6" s="1"/>
  <c r="T177" i="6" a="1"/>
  <c r="T177" i="6" s="1"/>
  <c r="Y177" i="6" a="1"/>
  <c r="Y177" i="6" s="1"/>
  <c r="T179" i="6"/>
  <c r="Y179" i="6"/>
  <c r="T176" i="6"/>
  <c r="T182" i="6" s="1"/>
  <c r="Y176" i="6"/>
  <c r="Y182" i="6" s="1"/>
  <c r="O180" i="6" a="1"/>
  <c r="O180" i="6" s="1"/>
  <c r="O179" i="6"/>
  <c r="O177" i="6" a="1"/>
  <c r="O177" i="6" s="1"/>
  <c r="O176" i="6"/>
  <c r="O182" i="6" s="1"/>
  <c r="J180" i="6" a="1"/>
  <c r="J180" i="6" s="1"/>
  <c r="J179" i="6"/>
  <c r="F176" i="6"/>
  <c r="G180" i="6" a="1"/>
  <c r="G180" i="6" s="1"/>
  <c r="H180" i="6" a="1"/>
  <c r="H180" i="6" s="1"/>
  <c r="I180" i="6" a="1"/>
  <c r="I180" i="6" s="1"/>
  <c r="G179" i="6"/>
  <c r="H179" i="6"/>
  <c r="I179" i="6"/>
  <c r="F180" i="6" a="1"/>
  <c r="F180" i="6" s="1"/>
  <c r="F179" i="6"/>
  <c r="G177" i="6" a="1"/>
  <c r="G177" i="6" s="1"/>
  <c r="H177" i="6" a="1"/>
  <c r="H177" i="6" s="1"/>
  <c r="I177" i="6" a="1"/>
  <c r="I177" i="6" s="1"/>
  <c r="F177" i="6" a="1"/>
  <c r="F177" i="6" s="1"/>
  <c r="G176" i="6"/>
  <c r="G182" i="6" s="1"/>
  <c r="H176" i="6"/>
  <c r="I176" i="6"/>
  <c r="DG12" i="6"/>
  <c r="DG9" i="6"/>
  <c r="DG6" i="6"/>
  <c r="I182" i="6" l="1"/>
  <c r="I203" i="6"/>
  <c r="H203" i="6"/>
  <c r="CG182" i="6"/>
  <c r="BM182" i="6"/>
  <c r="AS182" i="6"/>
  <c r="CU182" i="6"/>
  <c r="BW182" i="6"/>
  <c r="BC182" i="6"/>
  <c r="AI182" i="6"/>
  <c r="CT182" i="6"/>
  <c r="BV182" i="6"/>
  <c r="AX182" i="6"/>
  <c r="AD182" i="6"/>
  <c r="CL182" i="6"/>
  <c r="BR182" i="6"/>
  <c r="AT182" i="6"/>
  <c r="F182" i="6"/>
  <c r="CR182" i="6"/>
  <c r="BT182" i="6"/>
  <c r="AV182" i="6"/>
  <c r="CR203" i="6"/>
  <c r="BT203" i="6"/>
  <c r="AV203" i="6"/>
  <c r="T203" i="6"/>
  <c r="H182" i="6"/>
  <c r="A213" i="6"/>
  <c r="A214" i="6" s="1"/>
  <c r="A215" i="6" s="1"/>
  <c r="A216" i="6" s="1"/>
  <c r="A217" i="6" s="1"/>
  <c r="A218" i="6" s="1"/>
  <c r="J177" i="6" a="1"/>
  <c r="J177" i="6" s="1"/>
  <c r="J187" i="6"/>
  <c r="J176" i="6"/>
  <c r="J182" i="6" s="1"/>
  <c r="J188" i="6" a="1"/>
  <c r="J188" i="6" s="1"/>
  <c r="DG9" i="5"/>
  <c r="DG6" i="5"/>
  <c r="J4" i="5"/>
  <c r="J4" i="4"/>
  <c r="J171" i="3"/>
  <c r="A219" i="6" l="1"/>
  <c r="BQ165" i="6"/>
  <c r="AK146" i="6"/>
  <c r="AK167" i="6"/>
  <c r="AC157" i="6"/>
  <c r="CO162" i="6"/>
  <c r="BP159" i="6"/>
  <c r="BL158" i="6"/>
  <c r="Z156" i="6"/>
  <c r="L152" i="6"/>
  <c r="M155" i="6"/>
  <c r="AO166" i="6"/>
  <c r="BZ156" i="6"/>
  <c r="BK167" i="6"/>
  <c r="BA151" i="6"/>
  <c r="Q163" i="6"/>
  <c r="AA160" i="6"/>
  <c r="M166" i="6"/>
  <c r="CW156" i="6"/>
  <c r="BP162" i="6"/>
  <c r="BQ155" i="6"/>
  <c r="BD161" i="6"/>
  <c r="BL147" i="6"/>
  <c r="CA142" i="6"/>
  <c r="BB147" i="6"/>
  <c r="BI142" i="6"/>
  <c r="BQ150" i="6"/>
  <c r="BI156" i="6"/>
  <c r="BE152" i="6"/>
  <c r="P158" i="6"/>
  <c r="AR163" i="6"/>
  <c r="BE153" i="6"/>
  <c r="K166" i="6"/>
  <c r="CJ156" i="6"/>
  <c r="CM162" i="6"/>
  <c r="U153" i="6"/>
  <c r="BK161" i="6"/>
  <c r="CI165" i="6"/>
  <c r="Q151" i="6"/>
  <c r="AC155" i="6"/>
  <c r="BL165" i="6"/>
  <c r="S156" i="6"/>
  <c r="CO155" i="6"/>
  <c r="AM151" i="6"/>
  <c r="Z162" i="6"/>
  <c r="P146" i="6"/>
  <c r="L165" i="6"/>
  <c r="BE145" i="6"/>
  <c r="BO161" i="6"/>
  <c r="AR142" i="6"/>
  <c r="BB160" i="6"/>
  <c r="BJ158" i="6"/>
  <c r="BI152" i="6"/>
  <c r="AZ158" i="6"/>
  <c r="AJ152" i="6"/>
  <c r="BJ164" i="6"/>
  <c r="Q155" i="6"/>
  <c r="CM154" i="6"/>
  <c r="AK150" i="6"/>
  <c r="W161" i="6"/>
  <c r="AC166" i="6"/>
  <c r="CW163" i="6"/>
  <c r="BB144" i="6"/>
  <c r="BL160" i="6"/>
  <c r="D210" i="6"/>
  <c r="AZ159" i="6"/>
  <c r="CO165" i="6"/>
  <c r="AQ151" i="6"/>
  <c r="BF165" i="6"/>
  <c r="AG151" i="6"/>
  <c r="W158" i="6"/>
  <c r="CN162" i="6"/>
  <c r="BJ166" i="6"/>
  <c r="Q146" i="6"/>
  <c r="AO158" i="6"/>
  <c r="CA156" i="6"/>
  <c r="W147" i="6"/>
  <c r="M164" i="6"/>
  <c r="AQ150" i="6"/>
  <c r="BG161" i="6"/>
  <c r="V153" i="6"/>
  <c r="AH154" i="6"/>
  <c r="BI144" i="6"/>
  <c r="U161" i="6"/>
  <c r="AP164" i="6"/>
  <c r="CA162" i="6"/>
  <c r="CF159" i="6"/>
  <c r="CP146" i="6"/>
  <c r="CP150" i="6"/>
  <c r="CI159" i="6"/>
  <c r="BI135" i="6"/>
  <c r="P147" i="6"/>
  <c r="BY145" i="6"/>
  <c r="BJ152" i="6"/>
  <c r="M135" i="6"/>
  <c r="AZ152" i="6"/>
  <c r="AM159" i="6"/>
  <c r="L144" i="6"/>
  <c r="AA166" i="6"/>
  <c r="BZ164" i="6"/>
  <c r="S153" i="6"/>
  <c r="AZ153" i="6"/>
  <c r="Z147" i="6"/>
  <c r="CC164" i="6"/>
  <c r="M151" i="6"/>
  <c r="AO161" i="6"/>
  <c r="AO142" i="6"/>
  <c r="AE161" i="6"/>
  <c r="AK165" i="6"/>
  <c r="CW149" i="6"/>
  <c r="CP136" i="6"/>
  <c r="U162" i="6"/>
  <c r="CD163" i="6"/>
  <c r="AM167" i="6"/>
  <c r="AQ158" i="6"/>
  <c r="CM148" i="6"/>
  <c r="BN138" i="6"/>
  <c r="AA140" i="6"/>
  <c r="AG153" i="6"/>
  <c r="BG157" i="6"/>
  <c r="AZ168" i="6"/>
  <c r="Q159" i="6"/>
  <c r="CE163" i="6"/>
  <c r="AQ154" i="6"/>
  <c r="AK166" i="6"/>
  <c r="CW146" i="6"/>
  <c r="S163" i="6"/>
  <c r="CA143" i="6"/>
  <c r="CF161" i="6"/>
  <c r="BZ157" i="6"/>
  <c r="CF153" i="6"/>
  <c r="AB159" i="6"/>
  <c r="CI164" i="6"/>
  <c r="BG154" i="6"/>
  <c r="M167" i="6"/>
  <c r="BD157" i="6"/>
  <c r="CO163" i="6"/>
  <c r="W154" i="6"/>
  <c r="BN162" i="6"/>
  <c r="K153" i="6"/>
  <c r="BL152" i="6"/>
  <c r="CC133" i="6"/>
  <c r="AM152" i="6"/>
  <c r="BF168" i="6"/>
  <c r="Z165" i="6"/>
  <c r="BL163" i="6"/>
  <c r="AF144" i="6"/>
  <c r="AF165" i="6"/>
  <c r="X155" i="6"/>
  <c r="CJ160" i="6"/>
  <c r="BK157" i="6"/>
  <c r="AB153" i="6"/>
  <c r="U154" i="6"/>
  <c r="CP149" i="6"/>
  <c r="V168" i="6"/>
  <c r="BO148" i="6"/>
  <c r="AB166" i="6"/>
  <c r="AC137" i="6"/>
  <c r="BB157" i="6"/>
  <c r="Z163" i="6"/>
  <c r="CI162" i="6"/>
  <c r="CO168" i="6"/>
  <c r="BP153" i="6"/>
  <c r="AP166" i="6"/>
  <c r="BB156" i="6"/>
  <c r="X163" i="6"/>
  <c r="BO153" i="6"/>
  <c r="L162" i="6"/>
  <c r="CH167" i="6"/>
  <c r="BX167" i="6"/>
  <c r="CO143" i="6"/>
  <c r="BI167" i="6"/>
  <c r="CE143" i="6"/>
  <c r="AZ156" i="6"/>
  <c r="W162" i="6"/>
  <c r="AR161" i="6"/>
  <c r="CE164" i="6"/>
  <c r="AC168" i="6"/>
  <c r="AM165" i="6"/>
  <c r="AZ155" i="6"/>
  <c r="V162" i="6"/>
  <c r="R168" i="6"/>
  <c r="CW160" i="6"/>
  <c r="CE166" i="6"/>
  <c r="AY163" i="6"/>
  <c r="CM142" i="6"/>
  <c r="AJ163" i="6"/>
  <c r="CC142" i="6"/>
  <c r="AO148" i="6"/>
  <c r="D223" i="6"/>
  <c r="CE153" i="6"/>
  <c r="S155" i="6"/>
  <c r="CM160" i="6"/>
  <c r="M154" i="6"/>
  <c r="CE134" i="6"/>
  <c r="AR164" i="6"/>
  <c r="L153" i="6"/>
  <c r="AA155" i="6"/>
  <c r="AY144" i="6"/>
  <c r="AB162" i="6"/>
  <c r="BZ140" i="6"/>
  <c r="AM147" i="6"/>
  <c r="AA167" i="6"/>
  <c r="R147" i="6"/>
  <c r="P156" i="6"/>
  <c r="AO145" i="6"/>
  <c r="AY151" i="6"/>
  <c r="BX150" i="6"/>
  <c r="Q140" i="6"/>
  <c r="CI152" i="6"/>
  <c r="BQ159" i="6"/>
  <c r="BY144" i="6"/>
  <c r="CP159" i="6"/>
  <c r="CJ165" i="6"/>
  <c r="X162" i="6"/>
  <c r="AH163" i="6"/>
  <c r="BX158" i="6"/>
  <c r="CO152" i="6"/>
  <c r="AM141" i="6"/>
  <c r="AR148" i="6"/>
  <c r="CK149" i="6"/>
  <c r="AG162" i="6"/>
  <c r="BN142" i="6"/>
  <c r="CE149" i="6"/>
  <c r="BF138" i="6"/>
  <c r="BF149" i="6"/>
  <c r="CA166" i="6"/>
  <c r="AB136" i="6"/>
  <c r="AG144" i="6"/>
  <c r="CI158" i="6"/>
  <c r="CI168" i="6"/>
  <c r="BI154" i="6"/>
  <c r="CD144" i="6"/>
  <c r="CE155" i="6"/>
  <c r="BP155" i="6"/>
  <c r="CC141" i="6"/>
  <c r="BX144" i="6"/>
  <c r="L145" i="6"/>
  <c r="CW140" i="6"/>
  <c r="AL152" i="6"/>
  <c r="AZ132" i="6"/>
  <c r="AB152" i="6"/>
  <c r="AO160" i="6"/>
  <c r="AZ160" i="6"/>
  <c r="AG166" i="6"/>
  <c r="AQ155" i="6"/>
  <c r="AC151" i="6"/>
  <c r="Q158" i="6"/>
  <c r="BI153" i="6"/>
  <c r="Z166" i="6"/>
  <c r="P150" i="6"/>
  <c r="M165" i="6"/>
  <c r="BO164" i="6"/>
  <c r="AH145" i="6"/>
  <c r="AH166" i="6"/>
  <c r="AA156" i="6"/>
  <c r="CM161" i="6"/>
  <c r="BN158" i="6"/>
  <c r="BD155" i="6"/>
  <c r="W155" i="6"/>
  <c r="CW150" i="6"/>
  <c r="K154" i="6"/>
  <c r="CF149" i="6"/>
  <c r="CD141" i="6"/>
  <c r="AF138" i="6"/>
  <c r="BE141" i="6"/>
  <c r="V138" i="6"/>
  <c r="AL148" i="6"/>
  <c r="BI166" i="6"/>
  <c r="CN166" i="6"/>
  <c r="L157" i="6"/>
  <c r="BZ161" i="6"/>
  <c r="AP167" i="6"/>
  <c r="AF164" i="6"/>
  <c r="CN144" i="6"/>
  <c r="N161" i="6"/>
  <c r="AE163" i="6"/>
  <c r="CA159" i="6"/>
  <c r="BK158" i="6"/>
  <c r="BA148" i="6"/>
  <c r="AP151" i="6"/>
  <c r="Z164" i="6"/>
  <c r="BP154" i="6"/>
  <c r="BP165" i="6"/>
  <c r="AQ149" i="6"/>
  <c r="L161" i="6"/>
  <c r="V158" i="6"/>
  <c r="CH163" i="6"/>
  <c r="CD154" i="6"/>
  <c r="BZ160" i="6"/>
  <c r="BI168" i="6"/>
  <c r="AJ159" i="6"/>
  <c r="U155" i="6"/>
  <c r="AB140" i="6"/>
  <c r="CA154" i="6"/>
  <c r="R140" i="6"/>
  <c r="W163" i="6"/>
  <c r="BN153" i="6"/>
  <c r="BD164" i="6"/>
  <c r="C228" i="6"/>
  <c r="CW159" i="6"/>
  <c r="S157" i="6"/>
  <c r="CE162" i="6"/>
  <c r="CH168" i="6"/>
  <c r="AY159" i="6"/>
  <c r="BF167" i="6"/>
  <c r="AG158" i="6"/>
  <c r="BZ151" i="6"/>
  <c r="P139" i="6"/>
  <c r="CH150" i="6"/>
  <c r="CO138" i="6"/>
  <c r="AR146" i="6"/>
  <c r="CK161" i="6"/>
  <c r="K161" i="6"/>
  <c r="BA161" i="6"/>
  <c r="BO157" i="6"/>
  <c r="CJ166" i="6"/>
  <c r="N131" i="6"/>
  <c r="BP134" i="6"/>
  <c r="BN167" i="6"/>
  <c r="CH165" i="6"/>
  <c r="CJ140" i="6"/>
  <c r="AH150" i="6"/>
  <c r="M152" i="6"/>
  <c r="AF154" i="6"/>
  <c r="R164" i="6"/>
  <c r="S161" i="6"/>
  <c r="BI158" i="6"/>
  <c r="CN142" i="6"/>
  <c r="N151" i="6"/>
  <c r="CI143" i="6"/>
  <c r="BJ160" i="6"/>
  <c r="AZ144" i="6"/>
  <c r="U168" i="6"/>
  <c r="CO151" i="6"/>
  <c r="K168" i="6"/>
  <c r="AP154" i="6"/>
  <c r="CE158" i="6"/>
  <c r="AE154" i="6"/>
  <c r="CM165" i="6"/>
  <c r="AZ167" i="6"/>
  <c r="AG167" i="6"/>
  <c r="CC157" i="6"/>
  <c r="AK162" i="6"/>
  <c r="AQ168" i="6"/>
  <c r="M161" i="6"/>
  <c r="BY165" i="6"/>
  <c r="BP157" i="6"/>
  <c r="AM154" i="6"/>
  <c r="BD156" i="6"/>
  <c r="BZ167" i="6"/>
  <c r="CP167" i="6"/>
  <c r="N158" i="6"/>
  <c r="CC162" i="6"/>
  <c r="AO153" i="6"/>
  <c r="AH165" i="6"/>
  <c r="CP145" i="6"/>
  <c r="Q162" i="6"/>
  <c r="AO167" i="6"/>
  <c r="CD160" i="6"/>
  <c r="BZ162" i="6"/>
  <c r="BD149" i="6"/>
  <c r="CI161" i="6"/>
  <c r="BN149" i="6"/>
  <c r="CD159" i="6"/>
  <c r="AM155" i="6"/>
  <c r="Z158" i="6"/>
  <c r="AP158" i="6"/>
  <c r="AB164" i="6"/>
  <c r="CJ153" i="6"/>
  <c r="X149" i="6"/>
  <c r="CJ167" i="6"/>
  <c r="AL151" i="6"/>
  <c r="U164" i="6"/>
  <c r="K148" i="6"/>
  <c r="CH162" i="6"/>
  <c r="BX146" i="6"/>
  <c r="M156" i="6"/>
  <c r="BX136" i="6"/>
  <c r="BF155" i="6"/>
  <c r="BB151" i="6"/>
  <c r="BY168" i="6"/>
  <c r="AA159" i="6"/>
  <c r="BD158" i="6"/>
  <c r="X156" i="6"/>
  <c r="AQ165" i="6"/>
  <c r="AG149" i="6"/>
  <c r="S168" i="6"/>
  <c r="CA148" i="6"/>
  <c r="CK164" i="6"/>
  <c r="BO145" i="6"/>
  <c r="BY163" i="6"/>
  <c r="AL159" i="6"/>
  <c r="AR159" i="6"/>
  <c r="AE165" i="6"/>
  <c r="AO154" i="6"/>
  <c r="AA150" i="6"/>
  <c r="BN168" i="6"/>
  <c r="AO152" i="6"/>
  <c r="W165" i="6"/>
  <c r="M149" i="6"/>
  <c r="K164" i="6"/>
  <c r="CJ147" i="6"/>
  <c r="AP159" i="6"/>
  <c r="BZ137" i="6"/>
  <c r="CK158" i="6"/>
  <c r="CW164" i="6"/>
  <c r="BL145" i="6"/>
  <c r="AP165" i="6"/>
  <c r="AB165" i="6"/>
  <c r="BI155" i="6"/>
  <c r="AF160" i="6"/>
  <c r="W160" i="6"/>
  <c r="CH158" i="6"/>
  <c r="AZ157" i="6"/>
  <c r="BK155" i="6"/>
  <c r="BY151" i="6"/>
  <c r="AJ154" i="6"/>
  <c r="L166" i="6"/>
  <c r="L146" i="6"/>
  <c r="CA165" i="6"/>
  <c r="AZ162" i="6"/>
  <c r="AC143" i="6"/>
  <c r="AC164" i="6"/>
  <c r="V154" i="6"/>
  <c r="BX159" i="6"/>
  <c r="AJ156" i="6"/>
  <c r="V152" i="6"/>
  <c r="AF168" i="6"/>
  <c r="CN148" i="6"/>
  <c r="S167" i="6"/>
  <c r="CA147" i="6"/>
  <c r="R162" i="6"/>
  <c r="AA136" i="6"/>
  <c r="BI161" i="6"/>
  <c r="Q136" i="6"/>
  <c r="CP161" i="6"/>
  <c r="AJ165" i="6"/>
  <c r="AA163" i="6"/>
  <c r="Z168" i="6"/>
  <c r="BP158" i="6"/>
  <c r="AG155" i="6"/>
  <c r="S151" i="6"/>
  <c r="AC167" i="6"/>
  <c r="CK147" i="6"/>
  <c r="Q166" i="6"/>
  <c r="BY146" i="6"/>
  <c r="AY157" i="6"/>
  <c r="X135" i="6"/>
  <c r="Q157" i="6"/>
  <c r="N135" i="6"/>
  <c r="U145" i="6"/>
  <c r="R155" i="6"/>
  <c r="AH159" i="6"/>
  <c r="CA160" i="6"/>
  <c r="AA165" i="6"/>
  <c r="CA164" i="6"/>
  <c r="BL164" i="6"/>
  <c r="BY160" i="6"/>
  <c r="N152" i="6"/>
  <c r="BP164" i="6"/>
  <c r="BY136" i="6"/>
  <c r="R148" i="6"/>
  <c r="AK149" i="6"/>
  <c r="AM168" i="6"/>
  <c r="AK164" i="6"/>
  <c r="CJ159" i="6"/>
  <c r="CI154" i="6"/>
  <c r="BZ142" i="6"/>
  <c r="BG152" i="6"/>
  <c r="CP151" i="6"/>
  <c r="BF166" i="6"/>
  <c r="BP143" i="6"/>
  <c r="CN152" i="6"/>
  <c r="BI139" i="6"/>
  <c r="CC152" i="6"/>
  <c r="BB168" i="6"/>
  <c r="W167" i="6"/>
  <c r="CD153" i="6"/>
  <c r="X157" i="6"/>
  <c r="CE154" i="6"/>
  <c r="CO154" i="6"/>
  <c r="W159" i="6"/>
  <c r="AR144" i="6"/>
  <c r="AQ156" i="6"/>
  <c r="BO134" i="6"/>
  <c r="CM145" i="6"/>
  <c r="CO142" i="6"/>
  <c r="CC145" i="6"/>
  <c r="BI143" i="6"/>
  <c r="N164" i="6"/>
  <c r="AB154" i="6"/>
  <c r="D218" i="6"/>
  <c r="CF158" i="6"/>
  <c r="CF150" i="6"/>
  <c r="CW162" i="6"/>
  <c r="BE163" i="6"/>
  <c r="AE145" i="6"/>
  <c r="AP155" i="6"/>
  <c r="CW136" i="6"/>
  <c r="BL149" i="6"/>
  <c r="AO162" i="6"/>
  <c r="BK166" i="6"/>
  <c r="AE162" i="6"/>
  <c r="L168" i="6"/>
  <c r="N157" i="6"/>
  <c r="K138" i="6"/>
  <c r="BF128" i="6"/>
  <c r="CI160" i="6"/>
  <c r="AQ166" i="6"/>
  <c r="BG165" i="6"/>
  <c r="AA146" i="6"/>
  <c r="CM156" i="6"/>
  <c r="C223" i="6"/>
  <c r="BY159" i="6"/>
  <c r="AF166" i="6"/>
  <c r="CK156" i="6"/>
  <c r="S165" i="6"/>
  <c r="BY155" i="6"/>
  <c r="AR166" i="6"/>
  <c r="AE166" i="6"/>
  <c r="BK156" i="6"/>
  <c r="AH161" i="6"/>
  <c r="AG164" i="6"/>
  <c r="K160" i="6"/>
  <c r="BJ161" i="6"/>
  <c r="BN156" i="6"/>
  <c r="CA152" i="6"/>
  <c r="BA155" i="6"/>
  <c r="AZ151" i="6"/>
  <c r="N147" i="6"/>
  <c r="D228" i="6"/>
  <c r="CN146" i="6"/>
  <c r="BQ161" i="6"/>
  <c r="BO166" i="6"/>
  <c r="V157" i="6"/>
  <c r="AY156" i="6"/>
  <c r="AP152" i="6"/>
  <c r="AL163" i="6"/>
  <c r="AB147" i="6"/>
  <c r="N166" i="6"/>
  <c r="BG146" i="6"/>
  <c r="BQ162" i="6"/>
  <c r="BJ143" i="6"/>
  <c r="BE161" i="6"/>
  <c r="BY162" i="6"/>
  <c r="BQ153" i="6"/>
  <c r="BJ162" i="6"/>
  <c r="CE165" i="6"/>
  <c r="CK165" i="6"/>
  <c r="CW155" i="6"/>
  <c r="AY160" i="6"/>
  <c r="AF163" i="6"/>
  <c r="AC163" i="6"/>
  <c r="CK143" i="6"/>
  <c r="L160" i="6"/>
  <c r="U159" i="6"/>
  <c r="BY158" i="6"/>
  <c r="BB155" i="6"/>
  <c r="BI147" i="6"/>
  <c r="AF147" i="6"/>
  <c r="AJ147" i="6"/>
  <c r="CA146" i="6"/>
  <c r="BN164" i="6"/>
  <c r="AZ164" i="6"/>
  <c r="BQ154" i="6"/>
  <c r="CO159" i="6"/>
  <c r="V159" i="6"/>
  <c r="AA162" i="6"/>
  <c r="CM167" i="6"/>
  <c r="CW158" i="6"/>
  <c r="CD155" i="6"/>
  <c r="CC168" i="6"/>
  <c r="AA153" i="6"/>
  <c r="AQ146" i="6"/>
  <c r="M144" i="6"/>
  <c r="AG146" i="6"/>
  <c r="BO143" i="6"/>
  <c r="CN150" i="6"/>
  <c r="AY167" i="6"/>
  <c r="AR165" i="6"/>
  <c r="CK166" i="6"/>
  <c r="V166" i="6"/>
  <c r="V156" i="6"/>
  <c r="CC155" i="6"/>
  <c r="BJ163" i="6"/>
  <c r="BZ136" i="6"/>
  <c r="AB148" i="6"/>
  <c r="CI149" i="6"/>
  <c r="BL154" i="6"/>
  <c r="AR155" i="6"/>
  <c r="CH159" i="6"/>
  <c r="CH160" i="6"/>
  <c r="CO166" i="6"/>
  <c r="U152" i="6"/>
  <c r="R142" i="6"/>
  <c r="CH153" i="6"/>
  <c r="BD163" i="6"/>
  <c r="P153" i="6"/>
  <c r="BX139" i="6"/>
  <c r="L149" i="6"/>
  <c r="AO147" i="6"/>
  <c r="CK148" i="6"/>
  <c r="R160" i="6"/>
  <c r="AM163" i="6"/>
  <c r="Q150" i="6"/>
  <c r="CD158" i="6"/>
  <c r="AP145" i="6"/>
  <c r="CF146" i="6"/>
  <c r="BP166" i="6"/>
  <c r="BF134" i="6"/>
  <c r="M146" i="6"/>
  <c r="U143" i="6"/>
  <c r="BG151" i="6"/>
  <c r="K134" i="6"/>
  <c r="CF151" i="6"/>
  <c r="AM149" i="6"/>
  <c r="AY139" i="6"/>
  <c r="AG137" i="6"/>
  <c r="BX160" i="6"/>
  <c r="AY155" i="6"/>
  <c r="CE167" i="6"/>
  <c r="AQ167" i="6"/>
  <c r="CC158" i="6"/>
  <c r="CM157" i="6"/>
  <c r="AC161" i="6"/>
  <c r="BY156" i="6"/>
  <c r="BJ153" i="6"/>
  <c r="BY147" i="6"/>
  <c r="CW166" i="6"/>
  <c r="AK155" i="6"/>
  <c r="V144" i="6"/>
  <c r="AA164" i="6"/>
  <c r="AM156" i="6"/>
  <c r="AM157" i="6"/>
  <c r="AL168" i="6"/>
  <c r="BZ154" i="6"/>
  <c r="CE161" i="6"/>
  <c r="CO148" i="6"/>
  <c r="CM164" i="6"/>
  <c r="M162" i="6"/>
  <c r="BF163" i="6"/>
  <c r="AQ153" i="6"/>
  <c r="BQ164" i="6"/>
  <c r="S148" i="6"/>
  <c r="BG163" i="6"/>
  <c r="U148" i="6"/>
  <c r="CM163" i="6"/>
  <c r="BY164" i="6"/>
  <c r="CA145" i="6"/>
  <c r="N145" i="6"/>
  <c r="Z159" i="6"/>
  <c r="CO147" i="6"/>
  <c r="BN165" i="6"/>
  <c r="CE146" i="6"/>
  <c r="CO145" i="6"/>
  <c r="BP168" i="6"/>
  <c r="BG142" i="6"/>
  <c r="BG143" i="6"/>
  <c r="CM150" i="6"/>
  <c r="Z154" i="6"/>
  <c r="CM151" i="6"/>
  <c r="S160" i="6"/>
  <c r="CP166" i="6"/>
  <c r="CM159" i="6"/>
  <c r="CP165" i="6"/>
  <c r="AE156" i="6"/>
  <c r="BK136" i="6"/>
  <c r="BB149" i="6"/>
  <c r="CJ152" i="6"/>
  <c r="N142" i="6"/>
  <c r="BX156" i="6"/>
  <c r="BI145" i="6"/>
  <c r="CP163" i="6"/>
  <c r="CD157" i="6"/>
  <c r="CD149" i="6"/>
  <c r="AE168" i="6"/>
  <c r="X151" i="6"/>
  <c r="AB144" i="6"/>
  <c r="AC152" i="6"/>
  <c r="CF135" i="6"/>
  <c r="BJ148" i="6"/>
  <c r="U158" i="6"/>
  <c r="BA162" i="6"/>
  <c r="K158" i="6"/>
  <c r="CK163" i="6"/>
  <c r="AC154" i="6"/>
  <c r="BI136" i="6"/>
  <c r="BD127" i="6"/>
  <c r="AM153" i="6"/>
  <c r="BO163" i="6"/>
  <c r="BN155" i="6"/>
  <c r="CP162" i="6"/>
  <c r="CC167" i="6"/>
  <c r="CI145" i="6"/>
  <c r="AJ138" i="6"/>
  <c r="CH161" i="6"/>
  <c r="U123" i="6"/>
  <c r="CC159" i="6"/>
  <c r="CE159" i="6"/>
  <c r="AQ159" i="6"/>
  <c r="AF145" i="6"/>
  <c r="BZ153" i="6"/>
  <c r="BA145" i="6"/>
  <c r="R158" i="6"/>
  <c r="Z135" i="6"/>
  <c r="S140" i="6"/>
  <c r="BZ134" i="6"/>
  <c r="BZ127" i="6"/>
  <c r="BK134" i="6"/>
  <c r="BK127" i="6"/>
  <c r="BG144" i="6"/>
  <c r="BX166" i="6"/>
  <c r="CD136" i="6"/>
  <c r="BI162" i="6"/>
  <c r="Z157" i="6"/>
  <c r="AE152" i="6"/>
  <c r="CH144" i="6"/>
  <c r="BO150" i="6"/>
  <c r="BO130" i="6"/>
  <c r="K159" i="6"/>
  <c r="Q141" i="6"/>
  <c r="BF156" i="6"/>
  <c r="P168" i="6"/>
  <c r="BP163" i="6"/>
  <c r="X145" i="6"/>
  <c r="AC165" i="6"/>
  <c r="CK160" i="6"/>
  <c r="AL166" i="6"/>
  <c r="BI150" i="6"/>
  <c r="CF155" i="6"/>
  <c r="BB143" i="6"/>
  <c r="P164" i="6"/>
  <c r="V148" i="6"/>
  <c r="CJ161" i="6"/>
  <c r="CK168" i="6"/>
  <c r="CO135" i="6"/>
  <c r="BD154" i="6"/>
  <c r="BD153" i="6"/>
  <c r="AG165" i="6"/>
  <c r="AC162" i="6"/>
  <c r="BL157" i="6"/>
  <c r="Q152" i="6"/>
  <c r="BL167" i="6"/>
  <c r="AH167" i="6"/>
  <c r="BZ152" i="6"/>
  <c r="AR150" i="6"/>
  <c r="CW152" i="6"/>
  <c r="AB163" i="6"/>
  <c r="BB166" i="6"/>
  <c r="CN147" i="6"/>
  <c r="M160" i="6"/>
  <c r="CN160" i="6"/>
  <c r="Q160" i="6"/>
  <c r="BX140" i="6"/>
  <c r="CJ158" i="6"/>
  <c r="BP138" i="6"/>
  <c r="N144" i="6"/>
  <c r="AM144" i="6"/>
  <c r="BA134" i="6"/>
  <c r="R165" i="6"/>
  <c r="AZ147" i="6"/>
  <c r="W145" i="6"/>
  <c r="CC153" i="6"/>
  <c r="CM153" i="6"/>
  <c r="BJ132" i="6"/>
  <c r="BX148" i="6"/>
  <c r="AF167" i="6"/>
  <c r="CM149" i="6"/>
  <c r="AK144" i="6"/>
  <c r="AB135" i="6"/>
  <c r="BF159" i="6"/>
  <c r="CK155" i="6"/>
  <c r="CM166" i="6"/>
  <c r="BB164" i="6"/>
  <c r="AO150" i="6"/>
  <c r="CK145" i="6"/>
  <c r="CD156" i="6"/>
  <c r="M159" i="6"/>
  <c r="K163" i="6"/>
  <c r="BQ166" i="6"/>
  <c r="BF147" i="6"/>
  <c r="BG166" i="6"/>
  <c r="AP157" i="6"/>
  <c r="AL145" i="6"/>
  <c r="AG142" i="6"/>
  <c r="V137" i="6"/>
  <c r="AP168" i="6"/>
  <c r="AL149" i="6"/>
  <c r="CC137" i="6"/>
  <c r="X146" i="6"/>
  <c r="P157" i="6"/>
  <c r="AP143" i="6"/>
  <c r="AJ125" i="6"/>
  <c r="CI137" i="6"/>
  <c r="AP128" i="6"/>
  <c r="BY137" i="6"/>
  <c r="CO158" i="6"/>
  <c r="AL156" i="6"/>
  <c r="W168" i="6"/>
  <c r="K145" i="6"/>
  <c r="CD138" i="6"/>
  <c r="CN145" i="6"/>
  <c r="Z132" i="6"/>
  <c r="BD124" i="6"/>
  <c r="AM139" i="6"/>
  <c r="AL119" i="6"/>
  <c r="AC139" i="6"/>
  <c r="BI157" i="6"/>
  <c r="CW134" i="6"/>
  <c r="AF142" i="6"/>
  <c r="X144" i="6"/>
  <c r="L142" i="6"/>
  <c r="CH154" i="6"/>
  <c r="L164" i="6"/>
  <c r="BF139" i="6"/>
  <c r="BZ145" i="6"/>
  <c r="CF167" i="6"/>
  <c r="BG164" i="6"/>
  <c r="BO147" i="6"/>
  <c r="AQ160" i="6"/>
  <c r="BK142" i="6"/>
  <c r="AK157" i="6"/>
  <c r="CH142" i="6"/>
  <c r="CW142" i="6"/>
  <c r="CE137" i="6"/>
  <c r="X131" i="6"/>
  <c r="AP141" i="6"/>
  <c r="BE130" i="6"/>
  <c r="V161" i="6"/>
  <c r="BD168" i="6"/>
  <c r="P167" i="6"/>
  <c r="BQ167" i="6"/>
  <c r="AO164" i="6"/>
  <c r="CI163" i="6"/>
  <c r="AH156" i="6"/>
  <c r="BE158" i="6"/>
  <c r="BX154" i="6"/>
  <c r="CF154" i="6"/>
  <c r="R145" i="6"/>
  <c r="M157" i="6"/>
  <c r="BE156" i="6"/>
  <c r="R163" i="6"/>
  <c r="BY161" i="6"/>
  <c r="BL161" i="6"/>
  <c r="U156" i="6"/>
  <c r="AM161" i="6"/>
  <c r="CC156" i="6"/>
  <c r="CE145" i="6"/>
  <c r="AC148" i="6"/>
  <c r="CF143" i="6"/>
  <c r="AP148" i="6"/>
  <c r="V155" i="6"/>
  <c r="BO155" i="6"/>
  <c r="K155" i="6"/>
  <c r="BJ136" i="6"/>
  <c r="CP154" i="6"/>
  <c r="AY168" i="6"/>
  <c r="BQ157" i="6"/>
  <c r="CO146" i="6"/>
  <c r="Z161" i="6"/>
  <c r="CI146" i="6"/>
  <c r="AJ164" i="6"/>
  <c r="CM146" i="6"/>
  <c r="AQ144" i="6"/>
  <c r="BE134" i="6"/>
  <c r="R152" i="6"/>
  <c r="BB139" i="6"/>
  <c r="BA167" i="6"/>
  <c r="BD166" i="6"/>
  <c r="AH139" i="6"/>
  <c r="P161" i="6"/>
  <c r="AH168" i="6"/>
  <c r="CH140" i="6"/>
  <c r="L151" i="6"/>
  <c r="CA144" i="6"/>
  <c r="AR160" i="6"/>
  <c r="CJ146" i="6"/>
  <c r="BJ142" i="6"/>
  <c r="AJ162" i="6"/>
  <c r="AJ150" i="6"/>
  <c r="CF157" i="6"/>
  <c r="AE157" i="6"/>
  <c r="M138" i="6"/>
  <c r="P148" i="6"/>
  <c r="BL166" i="6"/>
  <c r="BJ167" i="6"/>
  <c r="CE147" i="6"/>
  <c r="BA154" i="6"/>
  <c r="CK146" i="6"/>
  <c r="S154" i="6"/>
  <c r="BE144" i="6"/>
  <c r="BD141" i="6"/>
  <c r="CI133" i="6"/>
  <c r="AP124" i="6"/>
  <c r="AE153" i="6"/>
  <c r="BP139" i="6"/>
  <c r="BN154" i="6"/>
  <c r="AR157" i="6"/>
  <c r="R167" i="6"/>
  <c r="BO152" i="6"/>
  <c r="BB127" i="6"/>
  <c r="V147" i="6"/>
  <c r="AE160" i="6"/>
  <c r="BF158" i="6"/>
  <c r="BG159" i="6"/>
  <c r="CJ155" i="6"/>
  <c r="CI155" i="6"/>
  <c r="U146" i="6"/>
  <c r="AL165" i="6"/>
  <c r="N162" i="6"/>
  <c r="BN161" i="6"/>
  <c r="AE141" i="6"/>
  <c r="P163" i="6"/>
  <c r="BX164" i="6"/>
  <c r="AY154" i="6"/>
  <c r="CF168" i="6"/>
  <c r="AP149" i="6"/>
  <c r="AK163" i="6"/>
  <c r="AZ166" i="6"/>
  <c r="AG154" i="6"/>
  <c r="BE149" i="6"/>
  <c r="AA152" i="6"/>
  <c r="Q145" i="6"/>
  <c r="AH155" i="6"/>
  <c r="AB157" i="6"/>
  <c r="CW132" i="6"/>
  <c r="BB145" i="6"/>
  <c r="BY166" i="6"/>
  <c r="AL157" i="6"/>
  <c r="P159" i="6"/>
  <c r="V149" i="6"/>
  <c r="AQ143" i="6"/>
  <c r="AJ168" i="6"/>
  <c r="N165" i="6"/>
  <c r="BP150" i="6"/>
  <c r="N139" i="6"/>
  <c r="CP155" i="6"/>
  <c r="BG155" i="6"/>
  <c r="BI165" i="6"/>
  <c r="CC130" i="6"/>
  <c r="BK151" i="6"/>
  <c r="BO165" i="6"/>
  <c r="BL151" i="6"/>
  <c r="R144" i="6"/>
  <c r="BK152" i="6"/>
  <c r="AL155" i="6"/>
  <c r="BA136" i="6"/>
  <c r="BQ168" i="6"/>
  <c r="AH147" i="6"/>
  <c r="AH144" i="6"/>
  <c r="AR125" i="6"/>
  <c r="CN153" i="6"/>
  <c r="N155" i="6"/>
  <c r="CD165" i="6"/>
  <c r="BQ145" i="6"/>
  <c r="V134" i="6"/>
  <c r="CM137" i="6"/>
  <c r="BO146" i="6"/>
  <c r="CN156" i="6"/>
  <c r="AP147" i="6"/>
  <c r="BE159" i="6"/>
  <c r="AJ135" i="6"/>
  <c r="L159" i="6"/>
  <c r="AK151" i="6"/>
  <c r="AB158" i="6"/>
  <c r="M140" i="6"/>
  <c r="CK153" i="6"/>
  <c r="BZ165" i="6"/>
  <c r="V163" i="6"/>
  <c r="BZ147" i="6"/>
  <c r="BD146" i="6"/>
  <c r="CD152" i="6"/>
  <c r="AM146" i="6"/>
  <c r="X117" i="6"/>
  <c r="BN135" i="6"/>
  <c r="CC128" i="6"/>
  <c r="BD135" i="6"/>
  <c r="AH149" i="6"/>
  <c r="BE157" i="6"/>
  <c r="AQ162" i="6"/>
  <c r="AQ134" i="6"/>
  <c r="BE160" i="6"/>
  <c r="AK148" i="6"/>
  <c r="CC135" i="6"/>
  <c r="Z139" i="6"/>
  <c r="W137" i="6"/>
  <c r="AQ138" i="6"/>
  <c r="M137" i="6"/>
  <c r="AF134" i="6"/>
  <c r="BD132" i="6"/>
  <c r="AL137" i="6"/>
  <c r="M128" i="6"/>
  <c r="R137" i="6"/>
  <c r="V165" i="6"/>
  <c r="AQ157" i="6"/>
  <c r="AM158" i="6"/>
  <c r="CC166" i="6"/>
  <c r="BJ151" i="6"/>
  <c r="Z144" i="6"/>
  <c r="BJ149" i="6"/>
  <c r="AJ136" i="6"/>
  <c r="AO127" i="6"/>
  <c r="Z136" i="6"/>
  <c r="AE127" i="6"/>
  <c r="BX157" i="6"/>
  <c r="BK122" i="6"/>
  <c r="BE139" i="6"/>
  <c r="Q130" i="6"/>
  <c r="AP139" i="6"/>
  <c r="BL156" i="6"/>
  <c r="CA168" i="6"/>
  <c r="CI148" i="6"/>
  <c r="CN168" i="6"/>
  <c r="X150" i="6"/>
  <c r="W143" i="6"/>
  <c r="BG141" i="6"/>
  <c r="CC134" i="6"/>
  <c r="AL126" i="6"/>
  <c r="BN134" i="6"/>
  <c r="AB126" i="6"/>
  <c r="AL150" i="6"/>
  <c r="AY121" i="6"/>
  <c r="BL138" i="6"/>
  <c r="N129" i="6"/>
  <c r="AM138" i="6"/>
  <c r="CH164" i="6"/>
  <c r="K150" i="6"/>
  <c r="BD145" i="6"/>
  <c r="AA148" i="6"/>
  <c r="BD152" i="6"/>
  <c r="L158" i="6"/>
  <c r="X158" i="6"/>
  <c r="AE148" i="6"/>
  <c r="BL144" i="6"/>
  <c r="CI166" i="6"/>
  <c r="AL164" i="6"/>
  <c r="AR167" i="6"/>
  <c r="N163" i="6"/>
  <c r="AC156" i="6"/>
  <c r="BF154" i="6"/>
  <c r="AJ166" i="6"/>
  <c r="AM166" i="6"/>
  <c r="CA161" i="6"/>
  <c r="W153" i="6"/>
  <c r="AZ150" i="6"/>
  <c r="AA158" i="6"/>
  <c r="W149" i="6"/>
  <c r="AG159" i="6"/>
  <c r="CP143" i="6"/>
  <c r="BP167" i="6"/>
  <c r="AC147" i="6"/>
  <c r="BZ159" i="6"/>
  <c r="AZ154" i="6"/>
  <c r="BF152" i="6"/>
  <c r="CO153" i="6"/>
  <c r="Q153" i="6"/>
  <c r="AO159" i="6"/>
  <c r="BF160" i="6"/>
  <c r="BG135" i="6"/>
  <c r="CF156" i="6"/>
  <c r="BF157" i="6"/>
  <c r="L150" i="6"/>
  <c r="CI156" i="6"/>
  <c r="CJ163" i="6"/>
  <c r="BZ163" i="6"/>
  <c r="BI148" i="6"/>
  <c r="AB122" i="6"/>
  <c r="Q156" i="6"/>
  <c r="BF162" i="6"/>
  <c r="CW143" i="6"/>
  <c r="BQ147" i="6"/>
  <c r="CH143" i="6"/>
  <c r="CP168" i="6"/>
  <c r="CI140" i="6"/>
  <c r="CA149" i="6"/>
  <c r="AO146" i="6"/>
  <c r="CK134" i="6"/>
  <c r="R161" i="6"/>
  <c r="BO159" i="6"/>
  <c r="X161" i="6"/>
  <c r="AO157" i="6"/>
  <c r="BG160" i="6"/>
  <c r="CJ133" i="6"/>
  <c r="X139" i="6"/>
  <c r="Z152" i="6"/>
  <c r="N160" i="6"/>
  <c r="AY135" i="6"/>
  <c r="AZ143" i="6"/>
  <c r="CF139" i="6"/>
  <c r="AK143" i="6"/>
  <c r="AE167" i="6"/>
  <c r="BB137" i="6"/>
  <c r="BX149" i="6"/>
  <c r="BK168" i="6"/>
  <c r="CJ164" i="6"/>
  <c r="CD142" i="6"/>
  <c r="AE149" i="6"/>
  <c r="CP141" i="6"/>
  <c r="AA147" i="6"/>
  <c r="BK133" i="6"/>
  <c r="BF125" i="6"/>
  <c r="AP140" i="6"/>
  <c r="AO120" i="6"/>
  <c r="AF140" i="6"/>
  <c r="CM168" i="6"/>
  <c r="CE156" i="6"/>
  <c r="BI151" i="6"/>
  <c r="CO141" i="6"/>
  <c r="BX161" i="6"/>
  <c r="BD150" i="6"/>
  <c r="AK134" i="6"/>
  <c r="BL141" i="6"/>
  <c r="BL130" i="6"/>
  <c r="AL141" i="6"/>
  <c r="BA130" i="6"/>
  <c r="BD134" i="6"/>
  <c r="R126" i="6"/>
  <c r="S143" i="6"/>
  <c r="AF141" i="6"/>
  <c r="CK142" i="6"/>
  <c r="CW157" i="6"/>
  <c r="BO167" i="6"/>
  <c r="BD142" i="6"/>
  <c r="BG145" i="6"/>
  <c r="K149" i="6"/>
  <c r="AE137" i="6"/>
  <c r="AF137" i="6"/>
  <c r="Q142" i="6"/>
  <c r="S136" i="6"/>
  <c r="CM141" i="6"/>
  <c r="Q135" i="6"/>
  <c r="BJ137" i="6"/>
  <c r="V128" i="6"/>
  <c r="BJ154" i="6"/>
  <c r="BG121" i="6"/>
  <c r="AY153" i="6"/>
  <c r="S164" i="6"/>
  <c r="BX163" i="6"/>
  <c r="BA157" i="6"/>
  <c r="Q167" i="6"/>
  <c r="BG162" i="6"/>
  <c r="L156" i="6"/>
  <c r="BB163" i="6"/>
  <c r="CN157" i="6"/>
  <c r="AP153" i="6"/>
  <c r="W157" i="6"/>
  <c r="CK167" i="6"/>
  <c r="AJ155" i="6"/>
  <c r="BG150" i="6"/>
  <c r="AH153" i="6"/>
  <c r="BA150" i="6"/>
  <c r="M163" i="6"/>
  <c r="S147" i="6"/>
  <c r="BI160" i="6"/>
  <c r="CI167" i="6"/>
  <c r="CM134" i="6"/>
  <c r="CW153" i="6"/>
  <c r="U165" i="6"/>
  <c r="BF150" i="6"/>
  <c r="R149" i="6"/>
  <c r="BO160" i="6"/>
  <c r="BP160" i="6"/>
  <c r="CC165" i="6"/>
  <c r="AQ163" i="6"/>
  <c r="CM147" i="6"/>
  <c r="BD165" i="6"/>
  <c r="BN157" i="6"/>
  <c r="BI164" i="6"/>
  <c r="CN130" i="6"/>
  <c r="CI147" i="6"/>
  <c r="N156" i="6"/>
  <c r="CA155" i="6"/>
  <c r="AK132" i="6"/>
  <c r="AR168" i="6"/>
  <c r="L148" i="6"/>
  <c r="CA151" i="6"/>
  <c r="AB149" i="6"/>
  <c r="R153" i="6"/>
  <c r="CH148" i="6"/>
  <c r="CK144" i="6"/>
  <c r="BP131" i="6"/>
  <c r="BE148" i="6"/>
  <c r="M134" i="6"/>
  <c r="BB154" i="6"/>
  <c r="AC160" i="6"/>
  <c r="CM158" i="6"/>
  <c r="BA160" i="6"/>
  <c r="BQ146" i="6"/>
  <c r="BD148" i="6"/>
  <c r="BN148" i="6"/>
  <c r="CP157" i="6"/>
  <c r="CH139" i="6"/>
  <c r="AJ151" i="6"/>
  <c r="BQ131" i="6"/>
  <c r="BJ165" i="6"/>
  <c r="AG139" i="6"/>
  <c r="Q165" i="6"/>
  <c r="BQ156" i="6"/>
  <c r="AY161" i="6"/>
  <c r="L143" i="6"/>
  <c r="CN167" i="6"/>
  <c r="CP158" i="6"/>
  <c r="BY167" i="6"/>
  <c r="BN137" i="6"/>
  <c r="CD164" i="6"/>
  <c r="AP150" i="6"/>
  <c r="BF136" i="6"/>
  <c r="AZ145" i="6"/>
  <c r="Z138" i="6"/>
  <c r="AY143" i="6"/>
  <c r="P138" i="6"/>
  <c r="V160" i="6"/>
  <c r="Z148" i="6"/>
  <c r="BA166" i="6"/>
  <c r="AH142" i="6"/>
  <c r="AK154" i="6"/>
  <c r="BN141" i="6"/>
  <c r="AG124" i="6"/>
  <c r="CF136" i="6"/>
  <c r="AM127" i="6"/>
  <c r="BQ136" i="6"/>
  <c r="AC127" i="6"/>
  <c r="AR132" i="6"/>
  <c r="CW122" i="6"/>
  <c r="BF140" i="6"/>
  <c r="M148" i="6"/>
  <c r="AQ140" i="6"/>
  <c r="CI151" i="6"/>
  <c r="AG157" i="6"/>
  <c r="AK159" i="6"/>
  <c r="AP142" i="6"/>
  <c r="CJ168" i="6"/>
  <c r="BY148" i="6"/>
  <c r="AH121" i="6"/>
  <c r="CM139" i="6"/>
  <c r="Q139" i="6"/>
  <c r="BD139" i="6"/>
  <c r="N138" i="6"/>
  <c r="AO135" i="6"/>
  <c r="BN128" i="6"/>
  <c r="AB142" i="6"/>
  <c r="P122" i="6"/>
  <c r="M142" i="6"/>
  <c r="C218" i="6"/>
  <c r="BJ155" i="6"/>
  <c r="Z155" i="6"/>
  <c r="BE164" i="6"/>
  <c r="BQ158" i="6"/>
  <c r="AR154" i="6"/>
  <c r="K146" i="6"/>
  <c r="AY166" i="6"/>
  <c r="K165" i="6"/>
  <c r="BK160" i="6"/>
  <c r="AM164" i="6"/>
  <c r="AC159" i="6"/>
  <c r="Z150" i="6"/>
  <c r="AJ160" i="6"/>
  <c r="CW144" i="6"/>
  <c r="BJ156" i="6"/>
  <c r="K156" i="6"/>
  <c r="CA153" i="6"/>
  <c r="CO161" i="6"/>
  <c r="BJ157" i="6"/>
  <c r="CK157" i="6"/>
  <c r="BO142" i="6"/>
  <c r="AE164" i="6"/>
  <c r="Q148" i="6"/>
  <c r="S141" i="6"/>
  <c r="W164" i="6"/>
  <c r="AF158" i="6"/>
  <c r="BX168" i="6"/>
  <c r="AO149" i="6"/>
  <c r="BQ135" i="6"/>
  <c r="BD159" i="6"/>
  <c r="P162" i="6"/>
  <c r="AL144" i="6"/>
  <c r="Z146" i="6"/>
  <c r="BQ151" i="6"/>
  <c r="AR143" i="6"/>
  <c r="AL161" i="6"/>
  <c r="AJ142" i="6"/>
  <c r="BA163" i="6"/>
  <c r="V164" i="6"/>
  <c r="CP142" i="6"/>
  <c r="U141" i="6"/>
  <c r="AG163" i="6"/>
  <c r="BE151" i="6"/>
  <c r="BX143" i="6"/>
  <c r="AB155" i="6"/>
  <c r="Z153" i="6"/>
  <c r="BE138" i="6"/>
  <c r="AR137" i="6"/>
  <c r="AH164" i="6"/>
  <c r="CH166" i="6"/>
  <c r="CC163" i="6"/>
  <c r="BA165" i="6"/>
  <c r="BY154" i="6"/>
  <c r="CF142" i="6"/>
  <c r="AA157" i="6"/>
  <c r="AQ148" i="6"/>
  <c r="S166" i="6"/>
  <c r="AQ139" i="6"/>
  <c r="AZ148" i="6"/>
  <c r="M168" i="6"/>
  <c r="N167" i="6"/>
  <c r="AF146" i="6"/>
  <c r="BQ139" i="6"/>
  <c r="P134" i="6"/>
  <c r="CH156" i="6"/>
  <c r="CO149" i="6"/>
  <c r="BA152" i="6"/>
  <c r="AG156" i="6"/>
  <c r="AR145" i="6"/>
  <c r="BF151" i="6"/>
  <c r="AM135" i="6"/>
  <c r="AC146" i="6"/>
  <c r="CW131" i="6"/>
  <c r="P145" i="6"/>
  <c r="BL131" i="6"/>
  <c r="N149" i="6"/>
  <c r="AJ132" i="6"/>
  <c r="CF165" i="6"/>
  <c r="BE150" i="6"/>
  <c r="BX162" i="6"/>
  <c r="AR156" i="6"/>
  <c r="AZ126" i="6"/>
  <c r="CN143" i="6"/>
  <c r="S119" i="6"/>
  <c r="BK143" i="6"/>
  <c r="CW118" i="6"/>
  <c r="BZ138" i="6"/>
  <c r="S132" i="6"/>
  <c r="CC151" i="6"/>
  <c r="AG125" i="6"/>
  <c r="AY162" i="6"/>
  <c r="AL167" i="6"/>
  <c r="BK148" i="6"/>
  <c r="BQ142" i="6"/>
  <c r="CF141" i="6"/>
  <c r="AL147" i="6"/>
  <c r="CN163" i="6"/>
  <c r="P130" i="6"/>
  <c r="Z149" i="6"/>
  <c r="CC124" i="6"/>
  <c r="BP148" i="6"/>
  <c r="CM124" i="6"/>
  <c r="V140" i="6"/>
  <c r="AM148" i="6"/>
  <c r="BQ133" i="6"/>
  <c r="Q147" i="6"/>
  <c r="AQ161" i="6"/>
  <c r="CW167" i="6"/>
  <c r="V167" i="6"/>
  <c r="CE168" i="6"/>
  <c r="BD137" i="6"/>
  <c r="BB158" i="6"/>
  <c r="CD147" i="6"/>
  <c r="M129" i="6"/>
  <c r="AG145" i="6"/>
  <c r="BK123" i="6"/>
  <c r="CO144" i="6"/>
  <c r="BA123" i="6"/>
  <c r="S139" i="6"/>
  <c r="BA158" i="6"/>
  <c r="BO132" i="6"/>
  <c r="L155" i="6"/>
  <c r="AK158" i="6"/>
  <c r="L134" i="6"/>
  <c r="BX132" i="6"/>
  <c r="AK161" i="6"/>
  <c r="BB165" i="6"/>
  <c r="BO154" i="6"/>
  <c r="Z167" i="6"/>
  <c r="CF163" i="6"/>
  <c r="BF142" i="6"/>
  <c r="CP147" i="6"/>
  <c r="BK163" i="6"/>
  <c r="BY143" i="6"/>
  <c r="BE168" i="6"/>
  <c r="L167" i="6"/>
  <c r="S144" i="6"/>
  <c r="BA140" i="6"/>
  <c r="CJ150" i="6"/>
  <c r="AM134" i="6"/>
  <c r="CH135" i="6"/>
  <c r="AR135" i="6"/>
  <c r="AF124" i="6"/>
  <c r="BQ144" i="6"/>
  <c r="K140" i="6"/>
  <c r="AF162" i="6"/>
  <c r="CE144" i="6"/>
  <c r="CK137" i="6"/>
  <c r="CN154" i="6"/>
  <c r="N140" i="6"/>
  <c r="AH135" i="6"/>
  <c r="AC123" i="6"/>
  <c r="S135" i="6"/>
  <c r="AB141" i="6"/>
  <c r="CI118" i="6"/>
  <c r="BX138" i="6"/>
  <c r="AQ131" i="6"/>
  <c r="CP148" i="6"/>
  <c r="BK147" i="6"/>
  <c r="L133" i="6"/>
  <c r="AR147" i="6"/>
  <c r="BZ168" i="6"/>
  <c r="N125" i="6"/>
  <c r="CD131" i="6"/>
  <c r="U147" i="6"/>
  <c r="CD145" i="6"/>
  <c r="CP133" i="6"/>
  <c r="BY119" i="6"/>
  <c r="AP115" i="6"/>
  <c r="AB131" i="6"/>
  <c r="CO111" i="6"/>
  <c r="P106" i="6"/>
  <c r="Z160" i="6"/>
  <c r="Q168" i="6"/>
  <c r="AQ147" i="6"/>
  <c r="CJ137" i="6"/>
  <c r="BK137" i="6"/>
  <c r="V143" i="6"/>
  <c r="BX126" i="6"/>
  <c r="AE131" i="6"/>
  <c r="BG133" i="6"/>
  <c r="BB150" i="6"/>
  <c r="BI138" i="6"/>
  <c r="AG126" i="6"/>
  <c r="S106" i="6"/>
  <c r="BO121" i="6"/>
  <c r="AO117" i="6"/>
  <c r="L113" i="6"/>
  <c r="R128" i="6"/>
  <c r="CD107" i="6"/>
  <c r="CE126" i="6"/>
  <c r="BL106" i="6"/>
  <c r="BX141" i="6"/>
  <c r="CC126" i="6"/>
  <c r="BN159" i="6"/>
  <c r="BD160" i="6"/>
  <c r="AY158" i="6"/>
  <c r="AM123" i="6"/>
  <c r="Q118" i="6"/>
  <c r="Q122" i="6"/>
  <c r="X134" i="6"/>
  <c r="CA135" i="6"/>
  <c r="AF135" i="6"/>
  <c r="BJ118" i="6"/>
  <c r="AH157" i="6"/>
  <c r="S162" i="6"/>
  <c r="CJ145" i="6"/>
  <c r="M150" i="6"/>
  <c r="AC153" i="6"/>
  <c r="BP152" i="6"/>
  <c r="CE120" i="6"/>
  <c r="AQ142" i="6"/>
  <c r="AB134" i="6"/>
  <c r="BK153" i="6"/>
  <c r="CF125" i="6"/>
  <c r="AG140" i="6"/>
  <c r="U128" i="6"/>
  <c r="CJ117" i="6"/>
  <c r="CJ134" i="6"/>
  <c r="BA129" i="6"/>
  <c r="CA111" i="6"/>
  <c r="AR117" i="6"/>
  <c r="BF119" i="6"/>
  <c r="Z130" i="6"/>
  <c r="AO118" i="6"/>
  <c r="AL115" i="6"/>
  <c r="BP126" i="6"/>
  <c r="AH162" i="6"/>
  <c r="AG134" i="6"/>
  <c r="CI142" i="6"/>
  <c r="CN155" i="6"/>
  <c r="BX118" i="6"/>
  <c r="CP152" i="6"/>
  <c r="K121" i="6"/>
  <c r="BY126" i="6"/>
  <c r="AB114" i="6"/>
  <c r="BO129" i="6"/>
  <c r="AP118" i="6"/>
  <c r="R129" i="6"/>
  <c r="Q129" i="6"/>
  <c r="BA121" i="6"/>
  <c r="CC129" i="6"/>
  <c r="AZ109" i="6"/>
  <c r="BD108" i="6"/>
  <c r="BI146" i="6"/>
  <c r="AY164" i="6"/>
  <c r="AM143" i="6"/>
  <c r="CM152" i="6"/>
  <c r="AP160" i="6"/>
  <c r="AY150" i="6"/>
  <c r="K141" i="6"/>
  <c r="BG167" i="6"/>
  <c r="CP139" i="6"/>
  <c r="X167" i="6"/>
  <c r="V120" i="6"/>
  <c r="S137" i="6"/>
  <c r="CF132" i="6"/>
  <c r="BQ152" i="6"/>
  <c r="BI134" i="6"/>
  <c r="BL162" i="6"/>
  <c r="P143" i="6"/>
  <c r="AF157" i="6"/>
  <c r="S146" i="6"/>
  <c r="BF124" i="6"/>
  <c r="CD161" i="6"/>
  <c r="C210" i="6"/>
  <c r="BA147" i="6"/>
  <c r="BK164" i="6"/>
  <c r="AC142" i="6"/>
  <c r="CP140" i="6"/>
  <c r="BP132" i="6"/>
  <c r="AG141" i="6"/>
  <c r="BG136" i="6"/>
  <c r="BA127" i="6"/>
  <c r="AY133" i="6"/>
  <c r="AA149" i="6"/>
  <c r="BX165" i="6"/>
  <c r="CD150" i="6"/>
  <c r="CO139" i="6"/>
  <c r="W139" i="6"/>
  <c r="CM133" i="6"/>
  <c r="BF129" i="6"/>
  <c r="AP133" i="6"/>
  <c r="BJ134" i="6"/>
  <c r="AJ144" i="6"/>
  <c r="BZ139" i="6"/>
  <c r="AJ127" i="6"/>
  <c r="V107" i="6"/>
  <c r="BQ122" i="6"/>
  <c r="L119" i="6"/>
  <c r="N114" i="6"/>
  <c r="K137" i="6"/>
  <c r="BB153" i="6"/>
  <c r="CI136" i="6"/>
  <c r="CA134" i="6"/>
  <c r="BL134" i="6"/>
  <c r="BF131" i="6"/>
  <c r="BK154" i="6"/>
  <c r="BQ117" i="6"/>
  <c r="CJ139" i="6"/>
  <c r="CF148" i="6"/>
  <c r="CA132" i="6"/>
  <c r="CK132" i="6"/>
  <c r="Z113" i="6"/>
  <c r="AO129" i="6"/>
  <c r="Q109" i="6"/>
  <c r="BJ138" i="6"/>
  <c r="BX119" i="6"/>
  <c r="K115" i="6"/>
  <c r="BG134" i="6"/>
  <c r="BX113" i="6"/>
  <c r="AG129" i="6"/>
  <c r="AE118" i="6"/>
  <c r="S158" i="6"/>
  <c r="CW161" i="6"/>
  <c r="AA143" i="6"/>
  <c r="BZ123" i="6"/>
  <c r="CD166" i="6"/>
  <c r="CH126" i="6"/>
  <c r="N134" i="6"/>
  <c r="CM136" i="6"/>
  <c r="U135" i="6"/>
  <c r="BK165" i="6"/>
  <c r="BG137" i="6"/>
  <c r="W156" i="6"/>
  <c r="AZ163" i="6"/>
  <c r="BE165" i="6"/>
  <c r="AK122" i="6"/>
  <c r="N117" i="6"/>
  <c r="N121" i="6"/>
  <c r="Z129" i="6"/>
  <c r="BY134" i="6"/>
  <c r="AA133" i="6"/>
  <c r="BG117" i="6"/>
  <c r="BZ150" i="6"/>
  <c r="AO131" i="6"/>
  <c r="P112" i="6"/>
  <c r="CI122" i="6"/>
  <c r="CH120" i="6"/>
  <c r="BL117" i="6"/>
  <c r="CD133" i="6"/>
  <c r="CJ113" i="6"/>
  <c r="R132" i="6"/>
  <c r="BI112" i="6"/>
  <c r="BX106" i="6"/>
  <c r="CH141" i="6"/>
  <c r="W166" i="6"/>
  <c r="N146" i="6"/>
  <c r="Z125" i="6"/>
  <c r="CD132" i="6"/>
  <c r="BD138" i="6"/>
  <c r="CP144" i="6"/>
  <c r="CK121" i="6"/>
  <c r="L129" i="6"/>
  <c r="BL118" i="6"/>
  <c r="AR118" i="6"/>
  <c r="BD107" i="6"/>
  <c r="CE130" i="6"/>
  <c r="AG135" i="6"/>
  <c r="BK113" i="6"/>
  <c r="AE121" i="6"/>
  <c r="AO165" i="6"/>
  <c r="AP162" i="6"/>
  <c r="CC160" i="6"/>
  <c r="Q161" i="6"/>
  <c r="BJ147" i="6"/>
  <c r="U167" i="6"/>
  <c r="BF153" i="6"/>
  <c r="Z151" i="6"/>
  <c r="AC141" i="6"/>
  <c r="BZ148" i="6"/>
  <c r="W151" i="6"/>
  <c r="AE136" i="6"/>
  <c r="BI121" i="6"/>
  <c r="CN124" i="6"/>
  <c r="L138" i="6"/>
  <c r="U132" i="6"/>
  <c r="BO138" i="6"/>
  <c r="CA158" i="6"/>
  <c r="CK130" i="6"/>
  <c r="AB151" i="6"/>
  <c r="AF149" i="6"/>
  <c r="U149" i="6"/>
  <c r="AO155" i="6"/>
  <c r="BI141" i="6"/>
  <c r="BQ132" i="6"/>
  <c r="AP144" i="6"/>
  <c r="BN132" i="6"/>
  <c r="AJ143" i="6"/>
  <c r="BO156" i="6"/>
  <c r="BD123" i="6"/>
  <c r="W136" i="6"/>
  <c r="W146" i="6"/>
  <c r="K152" i="6"/>
  <c r="BE135" i="6"/>
  <c r="CD135" i="6"/>
  <c r="AB133" i="6"/>
  <c r="AP146" i="6"/>
  <c r="BY118" i="6"/>
  <c r="CM140" i="6"/>
  <c r="N168" i="6"/>
  <c r="AK139" i="6"/>
  <c r="BK150" i="6"/>
  <c r="AL114" i="6"/>
  <c r="AQ130" i="6"/>
  <c r="S110" i="6"/>
  <c r="CK159" i="6"/>
  <c r="AL154" i="6"/>
  <c r="CC143" i="6"/>
  <c r="CI132" i="6"/>
  <c r="AR153" i="6"/>
  <c r="CE152" i="6"/>
  <c r="BJ133" i="6"/>
  <c r="R141" i="6"/>
  <c r="K120" i="6"/>
  <c r="AM140" i="6"/>
  <c r="W131" i="6"/>
  <c r="CC123" i="6"/>
  <c r="CF123" i="6"/>
  <c r="BP104" i="6"/>
  <c r="CJ120" i="6"/>
  <c r="AG116" i="6"/>
  <c r="AK118" i="6"/>
  <c r="BB125" i="6"/>
  <c r="BA106" i="6"/>
  <c r="AK124" i="6"/>
  <c r="Z105" i="6"/>
  <c r="BZ131" i="6"/>
  <c r="AY112" i="6"/>
  <c r="BI163" i="6"/>
  <c r="AQ164" i="6"/>
  <c r="AC145" i="6"/>
  <c r="CO134" i="6"/>
  <c r="W134" i="6"/>
  <c r="N143" i="6"/>
  <c r="CF117" i="6"/>
  <c r="BI125" i="6"/>
  <c r="CI138" i="6"/>
  <c r="AM145" i="6"/>
  <c r="BB146" i="6"/>
  <c r="CF145" i="6"/>
  <c r="CI157" i="6"/>
  <c r="U163" i="6"/>
  <c r="CA167" i="6"/>
  <c r="CA163" i="6"/>
  <c r="CE125" i="6"/>
  <c r="AA130" i="6"/>
  <c r="CJ135" i="6"/>
  <c r="R134" i="6"/>
  <c r="AJ158" i="6"/>
  <c r="BE136" i="6"/>
  <c r="CF122" i="6"/>
  <c r="AO119" i="6"/>
  <c r="CH118" i="6"/>
  <c r="W115" i="6"/>
  <c r="AG109" i="6"/>
  <c r="BL124" i="6"/>
  <c r="K132" i="6"/>
  <c r="AZ123" i="6"/>
  <c r="AM122" i="6"/>
  <c r="BQ114" i="6"/>
  <c r="AA124" i="6"/>
  <c r="BJ159" i="6"/>
  <c r="N150" i="6"/>
  <c r="AY122" i="6"/>
  <c r="BP120" i="6"/>
  <c r="AO139" i="6"/>
  <c r="CA139" i="6"/>
  <c r="Z124" i="6"/>
  <c r="BQ134" i="6"/>
  <c r="CP120" i="6"/>
  <c r="BP122" i="6"/>
  <c r="AB150" i="6"/>
  <c r="CJ109" i="6"/>
  <c r="BO124" i="6"/>
  <c r="CP116" i="6"/>
  <c r="BJ168" i="6"/>
  <c r="CE157" i="6"/>
  <c r="AY145" i="6"/>
  <c r="CP131" i="6"/>
  <c r="AK147" i="6"/>
  <c r="CD167" i="6"/>
  <c r="AL153" i="6"/>
  <c r="BG131" i="6"/>
  <c r="AL158" i="6"/>
  <c r="BL146" i="6"/>
  <c r="AF155" i="6"/>
  <c r="CN159" i="6"/>
  <c r="BN150" i="6"/>
  <c r="BB141" i="6"/>
  <c r="CN138" i="6"/>
  <c r="AP161" i="6"/>
  <c r="BY133" i="6"/>
  <c r="AZ131" i="6"/>
  <c r="AB145" i="6"/>
  <c r="AB167" i="6"/>
  <c r="AM162" i="6"/>
  <c r="CH157" i="6"/>
  <c r="BX153" i="6"/>
  <c r="V132" i="6"/>
  <c r="CJ138" i="6"/>
  <c r="CC150" i="6"/>
  <c r="BK131" i="6"/>
  <c r="AL134" i="6"/>
  <c r="CN151" i="6"/>
  <c r="CD120" i="6"/>
  <c r="BO168" i="6"/>
  <c r="CC144" i="6"/>
  <c r="BA149" i="6"/>
  <c r="BD167" i="6"/>
  <c r="AY165" i="6"/>
  <c r="BB134" i="6"/>
  <c r="AO144" i="6"/>
  <c r="AB123" i="6"/>
  <c r="AO132" i="6"/>
  <c r="AY132" i="6"/>
  <c r="CE124" i="6"/>
  <c r="CI124" i="6"/>
  <c r="BX105" i="6"/>
  <c r="CM121" i="6"/>
  <c r="AM117" i="6"/>
  <c r="AG161" i="6"/>
  <c r="CK150" i="6"/>
  <c r="CJ154" i="6"/>
  <c r="CD151" i="6"/>
  <c r="AA145" i="6"/>
  <c r="CM144" i="6"/>
  <c r="AO163" i="6"/>
  <c r="BG140" i="6"/>
  <c r="CP153" i="6"/>
  <c r="CO124" i="6"/>
  <c r="AC138" i="6"/>
  <c r="X148" i="6"/>
  <c r="BP130" i="6"/>
  <c r="N113" i="6"/>
  <c r="CD126" i="6"/>
  <c r="CC107" i="6"/>
  <c r="BP144" i="6"/>
  <c r="BE133" i="6"/>
  <c r="CW133" i="6"/>
  <c r="AK131" i="6"/>
  <c r="BG113" i="6"/>
  <c r="AK123" i="6"/>
  <c r="AK121" i="6"/>
  <c r="CK152" i="6"/>
  <c r="U157" i="6"/>
  <c r="AJ139" i="6"/>
  <c r="AE147" i="6"/>
  <c r="BZ146" i="6"/>
  <c r="AR152" i="6"/>
  <c r="BA164" i="6"/>
  <c r="CP125" i="6"/>
  <c r="V151" i="6"/>
  <c r="BD151" i="6"/>
  <c r="BA135" i="6"/>
  <c r="AB156" i="6"/>
  <c r="S142" i="6"/>
  <c r="AA144" i="6"/>
  <c r="CH145" i="6"/>
  <c r="BZ143" i="6"/>
  <c r="BP156" i="6"/>
  <c r="W152" i="6"/>
  <c r="BA122" i="6"/>
  <c r="BQ137" i="6"/>
  <c r="R166" i="6"/>
  <c r="BD143" i="6"/>
  <c r="BG130" i="6"/>
  <c r="AC110" i="6"/>
  <c r="BO125" i="6"/>
  <c r="BD106" i="6"/>
  <c r="W117" i="6"/>
  <c r="AF133" i="6"/>
  <c r="CN111" i="6"/>
  <c r="AA131" i="6"/>
  <c r="CA110" i="6"/>
  <c r="CP132" i="6"/>
  <c r="V131" i="6"/>
  <c r="AA161" i="6"/>
  <c r="U142" i="6"/>
  <c r="AL133" i="6"/>
  <c r="AQ125" i="6"/>
  <c r="BE132" i="6"/>
  <c r="BF137" i="6"/>
  <c r="AB113" i="6"/>
  <c r="CA140" i="6"/>
  <c r="V133" i="6"/>
  <c r="BE126" i="6"/>
  <c r="Z126" i="6"/>
  <c r="CF112" i="6"/>
  <c r="CK136" i="6"/>
  <c r="BY132" i="6"/>
  <c r="Q164" i="6"/>
  <c r="CH146" i="6"/>
  <c r="BN160" i="6"/>
  <c r="P152" i="6"/>
  <c r="BJ140" i="6"/>
  <c r="AJ140" i="6"/>
  <c r="BP161" i="6"/>
  <c r="P151" i="6"/>
  <c r="AB137" i="6"/>
  <c r="CK162" i="6"/>
  <c r="AR158" i="6"/>
  <c r="AO151" i="6"/>
  <c r="BQ140" i="6"/>
  <c r="AC134" i="6"/>
  <c r="W150" i="6"/>
  <c r="AR139" i="6"/>
  <c r="V136" i="6"/>
  <c r="CK119" i="6"/>
  <c r="BI132" i="6"/>
  <c r="CK151" i="6"/>
  <c r="CD134" i="6"/>
  <c r="CK154" i="6"/>
  <c r="V142" i="6"/>
  <c r="BK130" i="6"/>
  <c r="AC135" i="6"/>
  <c r="CN134" i="6"/>
  <c r="S123" i="6"/>
  <c r="X152" i="6"/>
  <c r="CO131" i="6"/>
  <c r="CO129" i="6"/>
  <c r="U160" i="6"/>
  <c r="S152" i="6"/>
  <c r="BG139" i="6"/>
  <c r="Q149" i="6"/>
  <c r="BG148" i="6"/>
  <c r="AQ136" i="6"/>
  <c r="CA141" i="6"/>
  <c r="V146" i="6"/>
  <c r="AY125" i="6"/>
  <c r="AF139" i="6"/>
  <c r="S138" i="6"/>
  <c r="L132" i="6"/>
  <c r="Q114" i="6"/>
  <c r="BQ127" i="6"/>
  <c r="BP108" i="6"/>
  <c r="R159" i="6"/>
  <c r="BB162" i="6"/>
  <c r="AK153" i="6"/>
  <c r="AF132" i="6"/>
  <c r="AQ128" i="6"/>
  <c r="AG128" i="6"/>
  <c r="CF133" i="6"/>
  <c r="BJ141" i="6"/>
  <c r="AY140" i="6"/>
  <c r="CP129" i="6"/>
  <c r="BQ148" i="6"/>
  <c r="BL127" i="6"/>
  <c r="U122" i="6"/>
  <c r="BB142" i="6"/>
  <c r="R150" i="6"/>
  <c r="L116" i="6"/>
  <c r="AG120" i="6"/>
  <c r="CE123" i="6"/>
  <c r="BQ129" i="6"/>
  <c r="BN122" i="6"/>
  <c r="S126" i="6"/>
  <c r="L131" i="6"/>
  <c r="BL110" i="6"/>
  <c r="AG131" i="6"/>
  <c r="CF147" i="6"/>
  <c r="Q143" i="6"/>
  <c r="P142" i="6"/>
  <c r="CK141" i="6"/>
  <c r="AZ141" i="6"/>
  <c r="AO137" i="6"/>
  <c r="BD128" i="6"/>
  <c r="BN136" i="6"/>
  <c r="CM138" i="6"/>
  <c r="CE128" i="6"/>
  <c r="BX151" i="6"/>
  <c r="BQ149" i="6"/>
  <c r="AG138" i="6"/>
  <c r="K144" i="6"/>
  <c r="BN143" i="6"/>
  <c r="M139" i="6"/>
  <c r="CJ151" i="6"/>
  <c r="CA123" i="6"/>
  <c r="L147" i="6"/>
  <c r="BY140" i="6"/>
  <c r="AJ134" i="6"/>
  <c r="M122" i="6"/>
  <c r="BD117" i="6"/>
  <c r="CD143" i="6"/>
  <c r="AA113" i="6"/>
  <c r="AG148" i="6"/>
  <c r="BX123" i="6"/>
  <c r="AF123" i="6"/>
  <c r="BF122" i="6"/>
  <c r="W118" i="6"/>
  <c r="CD128" i="6"/>
  <c r="BD122" i="6"/>
  <c r="L163" i="6"/>
  <c r="CE139" i="6"/>
  <c r="BL142" i="6"/>
  <c r="CC138" i="6"/>
  <c r="U133" i="6"/>
  <c r="BZ122" i="6"/>
  <c r="AK113" i="6"/>
  <c r="AZ120" i="6"/>
  <c r="N136" i="6"/>
  <c r="AE130" i="6"/>
  <c r="BB128" i="6"/>
  <c r="CO116" i="6"/>
  <c r="AF121" i="6"/>
  <c r="K167" i="6"/>
  <c r="BK125" i="6"/>
  <c r="CH155" i="6"/>
  <c r="CI144" i="6"/>
  <c r="BB152" i="6"/>
  <c r="X166" i="6"/>
  <c r="CC161" i="6"/>
  <c r="Z143" i="6"/>
  <c r="BI140" i="6"/>
  <c r="CN165" i="6"/>
  <c r="CN135" i="6"/>
  <c r="AF152" i="6"/>
  <c r="BN163" i="6"/>
  <c r="R122" i="6"/>
  <c r="AY131" i="6"/>
  <c r="CF162" i="6"/>
  <c r="BO158" i="6"/>
  <c r="AF136" i="6"/>
  <c r="V124" i="6"/>
  <c r="R133" i="6"/>
  <c r="BE162" i="6"/>
  <c r="AK140" i="6"/>
  <c r="BG147" i="6"/>
  <c r="X154" i="6"/>
  <c r="AP134" i="6"/>
  <c r="CD148" i="6"/>
  <c r="CC132" i="6"/>
  <c r="BG132" i="6"/>
  <c r="BA153" i="6"/>
  <c r="AL130" i="6"/>
  <c r="AG136" i="6"/>
  <c r="CI153" i="6"/>
  <c r="X165" i="6"/>
  <c r="AG168" i="6"/>
  <c r="AH133" i="6"/>
  <c r="AK126" i="6"/>
  <c r="AH129" i="6"/>
  <c r="BZ135" i="6"/>
  <c r="AE144" i="6"/>
  <c r="BK141" i="6"/>
  <c r="AZ122" i="6"/>
  <c r="P137" i="6"/>
  <c r="BF121" i="6"/>
  <c r="BF117" i="6"/>
  <c r="AQ137" i="6"/>
  <c r="AE126" i="6"/>
  <c r="BE108" i="6"/>
  <c r="AO168" i="6"/>
  <c r="AH146" i="6"/>
  <c r="BP149" i="6"/>
  <c r="AC131" i="6"/>
  <c r="CO125" i="6"/>
  <c r="BJ130" i="6"/>
  <c r="BN123" i="6"/>
  <c r="AA142" i="6"/>
  <c r="AY141" i="6"/>
  <c r="BZ130" i="6"/>
  <c r="CD140" i="6"/>
  <c r="Q127" i="6"/>
  <c r="BP107" i="6"/>
  <c r="BN124" i="6"/>
  <c r="BO127" i="6"/>
  <c r="BF113" i="6"/>
  <c r="BL128" i="6"/>
  <c r="BA109" i="6"/>
  <c r="BJ127" i="6"/>
  <c r="AJ108" i="6"/>
  <c r="CF120" i="6"/>
  <c r="AK128" i="6"/>
  <c r="AF148" i="6"/>
  <c r="BY150" i="6"/>
  <c r="BA159" i="6"/>
  <c r="BI133" i="6"/>
  <c r="U136" i="6"/>
  <c r="K136" i="6"/>
  <c r="AY142" i="6"/>
  <c r="AP135" i="6"/>
  <c r="U137" i="6"/>
  <c r="BX121" i="6"/>
  <c r="V135" i="6"/>
  <c r="AR149" i="6"/>
  <c r="M147" i="6"/>
  <c r="BB133" i="6"/>
  <c r="CC147" i="6"/>
  <c r="AH137" i="6"/>
  <c r="X137" i="6"/>
  <c r="BP140" i="6"/>
  <c r="AF156" i="6"/>
  <c r="CC148" i="6"/>
  <c r="CO128" i="6"/>
  <c r="BX142" i="6"/>
  <c r="AZ149" i="6"/>
  <c r="BQ119" i="6"/>
  <c r="AA117" i="6"/>
  <c r="K131" i="6"/>
  <c r="M112" i="6"/>
  <c r="AB161" i="6"/>
  <c r="AM121" i="6"/>
  <c r="P165" i="6"/>
  <c r="AA120" i="6"/>
  <c r="CD117" i="6"/>
  <c r="AZ127" i="6"/>
  <c r="Z108" i="6"/>
  <c r="BY153" i="6"/>
  <c r="K128" i="6"/>
  <c r="BP129" i="6"/>
  <c r="M141" i="6"/>
  <c r="AQ129" i="6"/>
  <c r="AJ133" i="6"/>
  <c r="AA125" i="6"/>
  <c r="BZ109" i="6"/>
  <c r="Z141" i="6"/>
  <c r="BD110" i="6"/>
  <c r="BD121" i="6"/>
  <c r="CK111" i="6"/>
  <c r="AM129" i="6"/>
  <c r="AR130" i="6"/>
  <c r="AG111" i="6"/>
  <c r="BN119" i="6"/>
  <c r="BA156" i="6"/>
  <c r="X142" i="6"/>
  <c r="W124" i="6"/>
  <c r="N148" i="6"/>
  <c r="BF135" i="6"/>
  <c r="BP142" i="6"/>
  <c r="BJ120" i="6"/>
  <c r="CW127" i="6"/>
  <c r="CW114" i="6"/>
  <c r="L154" i="6"/>
  <c r="AM160" i="6"/>
  <c r="AF161" i="6"/>
  <c r="BX147" i="6"/>
  <c r="W141" i="6"/>
  <c r="BP133" i="6"/>
  <c r="M158" i="6"/>
  <c r="AQ141" i="6"/>
  <c r="BY149" i="6"/>
  <c r="CP135" i="6"/>
  <c r="R143" i="6"/>
  <c r="AM132" i="6"/>
  <c r="P117" i="6"/>
  <c r="P121" i="6"/>
  <c r="L140" i="6"/>
  <c r="U120" i="6"/>
  <c r="CA107" i="6"/>
  <c r="BX116" i="6"/>
  <c r="AE150" i="6"/>
  <c r="AA138" i="6"/>
  <c r="R130" i="6"/>
  <c r="CD146" i="6"/>
  <c r="BO139" i="6"/>
  <c r="CH136" i="6"/>
  <c r="U125" i="6"/>
  <c r="BZ110" i="6"/>
  <c r="BI116" i="6"/>
  <c r="BN139" i="6"/>
  <c r="K122" i="6"/>
  <c r="AL106" i="6"/>
  <c r="BY129" i="6"/>
  <c r="BE113" i="6"/>
  <c r="AG150" i="6"/>
  <c r="P132" i="6"/>
  <c r="AC150" i="6"/>
  <c r="AL138" i="6"/>
  <c r="BD136" i="6"/>
  <c r="AH112" i="6"/>
  <c r="CE119" i="6"/>
  <c r="CM155" i="6"/>
  <c r="BG153" i="6"/>
  <c r="CN139" i="6"/>
  <c r="BA137" i="6"/>
  <c r="BJ122" i="6"/>
  <c r="AZ136" i="6"/>
  <c r="CK131" i="6"/>
  <c r="Q137" i="6"/>
  <c r="N108" i="6"/>
  <c r="U124" i="6"/>
  <c r="CK110" i="6"/>
  <c r="AF122" i="6"/>
  <c r="U112" i="6"/>
  <c r="K130" i="6"/>
  <c r="S120" i="6"/>
  <c r="BO115" i="6"/>
  <c r="K162" i="6"/>
  <c r="AE138" i="6"/>
  <c r="X133" i="6"/>
  <c r="AY137" i="6"/>
  <c r="AH151" i="6"/>
  <c r="AH140" i="6"/>
  <c r="L130" i="6"/>
  <c r="BX122" i="6"/>
  <c r="CH109" i="6"/>
  <c r="CN125" i="6"/>
  <c r="CH113" i="6"/>
  <c r="BX124" i="6"/>
  <c r="BY115" i="6"/>
  <c r="BB122" i="6"/>
  <c r="BF126" i="6"/>
  <c r="AM106" i="6"/>
  <c r="AB168" i="6"/>
  <c r="R157" i="6"/>
  <c r="AA122" i="6"/>
  <c r="BF133" i="6"/>
  <c r="AK137" i="6"/>
  <c r="K135" i="6"/>
  <c r="BK129" i="6"/>
  <c r="CI123" i="6"/>
  <c r="BY110" i="6"/>
  <c r="U129" i="6"/>
  <c r="AZ140" i="6"/>
  <c r="CC114" i="6"/>
  <c r="CK135" i="6"/>
  <c r="BI159" i="6"/>
  <c r="BL159" i="6"/>
  <c r="X121" i="6"/>
  <c r="CE142" i="6"/>
  <c r="AH136" i="6"/>
  <c r="CH133" i="6"/>
  <c r="AY128" i="6"/>
  <c r="BL120" i="6"/>
  <c r="BQ109" i="6"/>
  <c r="CO126" i="6"/>
  <c r="AY136" i="6"/>
  <c r="BZ113" i="6"/>
  <c r="W133" i="6"/>
  <c r="U106" i="6"/>
  <c r="AF130" i="6"/>
  <c r="AO111" i="6"/>
  <c r="S108" i="6"/>
  <c r="BJ150" i="6"/>
  <c r="AC119" i="6"/>
  <c r="L120" i="6"/>
  <c r="CF160" i="6"/>
  <c r="BD144" i="6"/>
  <c r="AY118" i="6"/>
  <c r="CJ106" i="6"/>
  <c r="U114" i="6"/>
  <c r="U138" i="6"/>
  <c r="X159" i="6"/>
  <c r="CI150" i="6"/>
  <c r="CC149" i="6"/>
  <c r="CE141" i="6"/>
  <c r="AY147" i="6"/>
  <c r="AH160" i="6"/>
  <c r="CC131" i="6"/>
  <c r="N141" i="6"/>
  <c r="AE123" i="6"/>
  <c r="BE147" i="6"/>
  <c r="S128" i="6"/>
  <c r="BX114" i="6"/>
  <c r="Q144" i="6"/>
  <c r="AB130" i="6"/>
  <c r="CP118" i="6"/>
  <c r="M105" i="6"/>
  <c r="CK114" i="6"/>
  <c r="U150" i="6"/>
  <c r="K123" i="6"/>
  <c r="CI126" i="6"/>
  <c r="AR162" i="6"/>
  <c r="X141" i="6"/>
  <c r="S134" i="6"/>
  <c r="BO122" i="6"/>
  <c r="AE143" i="6"/>
  <c r="CA114" i="6"/>
  <c r="L128" i="6"/>
  <c r="X112" i="6"/>
  <c r="Z114" i="6"/>
  <c r="BP117" i="6"/>
  <c r="L105" i="6"/>
  <c r="BK159" i="6"/>
  <c r="AR141" i="6"/>
  <c r="CF144" i="6"/>
  <c r="CP156" i="6"/>
  <c r="AJ121" i="6"/>
  <c r="AO115" i="6"/>
  <c r="BI108" i="6"/>
  <c r="R127" i="6"/>
  <c r="BA141" i="6"/>
  <c r="AA134" i="6"/>
  <c r="CC139" i="6"/>
  <c r="BN145" i="6"/>
  <c r="AK141" i="6"/>
  <c r="Z131" i="6"/>
  <c r="CA131" i="6"/>
  <c r="K111" i="6"/>
  <c r="CP126" i="6"/>
  <c r="M116" i="6"/>
  <c r="CJ125" i="6"/>
  <c r="CA116" i="6"/>
  <c r="AG119" i="6"/>
  <c r="BI127" i="6"/>
  <c r="AP107" i="6"/>
  <c r="BD162" i="6"/>
  <c r="CP160" i="6"/>
  <c r="AR129" i="6"/>
  <c r="R139" i="6"/>
  <c r="AK145" i="6"/>
  <c r="AB138" i="6"/>
  <c r="AZ135" i="6"/>
  <c r="CK124" i="6"/>
  <c r="CD112" i="6"/>
  <c r="W130" i="6"/>
  <c r="P154" i="6"/>
  <c r="BF115" i="6"/>
  <c r="R146" i="6"/>
  <c r="AL109" i="6"/>
  <c r="BN133" i="6"/>
  <c r="AY113" i="6"/>
  <c r="P166" i="6"/>
  <c r="BY152" i="6"/>
  <c r="BN146" i="6"/>
  <c r="BQ121" i="6"/>
  <c r="CN140" i="6"/>
  <c r="BL155" i="6"/>
  <c r="BQ128" i="6"/>
  <c r="W126" i="6"/>
  <c r="BA111" i="6"/>
  <c r="M132" i="6"/>
  <c r="CO164" i="6"/>
  <c r="Z118" i="6"/>
  <c r="CJ123" i="6"/>
  <c r="CF166" i="6"/>
  <c r="AR151" i="6"/>
  <c r="AE142" i="6"/>
  <c r="CN120" i="6"/>
  <c r="CK139" i="6"/>
  <c r="BL150" i="6"/>
  <c r="AP119" i="6"/>
  <c r="R124" i="6"/>
  <c r="AJ110" i="6"/>
  <c r="BQ130" i="6"/>
  <c r="BG125" i="6"/>
  <c r="CF116" i="6"/>
  <c r="CO121" i="6"/>
  <c r="BJ109" i="6"/>
  <c r="L122" i="6"/>
  <c r="BB120" i="6"/>
  <c r="BI115" i="6"/>
  <c r="BL133" i="6"/>
  <c r="AA132" i="6"/>
  <c r="AE146" i="6"/>
  <c r="CH121" i="6"/>
  <c r="CH152" i="6"/>
  <c r="CD121" i="6"/>
  <c r="CF109" i="6"/>
  <c r="AF115" i="6"/>
  <c r="BQ125" i="6"/>
  <c r="R117" i="6"/>
  <c r="CK133" i="6"/>
  <c r="BI130" i="6"/>
  <c r="CO115" i="6"/>
  <c r="X120" i="6"/>
  <c r="CI95" i="6"/>
  <c r="Z123" i="6"/>
  <c r="AL112" i="6"/>
  <c r="BI96" i="6"/>
  <c r="BG114" i="6"/>
  <c r="S97" i="6"/>
  <c r="V113" i="6"/>
  <c r="CJ119" i="6"/>
  <c r="CN119" i="6"/>
  <c r="BF103" i="6"/>
  <c r="X114" i="6"/>
  <c r="BO149" i="6"/>
  <c r="CN161" i="6"/>
  <c r="BB167" i="6"/>
  <c r="BE166" i="6"/>
  <c r="BK145" i="6"/>
  <c r="BQ163" i="6"/>
  <c r="CF140" i="6"/>
  <c r="M121" i="6"/>
  <c r="AY129" i="6"/>
  <c r="AO143" i="6"/>
  <c r="W123" i="6"/>
  <c r="BZ155" i="6"/>
  <c r="AH125" i="6"/>
  <c r="AR140" i="6"/>
  <c r="AJ116" i="6"/>
  <c r="AJ122" i="6"/>
  <c r="R111" i="6"/>
  <c r="CA137" i="6"/>
  <c r="BZ141" i="6"/>
  <c r="M145" i="6"/>
  <c r="CE150" i="6"/>
  <c r="AG160" i="6"/>
  <c r="CC127" i="6"/>
  <c r="BF145" i="6"/>
  <c r="AZ128" i="6"/>
  <c r="BJ144" i="6"/>
  <c r="CN128" i="6"/>
  <c r="BY122" i="6"/>
  <c r="BN125" i="6"/>
  <c r="CE116" i="6"/>
  <c r="BK112" i="6"/>
  <c r="AL162" i="6"/>
  <c r="AQ121" i="6"/>
  <c r="CN158" i="6"/>
  <c r="AF131" i="6"/>
  <c r="BB123" i="6"/>
  <c r="CO118" i="6"/>
  <c r="V111" i="6"/>
  <c r="BB161" i="6"/>
  <c r="BZ144" i="6"/>
  <c r="AZ130" i="6"/>
  <c r="U140" i="6"/>
  <c r="AJ149" i="6"/>
  <c r="AE139" i="6"/>
  <c r="CN118" i="6"/>
  <c r="BQ126" i="6"/>
  <c r="CP113" i="6"/>
  <c r="AM131" i="6"/>
  <c r="AG104" i="6"/>
  <c r="AB118" i="6"/>
  <c r="U139" i="6"/>
  <c r="AO110" i="6"/>
  <c r="BO137" i="6"/>
  <c r="BK114" i="6"/>
  <c r="AA168" i="6"/>
  <c r="CO150" i="6"/>
  <c r="BZ166" i="6"/>
  <c r="Q126" i="6"/>
  <c r="AE151" i="6"/>
  <c r="AZ134" i="6"/>
  <c r="CM118" i="6"/>
  <c r="Z127" i="6"/>
  <c r="BD112" i="6"/>
  <c r="BA143" i="6"/>
  <c r="BN127" i="6"/>
  <c r="BJ129" i="6"/>
  <c r="P126" i="6"/>
  <c r="BQ112" i="6"/>
  <c r="Q124" i="6"/>
  <c r="CA128" i="6"/>
  <c r="S133" i="6"/>
  <c r="AM133" i="6"/>
  <c r="AJ157" i="6"/>
  <c r="BZ149" i="6"/>
  <c r="CH138" i="6"/>
  <c r="S131" i="6"/>
  <c r="CJ105" i="6"/>
  <c r="CA125" i="6"/>
  <c r="Q115" i="6"/>
  <c r="AK120" i="6"/>
  <c r="BN151" i="6"/>
  <c r="BO107" i="6"/>
  <c r="AR126" i="6"/>
  <c r="Q132" i="6"/>
  <c r="AH131" i="6"/>
  <c r="CA150" i="6"/>
  <c r="BP141" i="6"/>
  <c r="BP137" i="6"/>
  <c r="CH129" i="6"/>
  <c r="BB126" i="6"/>
  <c r="BY124" i="6"/>
  <c r="AC149" i="6"/>
  <c r="AH119" i="6"/>
  <c r="CN137" i="6"/>
  <c r="BJ105" i="6"/>
  <c r="AP125" i="6"/>
  <c r="AF143" i="6"/>
  <c r="BX128" i="6"/>
  <c r="AR134" i="6"/>
  <c r="P107" i="6"/>
  <c r="CW154" i="6"/>
  <c r="BX137" i="6"/>
  <c r="CA138" i="6"/>
  <c r="AJ126" i="6"/>
  <c r="AQ135" i="6"/>
  <c r="AB124" i="6"/>
  <c r="AK156" i="6"/>
  <c r="P141" i="6"/>
  <c r="CA157" i="6"/>
  <c r="P155" i="6"/>
  <c r="AJ137" i="6"/>
  <c r="CH147" i="6"/>
  <c r="BK138" i="6"/>
  <c r="AM150" i="6"/>
  <c r="AY126" i="6"/>
  <c r="CJ142" i="6"/>
  <c r="BX108" i="6"/>
  <c r="AE158" i="6"/>
  <c r="AH143" i="6"/>
  <c r="CM143" i="6"/>
  <c r="AM114" i="6"/>
  <c r="CK120" i="6"/>
  <c r="AY152" i="6"/>
  <c r="AJ153" i="6"/>
  <c r="BF144" i="6"/>
  <c r="AJ141" i="6"/>
  <c r="BJ145" i="6"/>
  <c r="AK133" i="6"/>
  <c r="AY138" i="6"/>
  <c r="AH134" i="6"/>
  <c r="CM126" i="6"/>
  <c r="CN164" i="6"/>
  <c r="BK140" i="6"/>
  <c r="AJ130" i="6"/>
  <c r="BJ139" i="6"/>
  <c r="BZ132" i="6"/>
  <c r="Q106" i="6"/>
  <c r="BL148" i="6"/>
  <c r="CE131" i="6"/>
  <c r="BP135" i="6"/>
  <c r="CK127" i="6"/>
  <c r="X130" i="6"/>
  <c r="AQ152" i="6"/>
  <c r="P113" i="6"/>
  <c r="BB148" i="6"/>
  <c r="X153" i="6"/>
  <c r="AA151" i="6"/>
  <c r="X129" i="6"/>
  <c r="AE159" i="6"/>
  <c r="BB135" i="6"/>
  <c r="CO119" i="6"/>
  <c r="AL128" i="6"/>
  <c r="BA115" i="6"/>
  <c r="BK120" i="6"/>
  <c r="Z134" i="6"/>
  <c r="AE106" i="6"/>
  <c r="AM142" i="6"/>
  <c r="BY113" i="6"/>
  <c r="S125" i="6"/>
  <c r="CP138" i="6"/>
  <c r="BF164" i="6"/>
  <c r="AL146" i="6"/>
  <c r="BB138" i="6"/>
  <c r="AK152" i="6"/>
  <c r="K142" i="6"/>
  <c r="AE132" i="6"/>
  <c r="BN106" i="6"/>
  <c r="BY128" i="6"/>
  <c r="S116" i="6"/>
  <c r="AP122" i="6"/>
  <c r="BA119" i="6"/>
  <c r="BQ108" i="6"/>
  <c r="CK128" i="6"/>
  <c r="AP163" i="6"/>
  <c r="CW130" i="6"/>
  <c r="BL125" i="6"/>
  <c r="CC154" i="6"/>
  <c r="K139" i="6"/>
  <c r="AE140" i="6"/>
  <c r="AZ137" i="6"/>
  <c r="CM123" i="6"/>
  <c r="CM135" i="6"/>
  <c r="X108" i="6"/>
  <c r="AJ128" i="6"/>
  <c r="AO136" i="6"/>
  <c r="CH124" i="6"/>
  <c r="AR122" i="6"/>
  <c r="BN111" i="6"/>
  <c r="BK132" i="6"/>
  <c r="AO156" i="6"/>
  <c r="CH137" i="6"/>
  <c r="AB139" i="6"/>
  <c r="AR136" i="6"/>
  <c r="CJ122" i="6"/>
  <c r="BO140" i="6"/>
  <c r="Q105" i="6"/>
  <c r="AG127" i="6"/>
  <c r="BX129" i="6"/>
  <c r="CC122" i="6"/>
  <c r="AP121" i="6"/>
  <c r="BK110" i="6"/>
  <c r="CM129" i="6"/>
  <c r="AP120" i="6"/>
  <c r="Z120" i="6"/>
  <c r="X116" i="6"/>
  <c r="U166" i="6"/>
  <c r="K157" i="6"/>
  <c r="P149" i="6"/>
  <c r="Q138" i="6"/>
  <c r="AM137" i="6"/>
  <c r="Q133" i="6"/>
  <c r="CO157" i="6"/>
  <c r="BF161" i="6"/>
  <c r="P136" i="6"/>
  <c r="AH158" i="6"/>
  <c r="Z137" i="6"/>
  <c r="P135" i="6"/>
  <c r="AL132" i="6"/>
  <c r="S159" i="6"/>
  <c r="AJ129" i="6"/>
  <c r="R131" i="6"/>
  <c r="AL140" i="6"/>
  <c r="AK142" i="6"/>
  <c r="AF128" i="6"/>
  <c r="CP121" i="6"/>
  <c r="CP130" i="6"/>
  <c r="BA118" i="6"/>
  <c r="AQ122" i="6"/>
  <c r="CM130" i="6"/>
  <c r="AO134" i="6"/>
  <c r="CH151" i="6"/>
  <c r="CO140" i="6"/>
  <c r="CJ127" i="6"/>
  <c r="CF127" i="6"/>
  <c r="Z121" i="6"/>
  <c r="AY109" i="6"/>
  <c r="BD140" i="6"/>
  <c r="AO123" i="6"/>
  <c r="BD118" i="6"/>
  <c r="BP125" i="6"/>
  <c r="CH123" i="6"/>
  <c r="N154" i="6"/>
  <c r="AE155" i="6"/>
  <c r="AH141" i="6"/>
  <c r="BA138" i="6"/>
  <c r="AO128" i="6"/>
  <c r="CK140" i="6"/>
  <c r="AZ118" i="6"/>
  <c r="BD116" i="6"/>
  <c r="S149" i="6"/>
  <c r="K151" i="6"/>
  <c r="CD139" i="6"/>
  <c r="BP146" i="6"/>
  <c r="CJ143" i="6"/>
  <c r="AG133" i="6"/>
  <c r="K110" i="6"/>
  <c r="CA129" i="6"/>
  <c r="BF118" i="6"/>
  <c r="AR123" i="6"/>
  <c r="Z122" i="6"/>
  <c r="BY109" i="6"/>
  <c r="CN129" i="6"/>
  <c r="X140" i="6"/>
  <c r="BB132" i="6"/>
  <c r="BL129" i="6"/>
  <c r="BX135" i="6"/>
  <c r="CW137" i="6"/>
  <c r="N133" i="6"/>
  <c r="BX145" i="6"/>
  <c r="BZ126" i="6"/>
  <c r="M131" i="6"/>
  <c r="AA109" i="6"/>
  <c r="BD130" i="6"/>
  <c r="S150" i="6"/>
  <c r="K126" i="6"/>
  <c r="BB124" i="6"/>
  <c r="BP112" i="6"/>
  <c r="CF138" i="6"/>
  <c r="BO128" i="6"/>
  <c r="AO122" i="6"/>
  <c r="BK109" i="6"/>
  <c r="CW168" i="6"/>
  <c r="BG129" i="6"/>
  <c r="AA126" i="6"/>
  <c r="CW138" i="6"/>
  <c r="BO120" i="6"/>
  <c r="M125" i="6"/>
  <c r="R110" i="6"/>
  <c r="AP117" i="6"/>
  <c r="S145" i="6"/>
  <c r="BP115" i="6"/>
  <c r="CH127" i="6"/>
  <c r="BE116" i="6"/>
  <c r="AL120" i="6"/>
  <c r="CO167" i="6"/>
  <c r="BE128" i="6"/>
  <c r="X125" i="6"/>
  <c r="CF137" i="6"/>
  <c r="BL119" i="6"/>
  <c r="CH122" i="6"/>
  <c r="CM107" i="6"/>
  <c r="Z116" i="6"/>
  <c r="AY149" i="6"/>
  <c r="CM114" i="6"/>
  <c r="CC125" i="6"/>
  <c r="BL115" i="6"/>
  <c r="CO156" i="6"/>
  <c r="W144" i="6"/>
  <c r="BD114" i="6"/>
  <c r="BN107" i="6"/>
  <c r="AK168" i="6"/>
  <c r="AL160" i="6"/>
  <c r="Q131" i="6"/>
  <c r="W128" i="6"/>
  <c r="BE167" i="6"/>
  <c r="BK146" i="6"/>
  <c r="AQ127" i="6"/>
  <c r="BJ119" i="6"/>
  <c r="BY106" i="6"/>
  <c r="CM125" i="6"/>
  <c r="BA142" i="6"/>
  <c r="K133" i="6"/>
  <c r="BB130" i="6"/>
  <c r="AC124" i="6"/>
  <c r="BO108" i="6"/>
  <c r="BG103" i="6"/>
  <c r="AF119" i="6"/>
  <c r="AY103" i="6"/>
  <c r="CM122" i="6"/>
  <c r="Q112" i="6"/>
  <c r="K118" i="6"/>
  <c r="U105" i="6"/>
  <c r="BF116" i="6"/>
  <c r="AK95" i="6"/>
  <c r="AB121" i="6"/>
  <c r="CW108" i="6"/>
  <c r="BD105" i="6"/>
  <c r="AZ86" i="6"/>
  <c r="Z95" i="6"/>
  <c r="V145" i="6"/>
  <c r="BF143" i="6"/>
  <c r="BF146" i="6"/>
  <c r="X143" i="6"/>
  <c r="AK160" i="6"/>
  <c r="CE151" i="6"/>
  <c r="W138" i="6"/>
  <c r="Q154" i="6"/>
  <c r="CJ162" i="6"/>
  <c r="CN131" i="6"/>
  <c r="AL127" i="6"/>
  <c r="CC146" i="6"/>
  <c r="CN149" i="6"/>
  <c r="M153" i="6"/>
  <c r="N130" i="6"/>
  <c r="N116" i="6"/>
  <c r="Q120" i="6"/>
  <c r="M133" i="6"/>
  <c r="AE135" i="6"/>
  <c r="R154" i="6"/>
  <c r="R135" i="6"/>
  <c r="BG156" i="6"/>
  <c r="AO126" i="6"/>
  <c r="CP137" i="6"/>
  <c r="AR109" i="6"/>
  <c r="BA133" i="6"/>
  <c r="K147" i="6"/>
  <c r="CW113" i="6"/>
  <c r="X122" i="6"/>
  <c r="BP119" i="6"/>
  <c r="BG158" i="6"/>
  <c r="W135" i="6"/>
  <c r="M124" i="6"/>
  <c r="CO137" i="6"/>
  <c r="AL136" i="6"/>
  <c r="CH119" i="6"/>
  <c r="BY131" i="6"/>
  <c r="CN123" i="6"/>
  <c r="CJ136" i="6"/>
  <c r="L139" i="6"/>
  <c r="Q134" i="6"/>
  <c r="CH149" i="6"/>
  <c r="CM127" i="6"/>
  <c r="AH148" i="6"/>
  <c r="AF111" i="6"/>
  <c r="CI131" i="6"/>
  <c r="BX133" i="6"/>
  <c r="M127" i="6"/>
  <c r="CD125" i="6"/>
  <c r="CJ114" i="6"/>
  <c r="X118" i="6"/>
  <c r="X138" i="6"/>
  <c r="AQ123" i="6"/>
  <c r="K114" i="6"/>
  <c r="CE138" i="6"/>
  <c r="BA126" i="6"/>
  <c r="AK130" i="6"/>
  <c r="BN147" i="6"/>
  <c r="CK123" i="6"/>
  <c r="AO133" i="6"/>
  <c r="U111" i="6"/>
  <c r="P119" i="6"/>
  <c r="AO124" i="6"/>
  <c r="S117" i="6"/>
  <c r="K129" i="6"/>
  <c r="Q121" i="6"/>
  <c r="AO121" i="6"/>
  <c r="BD120" i="6"/>
  <c r="AY116" i="6"/>
  <c r="BF112" i="6"/>
  <c r="U144" i="6"/>
  <c r="AG147" i="6"/>
  <c r="BK162" i="6"/>
  <c r="P129" i="6"/>
  <c r="BK144" i="6"/>
  <c r="L125" i="6"/>
  <c r="L112" i="6"/>
  <c r="BN130" i="6"/>
  <c r="BP128" i="6"/>
  <c r="AP123" i="6"/>
  <c r="BF130" i="6"/>
  <c r="AK106" i="6"/>
  <c r="X123" i="6"/>
  <c r="W142" i="6"/>
  <c r="M143" i="6"/>
  <c r="X147" i="6"/>
  <c r="K127" i="6"/>
  <c r="AF150" i="6"/>
  <c r="CW123" i="6"/>
  <c r="CW110" i="6"/>
  <c r="AH116" i="6"/>
  <c r="CF129" i="6"/>
  <c r="AQ118" i="6"/>
  <c r="BB129" i="6"/>
  <c r="AE119" i="6"/>
  <c r="V122" i="6"/>
  <c r="AF125" i="6"/>
  <c r="K106" i="6"/>
  <c r="AA110" i="6"/>
  <c r="BO144" i="6"/>
  <c r="CO160" i="6"/>
  <c r="CF131" i="6"/>
  <c r="L137" i="6"/>
  <c r="BO136" i="6"/>
  <c r="CI141" i="6"/>
  <c r="AG115" i="6"/>
  <c r="CO122" i="6"/>
  <c r="AE108" i="6"/>
  <c r="CI128" i="6"/>
  <c r="CJ157" i="6"/>
  <c r="X124" i="6"/>
  <c r="CI110" i="6"/>
  <c r="AJ123" i="6"/>
  <c r="R107" i="6"/>
  <c r="AH95" i="6"/>
  <c r="V127" i="6"/>
  <c r="CE94" i="6"/>
  <c r="BE107" i="6"/>
  <c r="BO97" i="6"/>
  <c r="AZ129" i="6"/>
  <c r="BB96" i="6"/>
  <c r="CK115" i="6"/>
  <c r="M102" i="6"/>
  <c r="BB106" i="6"/>
  <c r="AF97" i="6"/>
  <c r="AH96" i="6"/>
  <c r="AA78" i="6"/>
  <c r="AQ145" i="6"/>
  <c r="V150" i="6"/>
  <c r="L136" i="6"/>
  <c r="CH134" i="6"/>
  <c r="X160" i="6"/>
  <c r="CE140" i="6"/>
  <c r="BN120" i="6"/>
  <c r="X127" i="6"/>
  <c r="CM128" i="6"/>
  <c r="BF132" i="6"/>
  <c r="BF148" i="6"/>
  <c r="W112" i="6"/>
  <c r="M130" i="6"/>
  <c r="CI117" i="6"/>
  <c r="BB159" i="6"/>
  <c r="S115" i="6"/>
  <c r="CJ131" i="6"/>
  <c r="P108" i="6"/>
  <c r="AB146" i="6"/>
  <c r="BL139" i="6"/>
  <c r="X119" i="6"/>
  <c r="AF151" i="6"/>
  <c r="AE125" i="6"/>
  <c r="CA106" i="6"/>
  <c r="CD137" i="6"/>
  <c r="BP147" i="6"/>
  <c r="CJ126" i="6"/>
  <c r="P124" i="6"/>
  <c r="BZ121" i="6"/>
  <c r="CD122" i="6"/>
  <c r="AH127" i="6"/>
  <c r="X110" i="6"/>
  <c r="M119" i="6"/>
  <c r="AA96" i="6"/>
  <c r="AE113" i="6"/>
  <c r="K108" i="6"/>
  <c r="BA117" i="6"/>
  <c r="BK139" i="6"/>
  <c r="BA110" i="6"/>
  <c r="BB95" i="6"/>
  <c r="AL108" i="6"/>
  <c r="AC91" i="6"/>
  <c r="AA121" i="6"/>
  <c r="CE96" i="6"/>
  <c r="AO80" i="6"/>
  <c r="CM119" i="6"/>
  <c r="CE89" i="6"/>
  <c r="BD98" i="6"/>
  <c r="BA99" i="6"/>
  <c r="BG85" i="6"/>
  <c r="BG79" i="6"/>
  <c r="AJ65" i="6"/>
  <c r="BB93" i="6"/>
  <c r="P102" i="6"/>
  <c r="N159" i="6"/>
  <c r="AA129" i="6"/>
  <c r="CC117" i="6"/>
  <c r="AG122" i="6"/>
  <c r="BF105" i="6"/>
  <c r="AF94" i="6"/>
  <c r="BK118" i="6"/>
  <c r="BN93" i="6"/>
  <c r="AK135" i="6"/>
  <c r="BL96" i="6"/>
  <c r="AB117" i="6"/>
  <c r="BJ95" i="6"/>
  <c r="AK114" i="6"/>
  <c r="K101" i="6"/>
  <c r="AH124" i="6"/>
  <c r="AC96" i="6"/>
  <c r="AF95" i="6"/>
  <c r="X77" i="6"/>
  <c r="BE90" i="6"/>
  <c r="BD83" i="6"/>
  <c r="AM108" i="6"/>
  <c r="CN103" i="6"/>
  <c r="W116" i="6"/>
  <c r="BF96" i="6"/>
  <c r="U80" i="6"/>
  <c r="BG100" i="6"/>
  <c r="BJ82" i="6"/>
  <c r="CM80" i="6"/>
  <c r="AZ68" i="6"/>
  <c r="BL135" i="6"/>
  <c r="CF126" i="6"/>
  <c r="AQ111" i="6"/>
  <c r="BN115" i="6"/>
  <c r="CD93" i="6"/>
  <c r="S129" i="6"/>
  <c r="W110" i="6"/>
  <c r="BN94" i="6"/>
  <c r="CW111" i="6"/>
  <c r="N95" i="6"/>
  <c r="CF110" i="6"/>
  <c r="BG126" i="6"/>
  <c r="AG117" i="6"/>
  <c r="BK101" i="6"/>
  <c r="BJ111" i="6"/>
  <c r="BZ100" i="6"/>
  <c r="AR93" i="6"/>
  <c r="BI149" i="6"/>
  <c r="R98" i="6"/>
  <c r="BF81" i="6"/>
  <c r="AF103" i="6"/>
  <c r="X85" i="6"/>
  <c r="AO102" i="6"/>
  <c r="CC79" i="6"/>
  <c r="W106" i="6"/>
  <c r="R151" i="6"/>
  <c r="BL168" i="6"/>
  <c r="BP124" i="6"/>
  <c r="L124" i="6"/>
  <c r="BN152" i="6"/>
  <c r="BX134" i="6"/>
  <c r="AA119" i="6"/>
  <c r="CD118" i="6"/>
  <c r="AR131" i="6"/>
  <c r="BQ141" i="6"/>
  <c r="BO162" i="6"/>
  <c r="V116" i="6"/>
  <c r="BQ138" i="6"/>
  <c r="AB109" i="6"/>
  <c r="CE135" i="6"/>
  <c r="BN144" i="6"/>
  <c r="AC121" i="6"/>
  <c r="BL114" i="6"/>
  <c r="AG152" i="6"/>
  <c r="AG121" i="6"/>
  <c r="BP123" i="6"/>
  <c r="AL139" i="6"/>
  <c r="CN126" i="6"/>
  <c r="CC111" i="6"/>
  <c r="BA124" i="6"/>
  <c r="BE140" i="6"/>
  <c r="AP132" i="6"/>
  <c r="K119" i="6"/>
  <c r="BX112" i="6"/>
  <c r="BY127" i="6"/>
  <c r="X164" i="6"/>
  <c r="BF114" i="6"/>
  <c r="AA105" i="6"/>
  <c r="BL109" i="6"/>
  <c r="BA104" i="6"/>
  <c r="BL104" i="6"/>
  <c r="AJ106" i="6"/>
  <c r="AO125" i="6"/>
  <c r="AP109" i="6"/>
  <c r="CE88" i="6"/>
  <c r="CI92" i="6"/>
  <c r="BF84" i="6"/>
  <c r="BB112" i="6"/>
  <c r="BG104" i="6"/>
  <c r="Q113" i="6"/>
  <c r="BI97" i="6"/>
  <c r="W81" i="6"/>
  <c r="CI101" i="6"/>
  <c r="BL83" i="6"/>
  <c r="R83" i="6"/>
  <c r="BB69" i="6"/>
  <c r="AL75" i="6"/>
  <c r="CK94" i="6"/>
  <c r="CF83" i="6"/>
  <c r="R156" i="6"/>
  <c r="CI119" i="6"/>
  <c r="AA141" i="6"/>
  <c r="CF119" i="6"/>
  <c r="V109" i="6"/>
  <c r="W103" i="6"/>
  <c r="CH106" i="6"/>
  <c r="AR103" i="6"/>
  <c r="AM118" i="6"/>
  <c r="AJ103" i="6"/>
  <c r="AF116" i="6"/>
  <c r="W102" i="6"/>
  <c r="AE116" i="6"/>
  <c r="BA92" i="6"/>
  <c r="BB117" i="6"/>
  <c r="AH138" i="6"/>
  <c r="BD103" i="6"/>
  <c r="R87" i="6"/>
  <c r="CM94" i="6"/>
  <c r="BB89" i="6"/>
  <c r="BO123" i="6"/>
  <c r="AC95" i="6"/>
  <c r="AZ111" i="6"/>
  <c r="AM104" i="6"/>
  <c r="BG86" i="6"/>
  <c r="BG92" i="6"/>
  <c r="AZ74" i="6"/>
  <c r="X82" i="6"/>
  <c r="CM76" i="6"/>
  <c r="CC140" i="6"/>
  <c r="AP126" i="6"/>
  <c r="BZ133" i="6"/>
  <c r="BL136" i="6"/>
  <c r="CJ100" i="6"/>
  <c r="AL113" i="6"/>
  <c r="CP102" i="6"/>
  <c r="W121" i="6"/>
  <c r="BD119" i="6"/>
  <c r="CM131" i="6"/>
  <c r="V119" i="6"/>
  <c r="BG123" i="6"/>
  <c r="BZ108" i="6"/>
  <c r="BI118" i="6"/>
  <c r="CK126" i="6"/>
  <c r="BB97" i="6"/>
  <c r="CJ86" i="6"/>
  <c r="CP124" i="6"/>
  <c r="AH111" i="6"/>
  <c r="S88" i="6"/>
  <c r="L95" i="6"/>
  <c r="CD76" i="6"/>
  <c r="AR104" i="6"/>
  <c r="CF85" i="6"/>
  <c r="AO93" i="6"/>
  <c r="BZ103" i="6"/>
  <c r="M92" i="6"/>
  <c r="BG89" i="6"/>
  <c r="AZ61" i="6"/>
  <c r="M123" i="6"/>
  <c r="AO107" i="6"/>
  <c r="AC132" i="6"/>
  <c r="CJ115" i="6"/>
  <c r="AR99" i="6"/>
  <c r="BB111" i="6"/>
  <c r="Z99" i="6"/>
  <c r="AY108" i="6"/>
  <c r="CD101" i="6"/>
  <c r="CC119" i="6"/>
  <c r="BL100" i="6"/>
  <c r="BK106" i="6"/>
  <c r="L114" i="6"/>
  <c r="CC106" i="6"/>
  <c r="AP101" i="6"/>
  <c r="CJ148" i="6"/>
  <c r="AF120" i="6"/>
  <c r="CF152" i="6"/>
  <c r="M136" i="6"/>
  <c r="AK138" i="6"/>
  <c r="BK135" i="6"/>
  <c r="P125" i="6"/>
  <c r="AZ105" i="6"/>
  <c r="CW126" i="6"/>
  <c r="AZ142" i="6"/>
  <c r="AJ161" i="6"/>
  <c r="CC118" i="6"/>
  <c r="AK129" i="6"/>
  <c r="BD115" i="6"/>
  <c r="CM132" i="6"/>
  <c r="BZ105" i="6"/>
  <c r="AM107" i="6"/>
  <c r="AR113" i="6"/>
  <c r="CW135" i="6"/>
  <c r="CW105" i="6"/>
  <c r="CM108" i="6"/>
  <c r="AL143" i="6"/>
  <c r="CP164" i="6"/>
  <c r="BE137" i="6"/>
  <c r="BG112" i="6"/>
  <c r="BI137" i="6"/>
  <c r="CK125" i="6"/>
  <c r="BF104" i="6"/>
  <c r="BY105" i="6"/>
  <c r="AB129" i="6"/>
  <c r="V141" i="6"/>
  <c r="X104" i="6"/>
  <c r="AO108" i="6"/>
  <c r="CO136" i="6"/>
  <c r="CH95" i="6"/>
  <c r="R112" i="6"/>
  <c r="BY111" i="6"/>
  <c r="V123" i="6"/>
  <c r="L93" i="6"/>
  <c r="AQ80" i="6"/>
  <c r="Z96" i="6"/>
  <c r="CW90" i="6"/>
  <c r="S96" i="6"/>
  <c r="AF96" i="6"/>
  <c r="BL116" i="6"/>
  <c r="AA108" i="6"/>
  <c r="BY87" i="6"/>
  <c r="BJ93" i="6"/>
  <c r="BB75" i="6"/>
  <c r="BY83" i="6"/>
  <c r="V79" i="6"/>
  <c r="CW66" i="6"/>
  <c r="AA106" i="6"/>
  <c r="Z88" i="6"/>
  <c r="CE129" i="6"/>
  <c r="BI120" i="6"/>
  <c r="AH122" i="6"/>
  <c r="U118" i="6"/>
  <c r="BD113" i="6"/>
  <c r="CC94" i="6"/>
  <c r="S112" i="6"/>
  <c r="X95" i="6"/>
  <c r="Q125" i="6"/>
  <c r="BP94" i="6"/>
  <c r="S118" i="6"/>
  <c r="CC93" i="6"/>
  <c r="CM104" i="6"/>
  <c r="L102" i="6"/>
  <c r="CW121" i="6"/>
  <c r="S122" i="6"/>
  <c r="K95" i="6"/>
  <c r="AY78" i="6"/>
  <c r="AF99" i="6"/>
  <c r="X81" i="6"/>
  <c r="BL101" i="6"/>
  <c r="BF88" i="6"/>
  <c r="Q95" i="6"/>
  <c r="L96" i="6"/>
  <c r="V130" i="6"/>
  <c r="BP100" i="6"/>
  <c r="CM103" i="6"/>
  <c r="BZ89" i="6"/>
  <c r="BP67" i="6"/>
  <c r="AE114" i="6"/>
  <c r="BF111" i="6"/>
  <c r="AL123" i="6"/>
  <c r="BO118" i="6"/>
  <c r="CH91" i="6"/>
  <c r="U115" i="6"/>
  <c r="BQ94" i="6"/>
  <c r="BA146" i="6"/>
  <c r="P111" i="6"/>
  <c r="Q128" i="6"/>
  <c r="CM109" i="6"/>
  <c r="CO107" i="6"/>
  <c r="BE101" i="6"/>
  <c r="AL131" i="6"/>
  <c r="BP110" i="6"/>
  <c r="BP99" i="6"/>
  <c r="V110" i="6"/>
  <c r="V101" i="6"/>
  <c r="AR97" i="6"/>
  <c r="W125" i="6"/>
  <c r="AE103" i="6"/>
  <c r="BI86" i="6"/>
  <c r="CD95" i="6"/>
  <c r="BG77" i="6"/>
  <c r="CF91" i="6"/>
  <c r="M84" i="6"/>
  <c r="M88" i="6"/>
  <c r="CH80" i="6"/>
  <c r="AP136" i="6"/>
  <c r="BP151" i="6"/>
  <c r="CJ141" i="6"/>
  <c r="CN132" i="6"/>
  <c r="CO120" i="6"/>
  <c r="AQ120" i="6"/>
  <c r="AP138" i="6"/>
  <c r="X128" i="6"/>
  <c r="BE154" i="6"/>
  <c r="AP131" i="6"/>
  <c r="CO133" i="6"/>
  <c r="BF107" i="6"/>
  <c r="AP108" i="6"/>
  <c r="AC115" i="6"/>
  <c r="CA119" i="6"/>
  <c r="L107" i="6"/>
  <c r="CO109" i="6"/>
  <c r="BA168" i="6"/>
  <c r="BK149" i="6"/>
  <c r="BZ106" i="6"/>
  <c r="BO113" i="6"/>
  <c r="W148" i="6"/>
  <c r="BZ119" i="6"/>
  <c r="BK121" i="6"/>
  <c r="AR128" i="6"/>
  <c r="Z145" i="6"/>
  <c r="CH117" i="6"/>
  <c r="R136" i="6"/>
  <c r="BI109" i="6"/>
  <c r="Q117" i="6"/>
  <c r="CW120" i="6"/>
  <c r="CE102" i="6"/>
  <c r="AP113" i="6"/>
  <c r="P127" i="6"/>
  <c r="BK105" i="6"/>
  <c r="Z103" i="6"/>
  <c r="CE110" i="6"/>
  <c r="BD133" i="6"/>
  <c r="CK101" i="6"/>
  <c r="U88" i="6"/>
  <c r="AH100" i="6"/>
  <c r="AA82" i="6"/>
  <c r="CW103" i="6"/>
  <c r="BP89" i="6"/>
  <c r="AA99" i="6"/>
  <c r="N97" i="6"/>
  <c r="BY135" i="6"/>
  <c r="BX101" i="6"/>
  <c r="BG116" i="6"/>
  <c r="BA91" i="6"/>
  <c r="BX68" i="6"/>
  <c r="Q76" i="6"/>
  <c r="CE84" i="6"/>
  <c r="BP79" i="6"/>
  <c r="U127" i="6"/>
  <c r="CO108" i="6"/>
  <c r="S121" i="6"/>
  <c r="AH120" i="6"/>
  <c r="Q103" i="6"/>
  <c r="BP121" i="6"/>
  <c r="BQ120" i="6"/>
  <c r="AF104" i="6"/>
  <c r="U108" i="6"/>
  <c r="CI104" i="6"/>
  <c r="AY106" i="6"/>
  <c r="X103" i="6"/>
  <c r="BQ110" i="6"/>
  <c r="CA93" i="6"/>
  <c r="BK107" i="6"/>
  <c r="AF105" i="6"/>
  <c r="AZ102" i="6"/>
  <c r="V85" i="6"/>
  <c r="L91" i="6"/>
  <c r="AB95" i="6"/>
  <c r="BN102" i="6"/>
  <c r="W80" i="6"/>
  <c r="BQ103" i="6"/>
  <c r="CH89" i="6"/>
  <c r="Z117" i="6"/>
  <c r="W92" i="6"/>
  <c r="BL122" i="6"/>
  <c r="U81" i="6"/>
  <c r="AP89" i="6"/>
  <c r="BY139" i="6"/>
  <c r="CM115" i="6"/>
  <c r="V121" i="6"/>
  <c r="CK118" i="6"/>
  <c r="BB101" i="6"/>
  <c r="CI114" i="6"/>
  <c r="AO101" i="6"/>
  <c r="AE117" i="6"/>
  <c r="CJ103" i="6"/>
  <c r="Z112" i="6"/>
  <c r="BQ102" i="6"/>
  <c r="AE111" i="6"/>
  <c r="AF93" i="6"/>
  <c r="AQ115" i="6"/>
  <c r="AZ103" i="6"/>
  <c r="BB102" i="6"/>
  <c r="AP84" i="6"/>
  <c r="U89" i="6"/>
  <c r="K92" i="6"/>
  <c r="AL117" i="6"/>
  <c r="BA94" i="6"/>
  <c r="R123" i="6"/>
  <c r="Q104" i="6"/>
  <c r="BA87" i="6"/>
  <c r="AQ95" i="6"/>
  <c r="X90" i="6"/>
  <c r="CA79" i="6"/>
  <c r="CJ75" i="6"/>
  <c r="AF153" i="6"/>
  <c r="CC136" i="6"/>
  <c r="BG119" i="6"/>
  <c r="AB125" i="6"/>
  <c r="AB160" i="6"/>
  <c r="CE108" i="6"/>
  <c r="AQ116" i="6"/>
  <c r="CW148" i="6"/>
  <c r="CE148" i="6"/>
  <c r="AL142" i="6"/>
  <c r="CD124" i="6"/>
  <c r="AB127" i="6"/>
  <c r="AY123" i="6"/>
  <c r="BE142" i="6"/>
  <c r="AY146" i="6"/>
  <c r="AL135" i="6"/>
  <c r="AC125" i="6"/>
  <c r="CJ144" i="6"/>
  <c r="BY142" i="6"/>
  <c r="BK119" i="6"/>
  <c r="CE127" i="6"/>
  <c r="BJ131" i="6"/>
  <c r="AK125" i="6"/>
  <c r="CJ107" i="6"/>
  <c r="CC112" i="6"/>
  <c r="BL137" i="6"/>
  <c r="AM126" i="6"/>
  <c r="CA130" i="6"/>
  <c r="BG149" i="6"/>
  <c r="BA120" i="6"/>
  <c r="W119" i="6"/>
  <c r="M94" i="6"/>
  <c r="CK104" i="6"/>
  <c r="AH128" i="6"/>
  <c r="BB119" i="6"/>
  <c r="BF94" i="6"/>
  <c r="BJ103" i="6"/>
  <c r="M109" i="6"/>
  <c r="AG103" i="6"/>
  <c r="BK79" i="6"/>
  <c r="N92" i="6"/>
  <c r="AY102" i="6"/>
  <c r="BK104" i="6"/>
  <c r="Z81" i="6"/>
  <c r="CP115" i="6"/>
  <c r="M91" i="6"/>
  <c r="CD108" i="6"/>
  <c r="Z93" i="6"/>
  <c r="AL96" i="6"/>
  <c r="W82" i="6"/>
  <c r="AJ60" i="6"/>
  <c r="BA67" i="6"/>
  <c r="BO76" i="6"/>
  <c r="CH74" i="6"/>
  <c r="AJ145" i="6"/>
  <c r="BE129" i="6"/>
  <c r="BN114" i="6"/>
  <c r="CE117" i="6"/>
  <c r="CF94" i="6"/>
  <c r="BJ135" i="6"/>
  <c r="Z111" i="6"/>
  <c r="BF95" i="6"/>
  <c r="AF113" i="6"/>
  <c r="Q96" i="6"/>
  <c r="CI111" i="6"/>
  <c r="P131" i="6"/>
  <c r="CE118" i="6"/>
  <c r="BD102" i="6"/>
  <c r="CA112" i="6"/>
  <c r="CI103" i="6"/>
  <c r="AZ94" i="6"/>
  <c r="P120" i="6"/>
  <c r="U99" i="6"/>
  <c r="BI82" i="6"/>
  <c r="AE105" i="6"/>
  <c r="AA86" i="6"/>
  <c r="S104" i="6"/>
  <c r="CO80" i="6"/>
  <c r="AQ110" i="6"/>
  <c r="L100" i="6"/>
  <c r="CF100" i="6"/>
  <c r="L86" i="6"/>
  <c r="BL143" i="6"/>
  <c r="AB107" i="6"/>
  <c r="AO116" i="6"/>
  <c r="AB120" i="6"/>
  <c r="AE104" i="6"/>
  <c r="AC93" i="6"/>
  <c r="BN116" i="6"/>
  <c r="CJ92" i="6"/>
  <c r="BO117" i="6"/>
  <c r="BY95" i="6"/>
  <c r="BA114" i="6"/>
  <c r="AR94" i="6"/>
  <c r="BE112" i="6"/>
  <c r="BX99" i="6"/>
  <c r="BP116" i="6"/>
  <c r="AA95" i="6"/>
  <c r="AC94" i="6"/>
  <c r="V76" i="6"/>
  <c r="CI116" i="6"/>
  <c r="BA82" i="6"/>
  <c r="U131" i="6"/>
  <c r="CI102" i="6"/>
  <c r="R106" i="6"/>
  <c r="BD95" i="6"/>
  <c r="R79" i="6"/>
  <c r="CN99" i="6"/>
  <c r="BG81" i="6"/>
  <c r="BI78" i="6"/>
  <c r="AR67" i="6"/>
  <c r="AA135" i="6"/>
  <c r="CH108" i="6"/>
  <c r="BX127" i="6"/>
  <c r="BA113" i="6"/>
  <c r="AE109" i="6"/>
  <c r="CH92" i="6"/>
  <c r="L109" i="6"/>
  <c r="Q92" i="6"/>
  <c r="AB115" i="6"/>
  <c r="BI91" i="6"/>
  <c r="BP113" i="6"/>
  <c r="AQ90" i="6"/>
  <c r="L117" i="6"/>
  <c r="CN98" i="6"/>
  <c r="AY114" i="6"/>
  <c r="CH114" i="6"/>
  <c r="CC91" i="6"/>
  <c r="AP156" i="6"/>
  <c r="S127" i="6"/>
  <c r="AA154" i="6"/>
  <c r="CC110" i="6"/>
  <c r="AE134" i="6"/>
  <c r="CN108" i="6"/>
  <c r="X168" i="6"/>
  <c r="BQ143" i="6"/>
  <c r="BY138" i="6"/>
  <c r="BE146" i="6"/>
  <c r="BX155" i="6"/>
  <c r="CW145" i="6"/>
  <c r="AF126" i="6"/>
  <c r="CW151" i="6"/>
  <c r="AC133" i="6"/>
  <c r="CC120" i="6"/>
  <c r="CH128" i="6"/>
  <c r="BN166" i="6"/>
  <c r="AA137" i="6"/>
  <c r="BJ123" i="6"/>
  <c r="AJ167" i="6"/>
  <c r="AO141" i="6"/>
  <c r="BI105" i="6"/>
  <c r="BL112" i="6"/>
  <c r="CA117" i="6"/>
  <c r="AH132" i="6"/>
  <c r="AL122" i="6"/>
  <c r="AG132" i="6"/>
  <c r="AC136" i="6"/>
  <c r="AQ119" i="6"/>
  <c r="AZ125" i="6"/>
  <c r="CH104" i="6"/>
  <c r="BN105" i="6"/>
  <c r="BJ106" i="6"/>
  <c r="W122" i="6"/>
  <c r="AH104" i="6"/>
  <c r="CM93" i="6"/>
  <c r="AP105" i="6"/>
  <c r="CD104" i="6"/>
  <c r="X86" i="6"/>
  <c r="W100" i="6"/>
  <c r="BZ83" i="6"/>
  <c r="BE110" i="6"/>
  <c r="AC87" i="6"/>
  <c r="CD114" i="6"/>
  <c r="R82" i="6"/>
  <c r="BP114" i="6"/>
  <c r="N101" i="6"/>
  <c r="CP103" i="6"/>
  <c r="N87" i="6"/>
  <c r="CD71" i="6"/>
  <c r="BJ77" i="6"/>
  <c r="Z98" i="6"/>
  <c r="AF66" i="6"/>
  <c r="BE143" i="6"/>
  <c r="AR127" i="6"/>
  <c r="AJ148" i="6"/>
  <c r="AB128" i="6"/>
  <c r="CM101" i="6"/>
  <c r="BX117" i="6"/>
  <c r="L104" i="6"/>
  <c r="BL123" i="6"/>
  <c r="CA104" i="6"/>
  <c r="AE120" i="6"/>
  <c r="CN127" i="6"/>
  <c r="BG127" i="6"/>
  <c r="BD109" i="6"/>
  <c r="AE128" i="6"/>
  <c r="CE132" i="6"/>
  <c r="BG99" i="6"/>
  <c r="CM87" i="6"/>
  <c r="BN108" i="6"/>
  <c r="AY119" i="6"/>
  <c r="X89" i="6"/>
  <c r="N96" i="6"/>
  <c r="CP77" i="6"/>
  <c r="CK117" i="6"/>
  <c r="CW86" i="6"/>
  <c r="BA96" i="6"/>
  <c r="CK91" i="6"/>
  <c r="U95" i="6"/>
  <c r="R91" i="6"/>
  <c r="BX152" i="6"/>
  <c r="CI139" i="6"/>
  <c r="BK126" i="6"/>
  <c r="BG138" i="6"/>
  <c r="Q107" i="6"/>
  <c r="U102" i="6"/>
  <c r="AQ105" i="6"/>
  <c r="AP102" i="6"/>
  <c r="AP116" i="6"/>
  <c r="AG102" i="6"/>
  <c r="BY114" i="6"/>
  <c r="U101" i="6"/>
  <c r="BI114" i="6"/>
  <c r="AJ91" i="6"/>
  <c r="CA115" i="6"/>
  <c r="BE125" i="6"/>
  <c r="BA102" i="6"/>
  <c r="CO85" i="6"/>
  <c r="AL93" i="6"/>
  <c r="AP88" i="6"/>
  <c r="BP102" i="6"/>
  <c r="AA94" i="6"/>
  <c r="AK107" i="6"/>
  <c r="AC103" i="6"/>
  <c r="BO85" i="6"/>
  <c r="BE91" i="6"/>
  <c r="AL99" i="6"/>
  <c r="BB80" i="6"/>
  <c r="BG75" i="6"/>
  <c r="BP145" i="6"/>
  <c r="CN136" i="6"/>
  <c r="BI124" i="6"/>
  <c r="BE111" i="6"/>
  <c r="CW99" i="6"/>
  <c r="S124" i="6"/>
  <c r="BK116" i="6"/>
  <c r="BX100" i="6"/>
  <c r="AJ131" i="6"/>
  <c r="AC101" i="6"/>
  <c r="BE119" i="6"/>
  <c r="Q100" i="6"/>
  <c r="BY107" i="6"/>
  <c r="CD90" i="6"/>
  <c r="L127" i="6"/>
  <c r="BA108" i="6"/>
  <c r="BB99" i="6"/>
  <c r="AZ133" i="6"/>
  <c r="P160" i="6"/>
  <c r="R121" i="6"/>
  <c r="CE121" i="6"/>
  <c r="AK127" i="6"/>
  <c r="AZ161" i="6"/>
  <c r="BQ160" i="6"/>
  <c r="N137" i="6"/>
  <c r="CA96" i="6"/>
  <c r="N103" i="6"/>
  <c r="BN91" i="6"/>
  <c r="BX92" i="6"/>
  <c r="BX97" i="6"/>
  <c r="BJ79" i="6"/>
  <c r="W129" i="6"/>
  <c r="AZ95" i="6"/>
  <c r="CO110" i="6"/>
  <c r="BX111" i="6"/>
  <c r="AZ98" i="6"/>
  <c r="CF96" i="6"/>
  <c r="AK91" i="6"/>
  <c r="AC120" i="6"/>
  <c r="Q111" i="6"/>
  <c r="CC116" i="6"/>
  <c r="CO117" i="6"/>
  <c r="AC98" i="6"/>
  <c r="CN110" i="6"/>
  <c r="CW98" i="6"/>
  <c r="Q81" i="6"/>
  <c r="BN121" i="6"/>
  <c r="CI135" i="6"/>
  <c r="BA132" i="6"/>
  <c r="CO113" i="6"/>
  <c r="CI127" i="6"/>
  <c r="AB100" i="6"/>
  <c r="BX107" i="6"/>
  <c r="P115" i="6"/>
  <c r="CJ110" i="6"/>
  <c r="AM93" i="6"/>
  <c r="AK82" i="6"/>
  <c r="CA101" i="6"/>
  <c r="BP88" i="6"/>
  <c r="N120" i="6"/>
  <c r="BF92" i="6"/>
  <c r="CW141" i="6"/>
  <c r="L141" i="6"/>
  <c r="U130" i="6"/>
  <c r="BN140" i="6"/>
  <c r="CO123" i="6"/>
  <c r="AE97" i="6"/>
  <c r="BE115" i="6"/>
  <c r="CI99" i="6"/>
  <c r="BY123" i="6"/>
  <c r="BA116" i="6"/>
  <c r="CF118" i="6"/>
  <c r="Z115" i="6"/>
  <c r="U126" i="6"/>
  <c r="CA118" i="6"/>
  <c r="N122" i="6"/>
  <c r="R116" i="6"/>
  <c r="AH91" i="6"/>
  <c r="BN83" i="6"/>
  <c r="V105" i="6"/>
  <c r="BJ102" i="6"/>
  <c r="L85" i="6"/>
  <c r="CN91" i="6"/>
  <c r="BA103" i="6"/>
  <c r="CP100" i="6"/>
  <c r="BY82" i="6"/>
  <c r="CN102" i="6"/>
  <c r="AM89" i="6"/>
  <c r="CA99" i="6"/>
  <c r="CA120" i="6"/>
  <c r="M107" i="6"/>
  <c r="BZ115" i="6"/>
  <c r="AJ115" i="6"/>
  <c r="BY108" i="6"/>
  <c r="BI113" i="6"/>
  <c r="BK82" i="6"/>
  <c r="CW74" i="6"/>
  <c r="BB115" i="6"/>
  <c r="CP89" i="6"/>
  <c r="CF77" i="6"/>
  <c r="BJ72" i="6"/>
  <c r="CE73" i="6"/>
  <c r="AB87" i="6"/>
  <c r="AK85" i="6"/>
  <c r="CF65" i="6"/>
  <c r="AZ97" i="6"/>
  <c r="BY84" i="6"/>
  <c r="BJ69" i="6"/>
  <c r="BK102" i="6"/>
  <c r="BJ80" i="6"/>
  <c r="AA65" i="6"/>
  <c r="AK116" i="6"/>
  <c r="CN66" i="6"/>
  <c r="CJ132" i="6"/>
  <c r="BJ108" i="6"/>
  <c r="BE131" i="6"/>
  <c r="S130" i="6"/>
  <c r="AY95" i="6"/>
  <c r="BQ111" i="6"/>
  <c r="AK108" i="6"/>
  <c r="AK98" i="6"/>
  <c r="BD96" i="6"/>
  <c r="AL94" i="6"/>
  <c r="Z83" i="6"/>
  <c r="BA66" i="6"/>
  <c r="CE133" i="6"/>
  <c r="BJ146" i="6"/>
  <c r="M111" i="6"/>
  <c r="AM128" i="6"/>
  <c r="Q119" i="6"/>
  <c r="CD168" i="6"/>
  <c r="CW147" i="6"/>
  <c r="AZ165" i="6"/>
  <c r="AZ104" i="6"/>
  <c r="CD94" i="6"/>
  <c r="CK99" i="6"/>
  <c r="CI97" i="6"/>
  <c r="BL91" i="6"/>
  <c r="AJ87" i="6"/>
  <c r="AA123" i="6"/>
  <c r="AQ102" i="6"/>
  <c r="BY103" i="6"/>
  <c r="BX104" i="6"/>
  <c r="BP101" i="6"/>
  <c r="CC105" i="6"/>
  <c r="AZ82" i="6"/>
  <c r="N119" i="6"/>
  <c r="BY121" i="6"/>
  <c r="W105" i="6"/>
  <c r="Z106" i="6"/>
  <c r="BB90" i="6"/>
  <c r="AZ100" i="6"/>
  <c r="K116" i="6"/>
  <c r="AZ69" i="6"/>
  <c r="AH118" i="6"/>
  <c r="AC129" i="6"/>
  <c r="AG98" i="6"/>
  <c r="CI121" i="6"/>
  <c r="BJ124" i="6"/>
  <c r="CW92" i="6"/>
  <c r="AM92" i="6"/>
  <c r="BF106" i="6"/>
  <c r="AP112" i="6"/>
  <c r="AJ96" i="6"/>
  <c r="BY104" i="6"/>
  <c r="CC102" i="6"/>
  <c r="AG80" i="6"/>
  <c r="BI111" i="6"/>
  <c r="AP100" i="6"/>
  <c r="N109" i="6"/>
  <c r="K143" i="6"/>
  <c r="CN115" i="6"/>
  <c r="BI131" i="6"/>
  <c r="BN131" i="6"/>
  <c r="AC118" i="6"/>
  <c r="AE107" i="6"/>
  <c r="U117" i="6"/>
  <c r="CI120" i="6"/>
  <c r="CH107" i="6"/>
  <c r="CF130" i="6"/>
  <c r="BP106" i="6"/>
  <c r="CW109" i="6"/>
  <c r="AR98" i="6"/>
  <c r="BE155" i="6"/>
  <c r="AY107" i="6"/>
  <c r="M95" i="6"/>
  <c r="BO89" i="6"/>
  <c r="BX103" i="6"/>
  <c r="AK94" i="6"/>
  <c r="AB143" i="6"/>
  <c r="M100" i="6"/>
  <c r="BK83" i="6"/>
  <c r="BQ92" i="6"/>
  <c r="BJ74" i="6"/>
  <c r="BP103" i="6"/>
  <c r="CE80" i="6"/>
  <c r="CM79" i="6"/>
  <c r="P140" i="6"/>
  <c r="BZ118" i="6"/>
  <c r="CN105" i="6"/>
  <c r="BG94" i="6"/>
  <c r="CJ121" i="6"/>
  <c r="AY110" i="6"/>
  <c r="S75" i="6"/>
  <c r="CW83" i="6"/>
  <c r="W94" i="6"/>
  <c r="CH105" i="6"/>
  <c r="S100" i="6"/>
  <c r="AE74" i="6"/>
  <c r="AE64" i="6"/>
  <c r="AF85" i="6"/>
  <c r="BI68" i="6"/>
  <c r="CA74" i="6"/>
  <c r="AO91" i="6"/>
  <c r="AF89" i="6"/>
  <c r="AA61" i="6"/>
  <c r="V96" i="6"/>
  <c r="BX84" i="6"/>
  <c r="CF75" i="6"/>
  <c r="S80" i="6"/>
  <c r="CD130" i="6"/>
  <c r="BE124" i="6"/>
  <c r="AC128" i="6"/>
  <c r="U107" i="6"/>
  <c r="U113" i="6"/>
  <c r="BQ91" i="6"/>
  <c r="BB113" i="6"/>
  <c r="CN100" i="6"/>
  <c r="AY98" i="6"/>
  <c r="P89" i="6"/>
  <c r="CF93" i="6"/>
  <c r="CK81" i="6"/>
  <c r="AA74" i="6"/>
  <c r="BL99" i="6"/>
  <c r="AY76" i="6"/>
  <c r="U63" i="6"/>
  <c r="AA115" i="6"/>
  <c r="Z87" i="6"/>
  <c r="AR116" i="6"/>
  <c r="AR108" i="6"/>
  <c r="BP109" i="6"/>
  <c r="M110" i="6"/>
  <c r="AR133" i="6"/>
  <c r="M104" i="6"/>
  <c r="AQ97" i="6"/>
  <c r="BP85" i="6"/>
  <c r="CO105" i="6"/>
  <c r="CA84" i="6"/>
  <c r="CO91" i="6"/>
  <c r="BE70" i="6"/>
  <c r="BZ71" i="6"/>
  <c r="CH82" i="6"/>
  <c r="BQ76" i="6"/>
  <c r="CA63" i="6"/>
  <c r="CD91" i="6"/>
  <c r="BO82" i="6"/>
  <c r="AO138" i="6"/>
  <c r="CK129" i="6"/>
  <c r="BI129" i="6"/>
  <c r="CN141" i="6"/>
  <c r="AF159" i="6"/>
  <c r="Z140" i="6"/>
  <c r="AY134" i="6"/>
  <c r="AK136" i="6"/>
  <c r="BF109" i="6"/>
  <c r="CJ112" i="6"/>
  <c r="AZ90" i="6"/>
  <c r="L88" i="6"/>
  <c r="CJ99" i="6"/>
  <c r="U74" i="6"/>
  <c r="AH108" i="6"/>
  <c r="CE122" i="6"/>
  <c r="CE111" i="6"/>
  <c r="BA101" i="6"/>
  <c r="CK80" i="6"/>
  <c r="BJ78" i="6"/>
  <c r="K82" i="6"/>
  <c r="AR120" i="6"/>
  <c r="V94" i="6"/>
  <c r="BK92" i="6"/>
  <c r="AF112" i="6"/>
  <c r="V80" i="6"/>
  <c r="CW94" i="6"/>
  <c r="CF99" i="6"/>
  <c r="BO141" i="6"/>
  <c r="Z133" i="6"/>
  <c r="BP127" i="6"/>
  <c r="BN89" i="6"/>
  <c r="R108" i="6"/>
  <c r="CM111" i="6"/>
  <c r="Q123" i="6"/>
  <c r="CE98" i="6"/>
  <c r="AZ99" i="6"/>
  <c r="BE109" i="6"/>
  <c r="AR100" i="6"/>
  <c r="CJ83" i="6"/>
  <c r="CF105" i="6"/>
  <c r="AK86" i="6"/>
  <c r="CM97" i="6"/>
  <c r="V92" i="6"/>
  <c r="CE114" i="6"/>
  <c r="R113" i="6"/>
  <c r="W104" i="6"/>
  <c r="CI130" i="6"/>
  <c r="P114" i="6"/>
  <c r="AP98" i="6"/>
  <c r="Q110" i="6"/>
  <c r="W98" i="6"/>
  <c r="AR124" i="6"/>
  <c r="CA100" i="6"/>
  <c r="BB114" i="6"/>
  <c r="BJ99" i="6"/>
  <c r="AQ104" i="6"/>
  <c r="L106" i="6"/>
  <c r="BE117" i="6"/>
  <c r="AM100" i="6"/>
  <c r="AP99" i="6"/>
  <c r="AH81" i="6"/>
  <c r="N99" i="6"/>
  <c r="CC87" i="6"/>
  <c r="M113" i="6"/>
  <c r="BD91" i="6"/>
  <c r="CH130" i="6"/>
  <c r="CE100" i="6"/>
  <c r="AO84" i="6"/>
  <c r="BO114" i="6"/>
  <c r="CI86" i="6"/>
  <c r="U90" i="6"/>
  <c r="CH131" i="6"/>
  <c r="CK122" i="6"/>
  <c r="BQ98" i="6"/>
  <c r="CN114" i="6"/>
  <c r="S111" i="6"/>
  <c r="CO114" i="6"/>
  <c r="AA87" i="6"/>
  <c r="CH115" i="6"/>
  <c r="CE95" i="6"/>
  <c r="CD106" i="6"/>
  <c r="BN103" i="6"/>
  <c r="BD62" i="6"/>
  <c r="CA72" i="6"/>
  <c r="W91" i="6"/>
  <c r="AH88" i="6"/>
  <c r="Z66" i="6"/>
  <c r="U87" i="6"/>
  <c r="BI80" i="6"/>
  <c r="BD71" i="6"/>
  <c r="CW89" i="6"/>
  <c r="AA112" i="6"/>
  <c r="P110" i="6"/>
  <c r="R88" i="6"/>
  <c r="CA133" i="6"/>
  <c r="V126" i="6"/>
  <c r="CN107" i="6"/>
  <c r="AG105" i="6"/>
  <c r="CF107" i="6"/>
  <c r="BN129" i="6"/>
  <c r="BE100" i="6"/>
  <c r="BK103" i="6"/>
  <c r="AJ90" i="6"/>
  <c r="AO92" i="6"/>
  <c r="BZ78" i="6"/>
  <c r="CE79" i="6"/>
  <c r="CN64" i="6"/>
  <c r="BK91" i="6"/>
  <c r="AP70" i="6"/>
  <c r="N73" i="6"/>
  <c r="BJ92" i="6"/>
  <c r="M101" i="6"/>
  <c r="BY130" i="6"/>
  <c r="BX109" i="6"/>
  <c r="AQ114" i="6"/>
  <c r="CP111" i="6"/>
  <c r="BP118" i="6"/>
  <c r="CK116" i="6"/>
  <c r="Z89" i="6"/>
  <c r="BE121" i="6"/>
  <c r="BO98" i="6"/>
  <c r="CE105" i="6"/>
  <c r="BL93" i="6"/>
  <c r="P72" i="6"/>
  <c r="P62" i="6"/>
  <c r="CD81" i="6"/>
  <c r="AC158" i="6"/>
  <c r="P128" i="6"/>
  <c r="N153" i="6"/>
  <c r="CK138" i="6"/>
  <c r="AO140" i="6"/>
  <c r="X136" i="6"/>
  <c r="AC140" i="6"/>
  <c r="AM124" i="6"/>
  <c r="CD105" i="6"/>
  <c r="K104" i="6"/>
  <c r="CN81" i="6"/>
  <c r="BL79" i="6"/>
  <c r="M83" i="6"/>
  <c r="BA65" i="6"/>
  <c r="CW106" i="6"/>
  <c r="BN118" i="6"/>
  <c r="R114" i="6"/>
  <c r="CE103" i="6"/>
  <c r="W108" i="6"/>
  <c r="BN88" i="6"/>
  <c r="AK77" i="6"/>
  <c r="BQ116" i="6"/>
  <c r="M103" i="6"/>
  <c r="V102" i="6"/>
  <c r="K117" i="6"/>
  <c r="BA90" i="6"/>
  <c r="AQ88" i="6"/>
  <c r="CW97" i="6"/>
  <c r="AZ138" i="6"/>
  <c r="AG107" i="6"/>
  <c r="AL110" i="6"/>
  <c r="X91" i="6"/>
  <c r="CK100" i="6"/>
  <c r="X113" i="6"/>
  <c r="CP119" i="6"/>
  <c r="BG118" i="6"/>
  <c r="BN97" i="6"/>
  <c r="V117" i="6"/>
  <c r="X92" i="6"/>
  <c r="BQ90" i="6"/>
  <c r="X96" i="6"/>
  <c r="Q78" i="6"/>
  <c r="BO94" i="6"/>
  <c r="AY85" i="6"/>
  <c r="AZ146" i="6"/>
  <c r="L135" i="6"/>
  <c r="BN104" i="6"/>
  <c r="AA128" i="6"/>
  <c r="CP114" i="6"/>
  <c r="V90" i="6"/>
  <c r="BN112" i="6"/>
  <c r="BD89" i="6"/>
  <c r="Z109" i="6"/>
  <c r="CA92" i="6"/>
  <c r="K107" i="6"/>
  <c r="N115" i="6"/>
  <c r="BL107" i="6"/>
  <c r="CJ96" i="6"/>
  <c r="AG108" i="6"/>
  <c r="S92" i="6"/>
  <c r="V91" i="6"/>
  <c r="AE96" i="6"/>
  <c r="AL101" i="6"/>
  <c r="AE79" i="6"/>
  <c r="AJ107" i="6"/>
  <c r="AM99" i="6"/>
  <c r="AK117" i="6"/>
  <c r="AG92" i="6"/>
  <c r="CJ91" i="6"/>
  <c r="BQ96" i="6"/>
  <c r="AZ78" i="6"/>
  <c r="BB88" i="6"/>
  <c r="CO127" i="6"/>
  <c r="V114" i="6"/>
  <c r="BX91" i="6"/>
  <c r="BX130" i="6"/>
  <c r="CK112" i="6"/>
  <c r="X94" i="6"/>
  <c r="CJ116" i="6"/>
  <c r="BO110" i="6"/>
  <c r="BO91" i="6"/>
  <c r="AE102" i="6"/>
  <c r="CW91" i="6"/>
  <c r="BQ68" i="6"/>
  <c r="CP108" i="6"/>
  <c r="K81" i="6"/>
  <c r="BL70" i="6"/>
  <c r="CC75" i="6"/>
  <c r="AM79" i="6"/>
  <c r="BY75" i="6"/>
  <c r="K63" i="6"/>
  <c r="AJ86" i="6"/>
  <c r="X71" i="6"/>
  <c r="BJ96" i="6"/>
  <c r="AY79" i="6"/>
  <c r="P123" i="6"/>
  <c r="BJ113" i="6"/>
  <c r="AB111" i="6"/>
  <c r="AG114" i="6"/>
  <c r="S101" i="6"/>
  <c r="AB106" i="6"/>
  <c r="AY81" i="6"/>
  <c r="N89" i="6"/>
  <c r="BZ111" i="6"/>
  <c r="CA88" i="6"/>
  <c r="CN76" i="6"/>
  <c r="BG71" i="6"/>
  <c r="CC72" i="6"/>
  <c r="M85" i="6"/>
  <c r="CD78" i="6"/>
  <c r="BO64" i="6"/>
  <c r="BB94" i="6"/>
  <c r="BQ83" i="6"/>
  <c r="AH117" i="6"/>
  <c r="AA111" i="6"/>
  <c r="BO93" i="6"/>
  <c r="X99" i="6"/>
  <c r="L123" i="6"/>
  <c r="CC109" i="6"/>
  <c r="V125" i="6"/>
  <c r="AC100" i="6"/>
  <c r="L103" i="6"/>
  <c r="CO90" i="6"/>
  <c r="AC109" i="6"/>
  <c r="BB77" i="6"/>
  <c r="BG70" i="6"/>
  <c r="BK88" i="6"/>
  <c r="CD162" i="6"/>
  <c r="CA136" i="6"/>
  <c r="AM119" i="6"/>
  <c r="N126" i="6"/>
  <c r="BA128" i="6"/>
  <c r="CE160" i="6"/>
  <c r="CW139" i="6"/>
  <c r="BO133" i="6"/>
  <c r="V118" i="6"/>
  <c r="M96" i="6"/>
  <c r="Q97" i="6"/>
  <c r="CH99" i="6"/>
  <c r="BE63" i="6"/>
  <c r="AL125" i="6"/>
  <c r="K93" i="6"/>
  <c r="AB112" i="6"/>
  <c r="BG102" i="6"/>
  <c r="AO79" i="6"/>
  <c r="AP104" i="6"/>
  <c r="CK93" i="6"/>
  <c r="BL153" i="6"/>
  <c r="AJ111" i="6"/>
  <c r="AL118" i="6"/>
  <c r="N128" i="6"/>
  <c r="CH93" i="6"/>
  <c r="BE98" i="6"/>
  <c r="BI128" i="6"/>
  <c r="BA88" i="6"/>
  <c r="P133" i="6"/>
  <c r="BP105" i="6"/>
  <c r="Z128" i="6"/>
  <c r="CE99" i="6"/>
  <c r="CK92" i="6"/>
  <c r="CN109" i="6"/>
  <c r="P109" i="6"/>
  <c r="AO130" i="6"/>
  <c r="AE89" i="6"/>
  <c r="BK108" i="6"/>
  <c r="AG100" i="6"/>
  <c r="N82" i="6"/>
  <c r="BI104" i="6"/>
  <c r="K88" i="6"/>
  <c r="BK97" i="6"/>
  <c r="AL95" i="6"/>
  <c r="AA118" i="6"/>
  <c r="CP127" i="6"/>
  <c r="AB119" i="6"/>
  <c r="BN126" i="6"/>
  <c r="CF124" i="6"/>
  <c r="CC98" i="6"/>
  <c r="BK117" i="6"/>
  <c r="AH99" i="6"/>
  <c r="AM111" i="6"/>
  <c r="P99" i="6"/>
  <c r="CP109" i="6"/>
  <c r="CC97" i="6"/>
  <c r="BI110" i="6"/>
  <c r="CD110" i="6"/>
  <c r="BJ110" i="6"/>
  <c r="BX120" i="6"/>
  <c r="AE99" i="6"/>
  <c r="BX82" i="6"/>
  <c r="AP103" i="6"/>
  <c r="AH85" i="6"/>
  <c r="AQ94" i="6"/>
  <c r="BY125" i="6"/>
  <c r="BF110" i="6"/>
  <c r="V100" i="6"/>
  <c r="BG82" i="6"/>
  <c r="BB105" i="6"/>
  <c r="BD88" i="6"/>
  <c r="BE77" i="6"/>
  <c r="W113" i="6"/>
  <c r="AB96" i="6"/>
  <c r="BG107" i="6"/>
  <c r="BD111" i="6"/>
  <c r="L110" i="6"/>
  <c r="CN113" i="6"/>
  <c r="N105" i="6"/>
  <c r="CK90" i="6"/>
  <c r="AE91" i="6"/>
  <c r="BO95" i="6"/>
  <c r="CP86" i="6"/>
  <c r="V78" i="6"/>
  <c r="CP105" i="6"/>
  <c r="CI84" i="6"/>
  <c r="AM62" i="6"/>
  <c r="BJ67" i="6"/>
  <c r="Z78" i="6"/>
  <c r="X67" i="6"/>
  <c r="CN72" i="6"/>
  <c r="AR86" i="6"/>
  <c r="BN96" i="6"/>
  <c r="BG96" i="6"/>
  <c r="AZ84" i="6"/>
  <c r="CF121" i="6"/>
  <c r="AM136" i="6"/>
  <c r="BZ117" i="6"/>
  <c r="Q116" i="6"/>
  <c r="AP137" i="6"/>
  <c r="CC104" i="6"/>
  <c r="BX90" i="6"/>
  <c r="CP82" i="6"/>
  <c r="P91" i="6"/>
  <c r="AM115" i="6"/>
  <c r="S105" i="6"/>
  <c r="AB73" i="6"/>
  <c r="AB63" i="6"/>
  <c r="AZ83" i="6"/>
  <c r="BF67" i="6"/>
  <c r="BP73" i="6"/>
  <c r="BA105" i="6"/>
  <c r="P88" i="6"/>
  <c r="CM110" i="6"/>
  <c r="CN97" i="6"/>
  <c r="CI112" i="6"/>
  <c r="CP123" i="6"/>
  <c r="BE105" i="6"/>
  <c r="BL105" i="6"/>
  <c r="L97" i="6"/>
  <c r="BD94" i="6"/>
  <c r="K103" i="6"/>
  <c r="U94" i="6"/>
  <c r="AH77" i="6"/>
  <c r="BL66" i="6"/>
  <c r="BK115" i="6"/>
  <c r="CC92" i="6"/>
  <c r="BG68" i="6"/>
  <c r="BE73" i="6"/>
  <c r="AQ101" i="6"/>
  <c r="AM73" i="6"/>
  <c r="CM120" i="6"/>
  <c r="BA139" i="6"/>
  <c r="BE123" i="6"/>
  <c r="AO106" i="6"/>
  <c r="CF108" i="6"/>
  <c r="BZ125" i="6"/>
  <c r="CN121" i="6"/>
  <c r="BP95" i="6"/>
  <c r="AB132" i="6"/>
  <c r="CA121" i="6"/>
  <c r="CW78" i="6"/>
  <c r="CD92" i="6"/>
  <c r="BB68" i="6"/>
  <c r="BJ125" i="6"/>
  <c r="CW117" i="6"/>
  <c r="AE133" i="6"/>
  <c r="U121" i="6"/>
  <c r="CN106" i="6"/>
  <c r="CJ87" i="6"/>
  <c r="P85" i="6"/>
  <c r="W132" i="6"/>
  <c r="BK93" i="6"/>
  <c r="BD93" i="6"/>
  <c r="CW100" i="6"/>
  <c r="AL103" i="6"/>
  <c r="BN87" i="6"/>
  <c r="BN99" i="6"/>
  <c r="CW84" i="6"/>
  <c r="AJ119" i="6"/>
  <c r="BG128" i="6"/>
  <c r="AM116" i="6"/>
  <c r="BE127" i="6"/>
  <c r="AK100" i="6"/>
  <c r="K109" i="6"/>
  <c r="CA108" i="6"/>
  <c r="AH109" i="6"/>
  <c r="X126" i="6"/>
  <c r="BE122" i="6"/>
  <c r="BP84" i="6"/>
  <c r="AF109" i="6"/>
  <c r="BB103" i="6"/>
  <c r="N86" i="6"/>
  <c r="CP92" i="6"/>
  <c r="CI74" i="6"/>
  <c r="BO151" i="6"/>
  <c r="AR121" i="6"/>
  <c r="BF123" i="6"/>
  <c r="BB110" i="6"/>
  <c r="CF98" i="6"/>
  <c r="CW119" i="6"/>
  <c r="AY115" i="6"/>
  <c r="BF99" i="6"/>
  <c r="M120" i="6"/>
  <c r="AA100" i="6"/>
  <c r="AJ117" i="6"/>
  <c r="AC144" i="6"/>
  <c r="BG106" i="6"/>
  <c r="CI129" i="6"/>
  <c r="CJ118" i="6"/>
  <c r="CP107" i="6"/>
  <c r="BJ98" i="6"/>
  <c r="AQ124" i="6"/>
  <c r="AO103" i="6"/>
  <c r="CH86" i="6"/>
  <c r="P96" i="6"/>
  <c r="BD90" i="6"/>
  <c r="AP94" i="6"/>
  <c r="Z85" i="6"/>
  <c r="AK111" i="6"/>
  <c r="AA104" i="6"/>
  <c r="CJ101" i="6"/>
  <c r="AJ146" i="6"/>
  <c r="BX125" i="6"/>
  <c r="AH152" i="6"/>
  <c r="BZ114" i="6"/>
  <c r="W114" i="6"/>
  <c r="CF95" i="6"/>
  <c r="AA93" i="6"/>
  <c r="BG101" i="6"/>
  <c r="AL82" i="6"/>
  <c r="AK90" i="6"/>
  <c r="CI94" i="6"/>
  <c r="CN82" i="6"/>
  <c r="BK76" i="6"/>
  <c r="AK102" i="6"/>
  <c r="BK77" i="6"/>
  <c r="W64" i="6"/>
  <c r="CM112" i="6"/>
  <c r="AL88" i="6"/>
  <c r="CM66" i="6"/>
  <c r="CW95" i="6"/>
  <c r="CH83" i="6"/>
  <c r="U62" i="6"/>
  <c r="BA86" i="6"/>
  <c r="AJ80" i="6"/>
  <c r="AY120" i="6"/>
  <c r="L101" i="6"/>
  <c r="CW116" i="6"/>
  <c r="AQ126" i="6"/>
  <c r="BL108" i="6"/>
  <c r="CW112" i="6"/>
  <c r="BZ112" i="6"/>
  <c r="AG99" i="6"/>
  <c r="BJ116" i="6"/>
  <c r="AJ100" i="6"/>
  <c r="V88" i="6"/>
  <c r="BO67" i="6"/>
  <c r="CD116" i="6"/>
  <c r="CH79" i="6"/>
  <c r="BY69" i="6"/>
  <c r="BZ74" i="6"/>
  <c r="AP76" i="6"/>
  <c r="AP74" i="6"/>
  <c r="AJ120" i="6"/>
  <c r="CA113" i="6"/>
  <c r="BJ128" i="6"/>
  <c r="CI115" i="6"/>
  <c r="CO94" i="6"/>
  <c r="U98" i="6"/>
  <c r="AL102" i="6"/>
  <c r="AH97" i="6"/>
  <c r="AO87" i="6"/>
  <c r="AR115" i="6"/>
  <c r="BA144" i="6"/>
  <c r="CW128" i="6"/>
  <c r="N124" i="6"/>
  <c r="BX73" i="6"/>
  <c r="AH94" i="6"/>
  <c r="AY130" i="6"/>
  <c r="BQ101" i="6"/>
  <c r="AQ132" i="6"/>
  <c r="BP90" i="6"/>
  <c r="AQ99" i="6"/>
  <c r="CM95" i="6"/>
  <c r="CP117" i="6"/>
  <c r="AB108" i="6"/>
  <c r="CE113" i="6"/>
  <c r="BJ115" i="6"/>
  <c r="CA126" i="6"/>
  <c r="BY92" i="6"/>
  <c r="CC115" i="6"/>
  <c r="AP130" i="6"/>
  <c r="CO98" i="6"/>
  <c r="X105" i="6"/>
  <c r="BJ97" i="6"/>
  <c r="AM80" i="6"/>
  <c r="CC70" i="6"/>
  <c r="AC112" i="6"/>
  <c r="CM113" i="6"/>
  <c r="CC101" i="6"/>
  <c r="AH92" i="6"/>
  <c r="AR66" i="6"/>
  <c r="CF164" i="6"/>
  <c r="AZ117" i="6"/>
  <c r="AM109" i="6"/>
  <c r="AA102" i="6"/>
  <c r="CI80" i="6"/>
  <c r="CD96" i="6"/>
  <c r="BI94" i="6"/>
  <c r="AF118" i="6"/>
  <c r="M87" i="6"/>
  <c r="AJ69" i="6"/>
  <c r="CD84" i="6"/>
  <c r="BB78" i="6"/>
  <c r="BX115" i="6"/>
  <c r="CM85" i="6"/>
  <c r="AE124" i="6"/>
  <c r="CJ129" i="6"/>
  <c r="P105" i="6"/>
  <c r="CW115" i="6"/>
  <c r="R100" i="6"/>
  <c r="BZ129" i="6"/>
  <c r="BE96" i="6"/>
  <c r="AM87" i="6"/>
  <c r="AY82" i="6"/>
  <c r="AQ85" i="6"/>
  <c r="CK87" i="6"/>
  <c r="BZ77" i="6"/>
  <c r="CI62" i="6"/>
  <c r="N85" i="6"/>
  <c r="AK68" i="6"/>
  <c r="CW70" i="6"/>
  <c r="CO130" i="6"/>
  <c r="AQ112" i="6"/>
  <c r="AC116" i="6"/>
  <c r="AR138" i="6"/>
  <c r="BG122" i="6"/>
  <c r="X109" i="6"/>
  <c r="BB87" i="6"/>
  <c r="BD80" i="6"/>
  <c r="AG106" i="6"/>
  <c r="BE81" i="6"/>
  <c r="CW165" i="6"/>
  <c r="AM65" i="6"/>
  <c r="BF69" i="6"/>
  <c r="BX78" i="6"/>
  <c r="R73" i="6"/>
  <c r="BQ80" i="6"/>
  <c r="BZ102" i="6"/>
  <c r="BY80" i="6"/>
  <c r="AK65" i="6"/>
  <c r="K91" i="6"/>
  <c r="S89" i="6"/>
  <c r="Q61" i="6"/>
  <c r="AH86" i="6"/>
  <c r="BB131" i="6"/>
  <c r="M117" i="6"/>
  <c r="CM105" i="6"/>
  <c r="K97" i="6"/>
  <c r="BF108" i="6"/>
  <c r="BJ107" i="6"/>
  <c r="BN80" i="6"/>
  <c r="AZ110" i="6"/>
  <c r="AF90" i="6"/>
  <c r="CD123" i="6"/>
  <c r="R93" i="6"/>
  <c r="BK65" i="6"/>
  <c r="P76" i="6"/>
  <c r="AP77" i="6"/>
  <c r="AO62" i="6"/>
  <c r="AQ69" i="6"/>
  <c r="BQ93" i="6"/>
  <c r="BP83" i="6"/>
  <c r="CD74" i="6"/>
  <c r="CM83" i="6"/>
  <c r="AQ79" i="6"/>
  <c r="AJ124" i="6"/>
  <c r="CO93" i="6"/>
  <c r="U97" i="6"/>
  <c r="AC130" i="6"/>
  <c r="CO84" i="6"/>
  <c r="BQ72" i="6"/>
  <c r="AK72" i="6"/>
  <c r="K80" i="6"/>
  <c r="W99" i="6"/>
  <c r="CF74" i="6"/>
  <c r="AP64" i="6"/>
  <c r="AZ93" i="6"/>
  <c r="AH83" i="6"/>
  <c r="N68" i="6"/>
  <c r="W90" i="6"/>
  <c r="AO81" i="6"/>
  <c r="BG168" i="6"/>
  <c r="BE97" i="6"/>
  <c r="CK75" i="6"/>
  <c r="L68" i="6"/>
  <c r="Z107" i="6"/>
  <c r="AY73" i="6"/>
  <c r="AO78" i="6"/>
  <c r="AY90" i="6"/>
  <c r="AK119" i="6"/>
  <c r="CE112" i="6"/>
  <c r="P116" i="6"/>
  <c r="AK115" i="6"/>
  <c r="AZ121" i="6"/>
  <c r="AJ105" i="6"/>
  <c r="S84" i="6"/>
  <c r="BJ126" i="6"/>
  <c r="CF128" i="6"/>
  <c r="CN122" i="6"/>
  <c r="AM95" i="6"/>
  <c r="CP134" i="6"/>
  <c r="CK109" i="6"/>
  <c r="CK108" i="6"/>
  <c r="M114" i="6"/>
  <c r="AY94" i="6"/>
  <c r="X100" i="6"/>
  <c r="CP94" i="6"/>
  <c r="BD131" i="6"/>
  <c r="U151" i="6"/>
  <c r="AO100" i="6"/>
  <c r="K79" i="6"/>
  <c r="BX79" i="6"/>
  <c r="AZ73" i="6"/>
  <c r="P95" i="6"/>
  <c r="BA112" i="6"/>
  <c r="BL94" i="6"/>
  <c r="AY89" i="6"/>
  <c r="CP76" i="6"/>
  <c r="R119" i="6"/>
  <c r="AF127" i="6"/>
  <c r="BG97" i="6"/>
  <c r="BO84" i="6"/>
  <c r="CC78" i="6"/>
  <c r="CA87" i="6"/>
  <c r="BK70" i="6"/>
  <c r="BY112" i="6"/>
  <c r="BD78" i="6"/>
  <c r="AM90" i="6"/>
  <c r="P82" i="6"/>
  <c r="S69" i="6"/>
  <c r="CF103" i="6"/>
  <c r="AZ91" i="6"/>
  <c r="CK107" i="6"/>
  <c r="AK105" i="6"/>
  <c r="BB140" i="6"/>
  <c r="CE106" i="6"/>
  <c r="CN133" i="6"/>
  <c r="AA114" i="6"/>
  <c r="BE88" i="6"/>
  <c r="CC84" i="6"/>
  <c r="CI125" i="6"/>
  <c r="BJ83" i="6"/>
  <c r="BA89" i="6"/>
  <c r="AP66" i="6"/>
  <c r="BI70" i="6"/>
  <c r="CC80" i="6"/>
  <c r="AQ75" i="6"/>
  <c r="BY62" i="6"/>
  <c r="AZ124" i="6"/>
  <c r="BL111" i="6"/>
  <c r="U109" i="6"/>
  <c r="M98" i="6"/>
  <c r="AP127" i="6"/>
  <c r="BG110" i="6"/>
  <c r="BP81" i="6"/>
  <c r="AC117" i="6"/>
  <c r="AK92" i="6"/>
  <c r="AA107" i="6"/>
  <c r="CH96" i="6"/>
  <c r="K70" i="6"/>
  <c r="BL82" i="6"/>
  <c r="AR78" i="6"/>
  <c r="AQ63" i="6"/>
  <c r="AY70" i="6"/>
  <c r="BO96" i="6"/>
  <c r="CH84" i="6"/>
  <c r="S76" i="6"/>
  <c r="K87" i="6"/>
  <c r="AY80" i="6"/>
  <c r="L121" i="6"/>
  <c r="AB103" i="6"/>
  <c r="BZ124" i="6"/>
  <c r="BZ116" i="6"/>
  <c r="AL100" i="6"/>
  <c r="CN90" i="6"/>
  <c r="BZ107" i="6"/>
  <c r="AR102" i="6"/>
  <c r="V112" i="6"/>
  <c r="K89" i="6"/>
  <c r="CA98" i="6"/>
  <c r="L98" i="6"/>
  <c r="BJ94" i="6"/>
  <c r="CI73" i="6"/>
  <c r="BQ66" i="6"/>
  <c r="AB84" i="6"/>
  <c r="BY73" i="6"/>
  <c r="BG80" i="6"/>
  <c r="BL87" i="6"/>
  <c r="AZ85" i="6"/>
  <c r="AB66" i="6"/>
  <c r="AF76" i="6"/>
  <c r="AF74" i="6"/>
  <c r="BI99" i="6"/>
  <c r="BP82" i="6"/>
  <c r="CM116" i="6"/>
  <c r="BZ86" i="6"/>
  <c r="AE86" i="6"/>
  <c r="AQ76" i="6"/>
  <c r="CE71" i="6"/>
  <c r="AH89" i="6"/>
  <c r="BY98" i="6"/>
  <c r="AE66" i="6"/>
  <c r="AG73" i="6"/>
  <c r="CA103" i="6"/>
  <c r="BP87" i="6"/>
  <c r="S86" i="6"/>
  <c r="BJ101" i="6"/>
  <c r="AF86" i="6"/>
  <c r="AM125" i="6"/>
  <c r="CP122" i="6"/>
  <c r="BL103" i="6"/>
  <c r="BQ118" i="6"/>
  <c r="AR85" i="6"/>
  <c r="N102" i="6"/>
  <c r="AB101" i="6"/>
  <c r="BE120" i="6"/>
  <c r="BJ117" i="6"/>
  <c r="V93" i="6"/>
  <c r="BA79" i="6"/>
  <c r="L115" i="6"/>
  <c r="K105" i="6"/>
  <c r="BF90" i="6"/>
  <c r="CK97" i="6"/>
  <c r="AJ89" i="6"/>
  <c r="AQ84" i="6"/>
  <c r="AQ96" i="6"/>
  <c r="AA92" i="6"/>
  <c r="N118" i="6"/>
  <c r="AO95" i="6"/>
  <c r="W87" i="6"/>
  <c r="AF75" i="6"/>
  <c r="BZ90" i="6"/>
  <c r="CD97" i="6"/>
  <c r="Q83" i="6"/>
  <c r="BF100" i="6"/>
  <c r="CD82" i="6"/>
  <c r="AG84" i="6"/>
  <c r="N123" i="6"/>
  <c r="CJ108" i="6"/>
  <c r="K98" i="6"/>
  <c r="BX86" i="6"/>
  <c r="Q75" i="6"/>
  <c r="CA81" i="6"/>
  <c r="R62" i="6"/>
  <c r="CF101" i="6"/>
  <c r="S65" i="6"/>
  <c r="CI70" i="6"/>
  <c r="AA83" i="6"/>
  <c r="AB78" i="6"/>
  <c r="AF91" i="6"/>
  <c r="AP82" i="6"/>
  <c r="CJ124" i="6"/>
  <c r="BO116" i="6"/>
  <c r="AO113" i="6"/>
  <c r="AE101" i="6"/>
  <c r="CK106" i="6"/>
  <c r="AZ115" i="6"/>
  <c r="CM84" i="6"/>
  <c r="BL126" i="6"/>
  <c r="AZ96" i="6"/>
  <c r="BB116" i="6"/>
  <c r="CF115" i="6"/>
  <c r="M71" i="6"/>
  <c r="CF88" i="6"/>
  <c r="BL80" i="6"/>
  <c r="CH64" i="6"/>
  <c r="BK71" i="6"/>
  <c r="AM120" i="6"/>
  <c r="CM117" i="6"/>
  <c r="BQ104" i="6"/>
  <c r="L94" i="6"/>
  <c r="W109" i="6"/>
  <c r="AF117" i="6"/>
  <c r="CI105" i="6"/>
  <c r="R92" i="6"/>
  <c r="CD99" i="6"/>
  <c r="BY100" i="6"/>
  <c r="X97" i="6"/>
  <c r="CP74" i="6"/>
  <c r="AZ67" i="6"/>
  <c r="AE85" i="6"/>
  <c r="CE74" i="6"/>
  <c r="CO61" i="6"/>
  <c r="BY90" i="6"/>
  <c r="AJ76" i="6"/>
  <c r="AE67" i="6"/>
  <c r="BY78" i="6"/>
  <c r="AR75" i="6"/>
  <c r="N94" i="6"/>
  <c r="BX83" i="6"/>
  <c r="AQ108" i="6"/>
  <c r="CJ104" i="6"/>
  <c r="AC97" i="6"/>
  <c r="CE107" i="6"/>
  <c r="K113" i="6"/>
  <c r="AC106" i="6"/>
  <c r="R105" i="6"/>
  <c r="V99" i="6"/>
  <c r="CJ98" i="6"/>
  <c r="CK102" i="6"/>
  <c r="W85" i="6"/>
  <c r="BB62" i="6"/>
  <c r="X98" i="6"/>
  <c r="CP87" i="6"/>
  <c r="AZ65" i="6"/>
  <c r="BQ70" i="6"/>
  <c r="BD84" i="6"/>
  <c r="AF70" i="6"/>
  <c r="AC76" i="6"/>
  <c r="U96" i="6"/>
  <c r="L66" i="6"/>
  <c r="AR107" i="6"/>
  <c r="BG87" i="6"/>
  <c r="BY141" i="6"/>
  <c r="BY96" i="6"/>
  <c r="CF72" i="6"/>
  <c r="BO83" i="6"/>
  <c r="BO74" i="6"/>
  <c r="BL85" i="6"/>
  <c r="AO88" i="6"/>
  <c r="CA78" i="6"/>
  <c r="CC64" i="6"/>
  <c r="AE83" i="6"/>
  <c r="W79" i="6"/>
  <c r="R70" i="6"/>
  <c r="BN95" i="6"/>
  <c r="BZ91" i="6"/>
  <c r="BD125" i="6"/>
  <c r="AH130" i="6"/>
  <c r="BL75" i="6"/>
  <c r="BX81" i="6"/>
  <c r="AJ82" i="6"/>
  <c r="P118" i="6"/>
  <c r="Z64" i="6"/>
  <c r="BZ85" i="6"/>
  <c r="AB70" i="6"/>
  <c r="W75" i="6"/>
  <c r="CN77" i="6"/>
  <c r="BI103" i="6"/>
  <c r="BA131" i="6"/>
  <c r="BL98" i="6"/>
  <c r="CN86" i="6"/>
  <c r="CM81" i="6"/>
  <c r="AF106" i="6"/>
  <c r="AC66" i="6"/>
  <c r="AC78" i="6"/>
  <c r="N88" i="6"/>
  <c r="AK104" i="6"/>
  <c r="BZ84" i="6"/>
  <c r="CM62" i="6"/>
  <c r="CO69" i="6"/>
  <c r="CI79" i="6"/>
  <c r="BE74" i="6"/>
  <c r="CH71" i="6"/>
  <c r="AJ99" i="6"/>
  <c r="CW125" i="6"/>
  <c r="BY97" i="6"/>
  <c r="CK85" i="6"/>
  <c r="CJ80" i="6"/>
  <c r="BD99" i="6"/>
  <c r="X64" i="6"/>
  <c r="BY76" i="6"/>
  <c r="CI81" i="6"/>
  <c r="BI126" i="6"/>
  <c r="M118" i="6"/>
  <c r="AJ114" i="6"/>
  <c r="AC122" i="6"/>
  <c r="AB92" i="6"/>
  <c r="CF134" i="6"/>
  <c r="U79" i="6"/>
  <c r="CI134" i="6"/>
  <c r="BE93" i="6"/>
  <c r="AJ95" i="6"/>
  <c r="BZ120" i="6"/>
  <c r="CO132" i="6"/>
  <c r="X132" i="6"/>
  <c r="CP91" i="6"/>
  <c r="AO98" i="6"/>
  <c r="W120" i="6"/>
  <c r="Q82" i="6"/>
  <c r="CK95" i="6"/>
  <c r="AP111" i="6"/>
  <c r="CA105" i="6"/>
  <c r="BN79" i="6"/>
  <c r="AR71" i="6"/>
  <c r="AR79" i="6"/>
  <c r="CI78" i="6"/>
  <c r="K102" i="6"/>
  <c r="CO99" i="6"/>
  <c r="AP85" i="6"/>
  <c r="U86" i="6"/>
  <c r="W97" i="6"/>
  <c r="CE90" i="6"/>
  <c r="AJ104" i="6"/>
  <c r="AP96" i="6"/>
  <c r="CA90" i="6"/>
  <c r="AG64" i="6"/>
  <c r="R85" i="6"/>
  <c r="L72" i="6"/>
  <c r="BI81" i="6"/>
  <c r="CH72" i="6"/>
  <c r="BO119" i="6"/>
  <c r="BN90" i="6"/>
  <c r="CH68" i="6"/>
  <c r="AH101" i="6"/>
  <c r="CC86" i="6"/>
  <c r="K124" i="6"/>
  <c r="N106" i="6"/>
  <c r="CI108" i="6"/>
  <c r="V98" i="6"/>
  <c r="AQ113" i="6"/>
  <c r="AQ106" i="6"/>
  <c r="AL124" i="6"/>
  <c r="BA100" i="6"/>
  <c r="CW101" i="6"/>
  <c r="CK113" i="6"/>
  <c r="BY102" i="6"/>
  <c r="U76" i="6"/>
  <c r="BE69" i="6"/>
  <c r="AG86" i="6"/>
  <c r="CW75" i="6"/>
  <c r="R63" i="6"/>
  <c r="CD111" i="6"/>
  <c r="BB92" i="6"/>
  <c r="AF98" i="6"/>
  <c r="AE122" i="6"/>
  <c r="AB116" i="6"/>
  <c r="CM106" i="6"/>
  <c r="BD97" i="6"/>
  <c r="AC102" i="6"/>
  <c r="CC99" i="6"/>
  <c r="AC104" i="6"/>
  <c r="AL87" i="6"/>
  <c r="BQ64" i="6"/>
  <c r="AO109" i="6"/>
  <c r="CW88" i="6"/>
  <c r="BB66" i="6"/>
  <c r="AZ71" i="6"/>
  <c r="AY86" i="6"/>
  <c r="AH71" i="6"/>
  <c r="CI77" i="6"/>
  <c r="P78" i="6"/>
  <c r="N67" i="6"/>
  <c r="W95" i="6"/>
  <c r="BJ88" i="6"/>
  <c r="CJ130" i="6"/>
  <c r="BJ100" i="6"/>
  <c r="CF104" i="6"/>
  <c r="AZ106" i="6"/>
  <c r="AC92" i="6"/>
  <c r="CC89" i="6"/>
  <c r="AK101" i="6"/>
  <c r="BI93" i="6"/>
  <c r="Q98" i="6"/>
  <c r="CJ102" i="6"/>
  <c r="R99" i="6"/>
  <c r="BZ70" i="6"/>
  <c r="BB109" i="6"/>
  <c r="CH98" i="6"/>
  <c r="AE76" i="6"/>
  <c r="AH62" i="6"/>
  <c r="CK84" i="6"/>
  <c r="AH84" i="6"/>
  <c r="CA67" i="6"/>
  <c r="AA79" i="6"/>
  <c r="CJ73" i="6"/>
  <c r="AO99" i="6"/>
  <c r="BP136" i="6"/>
  <c r="CP98" i="6"/>
  <c r="L80" i="6"/>
  <c r="N69" i="6"/>
  <c r="CF113" i="6"/>
  <c r="BP77" i="6"/>
  <c r="BK81" i="6"/>
  <c r="L77" i="6"/>
  <c r="AA69" i="6"/>
  <c r="AH74" i="6"/>
  <c r="AM75" i="6"/>
  <c r="L74" i="6"/>
  <c r="AY61" i="6"/>
  <c r="BF97" i="6"/>
  <c r="AE82" i="6"/>
  <c r="M106" i="6"/>
  <c r="AH98" i="6"/>
  <c r="BE106" i="6"/>
  <c r="M82" i="6"/>
  <c r="U85" i="6"/>
  <c r="AP91" i="6"/>
  <c r="AF67" i="6"/>
  <c r="AP83" i="6"/>
  <c r="BI61" i="6"/>
  <c r="CC113" i="6"/>
  <c r="CC85" i="6"/>
  <c r="AF108" i="6"/>
  <c r="Z90" i="6"/>
  <c r="BE80" i="6"/>
  <c r="V129" i="6"/>
  <c r="BQ123" i="6"/>
  <c r="AH107" i="6"/>
  <c r="BE102" i="6"/>
  <c r="CC95" i="6"/>
  <c r="BI106" i="6"/>
  <c r="BK111" i="6"/>
  <c r="AY105" i="6"/>
  <c r="AC111" i="6"/>
  <c r="AM91" i="6"/>
  <c r="AA101" i="6"/>
  <c r="BK124" i="6"/>
  <c r="CW107" i="6"/>
  <c r="AE112" i="6"/>
  <c r="AG113" i="6"/>
  <c r="V95" i="6"/>
  <c r="BK96" i="6"/>
  <c r="BN109" i="6"/>
  <c r="AZ119" i="6"/>
  <c r="Q93" i="6"/>
  <c r="AL84" i="6"/>
  <c r="CE72" i="6"/>
  <c r="AF129" i="6"/>
  <c r="CH88" i="6"/>
  <c r="AF102" i="6"/>
  <c r="BB104" i="6"/>
  <c r="BA61" i="6"/>
  <c r="N80" i="6"/>
  <c r="AK79" i="6"/>
  <c r="N132" i="6"/>
  <c r="BB100" i="6"/>
  <c r="AO96" i="6"/>
  <c r="BI98" i="6"/>
  <c r="X73" i="6"/>
  <c r="BB86" i="6"/>
  <c r="BN72" i="6"/>
  <c r="S90" i="6"/>
  <c r="AJ64" i="6"/>
  <c r="AE93" i="6"/>
  <c r="CC81" i="6"/>
  <c r="CO59" i="6"/>
  <c r="BP80" i="6"/>
  <c r="AE78" i="6"/>
  <c r="CI113" i="6"/>
  <c r="CK96" i="6"/>
  <c r="AM101" i="6"/>
  <c r="BD126" i="6"/>
  <c r="AZ139" i="6"/>
  <c r="K125" i="6"/>
  <c r="BK100" i="6"/>
  <c r="AB93" i="6"/>
  <c r="CH101" i="6"/>
  <c r="BJ112" i="6"/>
  <c r="AQ117" i="6"/>
  <c r="BJ65" i="6"/>
  <c r="CW129" i="6"/>
  <c r="AC90" i="6"/>
  <c r="BE67" i="6"/>
  <c r="BB72" i="6"/>
  <c r="BD147" i="6"/>
  <c r="BO104" i="6"/>
  <c r="BA93" i="6"/>
  <c r="L108" i="6"/>
  <c r="AM96" i="6"/>
  <c r="AQ98" i="6"/>
  <c r="AM102" i="6"/>
  <c r="CH97" i="6"/>
  <c r="S99" i="6"/>
  <c r="CO103" i="6"/>
  <c r="BB76" i="6"/>
  <c r="BN71" i="6"/>
  <c r="AY96" i="6"/>
  <c r="BQ105" i="6"/>
  <c r="CK77" i="6"/>
  <c r="AK63" i="6"/>
  <c r="BQ86" i="6"/>
  <c r="AR105" i="6"/>
  <c r="BE68" i="6"/>
  <c r="AC80" i="6"/>
  <c r="U75" i="6"/>
  <c r="R102" i="6"/>
  <c r="AK80" i="6"/>
  <c r="CD115" i="6"/>
  <c r="BX96" i="6"/>
  <c r="CH112" i="6"/>
  <c r="BQ106" i="6"/>
  <c r="U104" i="6"/>
  <c r="AZ101" i="6"/>
  <c r="BX93" i="6"/>
  <c r="BP91" i="6"/>
  <c r="U83" i="6"/>
  <c r="Q102" i="6"/>
  <c r="V89" i="6"/>
  <c r="CE101" i="6"/>
  <c r="AJ97" i="6"/>
  <c r="CJ81" i="6"/>
  <c r="AO67" i="6"/>
  <c r="BB136" i="6"/>
  <c r="M97" i="6"/>
  <c r="BK69" i="6"/>
  <c r="AM112" i="6"/>
  <c r="P87" i="6"/>
  <c r="AL65" i="6"/>
  <c r="N93" i="6"/>
  <c r="BI123" i="6"/>
  <c r="Z119" i="6"/>
  <c r="CA94" i="6"/>
  <c r="CH132" i="6"/>
  <c r="Z97" i="6"/>
  <c r="CF80" i="6"/>
  <c r="Q68" i="6"/>
  <c r="BY89" i="6"/>
  <c r="CP60" i="6"/>
  <c r="N66" i="6"/>
  <c r="AJ92" i="6"/>
  <c r="BB65" i="6"/>
  <c r="BL71" i="6"/>
  <c r="CK83" i="6"/>
  <c r="CA77" i="6"/>
  <c r="R109" i="6"/>
  <c r="AK112" i="6"/>
  <c r="CH81" i="6"/>
  <c r="AZ72" i="6"/>
  <c r="BJ90" i="6"/>
  <c r="P81" i="6"/>
  <c r="AJ113" i="6"/>
  <c r="CP67" i="6"/>
  <c r="CA71" i="6"/>
  <c r="AQ103" i="6"/>
  <c r="S91" i="6"/>
  <c r="S93" i="6"/>
  <c r="CW96" i="6"/>
  <c r="AE100" i="6"/>
  <c r="AR64" i="6"/>
  <c r="AA68" i="6"/>
  <c r="CW87" i="6"/>
  <c r="BE99" i="6"/>
  <c r="BI72" i="6"/>
  <c r="AK62" i="6"/>
  <c r="CW104" i="6"/>
  <c r="AC81" i="6"/>
  <c r="CW65" i="6"/>
  <c r="BG95" i="6"/>
  <c r="V106" i="6"/>
  <c r="BQ71" i="6"/>
  <c r="BJ55" i="6"/>
  <c r="L90" i="6"/>
  <c r="CN94" i="6"/>
  <c r="CP90" i="6"/>
  <c r="AP63" i="6"/>
  <c r="V66" i="6"/>
  <c r="BB84" i="6"/>
  <c r="CI93" i="6"/>
  <c r="BF71" i="6"/>
  <c r="CK86" i="6"/>
  <c r="BI101" i="6"/>
  <c r="AA80" i="6"/>
  <c r="CP64" i="6"/>
  <c r="CA89" i="6"/>
  <c r="CJ95" i="6"/>
  <c r="AC114" i="6"/>
  <c r="CC121" i="6"/>
  <c r="CO102" i="6"/>
  <c r="AJ66" i="6"/>
  <c r="Z100" i="6"/>
  <c r="AG68" i="6"/>
  <c r="BD76" i="6"/>
  <c r="CJ84" i="6"/>
  <c r="Q65" i="6"/>
  <c r="X70" i="6"/>
  <c r="K84" i="6"/>
  <c r="BB121" i="6"/>
  <c r="CJ111" i="6"/>
  <c r="AR112" i="6"/>
  <c r="CF86" i="6"/>
  <c r="BO81" i="6"/>
  <c r="AY104" i="6"/>
  <c r="BQ75" i="6"/>
  <c r="BA81" i="6"/>
  <c r="CH65" i="6"/>
  <c r="CO112" i="6"/>
  <c r="AE90" i="6"/>
  <c r="V115" i="6"/>
  <c r="BP92" i="6"/>
  <c r="Q88" i="6"/>
  <c r="AL66" i="6"/>
  <c r="BA76" i="6"/>
  <c r="V77" i="6"/>
  <c r="AY93" i="6"/>
  <c r="AJ68" i="6"/>
  <c r="BA75" i="6"/>
  <c r="P93" i="6"/>
  <c r="P90" i="6"/>
  <c r="CI61" i="6"/>
  <c r="K94" i="6"/>
  <c r="AK88" i="6"/>
  <c r="CC62" i="6"/>
  <c r="AZ51" i="6"/>
  <c r="AQ107" i="6"/>
  <c r="BL140" i="6"/>
  <c r="CM88" i="6"/>
  <c r="CN116" i="6"/>
  <c r="AL79" i="6"/>
  <c r="AH103" i="6"/>
  <c r="U91" i="6"/>
  <c r="CP128" i="6"/>
  <c r="AL116" i="6"/>
  <c r="AG91" i="6"/>
  <c r="P101" i="6"/>
  <c r="L118" i="6"/>
  <c r="CO106" i="6"/>
  <c r="AZ107" i="6"/>
  <c r="BB108" i="6"/>
  <c r="BZ94" i="6"/>
  <c r="AB97" i="6"/>
  <c r="CD127" i="6"/>
  <c r="CH110" i="6"/>
  <c r="AJ81" i="6"/>
  <c r="P84" i="6"/>
  <c r="Q74" i="6"/>
  <c r="AG95" i="6"/>
  <c r="AG75" i="6"/>
  <c r="CE104" i="6"/>
  <c r="AZ112" i="6"/>
  <c r="AR76" i="6"/>
  <c r="AK61" i="6"/>
  <c r="BF79" i="6"/>
  <c r="AG112" i="6"/>
  <c r="BG105" i="6"/>
  <c r="AB102" i="6"/>
  <c r="CN88" i="6"/>
  <c r="CK63" i="6"/>
  <c r="AM69" i="6"/>
  <c r="U64" i="6"/>
  <c r="AH78" i="6"/>
  <c r="CH75" i="6"/>
  <c r="BL102" i="6"/>
  <c r="BO86" i="6"/>
  <c r="AP71" i="6"/>
  <c r="AG97" i="6"/>
  <c r="S73" i="6"/>
  <c r="AA139" i="6"/>
  <c r="BQ107" i="6"/>
  <c r="BZ97" i="6"/>
  <c r="BO112" i="6"/>
  <c r="AP97" i="6"/>
  <c r="V97" i="6"/>
  <c r="BG120" i="6"/>
  <c r="K99" i="6"/>
  <c r="X101" i="6"/>
  <c r="BY117" i="6"/>
  <c r="BQ78" i="6"/>
  <c r="BF72" i="6"/>
  <c r="CH100" i="6"/>
  <c r="AZ80" i="6"/>
  <c r="CW81" i="6"/>
  <c r="AM64" i="6"/>
  <c r="W107" i="6"/>
  <c r="CJ97" i="6"/>
  <c r="W127" i="6"/>
  <c r="CD109" i="6"/>
  <c r="CF111" i="6"/>
  <c r="AZ108" i="6"/>
  <c r="CO96" i="6"/>
  <c r="BN100" i="6"/>
  <c r="W84" i="6"/>
  <c r="S103" i="6"/>
  <c r="AR90" i="6"/>
  <c r="AB62" i="6"/>
  <c r="AQ100" i="6"/>
  <c r="CM82" i="6"/>
  <c r="AQ68" i="6"/>
  <c r="CD129" i="6"/>
  <c r="N107" i="6"/>
  <c r="BD70" i="6"/>
  <c r="Z110" i="6"/>
  <c r="AB88" i="6"/>
  <c r="AO66" i="6"/>
  <c r="CA95" i="6"/>
  <c r="CE136" i="6"/>
  <c r="BZ158" i="6"/>
  <c r="BF127" i="6"/>
  <c r="V108" i="6"/>
  <c r="BO101" i="6"/>
  <c r="AL97" i="6"/>
  <c r="P97" i="6"/>
  <c r="K90" i="6"/>
  <c r="N81" i="6"/>
  <c r="BO80" i="6"/>
  <c r="AE87" i="6"/>
  <c r="AG87" i="6"/>
  <c r="Q70" i="6"/>
  <c r="CC90" i="6"/>
  <c r="BI75" i="6"/>
  <c r="S78" i="6"/>
  <c r="BN101" i="6"/>
  <c r="CE82" i="6"/>
  <c r="AB61" i="6"/>
  <c r="BG91" i="6"/>
  <c r="K100" i="6"/>
  <c r="Q77" i="6"/>
  <c r="BY86" i="6"/>
  <c r="BZ128" i="6"/>
  <c r="P144" i="6"/>
  <c r="BE76" i="6"/>
  <c r="BD87" i="6"/>
  <c r="AK89" i="6"/>
  <c r="BQ113" i="6"/>
  <c r="AQ67" i="6"/>
  <c r="CE87" i="6"/>
  <c r="AE71" i="6"/>
  <c r="AL76" i="6"/>
  <c r="CP78" i="6"/>
  <c r="BK73" i="6"/>
  <c r="AC63" i="6"/>
  <c r="AG81" i="6"/>
  <c r="BY68" i="6"/>
  <c r="R96" i="6"/>
  <c r="CD113" i="6"/>
  <c r="AB82" i="6"/>
  <c r="BO71" i="6"/>
  <c r="AC69" i="6"/>
  <c r="CD89" i="6"/>
  <c r="S102" i="6"/>
  <c r="BZ73" i="6"/>
  <c r="AM63" i="6"/>
  <c r="BG115" i="6"/>
  <c r="AF82" i="6"/>
  <c r="CF106" i="6"/>
  <c r="S79" i="6"/>
  <c r="BF74" i="6"/>
  <c r="CK67" i="6"/>
  <c r="CO67" i="6"/>
  <c r="K85" i="6"/>
  <c r="AB89" i="6"/>
  <c r="P64" i="6"/>
  <c r="AB71" i="6"/>
  <c r="AA98" i="6"/>
  <c r="BK85" i="6"/>
  <c r="P77" i="6"/>
  <c r="CN95" i="6"/>
  <c r="AA84" i="6"/>
  <c r="CI65" i="6"/>
  <c r="AK47" i="6"/>
  <c r="CA122" i="6"/>
  <c r="L76" i="6"/>
  <c r="BL73" i="6"/>
  <c r="CI66" i="6"/>
  <c r="CJ65" i="6"/>
  <c r="BF82" i="6"/>
  <c r="CC83" i="6"/>
  <c r="M63" i="6"/>
  <c r="P70" i="6"/>
  <c r="BL95" i="6"/>
  <c r="AY84" i="6"/>
  <c r="BE75" i="6"/>
  <c r="AK93" i="6"/>
  <c r="X83" i="6"/>
  <c r="CJ128" i="6"/>
  <c r="V104" i="6"/>
  <c r="CP93" i="6"/>
  <c r="V103" i="6"/>
  <c r="AL90" i="6"/>
  <c r="BG69" i="6"/>
  <c r="AH76" i="6"/>
  <c r="AM81" i="6"/>
  <c r="BP75" i="6"/>
  <c r="CN61" i="6"/>
  <c r="AM84" i="6"/>
  <c r="AK96" i="6"/>
  <c r="AR95" i="6"/>
  <c r="AY97" i="6"/>
  <c r="AQ89" i="6"/>
  <c r="CD86" i="6"/>
  <c r="CP101" i="6"/>
  <c r="CN79" i="6"/>
  <c r="Q72" i="6"/>
  <c r="CP75" i="6"/>
  <c r="Z91" i="6"/>
  <c r="BD81" i="6"/>
  <c r="BZ92" i="6"/>
  <c r="BA107" i="6"/>
  <c r="AY64" i="6"/>
  <c r="AO68" i="6"/>
  <c r="AF87" i="6"/>
  <c r="CN89" i="6"/>
  <c r="AR81" i="6"/>
  <c r="CE59" i="6"/>
  <c r="CH66" i="6"/>
  <c r="Q89" i="6"/>
  <c r="AL81" i="6"/>
  <c r="W72" i="6"/>
  <c r="AY101" i="6"/>
  <c r="Q80" i="6"/>
  <c r="Z69" i="6"/>
  <c r="AA43" i="6"/>
  <c r="BD129" i="6"/>
  <c r="R97" i="6"/>
  <c r="S114" i="6"/>
  <c r="N91" i="6"/>
  <c r="CA91" i="6"/>
  <c r="CM67" i="6"/>
  <c r="BF141" i="6"/>
  <c r="CJ149" i="6"/>
  <c r="AZ79" i="6"/>
  <c r="W86" i="6"/>
  <c r="V63" i="6"/>
  <c r="R101" i="6"/>
  <c r="BZ93" i="6"/>
  <c r="X107" i="6"/>
  <c r="CE83" i="6"/>
  <c r="CW124" i="6"/>
  <c r="AB98" i="6"/>
  <c r="AG88" i="6"/>
  <c r="U77" i="6"/>
  <c r="AE62" i="6"/>
  <c r="CF89" i="6"/>
  <c r="CI107" i="6"/>
  <c r="AC83" i="6"/>
  <c r="BE87" i="6"/>
  <c r="CN68" i="6"/>
  <c r="AM94" i="6"/>
  <c r="AG110" i="6"/>
  <c r="BJ89" i="6"/>
  <c r="BZ62" i="6"/>
  <c r="U72" i="6"/>
  <c r="AA127" i="6"/>
  <c r="AA75" i="6"/>
  <c r="CW64" i="6"/>
  <c r="AE72" i="6"/>
  <c r="BN86" i="6"/>
  <c r="S98" i="6"/>
  <c r="AA64" i="6"/>
  <c r="CP73" i="6"/>
  <c r="CJ79" i="6"/>
  <c r="P69" i="6"/>
  <c r="AE88" i="6"/>
  <c r="AC74" i="6"/>
  <c r="BQ77" i="6"/>
  <c r="CF76" i="6"/>
  <c r="AE110" i="6"/>
  <c r="M115" i="6"/>
  <c r="X63" i="6"/>
  <c r="CK71" i="6"/>
  <c r="M93" i="6"/>
  <c r="M68" i="6"/>
  <c r="AA89" i="6"/>
  <c r="BF89" i="6"/>
  <c r="CM68" i="6"/>
  <c r="BF87" i="6"/>
  <c r="N110" i="6"/>
  <c r="P94" i="6"/>
  <c r="BL88" i="6"/>
  <c r="BZ81" i="6"/>
  <c r="BZ80" i="6"/>
  <c r="BD82" i="6"/>
  <c r="BO68" i="6"/>
  <c r="BO92" i="6"/>
  <c r="CP106" i="6"/>
  <c r="Q87" i="6"/>
  <c r="AG65" i="6"/>
  <c r="BA77" i="6"/>
  <c r="CE91" i="6"/>
  <c r="BN81" i="6"/>
  <c r="BB67" i="6"/>
  <c r="BK99" i="6"/>
  <c r="BL113" i="6"/>
  <c r="BK86" i="6"/>
  <c r="BK94" i="6"/>
  <c r="CA85" i="6"/>
  <c r="CJ85" i="6"/>
  <c r="BZ95" i="6"/>
  <c r="CC74" i="6"/>
  <c r="CD80" i="6"/>
  <c r="K76" i="6"/>
  <c r="BK128" i="6"/>
  <c r="AJ84" i="6"/>
  <c r="AH70" i="6"/>
  <c r="AP110" i="6"/>
  <c r="CI68" i="6"/>
  <c r="CP104" i="6"/>
  <c r="AR73" i="6"/>
  <c r="BX51" i="6"/>
  <c r="R49" i="6"/>
  <c r="CM43" i="6"/>
  <c r="BX71" i="6"/>
  <c r="BX35" i="6"/>
  <c r="CH32" i="6"/>
  <c r="AA58" i="6"/>
  <c r="CO70" i="6"/>
  <c r="BF34" i="6"/>
  <c r="AQ61" i="6"/>
  <c r="U70" i="6"/>
  <c r="V53" i="6"/>
  <c r="AC49" i="6"/>
  <c r="AF43" i="6"/>
  <c r="CO64" i="6"/>
  <c r="BO41" i="6"/>
  <c r="CA37" i="6"/>
  <c r="CD31" i="6"/>
  <c r="BX61" i="6"/>
  <c r="BB40" i="6"/>
  <c r="AZ36" i="6"/>
  <c r="BY74" i="6"/>
  <c r="AY63" i="6"/>
  <c r="AF60" i="6"/>
  <c r="AC54" i="6"/>
  <c r="AZ46" i="6"/>
  <c r="CP12" i="6"/>
  <c r="BB6" i="6"/>
  <c r="CF81" i="6"/>
  <c r="CD66" i="6"/>
  <c r="Q86" i="6"/>
  <c r="BY70" i="6"/>
  <c r="CE50" i="6"/>
  <c r="CO47" i="6"/>
  <c r="CJ42" i="6"/>
  <c r="BF70" i="6"/>
  <c r="BP34" i="6"/>
  <c r="CK61" i="6"/>
  <c r="U110" i="6"/>
  <c r="BD69" i="6"/>
  <c r="BD33" i="6"/>
  <c r="CP59" i="6"/>
  <c r="BZ65" i="6"/>
  <c r="S52" i="6"/>
  <c r="AA48" i="6"/>
  <c r="AC42" i="6"/>
  <c r="AL62" i="6"/>
  <c r="BL40" i="6"/>
  <c r="BY36" i="6"/>
  <c r="BE118" i="6"/>
  <c r="AL107" i="6"/>
  <c r="R71" i="6"/>
  <c r="CI75" i="6"/>
  <c r="AH46" i="6"/>
  <c r="AK40" i="6"/>
  <c r="AM34" i="6"/>
  <c r="BP69" i="6"/>
  <c r="Z59" i="6"/>
  <c r="AJ56" i="6"/>
  <c r="AE51" i="6"/>
  <c r="AB67" i="6"/>
  <c r="M58" i="6"/>
  <c r="W55" i="6"/>
  <c r="R50" i="6"/>
  <c r="BF76" i="6"/>
  <c r="BX39" i="6"/>
  <c r="CH36" i="6"/>
  <c r="AP80" i="6"/>
  <c r="CH63" i="6"/>
  <c r="BG60" i="6"/>
  <c r="BL54" i="6"/>
  <c r="AG101" i="6"/>
  <c r="BP62" i="6"/>
  <c r="AH59" i="6"/>
  <c r="AK53" i="6"/>
  <c r="N74" i="6"/>
  <c r="P51" i="6"/>
  <c r="Z48" i="6"/>
  <c r="Z45" i="6"/>
  <c r="CM5" i="6"/>
  <c r="BZ30" i="6"/>
  <c r="CN96" i="6"/>
  <c r="AF114" i="6"/>
  <c r="CM102" i="6"/>
  <c r="BX76" i="6"/>
  <c r="CP34" i="6"/>
  <c r="N31" i="6"/>
  <c r="AY57" i="6"/>
  <c r="CI71" i="6"/>
  <c r="BN49" i="6"/>
  <c r="CC46" i="6"/>
  <c r="BX41" i="6"/>
  <c r="CN69" i="6"/>
  <c r="BA48" i="6"/>
  <c r="BA45" i="6"/>
  <c r="AE95" i="6"/>
  <c r="W66" i="6"/>
  <c r="W30" i="6"/>
  <c r="BG56" i="6"/>
  <c r="BG67" i="6"/>
  <c r="Q55" i="6"/>
  <c r="X51" i="6"/>
  <c r="AA45" i="6"/>
  <c r="AO74" i="6"/>
  <c r="CN53" i="6"/>
  <c r="L50" i="6"/>
  <c r="N44" i="6"/>
  <c r="BQ88" i="6"/>
  <c r="BD41" i="6"/>
  <c r="BD38" i="6"/>
  <c r="M61" i="6"/>
  <c r="CJ26" i="6"/>
  <c r="BD20" i="6"/>
  <c r="Z60" i="6"/>
  <c r="CW77" i="6"/>
  <c r="CF97" i="6"/>
  <c r="M72" i="6"/>
  <c r="AB56" i="6"/>
  <c r="AL53" i="6"/>
  <c r="W48" i="6"/>
  <c r="AM77" i="6"/>
  <c r="R40" i="6"/>
  <c r="AB37" i="6"/>
  <c r="M32" i="6"/>
  <c r="AH75" i="6"/>
  <c r="BF38" i="6"/>
  <c r="CO35" i="6"/>
  <c r="U82" i="6"/>
  <c r="AF57" i="6"/>
  <c r="AM53" i="6"/>
  <c r="AP47" i="6"/>
  <c r="Q85" i="6"/>
  <c r="CD45" i="6"/>
  <c r="CK41" i="6"/>
  <c r="CN35" i="6"/>
  <c r="R74" i="6"/>
  <c r="BL44" i="6"/>
  <c r="BY40" i="6"/>
  <c r="BJ121" i="6"/>
  <c r="CH67" i="6"/>
  <c r="K74" i="6"/>
  <c r="BP74" i="6"/>
  <c r="BA83" i="6"/>
  <c r="AO76" i="6"/>
  <c r="BP46" i="6"/>
  <c r="CE43" i="6"/>
  <c r="CO100" i="6"/>
  <c r="AQ66" i="6"/>
  <c r="AQ30" i="6"/>
  <c r="CP56" i="6"/>
  <c r="CI109" i="6"/>
  <c r="AY92" i="6"/>
  <c r="K112" i="6"/>
  <c r="BQ115" i="6"/>
  <c r="AG93" i="6"/>
  <c r="CP65" i="6"/>
  <c r="CN104" i="6"/>
  <c r="BF120" i="6"/>
  <c r="R103" i="6"/>
  <c r="Z92" i="6"/>
  <c r="CH73" i="6"/>
  <c r="AY127" i="6"/>
  <c r="AJ101" i="6"/>
  <c r="BG90" i="6"/>
  <c r="X79" i="6"/>
  <c r="AM130" i="6"/>
  <c r="AP92" i="6"/>
  <c r="CP85" i="6"/>
  <c r="AH67" i="6"/>
  <c r="BJ73" i="6"/>
  <c r="Z86" i="6"/>
  <c r="CF102" i="6"/>
  <c r="AJ102" i="6"/>
  <c r="AK64" i="6"/>
  <c r="CD83" i="6"/>
  <c r="BZ104" i="6"/>
  <c r="AG123" i="6"/>
  <c r="CC96" i="6"/>
  <c r="CD72" i="6"/>
  <c r="M108" i="6"/>
  <c r="AH114" i="6"/>
  <c r="AO77" i="6"/>
  <c r="BX102" i="6"/>
  <c r="BZ63" i="6"/>
  <c r="U134" i="6"/>
  <c r="AL129" i="6"/>
  <c r="BO69" i="6"/>
  <c r="AA116" i="6"/>
  <c r="W89" i="6"/>
  <c r="BJ70" i="6"/>
  <c r="AZ87" i="6"/>
  <c r="CC67" i="6"/>
  <c r="BE104" i="6"/>
  <c r="P74" i="6"/>
  <c r="CI106" i="6"/>
  <c r="AJ93" i="6"/>
  <c r="BL68" i="6"/>
  <c r="BD101" i="6"/>
  <c r="CO86" i="6"/>
  <c r="BQ69" i="6"/>
  <c r="P86" i="6"/>
  <c r="AO70" i="6"/>
  <c r="AC108" i="6"/>
  <c r="M79" i="6"/>
  <c r="BE103" i="6"/>
  <c r="AZ116" i="6"/>
  <c r="CH90" i="6"/>
  <c r="Q64" i="6"/>
  <c r="AO90" i="6"/>
  <c r="V74" i="6"/>
  <c r="BL78" i="6"/>
  <c r="BJ86" i="6"/>
  <c r="BL132" i="6"/>
  <c r="AF110" i="6"/>
  <c r="BQ100" i="6"/>
  <c r="BA78" i="6"/>
  <c r="CM86" i="6"/>
  <c r="BP93" i="6"/>
  <c r="CE76" i="6"/>
  <c r="BB83" i="6"/>
  <c r="S113" i="6"/>
  <c r="BI100" i="6"/>
  <c r="AH115" i="6"/>
  <c r="CE78" i="6"/>
  <c r="AA72" i="6"/>
  <c r="AG79" i="6"/>
  <c r="AZ66" i="6"/>
  <c r="BZ79" i="6"/>
  <c r="W67" i="6"/>
  <c r="BB118" i="6"/>
  <c r="BQ89" i="6"/>
  <c r="BI77" i="6"/>
  <c r="CH61" i="6"/>
  <c r="Z68" i="6"/>
  <c r="BJ87" i="6"/>
  <c r="BZ67" i="6"/>
  <c r="AJ43" i="6"/>
  <c r="BI40" i="6"/>
  <c r="AG85" i="6"/>
  <c r="Z63" i="6"/>
  <c r="CH59" i="6"/>
  <c r="CI53" i="6"/>
  <c r="CI83" i="6"/>
  <c r="M62" i="6"/>
  <c r="BO58" i="6"/>
  <c r="BG52" i="6"/>
  <c r="AB75" i="6"/>
  <c r="CK44" i="6"/>
  <c r="CW40" i="6"/>
  <c r="L35" i="6"/>
  <c r="BI92" i="6"/>
  <c r="AP33" i="6"/>
  <c r="BL29" i="6"/>
  <c r="W56" i="6"/>
  <c r="CH77" i="6"/>
  <c r="AC32" i="6"/>
  <c r="AE60" i="6"/>
  <c r="CA73" i="6"/>
  <c r="CI55" i="6"/>
  <c r="CP51" i="6"/>
  <c r="BL62" i="6"/>
  <c r="AK38" i="6"/>
  <c r="BJ4" i="6"/>
  <c r="CM36" i="6"/>
  <c r="R125" i="6"/>
  <c r="U66" i="6"/>
  <c r="AC84" i="6"/>
  <c r="K64" i="6"/>
  <c r="AG42" i="6"/>
  <c r="AQ39" i="6"/>
  <c r="CN85" i="6"/>
  <c r="W62" i="6"/>
  <c r="CD58" i="6"/>
  <c r="CF52" i="6"/>
  <c r="CI91" i="6"/>
  <c r="K61" i="6"/>
  <c r="BL57" i="6"/>
  <c r="BE51" i="6"/>
  <c r="K71" i="6"/>
  <c r="CI43" i="6"/>
  <c r="CP39" i="6"/>
  <c r="CW33" i="6"/>
  <c r="R78" i="6"/>
  <c r="AM32" i="6"/>
  <c r="AP60" i="6"/>
  <c r="Q99" i="6"/>
  <c r="CH87" i="6"/>
  <c r="CI100" i="6"/>
  <c r="AL85" i="6"/>
  <c r="CW35" i="6"/>
  <c r="Q32" i="6"/>
  <c r="CJ58" i="6"/>
  <c r="AP73" i="6"/>
  <c r="BP50" i="6"/>
  <c r="CE47" i="6"/>
  <c r="BZ42" i="6"/>
  <c r="BJ71" i="6"/>
  <c r="BD49" i="6"/>
  <c r="BD46" i="6"/>
  <c r="Q101" i="6"/>
  <c r="Z67" i="6"/>
  <c r="Z31" i="6"/>
  <c r="BY57" i="6"/>
  <c r="M76" i="6"/>
  <c r="S56" i="6"/>
  <c r="AA52" i="6"/>
  <c r="AC46" i="6"/>
  <c r="BE66" i="6"/>
  <c r="CP54" i="6"/>
  <c r="N51" i="6"/>
  <c r="Q45" i="6"/>
  <c r="BO61" i="6"/>
  <c r="BF42" i="6"/>
  <c r="BF39" i="6"/>
  <c r="CM31" i="6"/>
  <c r="CM27" i="6"/>
  <c r="BF21" i="6"/>
  <c r="BN78" i="6"/>
  <c r="AM82" i="6"/>
  <c r="BO100" i="6"/>
  <c r="CI76" i="6"/>
  <c r="AE57" i="6"/>
  <c r="AO54" i="6"/>
  <c r="Z49" i="6"/>
  <c r="BG84" i="6"/>
  <c r="U41" i="6"/>
  <c r="AE38" i="6"/>
  <c r="P33" i="6"/>
  <c r="W77" i="6"/>
  <c r="CH39" i="6"/>
  <c r="R37" i="6"/>
  <c r="AQ91" i="6"/>
  <c r="AH58" i="6"/>
  <c r="AP54" i="6"/>
  <c r="AR48" i="6"/>
  <c r="CD63" i="6"/>
  <c r="CF46" i="6"/>
  <c r="CN42" i="6"/>
  <c r="CP36" i="6"/>
  <c r="N84" i="6"/>
  <c r="BO45" i="6"/>
  <c r="CA41" i="6"/>
  <c r="AH106" i="6"/>
  <c r="K69" i="6"/>
  <c r="K33" i="6"/>
  <c r="AP59" i="6"/>
  <c r="CA51" i="6"/>
  <c r="AL18" i="6"/>
  <c r="L12" i="6"/>
  <c r="CO76" i="6"/>
  <c r="BD77" i="6"/>
  <c r="BZ87" i="6"/>
  <c r="CI85" i="6"/>
  <c r="BX47" i="6"/>
  <c r="BX44" i="6"/>
  <c r="CJ93" i="6"/>
  <c r="AY67" i="6"/>
  <c r="AY31" i="6"/>
  <c r="CW57" i="6"/>
  <c r="AL98" i="6"/>
  <c r="AG66" i="6"/>
  <c r="AG30" i="6"/>
  <c r="CF56" i="6"/>
  <c r="CP72" i="6"/>
  <c r="L49" i="6"/>
  <c r="S45" i="6"/>
  <c r="V39" i="6"/>
  <c r="AF72" i="6"/>
  <c r="BE37" i="6"/>
  <c r="BL33" i="6"/>
  <c r="BD60" i="6"/>
  <c r="X69" i="6"/>
  <c r="AM36" i="6"/>
  <c r="N112" i="6"/>
  <c r="BO109" i="6"/>
  <c r="AB110" i="6"/>
  <c r="AO89" i="6"/>
  <c r="AO85" i="6"/>
  <c r="CK78" i="6"/>
  <c r="AE94" i="6"/>
  <c r="BN98" i="6"/>
  <c r="CK105" i="6"/>
  <c r="AP67" i="6"/>
  <c r="BK89" i="6"/>
  <c r="BO131" i="6"/>
  <c r="Z101" i="6"/>
  <c r="CE93" i="6"/>
  <c r="AY69" i="6"/>
  <c r="BG109" i="6"/>
  <c r="AF92" i="6"/>
  <c r="AJ88" i="6"/>
  <c r="CN83" i="6"/>
  <c r="BL97" i="6"/>
  <c r="AY148" i="6"/>
  <c r="BI95" i="6"/>
  <c r="AJ118" i="6"/>
  <c r="CF84" i="6"/>
  <c r="BG111" i="6"/>
  <c r="BG83" i="6"/>
  <c r="AK99" i="6"/>
  <c r="BO99" i="6"/>
  <c r="AH110" i="6"/>
  <c r="AR82" i="6"/>
  <c r="BI85" i="6"/>
  <c r="AB94" i="6"/>
  <c r="CO81" i="6"/>
  <c r="AF73" i="6"/>
  <c r="AZ114" i="6"/>
  <c r="CJ94" i="6"/>
  <c r="AG94" i="6"/>
  <c r="U119" i="6"/>
  <c r="BB85" i="6"/>
  <c r="BX62" i="6"/>
  <c r="CK76" i="6"/>
  <c r="AJ79" i="6"/>
  <c r="BX87" i="6"/>
  <c r="CE77" i="6"/>
  <c r="AF107" i="6"/>
  <c r="AB99" i="6"/>
  <c r="CA109" i="6"/>
  <c r="S87" i="6"/>
  <c r="AR83" i="6"/>
  <c r="BP61" i="6"/>
  <c r="CD85" i="6"/>
  <c r="CJ61" i="6"/>
  <c r="AM103" i="6"/>
  <c r="CK73" i="6"/>
  <c r="BY99" i="6"/>
  <c r="AO114" i="6"/>
  <c r="BN70" i="6"/>
  <c r="AG63" i="6"/>
  <c r="AC86" i="6"/>
  <c r="Q91" i="6"/>
  <c r="M69" i="6"/>
  <c r="CM92" i="6"/>
  <c r="BG98" i="6"/>
  <c r="AY99" i="6"/>
  <c r="CJ69" i="6"/>
  <c r="P60" i="6"/>
  <c r="AC73" i="6"/>
  <c r="AC82" i="6"/>
  <c r="K68" i="6"/>
  <c r="CE81" i="6"/>
  <c r="BO105" i="6"/>
  <c r="CJ78" i="6"/>
  <c r="BX80" i="6"/>
  <c r="AC62" i="6"/>
  <c r="BP71" i="6"/>
  <c r="N71" i="6"/>
  <c r="CC76" i="6"/>
  <c r="V81" i="6"/>
  <c r="X84" i="6"/>
  <c r="S95" i="6"/>
  <c r="CD70" i="6"/>
  <c r="BI67" i="6"/>
  <c r="V70" i="6"/>
  <c r="V71" i="6"/>
  <c r="BA84" i="6"/>
  <c r="CP66" i="6"/>
  <c r="CE34" i="6"/>
  <c r="BE62" i="6"/>
  <c r="BO70" i="6"/>
  <c r="AZ55" i="6"/>
  <c r="BG51" i="6"/>
  <c r="AZ45" i="6"/>
  <c r="BE79" i="6"/>
  <c r="AH54" i="6"/>
  <c r="AP50" i="6"/>
  <c r="AR44" i="6"/>
  <c r="CF69" i="6"/>
  <c r="BL36" i="6"/>
  <c r="BY32" i="6"/>
  <c r="BD59" i="6"/>
  <c r="AL63" i="6"/>
  <c r="BI55" i="6"/>
  <c r="BX52" i="6"/>
  <c r="CC47" i="6"/>
  <c r="P92" i="6"/>
  <c r="AQ54" i="6"/>
  <c r="BP51" i="6"/>
  <c r="CK66" i="6"/>
  <c r="BJ47" i="6"/>
  <c r="BQ43" i="6"/>
  <c r="AR46" i="6"/>
  <c r="AY38" i="6"/>
  <c r="AZ26" i="6"/>
  <c r="BG22" i="6"/>
  <c r="BA69" i="6"/>
  <c r="Q69" i="6"/>
  <c r="AQ82" i="6"/>
  <c r="BE65" i="6"/>
  <c r="CC33" i="6"/>
  <c r="AC60" i="6"/>
  <c r="AP87" i="6"/>
  <c r="AR54" i="6"/>
  <c r="BE50" i="6"/>
  <c r="BQ44" i="6"/>
  <c r="AE70" i="6"/>
  <c r="AF53" i="6"/>
  <c r="AM49" i="6"/>
  <c r="AP43" i="6"/>
  <c r="S67" i="6"/>
  <c r="BJ35" i="6"/>
  <c r="BG31" i="6"/>
  <c r="BA58" i="6"/>
  <c r="BZ99" i="6"/>
  <c r="BF54" i="6"/>
  <c r="BF51" i="6"/>
  <c r="P98" i="6"/>
  <c r="U78" i="6"/>
  <c r="CO92" i="6"/>
  <c r="BY61" i="6"/>
  <c r="AG58" i="6"/>
  <c r="AQ55" i="6"/>
  <c r="AL50" i="6"/>
  <c r="V61" i="6"/>
  <c r="W42" i="6"/>
  <c r="AG39" i="6"/>
  <c r="AB34" i="6"/>
  <c r="AR80" i="6"/>
  <c r="K41" i="6"/>
  <c r="U38" i="6"/>
  <c r="V86" i="6"/>
  <c r="AK59" i="6"/>
  <c r="AR55" i="6"/>
  <c r="BJ49" i="6"/>
  <c r="CN67" i="6"/>
  <c r="CI47" i="6"/>
  <c r="CP43" i="6"/>
  <c r="CW37" i="6"/>
  <c r="BO63" i="6"/>
  <c r="BQ46" i="6"/>
  <c r="CD42" i="6"/>
  <c r="BG36" i="6"/>
  <c r="M70" i="6"/>
  <c r="M34" i="6"/>
  <c r="BE60" i="6"/>
  <c r="CD52" i="6"/>
  <c r="AO19" i="6"/>
  <c r="M13" i="6"/>
  <c r="BL81" i="6"/>
  <c r="AA81" i="6"/>
  <c r="BJ91" i="6"/>
  <c r="S63" i="6"/>
  <c r="BZ48" i="6"/>
  <c r="CJ45" i="6"/>
  <c r="AM105" i="6"/>
  <c r="BZ68" i="6"/>
  <c r="BK32" i="6"/>
  <c r="L59" i="6"/>
  <c r="R104" i="6"/>
  <c r="AJ67" i="6"/>
  <c r="AJ31" i="6"/>
  <c r="CI57" i="6"/>
  <c r="CM77" i="6"/>
  <c r="N50" i="6"/>
  <c r="V46" i="6"/>
  <c r="X40" i="6"/>
  <c r="CN74" i="6"/>
  <c r="BG38" i="6"/>
  <c r="BO34" i="6"/>
  <c r="CF28" i="6"/>
  <c r="BB71" i="6"/>
  <c r="AP37" i="6"/>
  <c r="BB33" i="6"/>
  <c r="BP86" i="6"/>
  <c r="BL61" i="6"/>
  <c r="S57" i="6"/>
  <c r="V51" i="6"/>
  <c r="BL43" i="6"/>
  <c r="BZ9" i="6"/>
  <c r="CE4" i="6"/>
  <c r="AE84" i="6"/>
  <c r="CK103" i="6"/>
  <c r="CA76" i="6"/>
  <c r="AJ75" i="6"/>
  <c r="P39" i="6"/>
  <c r="Z36" i="6"/>
  <c r="AA88" i="6"/>
  <c r="BJ59" i="6"/>
  <c r="BQ55" i="6"/>
  <c r="BY49" i="6"/>
  <c r="BN92" i="6"/>
  <c r="AR58" i="6"/>
  <c r="BE54" i="6"/>
  <c r="BQ48" i="6"/>
  <c r="BA62" i="6"/>
  <c r="CA127" i="6"/>
  <c r="AZ92" i="6"/>
  <c r="BL92" i="6"/>
  <c r="AG130" i="6"/>
  <c r="BO135" i="6"/>
  <c r="CA97" i="6"/>
  <c r="CJ90" i="6"/>
  <c r="CO104" i="6"/>
  <c r="AR111" i="6"/>
  <c r="CP80" i="6"/>
  <c r="N78" i="6"/>
  <c r="BJ114" i="6"/>
  <c r="AH93" i="6"/>
  <c r="AC113" i="6"/>
  <c r="BF93" i="6"/>
  <c r="CP110" i="6"/>
  <c r="AF84" i="6"/>
  <c r="BI76" i="6"/>
  <c r="CP69" i="6"/>
  <c r="CP96" i="6"/>
  <c r="BL121" i="6"/>
  <c r="M126" i="6"/>
  <c r="AK103" i="6"/>
  <c r="BD68" i="6"/>
  <c r="CM99" i="6"/>
  <c r="CO87" i="6"/>
  <c r="CE92" i="6"/>
  <c r="BE89" i="6"/>
  <c r="AP90" i="6"/>
  <c r="R90" i="6"/>
  <c r="BO90" i="6"/>
  <c r="AY68" i="6"/>
  <c r="BE86" i="6"/>
  <c r="L65" i="6"/>
  <c r="CE115" i="6"/>
  <c r="CO77" i="6"/>
  <c r="AC99" i="6"/>
  <c r="BB81" i="6"/>
  <c r="BI84" i="6"/>
  <c r="AC72" i="6"/>
  <c r="BI89" i="6"/>
  <c r="AR69" i="6"/>
  <c r="BI88" i="6"/>
  <c r="S64" i="6"/>
  <c r="BO106" i="6"/>
  <c r="BB79" i="6"/>
  <c r="X111" i="6"/>
  <c r="CO101" i="6"/>
  <c r="CO83" i="6"/>
  <c r="AA71" i="6"/>
  <c r="Z102" i="6"/>
  <c r="AA73" i="6"/>
  <c r="CJ82" i="6"/>
  <c r="CA65" i="6"/>
  <c r="R115" i="6"/>
  <c r="BK98" i="6"/>
  <c r="CO74" i="6"/>
  <c r="AM66" i="6"/>
  <c r="S62" i="6"/>
  <c r="CM70" i="6"/>
  <c r="BJ81" i="6"/>
  <c r="CO82" i="6"/>
  <c r="BX110" i="6"/>
  <c r="CN92" i="6"/>
  <c r="BI73" i="6"/>
  <c r="AF63" i="6"/>
  <c r="BX72" i="6"/>
  <c r="BZ69" i="6"/>
  <c r="BF78" i="6"/>
  <c r="BQ82" i="6"/>
  <c r="AC126" i="6"/>
  <c r="AA103" i="6"/>
  <c r="AL61" i="6"/>
  <c r="M64" i="6"/>
  <c r="BD74" i="6"/>
  <c r="BY77" i="6"/>
  <c r="S68" i="6"/>
  <c r="L89" i="6"/>
  <c r="S70" i="6"/>
  <c r="CD88" i="6"/>
  <c r="AR88" i="6"/>
  <c r="BY59" i="6"/>
  <c r="CO97" i="6"/>
  <c r="Z73" i="6"/>
  <c r="S81" i="6"/>
  <c r="BP70" i="6"/>
  <c r="CN58" i="6"/>
  <c r="CP52" i="6"/>
  <c r="BY65" i="6"/>
  <c r="AA47" i="6"/>
  <c r="AH43" i="6"/>
  <c r="AK37" i="6"/>
  <c r="CF60" i="6"/>
  <c r="N46" i="6"/>
  <c r="V42" i="6"/>
  <c r="X36" i="6"/>
  <c r="W69" i="6"/>
  <c r="CO58" i="6"/>
  <c r="P56" i="6"/>
  <c r="K51" i="6"/>
  <c r="CI67" i="6"/>
  <c r="P47" i="6"/>
  <c r="Z44" i="6"/>
  <c r="U39" i="6"/>
  <c r="CN65" i="6"/>
  <c r="CM45" i="6"/>
  <c r="M43" i="6"/>
  <c r="BN77" i="6"/>
  <c r="AK39" i="6"/>
  <c r="AR35" i="6"/>
  <c r="BE42" i="6"/>
  <c r="BQ24" i="6"/>
  <c r="AK18" i="6"/>
  <c r="AH14" i="6"/>
  <c r="AB90" i="6"/>
  <c r="U71" i="6"/>
  <c r="CM100" i="6"/>
  <c r="CC69" i="6"/>
  <c r="CK57" i="6"/>
  <c r="CN51" i="6"/>
  <c r="BJ61" i="6"/>
  <c r="X46" i="6"/>
  <c r="AF42" i="6"/>
  <c r="AH36" i="6"/>
  <c r="AO75" i="6"/>
  <c r="L45" i="6"/>
  <c r="S41" i="6"/>
  <c r="V35" i="6"/>
  <c r="R67" i="6"/>
  <c r="CM57" i="6"/>
  <c r="M55" i="6"/>
  <c r="CH49" i="6"/>
  <c r="X66" i="6"/>
  <c r="M46" i="6"/>
  <c r="W43" i="6"/>
  <c r="CM90" i="6"/>
  <c r="BY64" i="6"/>
  <c r="CN80" i="6"/>
  <c r="V68" i="6"/>
  <c r="CC49" i="6"/>
  <c r="CM46" i="6"/>
  <c r="R120" i="6"/>
  <c r="BN69" i="6"/>
  <c r="BN33" i="6"/>
  <c r="R60" i="6"/>
  <c r="AO97" i="6"/>
  <c r="BK68" i="6"/>
  <c r="BA32" i="6"/>
  <c r="CK58" i="6"/>
  <c r="BK61" i="6"/>
  <c r="Q51" i="6"/>
  <c r="X47" i="6"/>
  <c r="AA41" i="6"/>
  <c r="L79" i="6"/>
  <c r="BJ39" i="6"/>
  <c r="BQ35" i="6"/>
  <c r="BY29" i="6"/>
  <c r="BA74" i="6"/>
  <c r="AR38" i="6"/>
  <c r="BE34" i="6"/>
  <c r="BG78" i="6"/>
  <c r="BD61" i="6"/>
  <c r="V58" i="6"/>
  <c r="X52" i="6"/>
  <c r="BO44" i="6"/>
  <c r="CK10" i="6"/>
  <c r="CF4" i="6"/>
  <c r="BG93" i="6"/>
  <c r="BX60" i="6"/>
  <c r="CD77" i="6"/>
  <c r="BQ79" i="6"/>
  <c r="AB40" i="6"/>
  <c r="AL37" i="6"/>
  <c r="AJ83" i="6"/>
  <c r="CC60" i="6"/>
  <c r="BY56" i="6"/>
  <c r="CA50" i="6"/>
  <c r="X87" i="6"/>
  <c r="AZ59" i="6"/>
  <c r="BG55" i="6"/>
  <c r="AZ49" i="6"/>
  <c r="AY65" i="6"/>
  <c r="CD41" i="6"/>
  <c r="CK37" i="6"/>
  <c r="CN31" i="6"/>
  <c r="M73" i="6"/>
  <c r="X61" i="6"/>
  <c r="U58" i="6"/>
  <c r="CO52" i="6"/>
  <c r="BX70" i="6"/>
  <c r="BX59" i="6"/>
  <c r="CH56" i="6"/>
  <c r="P68" i="6"/>
  <c r="BB52" i="6"/>
  <c r="CI48" i="6"/>
  <c r="BK75" i="6"/>
  <c r="AC35" i="6"/>
  <c r="AJ42" i="6"/>
  <c r="AZ27" i="6"/>
  <c r="AR91" i="6"/>
  <c r="CK62" i="6"/>
  <c r="AR89" i="6"/>
  <c r="BL86" i="6"/>
  <c r="BF30" i="6"/>
  <c r="Q57" i="6"/>
  <c r="BN62" i="6"/>
  <c r="AK51" i="6"/>
  <c r="AR47" i="6"/>
  <c r="BJ41" i="6"/>
  <c r="W78" i="6"/>
  <c r="X50" i="6"/>
  <c r="AF46" i="6"/>
  <c r="AH40" i="6"/>
  <c r="CO78" i="6"/>
  <c r="BL32" i="6"/>
  <c r="BF60" i="6"/>
  <c r="AE55" i="6"/>
  <c r="AR74" i="6"/>
  <c r="AJ51" i="6"/>
  <c r="BI48" i="6"/>
  <c r="AO43" i="6"/>
  <c r="BL72" i="6"/>
  <c r="W50" i="6"/>
  <c r="AG47" i="6"/>
  <c r="CH69" i="6"/>
  <c r="AZ43" i="6"/>
  <c r="AG67" i="6"/>
  <c r="BK62" i="6"/>
  <c r="AG83" i="6"/>
  <c r="BK64" i="6"/>
  <c r="CA53" i="6"/>
  <c r="CD47" i="6"/>
  <c r="R66" i="6"/>
  <c r="N42" i="6"/>
  <c r="V38" i="6"/>
  <c r="X32" i="6"/>
  <c r="CJ62" i="6"/>
  <c r="CK40" i="6"/>
  <c r="CW36" i="6"/>
  <c r="L31" i="6"/>
  <c r="BQ84" i="6"/>
  <c r="BD53" i="6"/>
  <c r="CC50" i="6"/>
  <c r="BI45" i="6"/>
  <c r="CI89" i="6"/>
  <c r="CC41" i="6"/>
  <c r="CM38" i="6"/>
  <c r="BX33" i="6"/>
  <c r="BE78" i="6"/>
  <c r="BK40" i="6"/>
  <c r="BZ37" i="6"/>
  <c r="BL63" i="6"/>
  <c r="CM89" i="6"/>
  <c r="CE65" i="6"/>
  <c r="CC100" i="6"/>
  <c r="CP95" i="6"/>
  <c r="R80" i="6"/>
  <c r="S83" i="6"/>
  <c r="CC108" i="6"/>
  <c r="AQ109" i="6"/>
  <c r="AL104" i="6"/>
  <c r="BY71" i="6"/>
  <c r="N127" i="6"/>
  <c r="BD66" i="6"/>
  <c r="BP96" i="6"/>
  <c r="CI64" i="6"/>
  <c r="AR114" i="6"/>
  <c r="X93" i="6"/>
  <c r="AE63" i="6"/>
  <c r="BY157" i="6"/>
  <c r="N111" i="6"/>
  <c r="V84" i="6"/>
  <c r="S71" i="6"/>
  <c r="N98" i="6"/>
  <c r="BI79" i="6"/>
  <c r="AL121" i="6"/>
  <c r="W111" i="6"/>
  <c r="Z82" i="6"/>
  <c r="CK79" i="6"/>
  <c r="CF87" i="6"/>
  <c r="AH68" i="6"/>
  <c r="CK89" i="6"/>
  <c r="AM70" i="6"/>
  <c r="CE86" i="6"/>
  <c r="AJ77" i="6"/>
  <c r="BY93" i="6"/>
  <c r="BE71" i="6"/>
  <c r="AB65" i="6"/>
  <c r="CD100" i="6"/>
  <c r="AM110" i="6"/>
  <c r="CH102" i="6"/>
  <c r="AE80" i="6"/>
  <c r="AL77" i="6"/>
  <c r="CK65" i="6"/>
  <c r="CW63" i="6"/>
  <c r="R77" i="6"/>
  <c r="CA82" i="6"/>
  <c r="P80" i="6"/>
  <c r="AJ63" i="6"/>
  <c r="BI107" i="6"/>
  <c r="L83" i="6"/>
  <c r="AM88" i="6"/>
  <c r="AR84" i="6"/>
  <c r="BQ63" i="6"/>
  <c r="CP62" i="6"/>
  <c r="AY83" i="6"/>
  <c r="CJ66" i="6"/>
  <c r="AC75" i="6"/>
  <c r="BA73" i="6"/>
  <c r="U116" i="6"/>
  <c r="R118" i="6"/>
  <c r="AQ77" i="6"/>
  <c r="CH103" i="6"/>
  <c r="X115" i="6"/>
  <c r="K62" i="6"/>
  <c r="CD119" i="6"/>
  <c r="AR87" i="6"/>
  <c r="AR119" i="6"/>
  <c r="X106" i="6"/>
  <c r="CO75" i="6"/>
  <c r="P65" i="6"/>
  <c r="U93" i="6"/>
  <c r="CH60" i="6"/>
  <c r="V69" i="6"/>
  <c r="AP86" i="6"/>
  <c r="CP99" i="6"/>
  <c r="CP97" i="6"/>
  <c r="AQ74" i="6"/>
  <c r="BG65" i="6"/>
  <c r="AZ77" i="6"/>
  <c r="AF71" i="6"/>
  <c r="BJ85" i="6"/>
  <c r="BA80" i="6"/>
  <c r="BD63" i="6"/>
  <c r="CE85" i="6"/>
  <c r="BA97" i="6"/>
  <c r="CP112" i="6"/>
  <c r="CW61" i="6"/>
  <c r="BL74" i="6"/>
  <c r="CH76" i="6"/>
  <c r="CW60" i="6"/>
  <c r="BO50" i="6"/>
  <c r="BG44" i="6"/>
  <c r="R76" i="6"/>
  <c r="CP38" i="6"/>
  <c r="N35" i="6"/>
  <c r="Q29" i="6"/>
  <c r="BE72" i="6"/>
  <c r="CD37" i="6"/>
  <c r="CK33" i="6"/>
  <c r="CI60" i="6"/>
  <c r="L73" i="6"/>
  <c r="AQ50" i="6"/>
  <c r="BP47" i="6"/>
  <c r="BA42" i="6"/>
  <c r="CJ74" i="6"/>
  <c r="BP38" i="6"/>
  <c r="BF35" i="6"/>
  <c r="AH61" i="6"/>
  <c r="AO73" i="6"/>
  <c r="AO37" i="6"/>
  <c r="BD34" i="6"/>
  <c r="BK74" i="6"/>
  <c r="Q31" i="6"/>
  <c r="CM58" i="6"/>
  <c r="CA42" i="6"/>
  <c r="AH16" i="6"/>
  <c r="R10" i="6"/>
  <c r="R138" i="6"/>
  <c r="AG72" i="6"/>
  <c r="BO72" i="6"/>
  <c r="AK81" i="6"/>
  <c r="BQ58" i="6"/>
  <c r="BL49" i="6"/>
  <c r="BE43" i="6"/>
  <c r="AH73" i="6"/>
  <c r="CN37" i="6"/>
  <c r="L34" i="6"/>
  <c r="N61" i="6"/>
  <c r="AA70" i="6"/>
  <c r="CA36" i="6"/>
  <c r="CI32" i="6"/>
  <c r="BN59" i="6"/>
  <c r="AK71" i="6"/>
  <c r="AO49" i="6"/>
  <c r="BN46" i="6"/>
  <c r="AJ41" i="6"/>
  <c r="BD73" i="6"/>
  <c r="BD37" i="6"/>
  <c r="BN34" i="6"/>
  <c r="BY116" i="6"/>
  <c r="BP63" i="6"/>
  <c r="L81" i="6"/>
  <c r="AJ62" i="6"/>
  <c r="AE41" i="6"/>
  <c r="AO38" i="6"/>
  <c r="U100" i="6"/>
  <c r="U61" i="6"/>
  <c r="CA57" i="6"/>
  <c r="CD51" i="6"/>
  <c r="AG82" i="6"/>
  <c r="BK60" i="6"/>
  <c r="BJ56" i="6"/>
  <c r="BB50" i="6"/>
  <c r="W68" i="6"/>
  <c r="CF42" i="6"/>
  <c r="CN38" i="6"/>
  <c r="CP32" i="6"/>
  <c r="Z75" i="6"/>
  <c r="AK31" i="6"/>
  <c r="W59" i="6"/>
  <c r="R54" i="6"/>
  <c r="CM72" i="6"/>
  <c r="CO60" i="6"/>
  <c r="K58" i="6"/>
  <c r="AL73" i="6"/>
  <c r="CD53" i="6"/>
  <c r="CK49" i="6"/>
  <c r="AO72" i="6"/>
  <c r="AF36" i="6"/>
  <c r="BZ55" i="6"/>
  <c r="BN28" i="6"/>
  <c r="BN74" i="6"/>
  <c r="CN63" i="6"/>
  <c r="CI90" i="6"/>
  <c r="AP61" i="6"/>
  <c r="BI31" i="6"/>
  <c r="S58" i="6"/>
  <c r="CC66" i="6"/>
  <c r="AM52" i="6"/>
  <c r="AZ48" i="6"/>
  <c r="BL42" i="6"/>
  <c r="BZ61" i="6"/>
  <c r="AA51" i="6"/>
  <c r="AH47" i="6"/>
  <c r="AK41" i="6"/>
  <c r="AZ62" i="6"/>
  <c r="BO33" i="6"/>
  <c r="CP61" i="6"/>
  <c r="AG56" i="6"/>
  <c r="AM76" i="6"/>
  <c r="BK52" i="6"/>
  <c r="BA49" i="6"/>
  <c r="AQ44" i="6"/>
  <c r="X74" i="6"/>
  <c r="Z51" i="6"/>
  <c r="AJ48" i="6"/>
  <c r="P73" i="6"/>
  <c r="BB44" i="6"/>
  <c r="BJ40" i="6"/>
  <c r="R52" i="6"/>
  <c r="AA30" i="6"/>
  <c r="BB23" i="6"/>
  <c r="AZ19" i="6"/>
  <c r="W76" i="6"/>
  <c r="BP64" i="6"/>
  <c r="BA85" i="6"/>
  <c r="BN65" i="6"/>
  <c r="CD54" i="6"/>
  <c r="CF48" i="6"/>
  <c r="CE68" i="6"/>
  <c r="Q43" i="6"/>
  <c r="X39" i="6"/>
  <c r="AA33" i="6"/>
  <c r="BI65" i="6"/>
  <c r="CN41" i="6"/>
  <c r="L38" i="6"/>
  <c r="N32" i="6"/>
  <c r="CE61" i="6"/>
  <c r="BP54" i="6"/>
  <c r="CE51" i="6"/>
  <c r="BA46" i="6"/>
  <c r="N62" i="6"/>
  <c r="CE42" i="6"/>
  <c r="CO39" i="6"/>
  <c r="CJ34" i="6"/>
  <c r="AZ81" i="6"/>
  <c r="BN41" i="6"/>
  <c r="CC38" i="6"/>
  <c r="Q66" i="6"/>
  <c r="L111" i="6"/>
  <c r="AJ74" i="6"/>
  <c r="AF64" i="6"/>
  <c r="CA69" i="6"/>
  <c r="BE53" i="6"/>
  <c r="BB45" i="6"/>
  <c r="BE39" i="6"/>
  <c r="CW62" i="6"/>
  <c r="CD33" i="6"/>
  <c r="CK29" i="6"/>
  <c r="BF56" i="6"/>
  <c r="AH79" i="6"/>
  <c r="BB32" i="6"/>
  <c r="BY60" i="6"/>
  <c r="AO55" i="6"/>
  <c r="CK64" i="6"/>
  <c r="U45" i="6"/>
  <c r="AE42" i="6"/>
  <c r="BI119" i="6"/>
  <c r="AE69" i="6"/>
  <c r="AE33" i="6"/>
  <c r="BE59" i="6"/>
  <c r="BE94" i="6"/>
  <c r="R68" i="6"/>
  <c r="R32" i="6"/>
  <c r="BL58" i="6"/>
  <c r="BD64" i="6"/>
  <c r="AG118" i="6"/>
  <c r="R86" i="6"/>
  <c r="S107" i="6"/>
  <c r="AB86" i="6"/>
  <c r="BN66" i="6"/>
  <c r="BN84" i="6"/>
  <c r="AL92" i="6"/>
  <c r="AP93" i="6"/>
  <c r="BY88" i="6"/>
  <c r="CD98" i="6"/>
  <c r="AF101" i="6"/>
  <c r="BX77" i="6"/>
  <c r="BA95" i="6"/>
  <c r="AG143" i="6"/>
  <c r="BQ124" i="6"/>
  <c r="AF88" i="6"/>
  <c r="V72" i="6"/>
  <c r="AQ133" i="6"/>
  <c r="BZ96" i="6"/>
  <c r="AQ81" i="6"/>
  <c r="CP88" i="6"/>
  <c r="CO95" i="6"/>
  <c r="BJ84" i="6"/>
  <c r="BI122" i="6"/>
  <c r="BB107" i="6"/>
  <c r="Z142" i="6"/>
  <c r="AH90" i="6"/>
  <c r="N104" i="6"/>
  <c r="X88" i="6"/>
  <c r="K83" i="6"/>
  <c r="AQ72" i="6"/>
  <c r="CM96" i="6"/>
  <c r="BQ97" i="6"/>
  <c r="AB85" i="6"/>
  <c r="P75" i="6"/>
  <c r="BP76" i="6"/>
  <c r="BF80" i="6"/>
  <c r="AY91" i="6"/>
  <c r="BL77" i="6"/>
  <c r="K86" i="6"/>
  <c r="CF63" i="6"/>
  <c r="BF75" i="6"/>
  <c r="M74" i="6"/>
  <c r="CP71" i="6"/>
  <c r="BD104" i="6"/>
  <c r="K75" i="6"/>
  <c r="Q39" i="6"/>
  <c r="AK109" i="6"/>
  <c r="CM74" i="6"/>
  <c r="CC82" i="6"/>
  <c r="AF83" i="6"/>
  <c r="AM74" i="6"/>
  <c r="AE129" i="6"/>
  <c r="AZ88" i="6"/>
  <c r="AC77" i="6"/>
  <c r="BF91" i="6"/>
  <c r="AK87" i="6"/>
  <c r="AL105" i="6"/>
  <c r="BI87" i="6"/>
  <c r="AF61" i="6"/>
  <c r="R94" i="6"/>
  <c r="AC105" i="6"/>
  <c r="AK73" i="6"/>
  <c r="BP98" i="6"/>
  <c r="BX94" i="6"/>
  <c r="P103" i="6"/>
  <c r="AQ86" i="6"/>
  <c r="BB82" i="6"/>
  <c r="BY66" i="6"/>
  <c r="AG96" i="6"/>
  <c r="AH72" i="6"/>
  <c r="BE83" i="6"/>
  <c r="BP111" i="6"/>
  <c r="AR106" i="6"/>
  <c r="AP95" i="6"/>
  <c r="N100" i="6"/>
  <c r="P100" i="6"/>
  <c r="CD102" i="6"/>
  <c r="L63" i="6"/>
  <c r="AC107" i="6"/>
  <c r="AM85" i="6"/>
  <c r="BG73" i="6"/>
  <c r="BE85" i="6"/>
  <c r="AG89" i="6"/>
  <c r="BN117" i="6"/>
  <c r="Q67" i="6"/>
  <c r="AK75" i="6"/>
  <c r="CP63" i="6"/>
  <c r="AP49" i="6"/>
  <c r="AP42" i="6"/>
  <c r="AR36" i="6"/>
  <c r="CO73" i="6"/>
  <c r="CN62" i="6"/>
  <c r="BN58" i="6"/>
  <c r="AJ53" i="6"/>
  <c r="BA71" i="6"/>
  <c r="V60" i="6"/>
  <c r="AL57" i="6"/>
  <c r="W52" i="6"/>
  <c r="BY91" i="6"/>
  <c r="CM41" i="6"/>
  <c r="M39" i="6"/>
  <c r="AQ92" i="6"/>
  <c r="M66" i="6"/>
  <c r="M30" i="6"/>
  <c r="BQ56" i="6"/>
  <c r="AJ85" i="6"/>
  <c r="CJ64" i="6"/>
  <c r="CJ28" i="6"/>
  <c r="AP55" i="6"/>
  <c r="AG78" i="6"/>
  <c r="AE53" i="6"/>
  <c r="AO50" i="6"/>
  <c r="BZ50" i="6"/>
  <c r="CP7" i="6"/>
  <c r="AJ46" i="6"/>
  <c r="CI96" i="6"/>
  <c r="L78" i="6"/>
  <c r="W73" i="6"/>
  <c r="X80" i="6"/>
  <c r="AM48" i="6"/>
  <c r="AM41" i="6"/>
  <c r="AP35" i="6"/>
  <c r="CJ71" i="6"/>
  <c r="AG60" i="6"/>
  <c r="BA57" i="6"/>
  <c r="AG52" i="6"/>
  <c r="AG69" i="6"/>
  <c r="P59" i="6"/>
  <c r="Z56" i="6"/>
  <c r="U51" i="6"/>
  <c r="BO79" i="6"/>
  <c r="CJ40" i="6"/>
  <c r="K38" i="6"/>
  <c r="W88" i="6"/>
  <c r="K65" i="6"/>
  <c r="K29" i="6"/>
  <c r="BO55" i="6"/>
  <c r="AR72" i="6"/>
  <c r="L67" i="6"/>
  <c r="AL80" i="6"/>
  <c r="BG62" i="6"/>
  <c r="BZ32" i="6"/>
  <c r="V59" i="6"/>
  <c r="W71" i="6"/>
  <c r="AP53" i="6"/>
  <c r="BB49" i="6"/>
  <c r="BO43" i="6"/>
  <c r="K66" i="6"/>
  <c r="AC52" i="6"/>
  <c r="AK48" i="6"/>
  <c r="AM42" i="6"/>
  <c r="BE64" i="6"/>
  <c r="BG34" i="6"/>
  <c r="BO30" i="6"/>
  <c r="AJ57" i="6"/>
  <c r="AF79" i="6"/>
  <c r="BN53" i="6"/>
  <c r="BD50" i="6"/>
  <c r="AY45" i="6"/>
  <c r="AA76" i="6"/>
  <c r="AL52" i="6"/>
  <c r="BK49" i="6"/>
  <c r="BP78" i="6"/>
  <c r="BE45" i="6"/>
  <c r="BL41" i="6"/>
  <c r="BJ60" i="6"/>
  <c r="AJ34" i="6"/>
  <c r="CD24" i="6"/>
  <c r="BB20" i="6"/>
  <c r="L70" i="6"/>
  <c r="BX65" i="6"/>
  <c r="BD86" i="6"/>
  <c r="BF66" i="6"/>
  <c r="CF55" i="6"/>
  <c r="CI49" i="6"/>
  <c r="CM71" i="6"/>
  <c r="S44" i="6"/>
  <c r="AA40" i="6"/>
  <c r="AC34" i="6"/>
  <c r="BP68" i="6"/>
  <c r="CP42" i="6"/>
  <c r="N39" i="6"/>
  <c r="Q33" i="6"/>
  <c r="BA63" i="6"/>
  <c r="BX55" i="6"/>
  <c r="CH52" i="6"/>
  <c r="BD47" i="6"/>
  <c r="BY63" i="6"/>
  <c r="CH43" i="6"/>
  <c r="R41" i="6"/>
  <c r="CM35" i="6"/>
  <c r="CD61" i="6"/>
  <c r="BP42" i="6"/>
  <c r="CE39" i="6"/>
  <c r="CD68" i="6"/>
  <c r="AC36" i="6"/>
  <c r="AK32" i="6"/>
  <c r="AB49" i="6"/>
  <c r="BJ21" i="6"/>
  <c r="AC15" i="6"/>
  <c r="CN101" i="6"/>
  <c r="AR65" i="6"/>
  <c r="AK66" i="6"/>
  <c r="CF71" i="6"/>
  <c r="AO105" i="6"/>
  <c r="AR101" i="6"/>
  <c r="AP65" i="6"/>
  <c r="AL86" i="6"/>
  <c r="BQ81" i="6"/>
  <c r="AH113" i="6"/>
  <c r="BG72" i="6"/>
  <c r="R65" i="6"/>
  <c r="X68" i="6"/>
  <c r="BB70" i="6"/>
  <c r="BG63" i="6"/>
  <c r="BX85" i="6"/>
  <c r="S66" i="6"/>
  <c r="CF78" i="6"/>
  <c r="AK83" i="6"/>
  <c r="AP106" i="6"/>
  <c r="CA102" i="6"/>
  <c r="BY101" i="6"/>
  <c r="CN84" i="6"/>
  <c r="BO102" i="6"/>
  <c r="X65" i="6"/>
  <c r="BK84" i="6"/>
  <c r="Z77" i="6"/>
  <c r="M75" i="6"/>
  <c r="AO69" i="6"/>
  <c r="X58" i="6"/>
  <c r="L57" i="6"/>
  <c r="BZ44" i="6"/>
  <c r="BZ23" i="6"/>
  <c r="CW80" i="6"/>
  <c r="X75" i="6"/>
  <c r="V73" i="6"/>
  <c r="AL68" i="6"/>
  <c r="V57" i="6"/>
  <c r="CO68" i="6"/>
  <c r="CK50" i="6"/>
  <c r="AF35" i="6"/>
  <c r="S34" i="6"/>
  <c r="CE48" i="6"/>
  <c r="CO36" i="6"/>
  <c r="AM71" i="6"/>
  <c r="BL22" i="6"/>
  <c r="AM67" i="6"/>
  <c r="AZ41" i="6"/>
  <c r="BZ58" i="6"/>
  <c r="BI57" i="6"/>
  <c r="AE39" i="6"/>
  <c r="CF57" i="6"/>
  <c r="AE68" i="6"/>
  <c r="AA13" i="6"/>
  <c r="BX66" i="6"/>
  <c r="AF38" i="6"/>
  <c r="CF34" i="6"/>
  <c r="BP40" i="6"/>
  <c r="R53" i="6"/>
  <c r="CA40" i="6"/>
  <c r="CK30" i="6"/>
  <c r="CI59" i="6"/>
  <c r="CM51" i="6"/>
  <c r="BP58" i="6"/>
  <c r="L43" i="6"/>
  <c r="AB105" i="6"/>
  <c r="AQ78" i="6"/>
  <c r="AG71" i="6"/>
  <c r="BD29" i="6"/>
  <c r="U47" i="6"/>
  <c r="R56" i="6"/>
  <c r="BG48" i="6"/>
  <c r="BF61" i="6"/>
  <c r="CC37" i="6"/>
  <c r="BO47" i="6"/>
  <c r="BZ72" i="6"/>
  <c r="AK52" i="6"/>
  <c r="CI29" i="6"/>
  <c r="N63" i="6"/>
  <c r="CI40" i="6"/>
  <c r="CJ50" i="6"/>
  <c r="W60" i="6"/>
  <c r="BG39" i="6"/>
  <c r="BK95" i="6"/>
  <c r="CO63" i="6"/>
  <c r="AY72" i="6"/>
  <c r="AC85" i="6"/>
  <c r="W74" i="6"/>
  <c r="BB61" i="6"/>
  <c r="L55" i="6"/>
  <c r="CW73" i="6"/>
  <c r="AF49" i="6"/>
  <c r="AM45" i="6"/>
  <c r="AP39" i="6"/>
  <c r="CP68" i="6"/>
  <c r="S48" i="6"/>
  <c r="AA44" i="6"/>
  <c r="AC38" i="6"/>
  <c r="AQ73" i="6"/>
  <c r="BG61" i="6"/>
  <c r="AE58" i="6"/>
  <c r="P53" i="6"/>
  <c r="Q71" i="6"/>
  <c r="AE49" i="6"/>
  <c r="AO46" i="6"/>
  <c r="Z41" i="6"/>
  <c r="AF69" i="6"/>
  <c r="R48" i="6"/>
  <c r="AB45" i="6"/>
  <c r="AQ64" i="6"/>
  <c r="AP41" i="6"/>
  <c r="BB37" i="6"/>
  <c r="N59" i="6"/>
  <c r="BL26" i="6"/>
  <c r="AP20" i="6"/>
  <c r="AM16" i="6"/>
  <c r="AB76" i="6"/>
  <c r="X62" i="6"/>
  <c r="AY88" i="6"/>
  <c r="CD65" i="6"/>
  <c r="S50" i="6"/>
  <c r="AY8" i="6"/>
  <c r="CC21" i="6"/>
  <c r="BQ49" i="6"/>
  <c r="M16" i="6"/>
  <c r="BX9" i="6"/>
  <c r="Q6" i="6"/>
  <c r="AR49" i="6"/>
  <c r="CM15" i="6"/>
  <c r="BI9" i="6"/>
  <c r="BN113" i="6"/>
  <c r="CH45" i="6"/>
  <c r="S85" i="6"/>
  <c r="AO53" i="6"/>
  <c r="AJ39" i="6"/>
  <c r="Q58" i="6"/>
  <c r="AJ18" i="6"/>
  <c r="L58" i="6"/>
  <c r="BB26" i="6"/>
  <c r="AF20" i="6"/>
  <c r="AC16" i="6"/>
  <c r="AQ83" i="6"/>
  <c r="BN42" i="6"/>
  <c r="BQ52" i="6"/>
  <c r="CD49" i="6"/>
  <c r="AG54" i="6"/>
  <c r="BX53" i="6"/>
  <c r="BF53" i="6"/>
  <c r="BO53" i="6"/>
  <c r="R59" i="6"/>
  <c r="CA27" i="6"/>
  <c r="AZ23" i="6"/>
  <c r="CA52" i="6"/>
  <c r="P58" i="6"/>
  <c r="AM27" i="6"/>
  <c r="AK23" i="6"/>
  <c r="W44" i="6"/>
  <c r="M80" i="6"/>
  <c r="AC59" i="6"/>
  <c r="BN67" i="6"/>
  <c r="CJ44" i="6"/>
  <c r="P35" i="6"/>
  <c r="CF53" i="6"/>
  <c r="P14" i="6"/>
  <c r="BB41" i="6"/>
  <c r="AR24" i="6"/>
  <c r="AA18" i="6"/>
  <c r="X14" i="6"/>
  <c r="AZ40" i="6"/>
  <c r="AH24" i="6"/>
  <c r="Q18" i="6"/>
  <c r="N14" i="6"/>
  <c r="BA41" i="6"/>
  <c r="BY53" i="6"/>
  <c r="CF32" i="6"/>
  <c r="BZ82" i="6"/>
  <c r="U46" i="6"/>
  <c r="N30" i="6"/>
  <c r="AY30" i="6"/>
  <c r="Z33" i="6"/>
  <c r="CI28" i="6"/>
  <c r="BI22" i="6"/>
  <c r="CO18" i="6"/>
  <c r="CO32" i="6"/>
  <c r="BX28" i="6"/>
  <c r="AJ22" i="6"/>
  <c r="CC77" i="6"/>
  <c r="CF33" i="6"/>
  <c r="CW53" i="6"/>
  <c r="AA37" i="6"/>
  <c r="Z57" i="6"/>
  <c r="CM78" i="6"/>
  <c r="CM42" i="6"/>
  <c r="AG37" i="6"/>
  <c r="Z50" i="6"/>
  <c r="CE60" i="6"/>
  <c r="BZ26" i="6"/>
  <c r="AO20" i="6"/>
  <c r="BA16" i="6"/>
  <c r="BN60" i="6"/>
  <c r="BA26" i="6"/>
  <c r="AE20" i="6"/>
  <c r="CJ59" i="6"/>
  <c r="CA31" i="6"/>
  <c r="CW85" i="6"/>
  <c r="BI74" i="6"/>
  <c r="AR77" i="6"/>
  <c r="CN75" i="6"/>
  <c r="AA53" i="6"/>
  <c r="CN11" i="6"/>
  <c r="CE22" i="6"/>
  <c r="AZ50" i="6"/>
  <c r="P17" i="6"/>
  <c r="BJ10" i="6"/>
  <c r="R7" i="6"/>
  <c r="BJ50" i="6"/>
  <c r="CO16" i="6"/>
  <c r="AZ10" i="6"/>
  <c r="BQ47" i="6"/>
  <c r="AA25" i="6"/>
  <c r="Z70" i="6"/>
  <c r="BX54" i="6"/>
  <c r="AF27" i="6"/>
  <c r="CP17" i="6"/>
  <c r="Z39" i="6"/>
  <c r="X28" i="6"/>
  <c r="CP21" i="6"/>
  <c r="CN17" i="6"/>
  <c r="BN29" i="6"/>
  <c r="L27" i="6"/>
  <c r="CD20" i="6"/>
  <c r="CA16" i="6"/>
  <c r="BJ58" i="6"/>
  <c r="CO24" i="6"/>
  <c r="BI18" i="6"/>
  <c r="AZ30" i="6"/>
  <c r="BZ35" i="6"/>
  <c r="AJ24" i="6"/>
  <c r="AM25" i="6"/>
  <c r="AE22" i="6"/>
  <c r="AC25" i="6"/>
  <c r="BK20" i="6"/>
  <c r="CA20" i="6"/>
  <c r="BE35" i="6"/>
  <c r="P13" i="6"/>
  <c r="M9" i="6"/>
  <c r="BI23" i="6"/>
  <c r="CE5" i="6"/>
  <c r="L9" i="6"/>
  <c r="BX16" i="6"/>
  <c r="AY58" i="6"/>
  <c r="X72" i="6"/>
  <c r="AG33" i="6"/>
  <c r="CH116" i="6"/>
  <c r="Z94" i="6"/>
  <c r="BJ75" i="6"/>
  <c r="CA83" i="6"/>
  <c r="AL83" i="6"/>
  <c r="CF114" i="6"/>
  <c r="AH64" i="6"/>
  <c r="AZ76" i="6"/>
  <c r="V87" i="6"/>
  <c r="BP72" i="6"/>
  <c r="AQ71" i="6"/>
  <c r="CW93" i="6"/>
  <c r="AE77" i="6"/>
  <c r="BF86" i="6"/>
  <c r="Q90" i="6"/>
  <c r="BZ98" i="6"/>
  <c r="BK78" i="6"/>
  <c r="W96" i="6"/>
  <c r="AF77" i="6"/>
  <c r="L99" i="6"/>
  <c r="BP65" i="6"/>
  <c r="S74" i="6"/>
  <c r="CI63" i="6"/>
  <c r="AR62" i="6"/>
  <c r="CJ60" i="6"/>
  <c r="CN49" i="6"/>
  <c r="CA48" i="6"/>
  <c r="AB36" i="6"/>
  <c r="AB15" i="6"/>
  <c r="CW69" i="6"/>
  <c r="CF62" i="6"/>
  <c r="BX98" i="6"/>
  <c r="AZ60" i="6"/>
  <c r="CK48" i="6"/>
  <c r="AZ70" i="6"/>
  <c r="BB42" i="6"/>
  <c r="CC59" i="6"/>
  <c r="BK58" i="6"/>
  <c r="AG40" i="6"/>
  <c r="CI58" i="6"/>
  <c r="AJ70" i="6"/>
  <c r="AC14" i="6"/>
  <c r="CJ67" i="6"/>
  <c r="AK33" i="6"/>
  <c r="AB50" i="6"/>
  <c r="CO48" i="6"/>
  <c r="CH78" i="6"/>
  <c r="BY79" i="6"/>
  <c r="AM72" i="6"/>
  <c r="CJ4" i="6"/>
  <c r="AE98" i="6"/>
  <c r="L30" i="6"/>
  <c r="U57" i="6"/>
  <c r="BJ62" i="6"/>
  <c r="BI44" i="6"/>
  <c r="W46" i="6"/>
  <c r="AB38" i="6"/>
  <c r="AG34" i="6"/>
  <c r="AO104" i="6"/>
  <c r="U33" i="6"/>
  <c r="CH94" i="6"/>
  <c r="CP83" i="6"/>
  <c r="BI90" i="6"/>
  <c r="BK66" i="6"/>
  <c r="AC37" i="6"/>
  <c r="CP79" i="6"/>
  <c r="BI47" i="6"/>
  <c r="AR40" i="6"/>
  <c r="BG66" i="6"/>
  <c r="AE29" i="6"/>
  <c r="AF39" i="6"/>
  <c r="R64" i="6"/>
  <c r="Q44" i="6"/>
  <c r="AB54" i="6"/>
  <c r="L53" i="6"/>
  <c r="BJ32" i="6"/>
  <c r="AL42" i="6"/>
  <c r="CI51" i="6"/>
  <c r="AR31" i="6"/>
  <c r="U67" i="6"/>
  <c r="AL67" i="6"/>
  <c r="AP75" i="6"/>
  <c r="AB81" i="6"/>
  <c r="AG62" i="6"/>
  <c r="BY52" i="6"/>
  <c r="CA46" i="6"/>
  <c r="AO63" i="6"/>
  <c r="L41" i="6"/>
  <c r="S37" i="6"/>
  <c r="V31" i="6"/>
  <c r="CP84" i="6"/>
  <c r="CI39" i="6"/>
  <c r="CP35" i="6"/>
  <c r="CW29" i="6"/>
  <c r="BG76" i="6"/>
  <c r="BA52" i="6"/>
  <c r="BZ49" i="6"/>
  <c r="BF44" i="6"/>
  <c r="Z79" i="6"/>
  <c r="BZ40" i="6"/>
  <c r="CJ37" i="6"/>
  <c r="BF32" i="6"/>
  <c r="Z76" i="6"/>
  <c r="AY39" i="6"/>
  <c r="AY36" i="6"/>
  <c r="CN87" i="6"/>
  <c r="V33" i="6"/>
  <c r="BO62" i="6"/>
  <c r="Q53" i="6"/>
  <c r="AM18" i="6"/>
  <c r="W12" i="6"/>
  <c r="AY117" i="6"/>
  <c r="BY31" i="6"/>
  <c r="CO42" i="6"/>
  <c r="CH62" i="6"/>
  <c r="BL48" i="6"/>
  <c r="AY43" i="6"/>
  <c r="BJ22" i="6"/>
  <c r="AO13" i="6"/>
  <c r="AH41" i="6"/>
  <c r="AQ7" i="6"/>
  <c r="CD60" i="6"/>
  <c r="AY111" i="6"/>
  <c r="X41" i="6"/>
  <c r="AG7" i="6"/>
  <c r="BF57" i="6"/>
  <c r="BL76" i="6"/>
  <c r="CW76" i="6"/>
  <c r="AA59" i="6"/>
  <c r="Q52" i="6"/>
  <c r="N55" i="6"/>
  <c r="AR41" i="6"/>
  <c r="M27" i="6"/>
  <c r="N52" i="6"/>
  <c r="AC18" i="6"/>
  <c r="M12" i="6"/>
  <c r="CK7" i="6"/>
  <c r="BE114" i="6"/>
  <c r="AJ37" i="6"/>
  <c r="BI60" i="6"/>
  <c r="CO46" i="6"/>
  <c r="AE37" i="6"/>
  <c r="CK55" i="6"/>
  <c r="AE16" i="6"/>
  <c r="CA49" i="6"/>
  <c r="BJ25" i="6"/>
  <c r="AC19" i="6"/>
  <c r="AA15" i="6"/>
  <c r="BY48" i="6"/>
  <c r="AK25" i="6"/>
  <c r="S19" i="6"/>
  <c r="Q15" i="6"/>
  <c r="AO31" i="6"/>
  <c r="R89" i="6"/>
  <c r="BI71" i="6"/>
  <c r="BQ42" i="6"/>
  <c r="CF43" i="6"/>
  <c r="CD50" i="6"/>
  <c r="AH37" i="6"/>
  <c r="BD30" i="6"/>
  <c r="CI41" i="6"/>
  <c r="X16" i="6"/>
  <c r="CW9" i="6"/>
  <c r="BI5" i="6"/>
  <c r="BY41" i="6"/>
  <c r="N16" i="6"/>
  <c r="CI9" i="6"/>
  <c r="AY5" i="6"/>
  <c r="BO88" i="6"/>
  <c r="BQ60" i="6"/>
  <c r="BD31" i="6"/>
  <c r="AA77" i="6"/>
  <c r="AM58" i="6"/>
  <c r="Z17" i="6"/>
  <c r="W26" i="6"/>
  <c r="BG53" i="6"/>
  <c r="AG20" i="6"/>
  <c r="CO13" i="6"/>
  <c r="X10" i="6"/>
  <c r="BQ53" i="6"/>
  <c r="W20" i="6"/>
  <c r="CE13" i="6"/>
  <c r="AL40" i="6"/>
  <c r="AH28" i="6"/>
  <c r="CI69" i="6"/>
  <c r="AL71" i="6"/>
  <c r="AM113" i="6"/>
  <c r="N90" i="6"/>
  <c r="AF55" i="6"/>
  <c r="R14" i="6"/>
  <c r="R24" i="6"/>
  <c r="BB51" i="6"/>
  <c r="AB18" i="6"/>
  <c r="CK11" i="6"/>
  <c r="U8" i="6"/>
  <c r="BL51" i="6"/>
  <c r="R18" i="6"/>
  <c r="CA11" i="6"/>
  <c r="CP55" i="6"/>
  <c r="AC26" i="6"/>
  <c r="CW39" i="6"/>
  <c r="CH51" i="6"/>
  <c r="N75" i="6"/>
  <c r="CF54" i="6"/>
  <c r="X38" i="6"/>
  <c r="BG25" i="6"/>
  <c r="AQ14" i="6"/>
  <c r="AK42" i="6"/>
  <c r="BI8" i="6"/>
  <c r="CH46" i="6"/>
  <c r="CH29" i="6"/>
  <c r="AA42" i="6"/>
  <c r="AJ8" i="6"/>
  <c r="BZ43" i="6"/>
  <c r="CP44" i="6"/>
  <c r="BF83" i="6"/>
  <c r="V36" i="6"/>
  <c r="AK30" i="6"/>
  <c r="CN15" i="6"/>
  <c r="BY9" i="6"/>
  <c r="AJ36" i="6"/>
  <c r="CN19" i="6"/>
  <c r="BG13" i="6"/>
  <c r="BY120" i="6"/>
  <c r="W140" i="6"/>
  <c r="CE97" i="6"/>
  <c r="U103" i="6"/>
  <c r="BB91" i="6"/>
  <c r="BD92" i="6"/>
  <c r="U84" i="6"/>
  <c r="AH123" i="6"/>
  <c r="W93" i="6"/>
  <c r="W63" i="6"/>
  <c r="AP114" i="6"/>
  <c r="BX95" i="6"/>
  <c r="CN93" i="6"/>
  <c r="CA124" i="6"/>
  <c r="CP81" i="6"/>
  <c r="AE115" i="6"/>
  <c r="AJ98" i="6"/>
  <c r="BO111" i="6"/>
  <c r="CI98" i="6"/>
  <c r="AK76" i="6"/>
  <c r="M99" i="6"/>
  <c r="N38" i="6"/>
  <c r="CJ52" i="6"/>
  <c r="AY51" i="6"/>
  <c r="AO33" i="6"/>
  <c r="AF54" i="6"/>
  <c r="S53" i="6"/>
  <c r="CJ41" i="6"/>
  <c r="BF101" i="6"/>
  <c r="L37" i="6"/>
  <c r="BI51" i="6"/>
  <c r="BF50" i="6"/>
  <c r="AL32" i="6"/>
  <c r="AC53" i="6"/>
  <c r="CJ89" i="6"/>
  <c r="BN76" i="6"/>
  <c r="AO71" i="6"/>
  <c r="M65" i="6"/>
  <c r="CA64" i="6"/>
  <c r="AA63" i="6"/>
  <c r="AF37" i="6"/>
  <c r="AF16" i="6"/>
  <c r="CI72" i="6"/>
  <c r="BL67" i="6"/>
  <c r="CD64" i="6"/>
  <c r="CW67" i="6"/>
  <c r="AJ71" i="6"/>
  <c r="W70" i="6"/>
  <c r="BF58" i="6"/>
  <c r="L7" i="6"/>
  <c r="X102" i="6"/>
  <c r="BQ40" i="6"/>
  <c r="BK48" i="6"/>
  <c r="BK63" i="6"/>
  <c r="AQ56" i="6"/>
  <c r="BN37" i="6"/>
  <c r="CA80" i="6"/>
  <c r="AP58" i="6"/>
  <c r="AY87" i="6"/>
  <c r="AC57" i="6"/>
  <c r="BF63" i="6"/>
  <c r="Z65" i="6"/>
  <c r="BN110" i="6"/>
  <c r="BO73" i="6"/>
  <c r="S61" i="6"/>
  <c r="S82" i="6"/>
  <c r="CO38" i="6"/>
  <c r="M48" i="6"/>
  <c r="CC73" i="6"/>
  <c r="BL53" i="6"/>
  <c r="CJ46" i="6"/>
  <c r="AC56" i="6"/>
  <c r="CF35" i="6"/>
  <c r="BZ88" i="6"/>
  <c r="CA44" i="6"/>
  <c r="CO55" i="6"/>
  <c r="Z104" i="6"/>
  <c r="BJ43" i="6"/>
  <c r="CC54" i="6"/>
  <c r="L69" i="6"/>
  <c r="AG77" i="6"/>
  <c r="N79" i="6"/>
  <c r="BQ67" i="6"/>
  <c r="BL52" i="6"/>
  <c r="AZ44" i="6"/>
  <c r="BL38" i="6"/>
  <c r="BY81" i="6"/>
  <c r="CA32" i="6"/>
  <c r="CM60" i="6"/>
  <c r="BN55" i="6"/>
  <c r="CD75" i="6"/>
  <c r="BJ31" i="6"/>
  <c r="AQ59" i="6"/>
  <c r="AL54" i="6"/>
  <c r="AZ63" i="6"/>
  <c r="R44" i="6"/>
  <c r="AB41" i="6"/>
  <c r="BQ99" i="6"/>
  <c r="AB68" i="6"/>
  <c r="AB32" i="6"/>
  <c r="BB58" i="6"/>
  <c r="BE95" i="6"/>
  <c r="CO66" i="6"/>
  <c r="CO30" i="6"/>
  <c r="BJ57" i="6"/>
  <c r="AY62" i="6"/>
  <c r="AJ55" i="6"/>
  <c r="AY52" i="6"/>
  <c r="CE56" i="6"/>
  <c r="K10" i="6"/>
  <c r="CE27" i="6"/>
  <c r="AZ75" i="6"/>
  <c r="BF59" i="6"/>
  <c r="P40" i="6"/>
  <c r="N58" i="6"/>
  <c r="BN57" i="6"/>
  <c r="AZ29" i="6"/>
  <c r="K6" i="6"/>
  <c r="CM69" i="6"/>
  <c r="N33" i="6"/>
  <c r="CP29" i="6"/>
  <c r="BE25" i="6"/>
  <c r="CJ68" i="6"/>
  <c r="CN32" i="6"/>
  <c r="BF29" i="6"/>
  <c r="AP25" i="6"/>
  <c r="S40" i="6"/>
  <c r="BZ52" i="6"/>
  <c r="AH55" i="6"/>
  <c r="BN50" i="6"/>
  <c r="BE38" i="6"/>
  <c r="BE27" i="6"/>
  <c r="AP17" i="6"/>
  <c r="M56" i="6"/>
  <c r="CK9" i="6"/>
  <c r="BN26" i="6"/>
  <c r="BX34" i="6"/>
  <c r="V83" i="6"/>
  <c r="BJ63" i="6"/>
  <c r="CP50" i="6"/>
  <c r="CK45" i="6"/>
  <c r="CW52" i="6"/>
  <c r="AM39" i="6"/>
  <c r="W45" i="6"/>
  <c r="CW45" i="6"/>
  <c r="AA17" i="6"/>
  <c r="K11" i="6"/>
  <c r="BZ6" i="6"/>
  <c r="CI45" i="6"/>
  <c r="Q17" i="6"/>
  <c r="CJ10" i="6"/>
  <c r="BK6" i="6"/>
  <c r="AP52" i="6"/>
  <c r="K53" i="6"/>
  <c r="BI35" i="6"/>
  <c r="CD38" i="6"/>
  <c r="K42" i="6"/>
  <c r="AP34" i="6"/>
  <c r="BO23" i="6"/>
  <c r="AF13" i="6"/>
  <c r="BK50" i="6"/>
  <c r="CF7" i="6"/>
  <c r="AG45" i="6"/>
  <c r="AB28" i="6"/>
  <c r="BA50" i="6"/>
  <c r="BG7" i="6"/>
  <c r="AE44" i="6"/>
  <c r="R28" i="6"/>
  <c r="AL64" i="6"/>
  <c r="CN45" i="6"/>
  <c r="BF64" i="6"/>
  <c r="BZ64" i="6"/>
  <c r="BQ62" i="6"/>
  <c r="P34" i="6"/>
  <c r="BN17" i="6"/>
  <c r="AR45" i="6"/>
  <c r="CD11" i="6"/>
  <c r="CI5" i="6"/>
  <c r="P50" i="6"/>
  <c r="AH45" i="6"/>
  <c r="BE11" i="6"/>
  <c r="BY5" i="6"/>
  <c r="BK37" i="6"/>
  <c r="N20" i="6"/>
  <c r="AC48" i="6"/>
  <c r="K60" i="6"/>
  <c r="AA90" i="6"/>
  <c r="CK56" i="6"/>
  <c r="BQ54" i="6"/>
  <c r="BB27" i="6"/>
  <c r="AY15" i="6"/>
  <c r="AM43" i="6"/>
  <c r="BA9" i="6"/>
  <c r="BF4" i="6"/>
  <c r="BZ39" i="6"/>
  <c r="AC43" i="6"/>
  <c r="BK9" i="6"/>
  <c r="AG4" i="6"/>
  <c r="CW49" i="6"/>
  <c r="AC70" i="6"/>
  <c r="Q36" i="6"/>
  <c r="AY48" i="6"/>
  <c r="BX63" i="6"/>
  <c r="CA60" i="6"/>
  <c r="CA38" i="6"/>
  <c r="Q9" i="6"/>
  <c r="BE61" i="6"/>
  <c r="Q34" i="6"/>
  <c r="M33" i="6"/>
  <c r="CF26" i="6"/>
  <c r="BO87" i="6"/>
  <c r="CP33" i="6"/>
  <c r="K32" i="6"/>
  <c r="AR26" i="6"/>
  <c r="BP52" i="6"/>
  <c r="BJ52" i="6"/>
  <c r="BA47" i="6"/>
  <c r="CD28" i="6"/>
  <c r="BQ7" i="6"/>
  <c r="AB43" i="6"/>
  <c r="CF61" i="6"/>
  <c r="BF11" i="6"/>
  <c r="BA5" i="6"/>
  <c r="P46" i="6"/>
  <c r="CH57" i="6"/>
  <c r="AO10" i="6"/>
  <c r="Z4" i="6"/>
  <c r="CH38" i="6"/>
  <c r="BG41" i="6"/>
  <c r="CE7" i="6"/>
  <c r="AM35" i="6"/>
  <c r="AC13" i="6"/>
  <c r="M53" i="6"/>
  <c r="CM56" i="6"/>
  <c r="BL8" i="6"/>
  <c r="BF45" i="6"/>
  <c r="BD9" i="6"/>
  <c r="AA28" i="6"/>
  <c r="AF29" i="6"/>
  <c r="BN21" i="6"/>
  <c r="BD25" i="6"/>
  <c r="U18" i="6"/>
  <c r="AC31" i="6"/>
  <c r="CN52" i="6"/>
  <c r="AB47" i="6"/>
  <c r="AR16" i="6"/>
  <c r="CM11" i="6"/>
  <c r="BO60" i="6"/>
  <c r="AM20" i="6"/>
  <c r="AJ109" i="6"/>
  <c r="CN117" i="6"/>
  <c r="BN82" i="6"/>
  <c r="Q94" i="6"/>
  <c r="CI82" i="6"/>
  <c r="AM83" i="6"/>
  <c r="BL84" i="6"/>
  <c r="AO112" i="6"/>
  <c r="AZ89" i="6"/>
  <c r="AK110" i="6"/>
  <c r="CH85" i="6"/>
  <c r="BL89" i="6"/>
  <c r="AO94" i="6"/>
  <c r="AM97" i="6"/>
  <c r="AP81" i="6"/>
  <c r="BX131" i="6"/>
  <c r="X78" i="6"/>
  <c r="AL111" i="6"/>
  <c r="CC88" i="6"/>
  <c r="CF67" i="6"/>
  <c r="CD73" i="6"/>
  <c r="AR60" i="6"/>
  <c r="AL44" i="6"/>
  <c r="P43" i="6"/>
  <c r="BB57" i="6"/>
  <c r="L46" i="6"/>
  <c r="CI44" i="6"/>
  <c r="AL33" i="6"/>
  <c r="CM91" i="6"/>
  <c r="AJ59" i="6"/>
  <c r="Z43" i="6"/>
  <c r="M42" i="6"/>
  <c r="AZ56" i="6"/>
  <c r="CW44" i="6"/>
  <c r="X76" i="6"/>
  <c r="AK70" i="6"/>
  <c r="AC67" i="6"/>
  <c r="CD69" i="6"/>
  <c r="BK72" i="6"/>
  <c r="Z71" i="6"/>
  <c r="BI59" i="6"/>
  <c r="N8" i="6"/>
  <c r="AJ72" i="6"/>
  <c r="BK67" i="6"/>
  <c r="AQ65" i="6"/>
  <c r="L75" i="6"/>
  <c r="BF62" i="6"/>
  <c r="BN61" i="6"/>
  <c r="M50" i="6"/>
  <c r="W29" i="6"/>
  <c r="AR63" i="6"/>
  <c r="AH32" i="6"/>
  <c r="CN30" i="6"/>
  <c r="AC68" i="6"/>
  <c r="CM47" i="6"/>
  <c r="U29" i="6"/>
  <c r="BX75" i="6"/>
  <c r="V50" i="6"/>
  <c r="R69" i="6"/>
  <c r="CW48" i="6"/>
  <c r="P66" i="6"/>
  <c r="K96" i="6"/>
  <c r="BJ104" i="6"/>
  <c r="BZ75" i="6"/>
  <c r="Z52" i="6"/>
  <c r="CJ63" i="6"/>
  <c r="BO54" i="6"/>
  <c r="BN39" i="6"/>
  <c r="AE65" i="6"/>
  <c r="AC45" i="6"/>
  <c r="CW82" i="6"/>
  <c r="CW47" i="6"/>
  <c r="AG59" i="6"/>
  <c r="AB69" i="6"/>
  <c r="BB36" i="6"/>
  <c r="AQ47" i="6"/>
  <c r="BI64" i="6"/>
  <c r="AK35" i="6"/>
  <c r="AE46" i="6"/>
  <c r="N76" i="6"/>
  <c r="BQ87" i="6"/>
  <c r="L87" i="6"/>
  <c r="AJ94" i="6"/>
  <c r="V41" i="6"/>
  <c r="AA36" i="6"/>
  <c r="AC30" i="6"/>
  <c r="Z62" i="6"/>
  <c r="CO54" i="6"/>
  <c r="P52" i="6"/>
  <c r="K47" i="6"/>
  <c r="BY85" i="6"/>
  <c r="CC53" i="6"/>
  <c r="CM50" i="6"/>
  <c r="BX45" i="6"/>
  <c r="AY71" i="6"/>
  <c r="AY35" i="6"/>
  <c r="AY32" i="6"/>
  <c r="AB80" i="6"/>
  <c r="AH60" i="6"/>
  <c r="AK56" i="6"/>
  <c r="AM50" i="6"/>
  <c r="Q84" i="6"/>
  <c r="Q59" i="6"/>
  <c r="X55" i="6"/>
  <c r="AA49" i="6"/>
  <c r="AK67" i="6"/>
  <c r="BF46" i="6"/>
  <c r="CO43" i="6"/>
  <c r="AY37" i="6"/>
  <c r="AY42" i="6"/>
  <c r="CE25" i="6"/>
  <c r="BJ76" i="6"/>
  <c r="BA54" i="6"/>
  <c r="CK98" i="6"/>
  <c r="AY55" i="6"/>
  <c r="BA40" i="6"/>
  <c r="BL59" i="6"/>
  <c r="BA19" i="6"/>
  <c r="CM33" i="6"/>
  <c r="BO27" i="6"/>
  <c r="AH21" i="6"/>
  <c r="AF17" i="6"/>
  <c r="CJ32" i="6"/>
  <c r="AP27" i="6"/>
  <c r="X21" i="6"/>
  <c r="V17" i="6"/>
  <c r="X35" i="6"/>
  <c r="CJ49" i="6"/>
  <c r="AK49" i="6"/>
  <c r="S46" i="6"/>
  <c r="BA53" i="6"/>
  <c r="M11" i="6"/>
  <c r="CJ6" i="6"/>
  <c r="BI37" i="6"/>
  <c r="CC52" i="6"/>
  <c r="BP25" i="6"/>
  <c r="CM21" i="6"/>
  <c r="CF30" i="6"/>
  <c r="AB44" i="6"/>
  <c r="N47" i="6"/>
  <c r="P44" i="6"/>
  <c r="BJ36" i="6"/>
  <c r="AZ25" i="6"/>
  <c r="AK15" i="6"/>
  <c r="BI53" i="6"/>
  <c r="CI8" i="6"/>
  <c r="BN56" i="6"/>
  <c r="AY29" i="6"/>
  <c r="CE52" i="6"/>
  <c r="BY8" i="6"/>
  <c r="BK55" i="6"/>
  <c r="AG29" i="6"/>
  <c r="V44" i="6"/>
  <c r="U50" i="6"/>
  <c r="BX32" i="6"/>
  <c r="L39" i="6"/>
  <c r="CI37" i="6"/>
  <c r="AL49" i="6"/>
  <c r="CO6" i="6"/>
  <c r="CN4" i="6"/>
  <c r="BA34" i="6"/>
  <c r="BJ30" i="6"/>
  <c r="BK23" i="6"/>
  <c r="BI19" i="6"/>
  <c r="BK34" i="6"/>
  <c r="AO30" i="6"/>
  <c r="BA23" i="6"/>
  <c r="AC89" i="6"/>
  <c r="W61" i="6"/>
  <c r="L42" i="6"/>
  <c r="BX74" i="6"/>
  <c r="AA35" i="6"/>
  <c r="AY40" i="6"/>
  <c r="AA14" i="6"/>
  <c r="AC71" i="6"/>
  <c r="X37" i="6"/>
  <c r="AY46" i="6"/>
  <c r="AJ30" i="6"/>
  <c r="AF68" i="6"/>
  <c r="N37" i="6"/>
  <c r="CH58" i="6"/>
  <c r="R30" i="6"/>
  <c r="AP62" i="6"/>
  <c r="Q79" i="6"/>
  <c r="AK44" i="6"/>
  <c r="AB57" i="6"/>
  <c r="CM65" i="6"/>
  <c r="S32" i="6"/>
  <c r="CK46" i="6"/>
  <c r="U11" i="6"/>
  <c r="CN73" i="6"/>
  <c r="S35" i="6"/>
  <c r="AG41" i="6"/>
  <c r="CI27" i="6"/>
  <c r="S72" i="6"/>
  <c r="CW34" i="6"/>
  <c r="AE40" i="6"/>
  <c r="BY27" i="6"/>
  <c r="BD55" i="6"/>
  <c r="CE75" i="6"/>
  <c r="S30" i="6"/>
  <c r="BD43" i="6"/>
  <c r="AA31" i="6"/>
  <c r="BI43" i="6"/>
  <c r="AJ33" i="6"/>
  <c r="BX22" i="6"/>
  <c r="AQ42" i="6"/>
  <c r="BI28" i="6"/>
  <c r="AK22" i="6"/>
  <c r="AH18" i="6"/>
  <c r="AO41" i="6"/>
  <c r="AR28" i="6"/>
  <c r="AJ112" i="6"/>
  <c r="CC71" i="6"/>
  <c r="BG124" i="6"/>
  <c r="AH126" i="6"/>
  <c r="R84" i="6"/>
  <c r="BE84" i="6"/>
  <c r="P83" i="6"/>
  <c r="CA70" i="6"/>
  <c r="CH111" i="6"/>
  <c r="V67" i="6"/>
  <c r="BO66" i="6"/>
  <c r="AR68" i="6"/>
  <c r="AL91" i="6"/>
  <c r="AF80" i="6"/>
  <c r="BI102" i="6"/>
  <c r="AC79" i="6"/>
  <c r="L84" i="6"/>
  <c r="AM98" i="6"/>
  <c r="AF81" i="6"/>
  <c r="AH65" i="6"/>
  <c r="Q108" i="6"/>
  <c r="V34" i="6"/>
  <c r="K50" i="6"/>
  <c r="BX48" i="6"/>
  <c r="CD59" i="6"/>
  <c r="AH48" i="6"/>
  <c r="V47" i="6"/>
  <c r="BZ34" i="6"/>
  <c r="CW79" i="6"/>
  <c r="S33" i="6"/>
  <c r="CH48" i="6"/>
  <c r="BF47" i="6"/>
  <c r="CA58" i="6"/>
  <c r="AF47" i="6"/>
  <c r="BA68" i="6"/>
  <c r="V45" i="6"/>
  <c r="CW43" i="6"/>
  <c r="CJ56" i="6"/>
  <c r="K45" i="6"/>
  <c r="BX43" i="6"/>
  <c r="AM33" i="6"/>
  <c r="BO103" i="6"/>
  <c r="BL56" i="6"/>
  <c r="CI35" i="6"/>
  <c r="BQ34" i="6"/>
  <c r="Z47" i="6"/>
  <c r="AJ35" i="6"/>
  <c r="W34" i="6"/>
  <c r="BP55" i="6"/>
  <c r="AC88" i="6"/>
  <c r="BG54" i="6"/>
  <c r="BP56" i="6"/>
  <c r="AE54" i="6"/>
  <c r="BE33" i="6"/>
  <c r="AQ93" i="6"/>
  <c r="CI36" i="6"/>
  <c r="CH70" i="6"/>
  <c r="R57" i="6"/>
  <c r="BN68" i="6"/>
  <c r="AZ32" i="6"/>
  <c r="CF70" i="6"/>
  <c r="P104" i="6"/>
  <c r="BE92" i="6"/>
  <c r="X42" i="6"/>
  <c r="W35" i="6"/>
  <c r="AM68" i="6"/>
  <c r="AP46" i="6"/>
  <c r="K31" i="6"/>
  <c r="AP57" i="6"/>
  <c r="CO51" i="6"/>
  <c r="BF77" i="6"/>
  <c r="BY39" i="6"/>
  <c r="BZ33" i="6"/>
  <c r="AB74" i="6"/>
  <c r="CE58" i="6"/>
  <c r="AP51" i="6"/>
  <c r="AL70" i="6"/>
  <c r="BD57" i="6"/>
  <c r="AC50" i="6"/>
  <c r="CE66" i="6"/>
  <c r="CA75" i="6"/>
  <c r="BB98" i="6"/>
  <c r="M67" i="6"/>
  <c r="CI31" i="6"/>
  <c r="BP59" i="6"/>
  <c r="BK54" i="6"/>
  <c r="CF66" i="6"/>
  <c r="AQ46" i="6"/>
  <c r="BP43" i="6"/>
  <c r="BK38" i="6"/>
  <c r="V65" i="6"/>
  <c r="AE45" i="6"/>
  <c r="AO42" i="6"/>
  <c r="M81" i="6"/>
  <c r="CE62" i="6"/>
  <c r="BG59" i="6"/>
  <c r="AZ53" i="6"/>
  <c r="BX64" i="6"/>
  <c r="CW51" i="6"/>
  <c r="Q48" i="6"/>
  <c r="S42" i="6"/>
  <c r="AY60" i="6"/>
  <c r="CF50" i="6"/>
  <c r="CN46" i="6"/>
  <c r="CP40" i="6"/>
  <c r="BG74" i="6"/>
  <c r="AG38" i="6"/>
  <c r="AQ35" i="6"/>
  <c r="CN56" i="6"/>
  <c r="BD23" i="6"/>
  <c r="AG17" i="6"/>
  <c r="BJ64" i="6"/>
  <c r="BF73" i="6"/>
  <c r="P67" i="6"/>
  <c r="V54" i="6"/>
  <c r="Q56" i="6"/>
  <c r="BJ42" i="6"/>
  <c r="BA35" i="6"/>
  <c r="AO60" i="6"/>
  <c r="AF19" i="6"/>
  <c r="N13" i="6"/>
  <c r="CN8" i="6"/>
  <c r="AF59" i="6"/>
  <c r="V19" i="6"/>
  <c r="CO12" i="6"/>
  <c r="BE8" i="6"/>
  <c r="AA29" i="6"/>
  <c r="BP44" i="6"/>
  <c r="BZ46" i="6"/>
  <c r="CA62" i="6"/>
  <c r="BI36" i="6"/>
  <c r="BF24" i="6"/>
  <c r="BP29" i="6"/>
  <c r="CD56" i="6"/>
  <c r="BN23" i="6"/>
  <c r="W17" i="6"/>
  <c r="AE13" i="6"/>
  <c r="BD58" i="6"/>
  <c r="AL41" i="6"/>
  <c r="Q41" i="6"/>
  <c r="CN39" i="6"/>
  <c r="AQ51" i="6"/>
  <c r="CW8" i="6"/>
  <c r="BX5" i="6"/>
  <c r="M36" i="6"/>
  <c r="AE36" i="6"/>
  <c r="BN24" i="6"/>
  <c r="CJ20" i="6"/>
  <c r="CC35" i="6"/>
  <c r="AB35" i="6"/>
  <c r="BD24" i="6"/>
  <c r="CO65" i="6"/>
  <c r="CK35" i="6"/>
  <c r="CO44" i="6"/>
  <c r="S77" i="6"/>
  <c r="R38" i="6"/>
  <c r="AK74" i="6"/>
  <c r="Z32" i="6"/>
  <c r="AQ20" i="6"/>
  <c r="Z27" i="6"/>
  <c r="BY54" i="6"/>
  <c r="AJ21" i="6"/>
  <c r="R15" i="6"/>
  <c r="AA11" i="6"/>
  <c r="AZ54" i="6"/>
  <c r="Z21" i="6"/>
  <c r="CH14" i="6"/>
  <c r="AL69" i="6"/>
  <c r="CK54" i="6"/>
  <c r="N36" i="6"/>
  <c r="BE41" i="6"/>
  <c r="K49" i="6"/>
  <c r="CO40" i="6"/>
  <c r="K28" i="6"/>
  <c r="V37" i="6"/>
  <c r="BF41" i="6"/>
  <c r="AR25" i="6"/>
  <c r="AP21" i="6"/>
  <c r="S36" i="6"/>
  <c r="CC48" i="6"/>
  <c r="AH25" i="6"/>
  <c r="AF21" i="6"/>
  <c r="AQ40" i="6"/>
  <c r="AL74" i="6"/>
  <c r="AM38" i="6"/>
  <c r="M52" i="6"/>
  <c r="AF33" i="6"/>
  <c r="BN45" i="6"/>
  <c r="W36" i="6"/>
  <c r="CC24" i="6"/>
  <c r="CO50" i="6"/>
  <c r="K30" i="6"/>
  <c r="AM23" i="6"/>
  <c r="AK19" i="6"/>
  <c r="CM49" i="6"/>
  <c r="CE29" i="6"/>
  <c r="AC23" i="6"/>
  <c r="AA19" i="6"/>
  <c r="P37" i="6"/>
  <c r="K78" i="6"/>
  <c r="BO75" i="6"/>
  <c r="BZ76" i="6"/>
  <c r="AQ60" i="6"/>
  <c r="X59" i="6"/>
  <c r="BQ45" i="6"/>
  <c r="AZ5" i="6"/>
  <c r="BP39" i="6"/>
  <c r="AH20" i="6"/>
  <c r="Q14" i="6"/>
  <c r="CP9" i="6"/>
  <c r="BN38" i="6"/>
  <c r="X20" i="6"/>
  <c r="CP13" i="6"/>
  <c r="BG9" i="6"/>
  <c r="BL55" i="6"/>
  <c r="AL72" i="6"/>
  <c r="U68" i="6"/>
  <c r="BX31" i="6"/>
  <c r="P21" i="6"/>
  <c r="BX14" i="6"/>
  <c r="BY58" i="6"/>
  <c r="Z25" i="6"/>
  <c r="CH18" i="6"/>
  <c r="CE14" i="6"/>
  <c r="AH57" i="6"/>
  <c r="M24" i="6"/>
  <c r="BP17" i="6"/>
  <c r="U37" i="6"/>
  <c r="CN27" i="6"/>
  <c r="BG21" i="6"/>
  <c r="P54" i="6"/>
  <c r="P41" i="6"/>
  <c r="AC17" i="6"/>
  <c r="CD21" i="6"/>
  <c r="BX24" i="6"/>
  <c r="BO21" i="6"/>
  <c r="BY25" i="6"/>
  <c r="AY11" i="6"/>
  <c r="M5" i="6"/>
  <c r="BP27" i="6"/>
  <c r="K4" i="6"/>
  <c r="AR37" i="6"/>
  <c r="BB13" i="6"/>
  <c r="CA66" i="6"/>
  <c r="BY20" i="6"/>
  <c r="BN14" i="6"/>
  <c r="BK47" i="6"/>
  <c r="CH47" i="6"/>
  <c r="Z37" i="6"/>
  <c r="BI49" i="6"/>
  <c r="BO11" i="6"/>
  <c r="AK5" i="6"/>
  <c r="X49" i="6"/>
  <c r="BN15" i="6"/>
  <c r="AJ9" i="6"/>
  <c r="V139" i="6"/>
  <c r="W65" i="6"/>
  <c r="AP129" i="6"/>
  <c r="AY124" i="6"/>
  <c r="CI88" i="6"/>
  <c r="BO126" i="6"/>
  <c r="BB73" i="6"/>
  <c r="L126" i="6"/>
  <c r="AZ113" i="6"/>
  <c r="AP79" i="6"/>
  <c r="BK87" i="6"/>
  <c r="BA70" i="6"/>
  <c r="CN70" i="6"/>
  <c r="AA97" i="6"/>
  <c r="CI87" i="6"/>
  <c r="S94" i="6"/>
  <c r="CF82" i="6"/>
  <c r="R95" i="6"/>
  <c r="BK80" i="6"/>
  <c r="Z74" i="6"/>
  <c r="AO82" i="6"/>
  <c r="BK57" i="6"/>
  <c r="BK41" i="6"/>
  <c r="Z40" i="6"/>
  <c r="BO51" i="6"/>
  <c r="N40" i="6"/>
  <c r="CK38" i="6"/>
  <c r="CI54" i="6"/>
  <c r="Z80" i="6"/>
  <c r="AY56" i="6"/>
  <c r="AJ40" i="6"/>
  <c r="W39" i="6"/>
  <c r="BL50" i="6"/>
  <c r="CE109" i="6"/>
  <c r="BO57" i="6"/>
  <c r="CK36" i="6"/>
  <c r="BY35" i="6"/>
  <c r="AL48" i="6"/>
  <c r="BA36" i="6"/>
  <c r="Z35" i="6"/>
  <c r="BX56" i="6"/>
  <c r="AK97" i="6"/>
  <c r="AF45" i="6"/>
  <c r="W58" i="6"/>
  <c r="K57" i="6"/>
  <c r="CE38" i="6"/>
  <c r="AR59" i="6"/>
  <c r="AF58" i="6"/>
  <c r="W47" i="6"/>
  <c r="AR92" i="6"/>
  <c r="AC44" i="6"/>
  <c r="N65" i="6"/>
  <c r="BZ45" i="6"/>
  <c r="CH55" i="6"/>
  <c r="AH66" i="6"/>
  <c r="AG43" i="6"/>
  <c r="AG70" i="6"/>
  <c r="CK60" i="6"/>
  <c r="U69" i="6"/>
  <c r="CE55" i="6"/>
  <c r="AF78" i="6"/>
  <c r="BI117" i="6"/>
  <c r="AE92" i="6"/>
  <c r="CK32" i="6"/>
  <c r="N56" i="6"/>
  <c r="AY75" i="6"/>
  <c r="AB53" i="6"/>
  <c r="L92" i="6"/>
  <c r="V49" i="6"/>
  <c r="AQ43" i="6"/>
  <c r="CF68" i="6"/>
  <c r="AZ31" i="6"/>
  <c r="BB54" i="6"/>
  <c r="AH69" i="6"/>
  <c r="AG50" i="6"/>
  <c r="V43" i="6"/>
  <c r="AA66" i="6"/>
  <c r="U49" i="6"/>
  <c r="CW41" i="6"/>
  <c r="CP58" i="6"/>
  <c r="AA85" i="6"/>
  <c r="CO88" i="6"/>
  <c r="CM63" i="6"/>
  <c r="M54" i="6"/>
  <c r="W51" i="6"/>
  <c r="R46" i="6"/>
  <c r="CM73" i="6"/>
  <c r="CM37" i="6"/>
  <c r="M35" i="6"/>
  <c r="AL60" i="6"/>
  <c r="BA72" i="6"/>
  <c r="BZ36" i="6"/>
  <c r="CJ33" i="6"/>
  <c r="BJ68" i="6"/>
  <c r="AA55" i="6"/>
  <c r="AH51" i="6"/>
  <c r="AK45" i="6"/>
  <c r="CJ70" i="6"/>
  <c r="BY43" i="6"/>
  <c r="CF39" i="6"/>
  <c r="CI33" i="6"/>
  <c r="BD67" i="6"/>
  <c r="BG42" i="6"/>
  <c r="BO38" i="6"/>
  <c r="CW102" i="6"/>
  <c r="CC65" i="6"/>
  <c r="CC29" i="6"/>
  <c r="AH56" i="6"/>
  <c r="BE48" i="6"/>
  <c r="U15" i="6"/>
  <c r="BF8" i="6"/>
  <c r="AR50" i="6"/>
  <c r="Q62" i="6"/>
  <c r="P31" i="6"/>
  <c r="BI52" i="6"/>
  <c r="BQ39" i="6"/>
  <c r="BY28" i="6"/>
  <c r="AR18" i="6"/>
  <c r="U59" i="6"/>
  <c r="CM10" i="6"/>
  <c r="BX4" i="6"/>
  <c r="CM40" i="6"/>
  <c r="K59" i="6"/>
  <c r="CC10" i="6"/>
  <c r="BI4" i="6"/>
  <c r="BN32" i="6"/>
  <c r="CA86" i="6"/>
  <c r="AQ70" i="6"/>
  <c r="BQ74" i="6"/>
  <c r="Q63" i="6"/>
  <c r="Q49" i="6"/>
  <c r="BP7" i="6"/>
  <c r="BZ20" i="6"/>
  <c r="BO48" i="6"/>
  <c r="K15" i="6"/>
  <c r="CO8" i="6"/>
  <c r="N5" i="6"/>
  <c r="AY53" i="6"/>
  <c r="AH82" i="6"/>
  <c r="W40" i="6"/>
  <c r="AJ61" i="6"/>
  <c r="AO34" i="6"/>
  <c r="BA22" i="6"/>
  <c r="AL28" i="6"/>
  <c r="CA55" i="6"/>
  <c r="BK22" i="6"/>
  <c r="U16" i="6"/>
  <c r="AC12" i="6"/>
  <c r="BB55" i="6"/>
  <c r="AL22" i="6"/>
  <c r="K16" i="6"/>
  <c r="AO57" i="6"/>
  <c r="BK31" i="6"/>
  <c r="CJ72" i="6"/>
  <c r="X54" i="6"/>
  <c r="CD67" i="6"/>
  <c r="P71" i="6"/>
  <c r="CF73" i="6"/>
  <c r="BK51" i="6"/>
  <c r="BF18" i="6"/>
  <c r="BJ46" i="6"/>
  <c r="CF12" i="6"/>
  <c r="CA6" i="6"/>
  <c r="AJ58" i="6"/>
  <c r="AK46" i="6"/>
  <c r="BG12" i="6"/>
  <c r="CK6" i="6"/>
  <c r="M89" i="6"/>
  <c r="AB83" i="6"/>
  <c r="V64" i="6"/>
  <c r="AQ38" i="6"/>
  <c r="CH31" i="6"/>
  <c r="BY50" i="6"/>
  <c r="CW10" i="6"/>
  <c r="AC33" i="6"/>
  <c r="AP23" i="6"/>
  <c r="X17" i="6"/>
  <c r="V13" i="6"/>
  <c r="AA32" i="6"/>
  <c r="AF23" i="6"/>
  <c r="N17" i="6"/>
  <c r="L13" i="6"/>
  <c r="CW58" i="6"/>
  <c r="V82" i="6"/>
  <c r="BG64" i="6"/>
  <c r="AP69" i="6"/>
  <c r="CM29" i="6"/>
  <c r="CD62" i="6"/>
  <c r="BB47" i="6"/>
  <c r="BD7" i="6"/>
  <c r="P48" i="6"/>
  <c r="AK21" i="6"/>
  <c r="S15" i="6"/>
  <c r="R11" i="6"/>
  <c r="M47" i="6"/>
  <c r="AA21" i="6"/>
  <c r="CW14" i="6"/>
  <c r="CH10" i="6"/>
  <c r="BO56" i="6"/>
  <c r="AE61" i="6"/>
  <c r="CF38" i="6"/>
  <c r="BI39" i="6"/>
  <c r="M59" i="6"/>
  <c r="BO42" i="6"/>
  <c r="CE49" i="6"/>
  <c r="BE21" i="6"/>
  <c r="AK29" i="6"/>
  <c r="CO11" i="6"/>
  <c r="CJ5" i="6"/>
  <c r="W49" i="6"/>
  <c r="BQ28" i="6"/>
  <c r="CE11" i="6"/>
  <c r="BZ5" i="6"/>
  <c r="U48" i="6"/>
  <c r="AC47" i="6"/>
  <c r="X34" i="6"/>
  <c r="AG44" i="6"/>
  <c r="AB58" i="6"/>
  <c r="BQ12" i="6"/>
  <c r="AM6" i="6"/>
  <c r="AA50" i="6"/>
  <c r="BF16" i="6"/>
  <c r="BY10" i="6"/>
  <c r="BY6" i="6"/>
  <c r="N49" i="6"/>
  <c r="BD15" i="6"/>
  <c r="Z9" i="6"/>
  <c r="AE34" i="6"/>
  <c r="BE19" i="6"/>
  <c r="AR13" i="6"/>
  <c r="BA11" i="6"/>
  <c r="Q4" i="6"/>
  <c r="CA8" i="6"/>
  <c r="CE37" i="6"/>
  <c r="AG23" i="6"/>
  <c r="BX30" i="6"/>
  <c r="BL19" i="6"/>
  <c r="CO49" i="6"/>
  <c r="BK25" i="6"/>
  <c r="U9" i="6"/>
  <c r="AH6" i="6"/>
  <c r="CK59" i="6"/>
  <c r="BY12" i="6"/>
  <c r="BG4" i="6"/>
  <c r="BG14" i="6"/>
  <c r="K44" i="6"/>
  <c r="N21" i="6"/>
  <c r="AO39" i="6"/>
  <c r="CK31" i="6"/>
  <c r="BJ54" i="6"/>
  <c r="BI50" i="6"/>
  <c r="BL90" i="6"/>
  <c r="CN40" i="6"/>
  <c r="M7" i="6"/>
  <c r="AY54" i="6"/>
  <c r="N77" i="6"/>
  <c r="P79" i="6"/>
  <c r="BF102" i="6"/>
  <c r="AP68" i="6"/>
  <c r="N64" i="6"/>
  <c r="AH102" i="6"/>
  <c r="BX89" i="6"/>
  <c r="BF98" i="6"/>
  <c r="R81" i="6"/>
  <c r="Q40" i="6"/>
  <c r="BZ57" i="6"/>
  <c r="CD30" i="6"/>
  <c r="AR32" i="6"/>
  <c r="BX57" i="6"/>
  <c r="CC61" i="6"/>
  <c r="L60" i="6"/>
  <c r="AF31" i="6"/>
  <c r="CE54" i="6"/>
  <c r="AM46" i="6"/>
  <c r="AY66" i="6"/>
  <c r="BX88" i="6"/>
  <c r="BD42" i="6"/>
  <c r="CN55" i="6"/>
  <c r="CA54" i="6"/>
  <c r="Q37" i="6"/>
  <c r="AL58" i="6"/>
  <c r="AQ87" i="6"/>
  <c r="AP40" i="6"/>
  <c r="AO58" i="6"/>
  <c r="P12" i="6"/>
  <c r="BX26" i="6"/>
  <c r="BI26" i="6"/>
  <c r="CN78" i="6"/>
  <c r="BO77" i="6"/>
  <c r="BN85" i="6"/>
  <c r="AE73" i="6"/>
  <c r="BL47" i="6"/>
  <c r="AM47" i="6"/>
  <c r="BG108" i="6"/>
  <c r="AH38" i="6"/>
  <c r="AA38" i="6"/>
  <c r="Q38" i="6"/>
  <c r="P63" i="6"/>
  <c r="AA34" i="6"/>
  <c r="CP8" i="6"/>
  <c r="CF8" i="6"/>
  <c r="Q47" i="6"/>
  <c r="X60" i="6"/>
  <c r="CM6" i="6"/>
  <c r="CC6" i="6"/>
  <c r="CN34" i="6"/>
  <c r="AF15" i="6"/>
  <c r="CJ27" i="6"/>
  <c r="AA22" i="6"/>
  <c r="M57" i="6"/>
  <c r="BQ57" i="6"/>
  <c r="M40" i="6"/>
  <c r="X26" i="6"/>
  <c r="BO32" i="6"/>
  <c r="L25" i="6"/>
  <c r="BI46" i="6"/>
  <c r="AH10" i="6"/>
  <c r="BX7" i="6"/>
  <c r="BI16" i="6"/>
  <c r="AC7" i="6"/>
  <c r="AP10" i="6"/>
  <c r="M31" i="6"/>
  <c r="U52" i="6"/>
  <c r="BA21" i="6"/>
  <c r="BQ36" i="6"/>
  <c r="AP28" i="6"/>
  <c r="BP6" i="6"/>
  <c r="BP13" i="6"/>
  <c r="V27" i="6"/>
  <c r="AJ4" i="6"/>
  <c r="CC13" i="6"/>
  <c r="AF56" i="6"/>
  <c r="K23" i="6"/>
  <c r="CC16" i="6"/>
  <c r="L62" i="6"/>
  <c r="CK26" i="6"/>
  <c r="BE20" i="6"/>
  <c r="CO37" i="6"/>
  <c r="BB59" i="6"/>
  <c r="AA16" i="6"/>
  <c r="Q19" i="6"/>
  <c r="AM4" i="6"/>
  <c r="BQ18" i="6"/>
  <c r="BJ17" i="6"/>
  <c r="AQ10" i="6"/>
  <c r="CF29" i="6"/>
  <c r="BQ25" i="6"/>
  <c r="AQ48" i="6"/>
  <c r="BB63" i="6"/>
  <c r="CH9" i="6"/>
  <c r="BD27" i="6"/>
  <c r="CN36" i="6"/>
  <c r="V24" i="6"/>
  <c r="CF58" i="6"/>
  <c r="BB31" i="6"/>
  <c r="V28" i="6"/>
  <c r="S24" i="6"/>
  <c r="BE49" i="6"/>
  <c r="CO53" i="6"/>
  <c r="CW26" i="6"/>
  <c r="CP22" i="6"/>
  <c r="BP36" i="6"/>
  <c r="AL39" i="6"/>
  <c r="M25" i="6"/>
  <c r="BA7" i="6"/>
  <c r="BL16" i="6"/>
  <c r="BD22" i="6"/>
  <c r="K48" i="6"/>
  <c r="BZ17" i="6"/>
  <c r="BP37" i="6"/>
  <c r="AB51" i="6"/>
  <c r="N6" i="6"/>
  <c r="AL21" i="6"/>
  <c r="BD40" i="6"/>
  <c r="S20" i="6"/>
  <c r="BA6" i="6"/>
  <c r="BB25" i="6"/>
  <c r="BF27" i="6"/>
  <c r="BA12" i="6"/>
  <c r="CA30" i="6"/>
  <c r="CA68" i="6"/>
  <c r="S14" i="6"/>
  <c r="M17" i="6"/>
  <c r="BX12" i="6"/>
  <c r="BN6" i="6"/>
  <c r="CF44" i="6"/>
  <c r="CF16" i="6"/>
  <c r="BA10" i="6"/>
  <c r="AL6" i="6"/>
  <c r="CD39" i="6"/>
  <c r="BO15" i="6"/>
  <c r="BJ9" i="6"/>
  <c r="BP4" i="6"/>
  <c r="CI46" i="6"/>
  <c r="Z13" i="6"/>
  <c r="BG32" i="6"/>
  <c r="AP18" i="6"/>
  <c r="AZ11" i="6"/>
  <c r="BQ41" i="6"/>
  <c r="L14" i="6"/>
  <c r="BO40" i="6"/>
  <c r="AZ7" i="6"/>
  <c r="AQ33" i="6"/>
  <c r="BQ10" i="6"/>
  <c r="CF22" i="6"/>
  <c r="AH26" i="6"/>
  <c r="CO19" i="6"/>
  <c r="AZ6" i="6"/>
  <c r="BG6" i="6"/>
  <c r="BP9" i="6"/>
  <c r="AM13" i="6"/>
  <c r="AP48" i="6"/>
  <c r="AR51" i="6"/>
  <c r="BG30" i="6"/>
  <c r="K12" i="6"/>
  <c r="M60" i="6"/>
  <c r="BA27" i="6"/>
  <c r="AY49" i="6"/>
  <c r="AR7" i="6"/>
  <c r="Z42" i="6"/>
  <c r="BX27" i="6"/>
  <c r="AL46" i="6"/>
  <c r="AG6" i="6"/>
  <c r="CM32" i="6"/>
  <c r="Z61" i="6"/>
  <c r="BQ37" i="6"/>
  <c r="AG61" i="6"/>
  <c r="K5" i="6"/>
  <c r="BP5" i="6"/>
  <c r="AE30" i="6"/>
  <c r="AL30" i="6"/>
  <c r="BI27" i="6"/>
  <c r="BN10" i="6"/>
  <c r="W16" i="6"/>
  <c r="CW13" i="6"/>
  <c r="X45" i="6"/>
  <c r="AF28" i="6"/>
  <c r="AO64" i="6"/>
  <c r="CA35" i="6"/>
  <c r="BN52" i="6"/>
  <c r="AC28" i="6"/>
  <c r="AA67" i="6"/>
  <c r="AZ34" i="6"/>
  <c r="W37" i="6"/>
  <c r="Q27" i="6"/>
  <c r="AE43" i="6"/>
  <c r="U5" i="6"/>
  <c r="BX29" i="6"/>
  <c r="K13" i="6"/>
  <c r="BJ27" i="6"/>
  <c r="CH24" i="6"/>
  <c r="AB7" i="6"/>
  <c r="CD10" i="6"/>
  <c r="CW6" i="6"/>
  <c r="CM12" i="6"/>
  <c r="AO9" i="6"/>
  <c r="BN22" i="6"/>
  <c r="K35" i="6"/>
  <c r="AM14" i="6"/>
  <c r="BO17" i="6"/>
  <c r="CI11" i="6"/>
  <c r="AP44" i="6"/>
  <c r="L61" i="6"/>
  <c r="CP16" i="6"/>
  <c r="BZ10" i="6"/>
  <c r="CH44" i="6"/>
  <c r="CP20" i="6"/>
  <c r="BY14" i="6"/>
  <c r="BI10" i="6"/>
  <c r="AG35" i="6"/>
  <c r="CD19" i="6"/>
  <c r="BQ13" i="6"/>
  <c r="AR9" i="6"/>
  <c r="CW50" i="6"/>
  <c r="BI17" i="6"/>
  <c r="AC11" i="6"/>
  <c r="BE22" i="6"/>
  <c r="CC17" i="6"/>
  <c r="Q60" i="6"/>
  <c r="V18" i="6"/>
  <c r="CO56" i="6"/>
  <c r="L18" i="6"/>
  <c r="BF9" i="6"/>
  <c r="BX23" i="6"/>
  <c r="X8" i="6"/>
  <c r="AL15" i="6"/>
  <c r="AP14" i="6"/>
  <c r="CW11" i="6"/>
  <c r="W23" i="6"/>
  <c r="CK8" i="6"/>
  <c r="M6" i="6"/>
  <c r="AQ21" i="6"/>
  <c r="N25" i="6"/>
  <c r="CE21" i="6"/>
  <c r="CD16" i="6"/>
  <c r="AG13" i="6"/>
  <c r="Q30" i="6"/>
  <c r="BQ8" i="6"/>
  <c r="CA61" i="6"/>
  <c r="AH5" i="6"/>
  <c r="CI24" i="6"/>
  <c r="BD8" i="6"/>
  <c r="AE5" i="6"/>
  <c r="BQ21" i="6"/>
  <c r="CE19" i="6"/>
  <c r="P22" i="6"/>
  <c r="BK44" i="6"/>
  <c r="BF13" i="6"/>
  <c r="BY19" i="6"/>
  <c r="BN18" i="6"/>
  <c r="AJ78" i="6"/>
  <c r="AK69" i="6"/>
  <c r="S109" i="6"/>
  <c r="AL78" i="6"/>
  <c r="BB74" i="6"/>
  <c r="AB104" i="6"/>
  <c r="CJ76" i="6"/>
  <c r="BA98" i="6"/>
  <c r="N72" i="6"/>
  <c r="CF31" i="6"/>
  <c r="CA34" i="6"/>
  <c r="U54" i="6"/>
  <c r="K43" i="6"/>
  <c r="P49" i="6"/>
  <c r="N54" i="6"/>
  <c r="BY51" i="6"/>
  <c r="CC55" i="6"/>
  <c r="AG46" i="6"/>
  <c r="S38" i="6"/>
  <c r="CP70" i="6"/>
  <c r="CW72" i="6"/>
  <c r="U34" i="6"/>
  <c r="BE47" i="6"/>
  <c r="BL46" i="6"/>
  <c r="BG28" i="6"/>
  <c r="BX49" i="6"/>
  <c r="AE75" i="6"/>
  <c r="V32" i="6"/>
  <c r="Z53" i="6"/>
  <c r="BX25" i="6"/>
  <c r="Z18" i="6"/>
  <c r="P18" i="6"/>
  <c r="CW55" i="6"/>
  <c r="AO61" i="6"/>
  <c r="AM78" i="6"/>
  <c r="AM40" i="6"/>
  <c r="AC39" i="6"/>
  <c r="S39" i="6"/>
  <c r="CK69" i="6"/>
  <c r="AB52" i="6"/>
  <c r="CM52" i="6"/>
  <c r="BN44" i="6"/>
  <c r="BQ59" i="6"/>
  <c r="AR20" i="6"/>
  <c r="M37" i="6"/>
  <c r="K36" i="6"/>
  <c r="X43" i="6"/>
  <c r="AK17" i="6"/>
  <c r="CW28" i="6"/>
  <c r="CE28" i="6"/>
  <c r="CP28" i="6"/>
  <c r="M29" i="6"/>
  <c r="AL19" i="6"/>
  <c r="BK27" i="6"/>
  <c r="CA33" i="6"/>
  <c r="N41" i="6"/>
  <c r="CP41" i="6"/>
  <c r="BQ9" i="6"/>
  <c r="CA18" i="6"/>
  <c r="AP8" i="6"/>
  <c r="AQ16" i="6"/>
  <c r="BB21" i="6"/>
  <c r="BD39" i="6"/>
  <c r="BX37" i="6"/>
  <c r="AE8" i="6"/>
  <c r="BP21" i="6"/>
  <c r="P11" i="6"/>
  <c r="CI7" i="6"/>
  <c r="AK6" i="6"/>
  <c r="BB46" i="6"/>
  <c r="BF25" i="6"/>
  <c r="BF28" i="6"/>
  <c r="BP66" i="6"/>
  <c r="CK18" i="6"/>
  <c r="AJ26" i="6"/>
  <c r="BQ5" i="6"/>
  <c r="L48" i="6"/>
  <c r="BK14" i="6"/>
  <c r="W8" i="6"/>
  <c r="V55" i="6"/>
  <c r="BB18" i="6"/>
  <c r="AQ12" i="6"/>
  <c r="CD8" i="6"/>
  <c r="CH25" i="6"/>
  <c r="BY7" i="6"/>
  <c r="BL28" i="6"/>
  <c r="M15" i="6"/>
  <c r="CH27" i="6"/>
  <c r="AL89" i="6"/>
  <c r="AC65" i="6"/>
  <c r="CM98" i="6"/>
  <c r="AH63" i="6"/>
  <c r="CF79" i="6"/>
  <c r="AM61" i="6"/>
  <c r="CO79" i="6"/>
  <c r="CN59" i="6"/>
  <c r="AB77" i="6"/>
  <c r="K54" i="6"/>
  <c r="BQ73" i="6"/>
  <c r="AJ44" i="6"/>
  <c r="AR96" i="6"/>
  <c r="AJ47" i="6"/>
  <c r="AR52" i="6"/>
  <c r="U92" i="6"/>
  <c r="BG58" i="6"/>
  <c r="CM34" i="6"/>
  <c r="CC68" i="6"/>
  <c r="AA56" i="6"/>
  <c r="AB79" i="6"/>
  <c r="BY94" i="6"/>
  <c r="BQ85" i="6"/>
  <c r="CF64" i="6"/>
  <c r="BJ66" i="6"/>
  <c r="L64" i="6"/>
  <c r="CN57" i="6"/>
  <c r="BO6" i="6"/>
  <c r="AZ57" i="6"/>
  <c r="L8" i="6"/>
  <c r="BP22" i="6"/>
  <c r="AO83" i="6"/>
  <c r="BG46" i="6"/>
  <c r="AF40" i="6"/>
  <c r="AF65" i="6"/>
  <c r="AZ64" i="6"/>
  <c r="CH13" i="6"/>
  <c r="BX13" i="6"/>
  <c r="CJ36" i="6"/>
  <c r="AF34" i="6"/>
  <c r="AK4" i="6"/>
  <c r="AA4" i="6"/>
  <c r="AR34" i="6"/>
  <c r="BQ26" i="6"/>
  <c r="BE4" i="6"/>
  <c r="AF4" i="6"/>
  <c r="AB48" i="6"/>
  <c r="BJ23" i="6"/>
  <c r="AQ57" i="6"/>
  <c r="AO56" i="6"/>
  <c r="BX36" i="6"/>
  <c r="N9" i="6"/>
  <c r="CH23" i="6"/>
  <c r="AB19" i="6"/>
  <c r="P32" i="6"/>
  <c r="Z30" i="6"/>
  <c r="BG33" i="6"/>
  <c r="AY23" i="6"/>
  <c r="BD44" i="6"/>
  <c r="U73" i="6"/>
  <c r="BI30" i="6"/>
  <c r="AO14" i="6"/>
  <c r="R27" i="6"/>
  <c r="CO25" i="6"/>
  <c r="CP19" i="6"/>
  <c r="BQ23" i="6"/>
  <c r="M77" i="6"/>
  <c r="BJ20" i="6"/>
  <c r="BK13" i="6"/>
  <c r="AZ39" i="6"/>
  <c r="AM24" i="6"/>
  <c r="M20" i="6"/>
  <c r="BP30" i="6"/>
  <c r="BD10" i="6"/>
  <c r="CE17" i="6"/>
  <c r="AO86" i="6"/>
  <c r="CA39" i="6"/>
  <c r="CK5" i="6"/>
  <c r="AE48" i="6"/>
  <c r="P57" i="6"/>
  <c r="AE10" i="6"/>
  <c r="P4" i="6"/>
  <c r="BD21" i="6"/>
  <c r="BK19" i="6"/>
  <c r="CI12" i="6"/>
  <c r="W14" i="6"/>
  <c r="BB8" i="6"/>
  <c r="M14" i="6"/>
  <c r="BG26" i="6"/>
  <c r="CE23" i="6"/>
  <c r="AG15" i="6"/>
  <c r="AL12" i="6"/>
  <c r="BG19" i="6"/>
  <c r="BD85" i="6"/>
  <c r="AM22" i="6"/>
  <c r="AG21" i="6"/>
  <c r="CI13" i="6"/>
  <c r="BO7" i="6"/>
  <c r="CP48" i="6"/>
  <c r="CI17" i="6"/>
  <c r="BD11" i="6"/>
  <c r="BB7" i="6"/>
  <c r="CN43" i="6"/>
  <c r="BG16" i="6"/>
  <c r="BK10" i="6"/>
  <c r="AB6" i="6"/>
  <c r="CK47" i="6"/>
  <c r="AL14" i="6"/>
  <c r="AE50" i="6"/>
  <c r="AR19" i="6"/>
  <c r="CK12" i="6"/>
  <c r="CF49" i="6"/>
  <c r="N15" i="6"/>
  <c r="CD48" i="6"/>
  <c r="BF10" i="6"/>
  <c r="AR5" i="6"/>
  <c r="BN13" i="6"/>
  <c r="Z46" i="6"/>
  <c r="AH29" i="6"/>
  <c r="CC4" i="6"/>
  <c r="CJ7" i="6"/>
  <c r="BX20" i="6"/>
  <c r="S21" i="6"/>
  <c r="CK42" i="6"/>
  <c r="S18" i="6"/>
  <c r="BZ56" i="6"/>
  <c r="AQ29" i="6"/>
  <c r="AR70" i="6"/>
  <c r="BK26" i="6"/>
  <c r="U20" i="6"/>
  <c r="BN35" i="6"/>
  <c r="W33" i="6"/>
  <c r="AE24" i="6"/>
  <c r="AL20" i="6"/>
  <c r="CH33" i="6"/>
  <c r="BG29" i="6"/>
  <c r="R23" i="6"/>
  <c r="BB48" i="6"/>
  <c r="BP45" i="6"/>
  <c r="CI26" i="6"/>
  <c r="V7" i="6"/>
  <c r="L5" i="6"/>
  <c r="AP22" i="6"/>
  <c r="CW5" i="6"/>
  <c r="BL4" i="6"/>
  <c r="BJ5" i="6"/>
  <c r="AQ36" i="6"/>
  <c r="CI16" i="6"/>
  <c r="BO14" i="6"/>
  <c r="AR15" i="6"/>
  <c r="CD18" i="6"/>
  <c r="BB38" i="6"/>
  <c r="BO18" i="6"/>
  <c r="P30" i="6"/>
  <c r="BZ22" i="6"/>
  <c r="W32" i="6"/>
  <c r="AL34" i="6"/>
  <c r="BA33" i="6"/>
  <c r="BF55" i="6"/>
  <c r="AC58" i="6"/>
  <c r="CE16" i="6"/>
  <c r="CI10" i="6"/>
  <c r="AK54" i="6"/>
  <c r="CO20" i="6"/>
  <c r="BI14" i="6"/>
  <c r="CP10" i="6"/>
  <c r="X53" i="6"/>
  <c r="CC19" i="6"/>
  <c r="AQ13" i="6"/>
  <c r="AK36" i="6"/>
  <c r="CD23" i="6"/>
  <c r="BQ17" i="6"/>
  <c r="BQ22" i="6"/>
  <c r="AK34" i="6"/>
  <c r="S13" i="6"/>
  <c r="CE9" i="6"/>
  <c r="L10" i="6"/>
  <c r="BP32" i="6"/>
  <c r="BE52" i="6"/>
  <c r="BE7" i="6"/>
  <c r="CW17" i="6"/>
  <c r="CC11" i="6"/>
  <c r="BK53" i="6"/>
  <c r="CW21" i="6"/>
  <c r="CA15" i="6"/>
  <c r="BZ11" i="6"/>
  <c r="BF43" i="6"/>
  <c r="CF20" i="6"/>
  <c r="AZ14" i="6"/>
  <c r="AY10" i="6"/>
  <c r="L52" i="6"/>
  <c r="BA18" i="6"/>
  <c r="AF12" i="6"/>
  <c r="BG23" i="6"/>
  <c r="AY19" i="6"/>
  <c r="AB33" i="6"/>
  <c r="X19" i="6"/>
  <c r="S54" i="6"/>
  <c r="N19" i="6"/>
  <c r="CF10" i="6"/>
  <c r="AY27" i="6"/>
  <c r="BE24" i="6"/>
  <c r="CJ23" i="6"/>
  <c r="BE18" i="6"/>
  <c r="BD13" i="6"/>
  <c r="BO37" i="6"/>
  <c r="CP4" i="6"/>
  <c r="AG31" i="6"/>
  <c r="Z34" i="6"/>
  <c r="AO24" i="6"/>
  <c r="CH41" i="6"/>
  <c r="AL4" i="6"/>
  <c r="BO28" i="6"/>
  <c r="BZ24" i="6"/>
  <c r="CM39" i="6"/>
  <c r="BP49" i="6"/>
  <c r="AL27" i="6"/>
  <c r="BO65" i="6"/>
  <c r="BJ34" i="6"/>
  <c r="U36" i="6"/>
  <c r="CJ9" i="6"/>
  <c r="BG11" i="6"/>
  <c r="BE26" i="6"/>
  <c r="R5" i="6"/>
  <c r="U26" i="6"/>
  <c r="AB30" i="6"/>
  <c r="BY55" i="6"/>
  <c r="CW20" i="6"/>
  <c r="CF19" i="6"/>
  <c r="CD26" i="6"/>
  <c r="Z54" i="6"/>
  <c r="P20" i="6"/>
  <c r="CD22" i="6"/>
  <c r="BN7" i="6"/>
  <c r="AH9" i="6"/>
  <c r="S12" i="6"/>
  <c r="AA46" i="6"/>
  <c r="Z55" i="6"/>
  <c r="AF8" i="6"/>
  <c r="AJ52" i="6"/>
  <c r="AE21" i="6"/>
  <c r="AL47" i="6"/>
  <c r="AZ33" i="6"/>
  <c r="BN8" i="6"/>
  <c r="N18" i="6"/>
  <c r="AK20" i="6"/>
  <c r="CJ16" i="6"/>
  <c r="K77" i="6"/>
  <c r="BO20" i="6"/>
  <c r="BI33" i="6"/>
  <c r="BF85" i="6"/>
  <c r="CO71" i="6"/>
  <c r="BD100" i="6"/>
  <c r="BI69" i="6"/>
  <c r="CK74" i="6"/>
  <c r="AQ52" i="6"/>
  <c r="CN71" i="6"/>
  <c r="AO51" i="6"/>
  <c r="BN63" i="6"/>
  <c r="BK45" i="6"/>
  <c r="BQ95" i="6"/>
  <c r="CE35" i="6"/>
  <c r="AK84" i="6"/>
  <c r="CA29" i="6"/>
  <c r="X44" i="6"/>
  <c r="V75" i="6"/>
  <c r="AH50" i="6"/>
  <c r="CD55" i="6"/>
  <c r="CK72" i="6"/>
  <c r="CP47" i="6"/>
  <c r="CJ88" i="6"/>
  <c r="Z84" i="6"/>
  <c r="AH80" i="6"/>
  <c r="BD75" i="6"/>
  <c r="BI66" i="6"/>
  <c r="BN64" i="6"/>
  <c r="BO49" i="6"/>
  <c r="BE28" i="6"/>
  <c r="BP48" i="6"/>
  <c r="CC36" i="6"/>
  <c r="AG14" i="6"/>
  <c r="AK78" i="6"/>
  <c r="BA56" i="6"/>
  <c r="L32" i="6"/>
  <c r="AO45" i="6"/>
  <c r="CN50" i="6"/>
  <c r="AM5" i="6"/>
  <c r="AC5" i="6"/>
  <c r="K34" i="6"/>
  <c r="AG48" i="6"/>
  <c r="BY26" i="6"/>
  <c r="AK26" i="6"/>
  <c r="BE30" i="6"/>
  <c r="AE12" i="6"/>
  <c r="P27" i="6"/>
  <c r="CO26" i="6"/>
  <c r="AL45" i="6"/>
  <c r="P10" i="6"/>
  <c r="K25" i="6"/>
  <c r="BK90" i="6"/>
  <c r="U55" i="6"/>
  <c r="BP33" i="6"/>
  <c r="AJ15" i="6"/>
  <c r="X18" i="6"/>
  <c r="X13" i="6"/>
  <c r="CJ30" i="6"/>
  <c r="CO57" i="6"/>
  <c r="AF100" i="6"/>
  <c r="CN6" i="6"/>
  <c r="AB60" i="6"/>
  <c r="AB5" i="6"/>
  <c r="U28" i="6"/>
  <c r="BX15" i="6"/>
  <c r="CH15" i="6"/>
  <c r="BK17" i="6"/>
  <c r="R17" i="6"/>
  <c r="AJ5" i="6"/>
  <c r="N27" i="6"/>
  <c r="BD48" i="6"/>
  <c r="CH26" i="6"/>
  <c r="BX69" i="6"/>
  <c r="X25" i="6"/>
  <c r="AA57" i="6"/>
  <c r="CH54" i="6"/>
  <c r="V25" i="6"/>
  <c r="CD57" i="6"/>
  <c r="BL31" i="6"/>
  <c r="L28" i="6"/>
  <c r="CW23" i="6"/>
  <c r="CH37" i="6"/>
  <c r="CE53" i="6"/>
  <c r="P26" i="6"/>
  <c r="CC8" i="6"/>
  <c r="BJ19" i="6"/>
  <c r="BB4" i="6"/>
  <c r="AL59" i="6"/>
  <c r="CJ25" i="6"/>
  <c r="AG57" i="6"/>
  <c r="U56" i="6"/>
  <c r="Z7" i="6"/>
  <c r="R20" i="6"/>
  <c r="CM48" i="6"/>
  <c r="R45" i="6"/>
  <c r="AG90" i="6"/>
  <c r="BP97" i="6"/>
  <c r="CH125" i="6"/>
  <c r="K67" i="6"/>
  <c r="AJ73" i="6"/>
  <c r="CE44" i="6"/>
  <c r="BB64" i="6"/>
  <c r="CC43" i="6"/>
  <c r="CI56" i="6"/>
  <c r="U42" i="6"/>
  <c r="BG47" i="6"/>
  <c r="BI32" i="6"/>
  <c r="CN33" i="6"/>
  <c r="BN73" i="6"/>
  <c r="V62" i="6"/>
  <c r="AH87" i="6"/>
  <c r="AY44" i="6"/>
  <c r="CK82" i="6"/>
  <c r="AM57" i="6"/>
  <c r="CF92" i="6"/>
  <c r="K72" i="6"/>
  <c r="AO65" i="6"/>
  <c r="AB64" i="6"/>
  <c r="CP46" i="6"/>
  <c r="AZ35" i="6"/>
  <c r="AH34" i="6"/>
  <c r="L54" i="6"/>
  <c r="AQ53" i="6"/>
  <c r="X48" i="6"/>
  <c r="K39" i="6"/>
  <c r="CJ38" i="6"/>
  <c r="CM53" i="6"/>
  <c r="CO34" i="6"/>
  <c r="AP6" i="6"/>
  <c r="CM61" i="6"/>
  <c r="BL5" i="6"/>
  <c r="CC7" i="6"/>
  <c r="CM7" i="6"/>
  <c r="AF50" i="6"/>
  <c r="AH17" i="6"/>
  <c r="CJ35" i="6"/>
  <c r="CH34" i="6"/>
  <c r="BL37" i="6"/>
  <c r="AZ37" i="6"/>
  <c r="BY37" i="6"/>
  <c r="AK50" i="6"/>
  <c r="BB29" i="6"/>
  <c r="BO31" i="6"/>
  <c r="BE31" i="6"/>
  <c r="AF48" i="6"/>
  <c r="AM54" i="6"/>
  <c r="CE40" i="6"/>
  <c r="BF40" i="6"/>
  <c r="CE63" i="6"/>
  <c r="BB28" i="6"/>
  <c r="AA26" i="6"/>
  <c r="P8" i="6"/>
  <c r="BD65" i="6"/>
  <c r="X29" i="6"/>
  <c r="CC39" i="6"/>
  <c r="AB27" i="6"/>
  <c r="X22" i="6"/>
  <c r="BX42" i="6"/>
  <c r="BF37" i="6"/>
  <c r="W15" i="6"/>
  <c r="BY46" i="6"/>
  <c r="AO12" i="6"/>
  <c r="W19" i="6"/>
  <c r="BJ45" i="6"/>
  <c r="AY59" i="6"/>
  <c r="AR39" i="6"/>
  <c r="CN16" i="6"/>
  <c r="R58" i="6"/>
  <c r="W24" i="6"/>
  <c r="CK16" i="6"/>
  <c r="CK53" i="6"/>
  <c r="CW25" i="6"/>
  <c r="CA19" i="6"/>
  <c r="BY15" i="6"/>
  <c r="X57" i="6"/>
  <c r="CM23" i="6"/>
  <c r="BF17" i="6"/>
  <c r="CA28" i="6"/>
  <c r="CC28" i="6"/>
  <c r="P16" i="6"/>
  <c r="AK24" i="6"/>
  <c r="V5" i="6"/>
  <c r="AA24" i="6"/>
  <c r="CE18" i="6"/>
  <c r="AZ15" i="6"/>
  <c r="K9" i="6"/>
  <c r="BO10" i="6"/>
  <c r="BD17" i="6"/>
  <c r="CM64" i="6"/>
  <c r="U12" i="6"/>
  <c r="BQ65" i="6"/>
  <c r="BN27" i="6"/>
  <c r="W21" i="6"/>
  <c r="CE36" i="6"/>
  <c r="AQ41" i="6"/>
  <c r="AG25" i="6"/>
  <c r="AO21" i="6"/>
  <c r="AO35" i="6"/>
  <c r="U32" i="6"/>
  <c r="U24" i="6"/>
  <c r="CA56" i="6"/>
  <c r="AM31" i="6"/>
  <c r="CK27" i="6"/>
  <c r="AM15" i="6"/>
  <c r="AL25" i="6"/>
  <c r="AR23" i="6"/>
  <c r="AA10" i="6"/>
  <c r="BA13" i="6"/>
  <c r="Q10" i="6"/>
  <c r="CH53" i="6"/>
  <c r="CK17" i="6"/>
  <c r="BQ15" i="6"/>
  <c r="BB17" i="6"/>
  <c r="CN22" i="6"/>
  <c r="AH35" i="6"/>
  <c r="BQ19" i="6"/>
  <c r="AC21" i="6"/>
  <c r="AO16" i="6"/>
  <c r="CO41" i="6"/>
  <c r="W7" i="6"/>
  <c r="CD46" i="6"/>
  <c r="BE56" i="6"/>
  <c r="R42" i="6"/>
  <c r="AL9" i="6"/>
  <c r="M4" i="6"/>
  <c r="S47" i="6"/>
  <c r="BI13" i="6"/>
  <c r="AE7" i="6"/>
  <c r="P28" i="6"/>
  <c r="CP45" i="6"/>
  <c r="AH12" i="6"/>
  <c r="S6" i="6"/>
  <c r="CD43" i="6"/>
  <c r="BQ16" i="6"/>
  <c r="AL10" i="6"/>
  <c r="BL60" i="6"/>
  <c r="BX8" i="6"/>
  <c r="BF5" i="6"/>
  <c r="BK24" i="6"/>
  <c r="M19" i="6"/>
  <c r="AL24" i="6"/>
  <c r="CM24" i="6"/>
  <c r="CN5" i="6"/>
  <c r="CP6" i="6"/>
  <c r="W27" i="6"/>
  <c r="AJ28" i="6"/>
  <c r="AA9" i="6"/>
  <c r="M28" i="6"/>
  <c r="CW16" i="6"/>
  <c r="AE56" i="6"/>
  <c r="BZ16" i="6"/>
  <c r="CE12" i="6"/>
  <c r="AP19" i="6"/>
  <c r="AC22" i="6"/>
  <c r="AH49" i="6"/>
  <c r="BA31" i="6"/>
  <c r="BZ66" i="6"/>
  <c r="CF37" i="6"/>
  <c r="CO27" i="6"/>
  <c r="CJ31" i="6"/>
  <c r="CD79" i="6"/>
  <c r="BE36" i="6"/>
  <c r="BF49" i="6"/>
  <c r="BQ29" i="6"/>
  <c r="BF48" i="6"/>
  <c r="X7" i="6"/>
  <c r="U40" i="6"/>
  <c r="AL16" i="6"/>
  <c r="BK39" i="6"/>
  <c r="BZ25" i="6"/>
  <c r="CA4" i="6"/>
  <c r="N7" i="6"/>
  <c r="AP72" i="6"/>
  <c r="CN12" i="6"/>
  <c r="AH105" i="6"/>
  <c r="CW68" i="6"/>
  <c r="CN112" i="6"/>
  <c r="AY77" i="6"/>
  <c r="CE64" i="6"/>
  <c r="AG36" i="6"/>
  <c r="AB72" i="6"/>
  <c r="AE35" i="6"/>
  <c r="BJ48" i="6"/>
  <c r="BK33" i="6"/>
  <c r="AH39" i="6"/>
  <c r="BJ53" i="6"/>
  <c r="BE46" i="6"/>
  <c r="U65" i="6"/>
  <c r="CK52" i="6"/>
  <c r="CD103" i="6"/>
  <c r="P36" i="6"/>
  <c r="BN75" i="6"/>
  <c r="S49" i="6"/>
  <c r="N83" i="6"/>
  <c r="CW71" i="6"/>
  <c r="BE57" i="6"/>
  <c r="AM56" i="6"/>
  <c r="BQ38" i="6"/>
  <c r="CC57" i="6"/>
  <c r="BK56" i="6"/>
  <c r="CA45" i="6"/>
  <c r="BL24" i="6"/>
  <c r="L71" i="6"/>
  <c r="CP57" i="6"/>
  <c r="BG57" i="6"/>
  <c r="M51" i="6"/>
  <c r="AE59" i="6"/>
  <c r="BP28" i="6"/>
  <c r="BE58" i="6"/>
  <c r="AM19" i="6"/>
  <c r="U44" i="6"/>
  <c r="R43" i="6"/>
  <c r="AH44" i="6"/>
  <c r="P38" i="6"/>
  <c r="AR22" i="6"/>
  <c r="AH22" i="6"/>
  <c r="BP35" i="6"/>
  <c r="BN47" i="6"/>
  <c r="AO47" i="6"/>
  <c r="Q42" i="6"/>
  <c r="AR56" i="6"/>
  <c r="BK42" i="6"/>
  <c r="AB42" i="6"/>
  <c r="L40" i="6"/>
  <c r="BL65" i="6"/>
  <c r="AM59" i="6"/>
  <c r="S59" i="6"/>
  <c r="BJ51" i="6"/>
  <c r="L36" i="6"/>
  <c r="AL23" i="6"/>
  <c r="R31" i="6"/>
  <c r="X56" i="6"/>
  <c r="BP12" i="6"/>
  <c r="CP49" i="6"/>
  <c r="M78" i="6"/>
  <c r="AB16" i="6"/>
  <c r="S17" i="6"/>
  <c r="CN14" i="6"/>
  <c r="BA20" i="6"/>
  <c r="BP8" i="6"/>
  <c r="BG10" i="6"/>
  <c r="AA39" i="6"/>
  <c r="L51" i="6"/>
  <c r="AP24" i="6"/>
  <c r="CP37" i="6"/>
  <c r="BG8" i="6"/>
  <c r="BA38" i="6"/>
  <c r="AL29" i="6"/>
  <c r="BO8" i="6"/>
  <c r="N48" i="6"/>
  <c r="BY17" i="6"/>
  <c r="BN11" i="6"/>
  <c r="AM7" i="6"/>
  <c r="CN48" i="6"/>
  <c r="AO15" i="6"/>
  <c r="U53" i="6"/>
  <c r="AZ20" i="6"/>
  <c r="BF14" i="6"/>
  <c r="AK58" i="6"/>
  <c r="Q16" i="6"/>
  <c r="N57" i="6"/>
  <c r="BZ12" i="6"/>
  <c r="CI6" i="6"/>
  <c r="Z15" i="6"/>
  <c r="AZ4" i="6"/>
  <c r="CM22" i="6"/>
  <c r="AK43" i="6"/>
  <c r="AL36" i="6"/>
  <c r="AQ58" i="6"/>
  <c r="X31" i="6"/>
  <c r="K19" i="6"/>
  <c r="BO12" i="6"/>
  <c r="AP56" i="6"/>
  <c r="U23" i="6"/>
  <c r="BD16" i="6"/>
  <c r="CA12" i="6"/>
  <c r="AC55" i="6"/>
  <c r="CH21" i="6"/>
  <c r="BK15" i="6"/>
  <c r="CI52" i="6"/>
  <c r="CI25" i="6"/>
  <c r="BB19" i="6"/>
  <c r="CW27" i="6"/>
  <c r="CI50" i="6"/>
  <c r="X15" i="6"/>
  <c r="BB16" i="6"/>
  <c r="AQ19" i="6"/>
  <c r="CW15" i="6"/>
  <c r="S9" i="6"/>
  <c r="AP9" i="6"/>
  <c r="M23" i="6"/>
  <c r="BP19" i="6"/>
  <c r="CJ17" i="6"/>
  <c r="BE23" i="6"/>
  <c r="Z11" i="6"/>
  <c r="BI20" i="6"/>
  <c r="CM13" i="6"/>
  <c r="AA23" i="6"/>
  <c r="AY26" i="6"/>
  <c r="X33" i="6"/>
  <c r="AM26" i="6"/>
  <c r="AM51" i="6"/>
  <c r="AB39" i="6"/>
  <c r="CF90" i="6"/>
  <c r="CI38" i="6"/>
  <c r="CW4" i="6"/>
  <c r="M41" i="6"/>
  <c r="CC63" i="6"/>
  <c r="BG37" i="6"/>
  <c r="CC26" i="6"/>
  <c r="AL31" i="6"/>
  <c r="BN51" i="6"/>
  <c r="AA8" i="6"/>
  <c r="AO48" i="6"/>
  <c r="M18" i="6"/>
  <c r="BL6" i="6"/>
  <c r="BJ12" i="6"/>
  <c r="AK11" i="6"/>
  <c r="AG5" i="6"/>
  <c r="Q11" i="6"/>
  <c r="V21" i="6"/>
  <c r="AQ15" i="6"/>
  <c r="K26" i="6"/>
  <c r="BG43" i="6"/>
  <c r="CP30" i="6"/>
  <c r="CN25" i="6"/>
  <c r="S29" i="6"/>
  <c r="AO18" i="6"/>
  <c r="AK7" i="6"/>
  <c r="V9" i="6"/>
  <c r="AY9" i="6"/>
  <c r="AB11" i="6"/>
  <c r="U19" i="6"/>
  <c r="CD32" i="6"/>
  <c r="Q22" i="6"/>
  <c r="AH42" i="6"/>
  <c r="CJ51" i="6"/>
  <c r="Q26" i="6"/>
  <c r="N22" i="6"/>
  <c r="L33" i="6"/>
  <c r="AQ37" i="6"/>
  <c r="CN24" i="6"/>
  <c r="CK20" i="6"/>
  <c r="AY33" i="6"/>
  <c r="AM29" i="6"/>
  <c r="CH22" i="6"/>
  <c r="AP4" i="6"/>
  <c r="AL11" i="6"/>
  <c r="AY24" i="6"/>
  <c r="CH28" i="6"/>
  <c r="AJ23" i="6"/>
  <c r="CM59" i="6"/>
  <c r="W9" i="6"/>
  <c r="Q35" i="6"/>
  <c r="AE23" i="6"/>
  <c r="CM16" i="6"/>
  <c r="AE31" i="6"/>
  <c r="AO27" i="6"/>
  <c r="M21" i="6"/>
  <c r="U17" i="6"/>
  <c r="N60" i="6"/>
  <c r="AB26" i="6"/>
  <c r="CJ19" i="6"/>
  <c r="W54" i="6"/>
  <c r="BK30" i="6"/>
  <c r="CA23" i="6"/>
  <c r="V12" i="6"/>
  <c r="BZ41" i="6"/>
  <c r="AH19" i="6"/>
  <c r="AK27" i="6"/>
  <c r="BQ6" i="6"/>
  <c r="CP26" i="6"/>
  <c r="BL39" i="6"/>
  <c r="CA13" i="6"/>
  <c r="AC8" i="6"/>
  <c r="CH6" i="6"/>
  <c r="AF9" i="6"/>
  <c r="CP53" i="6"/>
  <c r="BG15" i="6"/>
  <c r="CE70" i="6"/>
  <c r="V40" i="6"/>
  <c r="BB60" i="6"/>
  <c r="S5" i="6"/>
  <c r="P42" i="6"/>
  <c r="CW42" i="6"/>
  <c r="AB9" i="6"/>
  <c r="BO4" i="6"/>
  <c r="CM30" i="6"/>
  <c r="CF41" i="6"/>
  <c r="CO7" i="6"/>
  <c r="CM28" i="6"/>
  <c r="AM30" i="6"/>
  <c r="AJ12" i="6"/>
  <c r="AE6" i="6"/>
  <c r="CJ24" i="6"/>
  <c r="U6" i="6"/>
  <c r="AE26" i="6"/>
  <c r="CM17" i="6"/>
  <c r="BI11" i="6"/>
  <c r="AO17" i="6"/>
  <c r="BD56" i="6"/>
  <c r="CF6" i="6"/>
  <c r="AK60" i="6"/>
  <c r="X11" i="6"/>
  <c r="AJ7" i="6"/>
  <c r="M8" i="6"/>
  <c r="P5" i="6"/>
  <c r="W22" i="6"/>
  <c r="CN28" i="6"/>
  <c r="CK25" i="6"/>
  <c r="V30" i="6"/>
  <c r="CI19" i="6"/>
  <c r="AF10" i="6"/>
  <c r="BK11" i="6"/>
  <c r="U60" i="6"/>
  <c r="AB12" i="6"/>
  <c r="BD26" i="6"/>
  <c r="CA26" i="6"/>
  <c r="AP5" i="6"/>
  <c r="CD14" i="6"/>
  <c r="CO31" i="6"/>
  <c r="K27" i="6"/>
  <c r="AG27" i="6"/>
  <c r="CC25" i="6"/>
  <c r="CW31" i="6"/>
  <c r="BD51" i="6"/>
  <c r="CF59" i="6"/>
  <c r="BL7" i="6"/>
  <c r="AB46" i="6"/>
  <c r="AY100" i="6"/>
  <c r="W101" i="6"/>
  <c r="AC41" i="6"/>
  <c r="BF65" i="6"/>
  <c r="W83" i="6"/>
  <c r="BD45" i="6"/>
  <c r="BQ31" i="6"/>
  <c r="BD54" i="6"/>
  <c r="AR21" i="6"/>
  <c r="BN30" i="6"/>
  <c r="CO72" i="6"/>
  <c r="L15" i="6"/>
  <c r="CH12" i="6"/>
  <c r="BQ61" i="6"/>
  <c r="BZ27" i="6"/>
  <c r="AL43" i="6"/>
  <c r="CA17" i="6"/>
  <c r="CF40" i="6"/>
  <c r="AR57" i="6"/>
  <c r="AM9" i="6"/>
  <c r="CD6" i="6"/>
  <c r="CE24" i="6"/>
  <c r="AE11" i="6"/>
  <c r="CD4" i="6"/>
  <c r="BL69" i="6"/>
  <c r="AC20" i="6"/>
  <c r="U30" i="6"/>
  <c r="BB9" i="6"/>
  <c r="BA30" i="6"/>
  <c r="AK8" i="6"/>
  <c r="CJ77" i="6"/>
  <c r="CA5" i="6"/>
  <c r="CO10" i="6"/>
  <c r="AG16" i="6"/>
  <c r="AE15" i="6"/>
  <c r="V26" i="6"/>
  <c r="CO14" i="6"/>
  <c r="BN4" i="6"/>
  <c r="BX10" i="6"/>
  <c r="BL13" i="6"/>
  <c r="BG35" i="6"/>
  <c r="K46" i="6"/>
  <c r="BL11" i="6"/>
  <c r="R22" i="6"/>
  <c r="BY11" i="6"/>
  <c r="CE20" i="6"/>
  <c r="BJ44" i="6"/>
  <c r="AZ18" i="6"/>
  <c r="AZ42" i="6"/>
  <c r="BE13" i="6"/>
  <c r="AP13" i="6"/>
  <c r="AM8" i="6"/>
  <c r="BK21" i="6"/>
  <c r="AP15" i="6"/>
  <c r="AO4" i="6"/>
  <c r="BK8" i="6"/>
  <c r="AF30" i="6"/>
  <c r="BZ38" i="6"/>
  <c r="AB31" i="6"/>
  <c r="AR12" i="6"/>
  <c r="AB55" i="6"/>
  <c r="AF11" i="6"/>
  <c r="BO39" i="6"/>
  <c r="AK9" i="6"/>
  <c r="R35" i="6"/>
  <c r="CJ12" i="6"/>
  <c r="BG88" i="6"/>
  <c r="AR4" i="6"/>
  <c r="V6" i="6"/>
  <c r="M44" i="6"/>
  <c r="L24" i="6"/>
  <c r="CM8" i="6"/>
  <c r="AY12" i="6"/>
  <c r="V4" i="6"/>
  <c r="BL35" i="6"/>
  <c r="CC20" i="6"/>
  <c r="BQ20" i="6"/>
  <c r="BO19" i="6"/>
  <c r="CK13" i="6"/>
  <c r="BY72" i="6"/>
  <c r="CM14" i="6"/>
  <c r="AJ20" i="6"/>
  <c r="AE14" i="6"/>
  <c r="W13" i="6"/>
  <c r="CM55" i="6"/>
  <c r="BJ8" i="6"/>
  <c r="CK68" i="6"/>
  <c r="AL26" i="6"/>
  <c r="CP18" i="6"/>
  <c r="Q50" i="6"/>
  <c r="AL5" i="6"/>
  <c r="BI41" i="6"/>
  <c r="BY22" i="6"/>
  <c r="BX38" i="6"/>
  <c r="CD9" i="6"/>
  <c r="BO9" i="6"/>
  <c r="BG5" i="6"/>
  <c r="BK12" i="6"/>
  <c r="CC58" i="6"/>
  <c r="AO22" i="6"/>
  <c r="CJ43" i="6"/>
  <c r="P29" i="6"/>
  <c r="AZ24" i="6"/>
  <c r="BX46" i="6"/>
  <c r="AZ28" i="6"/>
  <c r="BY24" i="6"/>
  <c r="AK28" i="6"/>
  <c r="CD27" i="6"/>
  <c r="AQ9" i="6"/>
  <c r="AQ6" i="6"/>
  <c r="R55" i="6"/>
  <c r="AZ16" i="6"/>
  <c r="BY30" i="6"/>
  <c r="BZ18" i="6"/>
  <c r="AB14" i="6"/>
  <c r="AP36" i="6"/>
  <c r="BO35" i="6"/>
  <c r="K21" i="6"/>
  <c r="CE57" i="6"/>
  <c r="BD18" i="6"/>
  <c r="BI42" i="6"/>
  <c r="L23" i="6"/>
  <c r="R25" i="6"/>
  <c r="W18" i="6"/>
  <c r="BI24" i="6"/>
  <c r="AH8" i="6"/>
  <c r="BL20" i="6"/>
  <c r="CW12" i="6"/>
  <c r="BB35" i="6"/>
  <c r="BL21" i="6"/>
  <c r="CO9" i="6"/>
  <c r="W6" i="6"/>
  <c r="BJ37" i="6"/>
  <c r="AP45" i="6"/>
  <c r="BA29" i="6"/>
  <c r="CD36" i="6"/>
  <c r="CP24" i="6"/>
  <c r="BF33" i="6"/>
  <c r="AZ8" i="6"/>
  <c r="BE6" i="6"/>
  <c r="CJ53" i="6"/>
  <c r="CF25" i="6"/>
  <c r="BJ33" i="6"/>
  <c r="CJ8" i="6"/>
  <c r="Q7" i="6"/>
  <c r="CF21" i="6"/>
  <c r="AR29" i="6"/>
  <c r="N45" i="6"/>
  <c r="BK28" i="6"/>
  <c r="CP15" i="6"/>
  <c r="BA125" i="6"/>
  <c r="BI83" i="6"/>
  <c r="CW32" i="6"/>
  <c r="N70" i="6"/>
  <c r="Q73" i="6"/>
  <c r="K37" i="6"/>
  <c r="CM54" i="6"/>
  <c r="BA37" i="6"/>
  <c r="CH4" i="6"/>
  <c r="CE67" i="6"/>
  <c r="AM44" i="6"/>
  <c r="BF6" i="6"/>
  <c r="BA4" i="6"/>
  <c r="BI25" i="6"/>
  <c r="BK29" i="6"/>
  <c r="Z23" i="6"/>
  <c r="BP31" i="6"/>
  <c r="BK59" i="6"/>
  <c r="BE32" i="6"/>
  <c r="AO40" i="6"/>
  <c r="L29" i="6"/>
  <c r="AY18" i="6"/>
  <c r="X27" i="6"/>
  <c r="M22" i="6"/>
  <c r="CE30" i="6"/>
  <c r="AE47" i="6"/>
  <c r="AH4" i="6"/>
  <c r="BA14" i="6"/>
  <c r="L4" i="6"/>
  <c r="AJ13" i="6"/>
  <c r="CN47" i="6"/>
  <c r="AO11" i="6"/>
  <c r="AJ17" i="6"/>
  <c r="AG26" i="6"/>
  <c r="CM25" i="6"/>
  <c r="P24" i="6"/>
  <c r="BX6" i="6"/>
  <c r="AR17" i="6"/>
  <c r="AE4" i="6"/>
  <c r="BL17" i="6"/>
  <c r="BO25" i="6"/>
  <c r="CI34" i="6"/>
  <c r="BG50" i="6"/>
  <c r="S27" i="6"/>
  <c r="AF41" i="6"/>
  <c r="CP25" i="6"/>
  <c r="U35" i="6"/>
  <c r="K24" i="6"/>
  <c r="CN13" i="6"/>
  <c r="CE41" i="6"/>
  <c r="BD32" i="6"/>
  <c r="AB21" i="6"/>
  <c r="BG24" i="6"/>
  <c r="AO32" i="6"/>
  <c r="AF32" i="6"/>
  <c r="R33" i="6"/>
  <c r="P45" i="6"/>
  <c r="Q21" i="6"/>
  <c r="AP38" i="6"/>
  <c r="CF17" i="6"/>
  <c r="AR61" i="6"/>
  <c r="BE16" i="6"/>
  <c r="Q54" i="6"/>
  <c r="AJ14" i="6"/>
  <c r="P23" i="6"/>
  <c r="BO29" i="6"/>
  <c r="BD72" i="6"/>
  <c r="BZ28" i="6"/>
  <c r="L20" i="6"/>
  <c r="AF52" i="6"/>
  <c r="CN7" i="6"/>
  <c r="CH42" i="6"/>
  <c r="AB4" i="6"/>
  <c r="CF18" i="6"/>
  <c r="BY21" i="6"/>
  <c r="CK51" i="6"/>
  <c r="AK14" i="6"/>
  <c r="AH13" i="6"/>
  <c r="Z16" i="6"/>
  <c r="BB5" i="6"/>
  <c r="AC29" i="6"/>
  <c r="BF23" i="6"/>
  <c r="AB13" i="6"/>
  <c r="BB56" i="6"/>
  <c r="CA9" i="6"/>
  <c r="AB22" i="6"/>
  <c r="AY47" i="6"/>
  <c r="BX17" i="6"/>
  <c r="AJ54" i="6"/>
  <c r="BQ33" i="6"/>
  <c r="BX18" i="6"/>
  <c r="CA59" i="6"/>
  <c r="BJ14" i="6"/>
  <c r="AF14" i="6"/>
  <c r="AZ12" i="6"/>
  <c r="AR11" i="6"/>
  <c r="AF26" i="6"/>
  <c r="U4" i="6"/>
  <c r="CE26" i="6"/>
  <c r="L11" i="6"/>
  <c r="BE14" i="6"/>
  <c r="AM28" i="6"/>
  <c r="R39" i="6"/>
  <c r="L21" i="6"/>
  <c r="S4" i="6"/>
  <c r="R36" i="6"/>
  <c r="CA14" i="6"/>
  <c r="BX11" i="6"/>
  <c r="AC4" i="6"/>
  <c r="BP26" i="6"/>
  <c r="K18" i="6"/>
  <c r="AQ28" i="6"/>
  <c r="M10" i="6"/>
  <c r="AP12" i="6"/>
  <c r="Z6" i="6"/>
  <c r="AE25" i="6"/>
  <c r="BB14" i="6"/>
  <c r="P9" i="6"/>
  <c r="CN29" i="6"/>
  <c r="BJ15" i="6"/>
  <c r="U13" i="6"/>
  <c r="CI30" i="6"/>
  <c r="AA20" i="6"/>
  <c r="CW30" i="6"/>
  <c r="N23" i="6"/>
  <c r="BJ16" i="6"/>
  <c r="AP11" i="6"/>
  <c r="BI62" i="6"/>
  <c r="BA28" i="6"/>
  <c r="CP23" i="6"/>
  <c r="Z58" i="6"/>
  <c r="U21" i="6"/>
  <c r="CD34" i="6"/>
  <c r="AY25" i="6"/>
  <c r="AP32" i="6"/>
  <c r="S26" i="6"/>
  <c r="R8" i="6"/>
  <c r="AK55" i="6"/>
  <c r="CK70" i="6"/>
  <c r="CF11" i="6"/>
  <c r="Z19" i="6"/>
  <c r="CO17" i="6"/>
  <c r="AM11" i="6"/>
  <c r="BD14" i="6"/>
  <c r="BI12" i="6"/>
  <c r="BJ11" i="6"/>
  <c r="AO25" i="6"/>
  <c r="AK16" i="6"/>
  <c r="V52" i="6"/>
  <c r="M86" i="6"/>
  <c r="CC103" i="6"/>
  <c r="CH40" i="6"/>
  <c r="CC34" i="6"/>
  <c r="BK36" i="6"/>
  <c r="AO29" i="6"/>
  <c r="AP30" i="6"/>
  <c r="BA43" i="6"/>
  <c r="AO52" i="6"/>
  <c r="BN54" i="6"/>
  <c r="CE69" i="6"/>
  <c r="K73" i="6"/>
  <c r="BQ51" i="6"/>
  <c r="BD35" i="6"/>
  <c r="AL38" i="6"/>
  <c r="BL25" i="6"/>
  <c r="BZ31" i="6"/>
  <c r="AC61" i="6"/>
  <c r="CN20" i="6"/>
  <c r="BX58" i="6"/>
  <c r="AR30" i="6"/>
  <c r="BJ7" i="6"/>
  <c r="CN18" i="6"/>
  <c r="BA8" i="6"/>
  <c r="BG49" i="6"/>
  <c r="AR53" i="6"/>
  <c r="L82" i="6"/>
  <c r="L6" i="6"/>
  <c r="R75" i="6"/>
  <c r="CI4" i="6"/>
  <c r="BZ54" i="6"/>
  <c r="AY50" i="6"/>
  <c r="S11" i="6"/>
  <c r="BL12" i="6"/>
  <c r="BB12" i="6"/>
  <c r="AY7" i="6"/>
  <c r="AZ47" i="6"/>
  <c r="V29" i="6"/>
  <c r="BI63" i="6"/>
  <c r="AG19" i="6"/>
  <c r="BL34" i="6"/>
  <c r="S22" i="6"/>
  <c r="BO46" i="6"/>
  <c r="CI18" i="6"/>
  <c r="AM37" i="6"/>
  <c r="BG17" i="6"/>
  <c r="S55" i="6"/>
  <c r="BA15" i="6"/>
  <c r="BA24" i="6"/>
  <c r="AF22" i="6"/>
  <c r="V22" i="6"/>
  <c r="S7" i="6"/>
  <c r="BJ18" i="6"/>
  <c r="AQ18" i="6"/>
  <c r="AJ10" i="6"/>
  <c r="CC31" i="6"/>
  <c r="CC5" i="6"/>
  <c r="BP11" i="6"/>
  <c r="BG40" i="6"/>
  <c r="AZ9" i="6"/>
  <c r="CD35" i="6"/>
  <c r="AR8" i="6"/>
  <c r="CF45" i="6"/>
  <c r="U43" i="6"/>
  <c r="N10" i="6"/>
  <c r="L56" i="6"/>
  <c r="AK57" i="6"/>
  <c r="CF36" i="6"/>
  <c r="BZ59" i="6"/>
  <c r="L44" i="6"/>
  <c r="CO29" i="6"/>
  <c r="CE46" i="6"/>
  <c r="AY17" i="6"/>
  <c r="AG53" i="6"/>
  <c r="AZ13" i="6"/>
  <c r="BK18" i="6"/>
  <c r="Z5" i="6"/>
  <c r="AQ4" i="6"/>
  <c r="BL18" i="6"/>
  <c r="BQ4" i="6"/>
  <c r="CI20" i="6"/>
  <c r="S31" i="6"/>
  <c r="BP20" i="6"/>
  <c r="BO78" i="6"/>
  <c r="AF6" i="6"/>
  <c r="AY13" i="6"/>
  <c r="BL30" i="6"/>
  <c r="Z38" i="6"/>
  <c r="R16" i="6"/>
  <c r="N28" i="6"/>
  <c r="AK10" i="6"/>
  <c r="BY42" i="6"/>
  <c r="AE28" i="6"/>
  <c r="BJ29" i="6"/>
  <c r="CO15" i="6"/>
  <c r="CJ13" i="6"/>
  <c r="CH20" i="6"/>
  <c r="AQ23" i="6"/>
  <c r="AB59" i="6"/>
  <c r="CO5" i="6"/>
  <c r="CK4" i="6"/>
  <c r="CC44" i="6"/>
  <c r="BN43" i="6"/>
  <c r="CA22" i="6"/>
  <c r="AY16" i="6"/>
  <c r="AL13" i="6"/>
  <c r="Q8" i="6"/>
  <c r="V11" i="6"/>
  <c r="BP14" i="6"/>
  <c r="AE81" i="6"/>
  <c r="Z72" i="6"/>
  <c r="CM75" i="6"/>
  <c r="BF36" i="6"/>
  <c r="CK15" i="6"/>
  <c r="CF27" i="6"/>
  <c r="BE17" i="6"/>
  <c r="AH7" i="6"/>
  <c r="AR10" i="6"/>
  <c r="R19" i="6"/>
  <c r="BF22" i="6"/>
  <c r="AB29" i="6"/>
  <c r="BO5" i="6"/>
  <c r="BI29" i="6"/>
  <c r="CH8" i="6"/>
  <c r="P6" i="6"/>
  <c r="BD19" i="6"/>
  <c r="BO24" i="6"/>
  <c r="AP16" i="6"/>
  <c r="BE82" i="6"/>
  <c r="CO89" i="6"/>
  <c r="AJ32" i="6"/>
  <c r="BE55" i="6"/>
  <c r="BZ60" i="6"/>
  <c r="BB53" i="6"/>
  <c r="BZ53" i="6"/>
  <c r="BP24" i="6"/>
  <c r="BB24" i="6"/>
  <c r="BY33" i="6"/>
  <c r="BA44" i="6"/>
  <c r="CW59" i="6"/>
  <c r="BY45" i="6"/>
  <c r="CW38" i="6"/>
  <c r="CD40" i="6"/>
  <c r="CM9" i="6"/>
  <c r="R13" i="6"/>
  <c r="BZ51" i="6"/>
  <c r="BF12" i="6"/>
  <c r="W25" i="6"/>
  <c r="BL23" i="6"/>
  <c r="CE15" i="6"/>
  <c r="BP41" i="6"/>
  <c r="BF15" i="6"/>
  <c r="BI56" i="6"/>
  <c r="V23" i="6"/>
  <c r="CN54" i="6"/>
  <c r="CK19" i="6"/>
  <c r="BL45" i="6"/>
  <c r="BY18" i="6"/>
  <c r="V56" i="6"/>
  <c r="BN16" i="6"/>
  <c r="AQ26" i="6"/>
  <c r="AH23" i="6"/>
  <c r="X23" i="6"/>
  <c r="BD12" i="6"/>
  <c r="BJ26" i="6"/>
  <c r="AB20" i="6"/>
  <c r="CO22" i="6"/>
  <c r="CC27" i="6"/>
  <c r="CD7" i="6"/>
  <c r="BK4" i="6"/>
  <c r="BF52" i="6"/>
  <c r="BI54" i="6"/>
  <c r="AJ49" i="6"/>
  <c r="W41" i="6"/>
  <c r="AZ38" i="6"/>
  <c r="AK13" i="6"/>
  <c r="BI34" i="6"/>
  <c r="AQ5" i="6"/>
  <c r="AB8" i="6"/>
  <c r="CW24" i="6"/>
  <c r="K17" i="6"/>
  <c r="CN26" i="6"/>
  <c r="K52" i="6"/>
  <c r="CE8" i="6"/>
  <c r="M26" i="6"/>
  <c r="AJ25" i="6"/>
  <c r="R34" i="6"/>
  <c r="AB23" i="6"/>
  <c r="AQ32" i="6"/>
  <c r="CO21" i="6"/>
  <c r="CH50" i="6"/>
  <c r="AJ29" i="6"/>
  <c r="AM21" i="6"/>
  <c r="Q12" i="6"/>
  <c r="U25" i="6"/>
  <c r="CE32" i="6"/>
  <c r="AQ25" i="6"/>
  <c r="W31" i="6"/>
  <c r="BE12" i="6"/>
  <c r="BB30" i="6"/>
  <c r="R9" i="6"/>
  <c r="CD87" i="6"/>
  <c r="U27" i="6"/>
  <c r="L17" i="6"/>
  <c r="AL7" i="6"/>
  <c r="AJ19" i="6"/>
  <c r="AG12" i="6"/>
  <c r="AB24" i="6"/>
  <c r="BN9" i="6"/>
  <c r="CF9" i="6"/>
  <c r="Z14" i="6"/>
  <c r="CO62" i="6"/>
  <c r="AL51" i="6"/>
  <c r="AC27" i="6"/>
  <c r="AA60" i="6"/>
  <c r="CW22" i="6"/>
  <c r="BZ7" i="6"/>
  <c r="AQ11" i="6"/>
  <c r="N26" i="6"/>
  <c r="N29" i="6"/>
  <c r="BZ19" i="6"/>
  <c r="Z12" i="6"/>
  <c r="W11" i="6"/>
  <c r="CH7" i="6"/>
  <c r="AA62" i="6"/>
  <c r="BA55" i="6"/>
  <c r="CD5" i="6"/>
  <c r="AA12" i="6"/>
  <c r="BK7" i="6"/>
  <c r="R29" i="6"/>
  <c r="AA91" i="6"/>
  <c r="CK23" i="6"/>
  <c r="CC12" i="6"/>
  <c r="Q20" i="6"/>
  <c r="BJ13" i="6"/>
  <c r="CM44" i="6"/>
  <c r="CA47" i="6"/>
  <c r="BE29" i="6"/>
  <c r="BA17" i="6"/>
  <c r="U31" i="6"/>
  <c r="AY34" i="6"/>
  <c r="BO16" i="6"/>
  <c r="AA5" i="6"/>
  <c r="N53" i="6"/>
  <c r="AO36" i="6"/>
  <c r="AH52" i="6"/>
  <c r="L47" i="6"/>
  <c r="AE17" i="6"/>
  <c r="CN9" i="6"/>
  <c r="CD29" i="6"/>
  <c r="BZ14" i="6"/>
  <c r="AE9" i="6"/>
  <c r="AO7" i="6"/>
  <c r="AP26" i="6"/>
  <c r="P15" i="6"/>
  <c r="N4" i="6"/>
  <c r="R61" i="6"/>
  <c r="CH30" i="6"/>
  <c r="CP31" i="6"/>
  <c r="BO59" i="6"/>
  <c r="CK34" i="6"/>
  <c r="CN60" i="6"/>
  <c r="CK88" i="6"/>
  <c r="CJ55" i="6"/>
  <c r="AG76" i="6"/>
  <c r="BL64" i="6"/>
  <c r="CF47" i="6"/>
  <c r="BY44" i="6"/>
  <c r="CJ57" i="6"/>
  <c r="BD5" i="6"/>
  <c r="Z26" i="6"/>
  <c r="CM18" i="6"/>
  <c r="CA21" i="6"/>
  <c r="X24" i="6"/>
  <c r="CJ39" i="6"/>
  <c r="BD79" i="6"/>
  <c r="R12" i="6"/>
  <c r="CC23" i="6"/>
  <c r="Q28" i="6"/>
  <c r="X5" i="6"/>
  <c r="V16" i="6"/>
  <c r="BN5" i="6"/>
  <c r="K55" i="6"/>
  <c r="BA51" i="6"/>
  <c r="CC51" i="6"/>
  <c r="AQ49" i="6"/>
  <c r="BB39" i="6"/>
  <c r="AZ21" i="6"/>
  <c r="M49" i="6"/>
  <c r="AY6" i="6"/>
  <c r="BA25" i="6"/>
  <c r="L26" i="6"/>
  <c r="BP18" i="6"/>
  <c r="CP27" i="6"/>
  <c r="K14" i="6"/>
  <c r="BA39" i="6"/>
  <c r="CW56" i="6"/>
  <c r="CH17" i="6"/>
  <c r="AM55" i="6"/>
  <c r="BZ15" i="6"/>
  <c r="AA54" i="6"/>
  <c r="AY14" i="6"/>
  <c r="CF24" i="6"/>
  <c r="AF25" i="6"/>
  <c r="V14" i="6"/>
  <c r="AH11" i="6"/>
  <c r="AJ38" i="6"/>
  <c r="BZ13" i="6"/>
  <c r="CJ21" i="6"/>
  <c r="W10" i="6"/>
  <c r="BG18" i="6"/>
  <c r="AG24" i="6"/>
  <c r="BO52" i="6"/>
  <c r="Z8" i="6"/>
  <c r="Q46" i="6"/>
  <c r="AC6" i="6"/>
  <c r="CN44" i="6"/>
  <c r="Q5" i="6"/>
  <c r="BE15" i="6"/>
  <c r="CE31" i="6"/>
  <c r="BD4" i="6"/>
  <c r="BY23" i="6"/>
  <c r="AE19" i="6"/>
  <c r="BZ47" i="6"/>
  <c r="AQ8" i="6"/>
  <c r="BY13" i="6"/>
  <c r="X4" i="6"/>
  <c r="AY41" i="6"/>
  <c r="CI22" i="6"/>
  <c r="AG51" i="6"/>
  <c r="S10" i="6"/>
  <c r="BF26" i="6"/>
  <c r="BQ27" i="6"/>
  <c r="AR27" i="6"/>
  <c r="W4" i="6"/>
  <c r="CC40" i="6"/>
  <c r="CM4" i="6"/>
  <c r="BJ6" i="6"/>
  <c r="AJ27" i="6"/>
  <c r="X30" i="6"/>
  <c r="CJ48" i="6"/>
  <c r="CW18" i="6"/>
  <c r="AC51" i="6"/>
  <c r="BD6" i="6"/>
  <c r="AG74" i="6"/>
  <c r="P25" i="6"/>
  <c r="CD17" i="6"/>
  <c r="BG20" i="6"/>
  <c r="BB43" i="6"/>
  <c r="CK24" i="6"/>
  <c r="CA24" i="6"/>
  <c r="CN10" i="6"/>
  <c r="BL27" i="6"/>
  <c r="BN36" i="6"/>
  <c r="CW54" i="6"/>
  <c r="BG45" i="6"/>
  <c r="CW7" i="6"/>
  <c r="AJ45" i="6"/>
  <c r="CJ14" i="6"/>
  <c r="AG32" i="6"/>
  <c r="CI21" i="6"/>
  <c r="AM12" i="6"/>
  <c r="AP7" i="6"/>
  <c r="X9" i="6"/>
  <c r="AJ11" i="6"/>
  <c r="BO36" i="6"/>
  <c r="BN20" i="6"/>
  <c r="AE27" i="6"/>
  <c r="CJ29" i="6"/>
  <c r="CK28" i="6"/>
  <c r="Z29" i="6"/>
  <c r="CO45" i="6"/>
  <c r="AZ22" i="6"/>
  <c r="CC18" i="6"/>
  <c r="AQ45" i="6"/>
  <c r="CE45" i="6"/>
  <c r="AY20" i="6"/>
  <c r="S43" i="6"/>
  <c r="BB11" i="6"/>
  <c r="CC45" i="6"/>
  <c r="CP5" i="6"/>
  <c r="AG22" i="6"/>
  <c r="CP14" i="6"/>
  <c r="AY4" i="6"/>
  <c r="AL17" i="6"/>
  <c r="AC10" i="6"/>
  <c r="M38" i="6"/>
  <c r="CE6" i="6"/>
  <c r="BI38" i="6"/>
  <c r="Z20" i="6"/>
  <c r="BQ14" i="6"/>
  <c r="BE44" i="6"/>
  <c r="BD28" i="6"/>
  <c r="BF7" i="6"/>
  <c r="AB10" i="6"/>
  <c r="AC40" i="6"/>
  <c r="AM10" i="6"/>
  <c r="AF7" i="6"/>
  <c r="AG18" i="6"/>
  <c r="AZ58" i="6"/>
  <c r="AE52" i="6"/>
  <c r="BP15" i="6"/>
  <c r="CP11" i="6"/>
  <c r="AO8" i="6"/>
  <c r="AR110" i="6"/>
  <c r="BI21" i="6"/>
  <c r="AG55" i="6"/>
  <c r="AF51" i="6"/>
  <c r="AO59" i="6"/>
  <c r="AZ52" i="6"/>
  <c r="AQ62" i="6"/>
  <c r="AQ24" i="6"/>
  <c r="BY67" i="6"/>
  <c r="BY47" i="6"/>
  <c r="AH31" i="6"/>
  <c r="S60" i="6"/>
  <c r="BX40" i="6"/>
  <c r="BZ101" i="6"/>
  <c r="BI58" i="6"/>
  <c r="BE9" i="6"/>
  <c r="CD25" i="6"/>
  <c r="CK14" i="6"/>
  <c r="AQ22" i="6"/>
  <c r="BA64" i="6"/>
  <c r="CC9" i="6"/>
  <c r="AQ17" i="6"/>
  <c r="BY16" i="6"/>
  <c r="L19" i="6"/>
  <c r="BN31" i="6"/>
  <c r="BL10" i="6"/>
  <c r="V48" i="6"/>
  <c r="AG8" i="6"/>
  <c r="CW46" i="6"/>
  <c r="U7" i="6"/>
  <c r="AZ17" i="6"/>
  <c r="CH5" i="6"/>
  <c r="BI6" i="6"/>
  <c r="X6" i="6"/>
  <c r="BP57" i="6"/>
  <c r="U14" i="6"/>
  <c r="AB25" i="6"/>
  <c r="AL35" i="6"/>
  <c r="CF15" i="6"/>
  <c r="N34" i="6"/>
  <c r="AO23" i="6"/>
  <c r="S23" i="6"/>
  <c r="K56" i="6"/>
  <c r="Q23" i="6"/>
  <c r="BK43" i="6"/>
  <c r="CN21" i="6"/>
  <c r="BF31" i="6"/>
  <c r="AA6" i="6"/>
  <c r="AK12" i="6"/>
  <c r="BF19" i="6"/>
  <c r="AH30" i="6"/>
  <c r="AF5" i="6"/>
  <c r="CJ11" i="6"/>
  <c r="BO22" i="6"/>
  <c r="K8" i="6"/>
  <c r="BK46" i="6"/>
  <c r="L16" i="6"/>
  <c r="CF13" i="6"/>
  <c r="N24" i="6"/>
  <c r="CD13" i="6"/>
  <c r="CK22" i="6"/>
  <c r="BN12" i="6"/>
  <c r="BF20" i="6"/>
  <c r="CA25" i="6"/>
  <c r="R72" i="6"/>
  <c r="BN48" i="6"/>
  <c r="BB34" i="6"/>
  <c r="BL9" i="6"/>
  <c r="AJ50" i="6"/>
  <c r="AO5" i="6"/>
  <c r="CW19" i="6"/>
  <c r="S51" i="6"/>
  <c r="AO6" i="6"/>
  <c r="BQ32" i="6"/>
  <c r="AO44" i="6"/>
  <c r="R51" i="6"/>
  <c r="CE10" i="6"/>
  <c r="BP10" i="6"/>
  <c r="P19" i="6"/>
  <c r="L22" i="6"/>
  <c r="AY74" i="6"/>
  <c r="AJ16" i="6"/>
  <c r="W53" i="6"/>
  <c r="BK16" i="6"/>
  <c r="AP31" i="6"/>
  <c r="BD52" i="6"/>
  <c r="BY34" i="6"/>
  <c r="K20" i="6"/>
  <c r="W38" i="6"/>
  <c r="BP16" i="6"/>
  <c r="M45" i="6"/>
  <c r="R4" i="6"/>
  <c r="K7" i="6"/>
  <c r="BA59" i="6"/>
  <c r="AL55" i="6"/>
  <c r="U10" i="6"/>
  <c r="Z10" i="6"/>
  <c r="AA7" i="6"/>
  <c r="AY21" i="6"/>
  <c r="N12" i="6"/>
  <c r="K22" i="6"/>
  <c r="Q24" i="6"/>
  <c r="CC15" i="6"/>
  <c r="W28" i="6"/>
  <c r="BB15" i="6"/>
  <c r="BN19" i="6"/>
  <c r="CD44" i="6"/>
  <c r="CC22" i="6"/>
  <c r="U22" i="6"/>
  <c r="CC56" i="6"/>
  <c r="AG10" i="6"/>
  <c r="CM20" i="6"/>
  <c r="CM19" i="6"/>
  <c r="CH11" i="6"/>
  <c r="S8" i="6"/>
  <c r="CK43" i="6"/>
  <c r="W57" i="6"/>
  <c r="BI7" i="6"/>
  <c r="S28" i="6"/>
  <c r="CJ47" i="6"/>
  <c r="CF23" i="6"/>
  <c r="CJ15" i="6"/>
  <c r="AM60" i="6"/>
  <c r="R26" i="6"/>
  <c r="CF5" i="6"/>
  <c r="BE5" i="6"/>
  <c r="CO23" i="6"/>
  <c r="BJ28" i="6"/>
  <c r="V8" i="6"/>
  <c r="BF68" i="6"/>
  <c r="AG11" i="6"/>
  <c r="BJ24" i="6"/>
  <c r="CI15" i="6"/>
  <c r="P7" i="6"/>
  <c r="S16" i="6"/>
  <c r="BY4" i="6"/>
  <c r="AY28" i="6"/>
  <c r="AG28" i="6"/>
  <c r="BB10" i="6"/>
  <c r="CA43" i="6"/>
  <c r="BQ30" i="6"/>
  <c r="AA27" i="6"/>
  <c r="AF18" i="6"/>
  <c r="BJ38" i="6"/>
  <c r="CK21" i="6"/>
  <c r="AB17" i="6"/>
  <c r="AM86" i="6"/>
  <c r="M90" i="6"/>
  <c r="BP60" i="6"/>
  <c r="P55" i="6"/>
  <c r="BQ50" i="6"/>
  <c r="N43" i="6"/>
  <c r="AR43" i="6"/>
  <c r="AQ34" i="6"/>
  <c r="CH19" i="6"/>
  <c r="AP78" i="6"/>
  <c r="V15" i="6"/>
  <c r="Q13" i="6"/>
  <c r="CM26" i="6"/>
  <c r="CE33" i="6"/>
  <c r="AR33" i="6"/>
  <c r="CF51" i="6"/>
  <c r="AG9" i="6"/>
  <c r="CO33" i="6"/>
  <c r="CJ54" i="6"/>
  <c r="BE40" i="6"/>
  <c r="BA60" i="6"/>
  <c r="BZ8" i="6"/>
  <c r="AL8" i="6"/>
  <c r="BZ29" i="6"/>
  <c r="AE32" i="6"/>
  <c r="BP53" i="6"/>
  <c r="CK39" i="6"/>
  <c r="AG49" i="6"/>
  <c r="BY38" i="6"/>
  <c r="K40" i="6"/>
  <c r="AC9" i="6"/>
  <c r="BX19" i="6"/>
  <c r="BZ21" i="6"/>
  <c r="AJ6" i="6"/>
  <c r="CI23" i="6"/>
  <c r="CC14" i="6"/>
  <c r="Z24" i="6"/>
  <c r="R6" i="6"/>
  <c r="BD36" i="6"/>
  <c r="AH53" i="6"/>
  <c r="V20" i="6"/>
  <c r="CI14" i="6"/>
  <c r="Q25" i="6"/>
  <c r="CF14" i="6"/>
  <c r="CN23" i="6"/>
  <c r="BO13" i="6"/>
  <c r="BX21" i="6"/>
  <c r="BO26" i="6"/>
  <c r="R21" i="6"/>
  <c r="AB91" i="6"/>
  <c r="BI15" i="6"/>
  <c r="BB22" i="6"/>
  <c r="BG27" i="6"/>
  <c r="BP23" i="6"/>
  <c r="N11" i="6"/>
  <c r="CH35" i="6"/>
  <c r="CD12" i="6"/>
  <c r="BK5" i="6"/>
  <c r="CD15" i="6"/>
  <c r="CO4" i="6"/>
  <c r="BL14" i="6"/>
  <c r="BN40" i="6"/>
  <c r="X12" i="6"/>
  <c r="AM17" i="6"/>
  <c r="AH33" i="6"/>
  <c r="CA7" i="6"/>
  <c r="AF44" i="6"/>
  <c r="BX50" i="6"/>
  <c r="AL56" i="6"/>
  <c r="CJ18" i="6"/>
  <c r="AQ27" i="6"/>
  <c r="CI42" i="6"/>
  <c r="AO28" i="6"/>
  <c r="AF62" i="6"/>
  <c r="BL15" i="6"/>
  <c r="AH15" i="6"/>
  <c r="AH27" i="6"/>
  <c r="W5" i="6"/>
  <c r="Z28" i="6"/>
  <c r="CA10" i="6"/>
  <c r="AP29" i="6"/>
  <c r="CC30" i="6"/>
  <c r="AR14" i="6"/>
  <c r="AC24" i="6"/>
  <c r="R47" i="6"/>
  <c r="AO26" i="6"/>
  <c r="CC32" i="6"/>
  <c r="AY22" i="6"/>
  <c r="AR42" i="6"/>
  <c r="P61" i="6"/>
  <c r="BZ4" i="6"/>
  <c r="Z22" i="6"/>
  <c r="AF24" i="6"/>
  <c r="CJ22" i="6"/>
  <c r="CH16" i="6"/>
  <c r="CO28" i="6"/>
  <c r="S25" i="6"/>
  <c r="BX67" i="6"/>
  <c r="AC64" i="6"/>
  <c r="BN25" i="6"/>
  <c r="V10" i="6"/>
  <c r="BK35" i="6"/>
  <c r="CC42" i="6"/>
  <c r="AR6" i="6"/>
  <c r="AE18" i="6"/>
  <c r="BE10" i="6"/>
  <c r="AQ31" i="6"/>
  <c r="BZ176" i="6" l="1"/>
  <c r="BZ195" i="6" a="1"/>
  <c r="BZ195" i="6" s="1"/>
  <c r="BZ187" i="6"/>
  <c r="BZ184" i="6" a="1"/>
  <c r="BZ184" i="6" s="1"/>
  <c r="BZ177" i="6" a="1"/>
  <c r="BZ177" i="6" s="1"/>
  <c r="BZ188" i="6" a="1"/>
  <c r="BZ188" i="6" s="1"/>
  <c r="CO195" i="6" a="1"/>
  <c r="CO195" i="6" s="1"/>
  <c r="CO187" i="6"/>
  <c r="CO176" i="6"/>
  <c r="CO184" i="6" a="1"/>
  <c r="CO184" i="6" s="1"/>
  <c r="CO177" i="6" a="1"/>
  <c r="CO177" i="6" s="1"/>
  <c r="CO188" i="6" a="1"/>
  <c r="CO188" i="6" s="1"/>
  <c r="AG198" i="6" a="1"/>
  <c r="AG198" i="6" s="1"/>
  <c r="AG205" i="6" a="1"/>
  <c r="AG205" i="6" s="1"/>
  <c r="AG199" i="6" a="1"/>
  <c r="AG199" i="6" s="1"/>
  <c r="BY177" i="6" a="1"/>
  <c r="BY177" i="6" s="1"/>
  <c r="BY195" i="6" a="1"/>
  <c r="BY195" i="6" s="1"/>
  <c r="BY187" i="6"/>
  <c r="BY176" i="6"/>
  <c r="BY184" i="6" a="1"/>
  <c r="BY184" i="6" s="1"/>
  <c r="BY188" i="6" a="1"/>
  <c r="BY188" i="6" s="1"/>
  <c r="R176" i="6"/>
  <c r="R188" i="6" a="1"/>
  <c r="R188" i="6" s="1"/>
  <c r="R195" i="6" a="1"/>
  <c r="R195" i="6" s="1"/>
  <c r="R187" i="6"/>
  <c r="R177" i="6" a="1"/>
  <c r="R177" i="6" s="1"/>
  <c r="R184" i="6" a="1"/>
  <c r="R184" i="6" s="1"/>
  <c r="AY184" i="6" a="1"/>
  <c r="AY184" i="6" s="1"/>
  <c r="AY188" i="6" a="1"/>
  <c r="AY188" i="6" s="1"/>
  <c r="AY176" i="6"/>
  <c r="AY177" i="6" a="1"/>
  <c r="AY177" i="6" s="1"/>
  <c r="AY195" i="6" a="1"/>
  <c r="AY195" i="6" s="1"/>
  <c r="AY187" i="6"/>
  <c r="CM187" i="6"/>
  <c r="CM176" i="6"/>
  <c r="CM184" i="6" a="1"/>
  <c r="CM184" i="6" s="1"/>
  <c r="CM188" i="6" a="1"/>
  <c r="CM188" i="6" s="1"/>
  <c r="CM177" i="6" a="1"/>
  <c r="CM177" i="6" s="1"/>
  <c r="CM195" i="6" a="1"/>
  <c r="CM195" i="6" s="1"/>
  <c r="W195" i="6" a="1"/>
  <c r="W195" i="6" s="1"/>
  <c r="W188" i="6" a="1"/>
  <c r="W188" i="6" s="1"/>
  <c r="W176" i="6"/>
  <c r="W187" i="6"/>
  <c r="W184" i="6" a="1"/>
  <c r="W184" i="6" s="1"/>
  <c r="W177" i="6" a="1"/>
  <c r="W177" i="6" s="1"/>
  <c r="X177" i="6" a="1"/>
  <c r="X177" i="6" s="1"/>
  <c r="X184" i="6" a="1"/>
  <c r="X184" i="6" s="1"/>
  <c r="X176" i="6"/>
  <c r="X188" i="6" a="1"/>
  <c r="X188" i="6" s="1"/>
  <c r="X195" i="6" a="1"/>
  <c r="X195" i="6" s="1"/>
  <c r="X187" i="6"/>
  <c r="BD176" i="6"/>
  <c r="BD188" i="6" a="1"/>
  <c r="BD188" i="6" s="1"/>
  <c r="BD177" i="6" a="1"/>
  <c r="BD177" i="6" s="1"/>
  <c r="BD195" i="6" a="1"/>
  <c r="BD195" i="6" s="1"/>
  <c r="BD187" i="6"/>
  <c r="BD184" i="6" a="1"/>
  <c r="BD184" i="6" s="1"/>
  <c r="M198" i="6" a="1"/>
  <c r="M198" i="6" s="1"/>
  <c r="M205" i="6" a="1"/>
  <c r="M205" i="6" s="1"/>
  <c r="M199" i="6" a="1"/>
  <c r="M199" i="6" s="1"/>
  <c r="AQ198" i="6" a="1"/>
  <c r="AQ198" i="6" s="1"/>
  <c r="AQ205" i="6" a="1"/>
  <c r="AQ205" i="6" s="1"/>
  <c r="AQ199" i="6" a="1"/>
  <c r="AQ199" i="6" s="1"/>
  <c r="N188" i="6" a="1"/>
  <c r="N188" i="6" s="1"/>
  <c r="N195" i="6" a="1"/>
  <c r="N195" i="6" s="1"/>
  <c r="N187" i="6"/>
  <c r="N177" i="6" a="1"/>
  <c r="N177" i="6" s="1"/>
  <c r="N176" i="6"/>
  <c r="N184" i="6" a="1"/>
  <c r="N184" i="6" s="1"/>
  <c r="AJ205" i="6" a="1"/>
  <c r="AJ205" i="6" s="1"/>
  <c r="AJ199" i="6" a="1"/>
  <c r="AJ199" i="6" s="1"/>
  <c r="AJ198" i="6" a="1"/>
  <c r="AJ198" i="6" s="1"/>
  <c r="BK184" i="6" a="1"/>
  <c r="BK184" i="6" s="1"/>
  <c r="BK188" i="6" a="1"/>
  <c r="BK188" i="6" s="1"/>
  <c r="BK176" i="6"/>
  <c r="BK195" i="6" a="1"/>
  <c r="BK195" i="6" s="1"/>
  <c r="BK187" i="6"/>
  <c r="BK177" i="6" a="1"/>
  <c r="BK177" i="6" s="1"/>
  <c r="CK195" i="6" a="1"/>
  <c r="CK195" i="6" s="1"/>
  <c r="CK177" i="6" a="1"/>
  <c r="CK177" i="6" s="1"/>
  <c r="CK184" i="6" a="1"/>
  <c r="CK184" i="6" s="1"/>
  <c r="CK176" i="6"/>
  <c r="CK188" i="6" a="1"/>
  <c r="CK188" i="6" s="1"/>
  <c r="CK187" i="6"/>
  <c r="AQ188" i="6" a="1"/>
  <c r="AQ188" i="6" s="1"/>
  <c r="AQ195" i="6" a="1"/>
  <c r="AQ195" i="6" s="1"/>
  <c r="AQ187" i="6"/>
  <c r="AQ176" i="6"/>
  <c r="AQ177" i="6" a="1"/>
  <c r="AQ177" i="6" s="1"/>
  <c r="AQ184" i="6" a="1"/>
  <c r="AQ184" i="6" s="1"/>
  <c r="CI187" i="6"/>
  <c r="CI184" i="6" a="1"/>
  <c r="CI184" i="6" s="1"/>
  <c r="CI188" i="6" a="1"/>
  <c r="CI188" i="6" s="1"/>
  <c r="CI176" i="6"/>
  <c r="CI177" i="6" a="1"/>
  <c r="CI177" i="6" s="1"/>
  <c r="CI195" i="6" a="1"/>
  <c r="CI195" i="6" s="1"/>
  <c r="BG205" i="6" a="1"/>
  <c r="BG205" i="6" s="1"/>
  <c r="BG199" i="6" a="1"/>
  <c r="BG199" i="6" s="1"/>
  <c r="BG198" i="6" a="1"/>
  <c r="BG198" i="6" s="1"/>
  <c r="AC195" i="6" a="1"/>
  <c r="AC195" i="6" s="1"/>
  <c r="AC187" i="6"/>
  <c r="AC177" i="6" a="1"/>
  <c r="AC177" i="6" s="1"/>
  <c r="AC176" i="6"/>
  <c r="AC184" i="6" a="1"/>
  <c r="AC184" i="6" s="1"/>
  <c r="AC188" i="6" a="1"/>
  <c r="AC188" i="6" s="1"/>
  <c r="S176" i="6"/>
  <c r="S184" i="6" a="1"/>
  <c r="S184" i="6" s="1"/>
  <c r="S188" i="6" a="1"/>
  <c r="S188" i="6" s="1"/>
  <c r="S195" i="6" a="1"/>
  <c r="S195" i="6" s="1"/>
  <c r="S187" i="6"/>
  <c r="S177" i="6" a="1"/>
  <c r="S177" i="6" s="1"/>
  <c r="U177" i="6" a="1"/>
  <c r="U177" i="6" s="1"/>
  <c r="U176" i="6"/>
  <c r="U184" i="6" a="1"/>
  <c r="U184" i="6" s="1"/>
  <c r="U188" i="6" a="1"/>
  <c r="U188" i="6" s="1"/>
  <c r="U195" i="6" a="1"/>
  <c r="U195" i="6" s="1"/>
  <c r="U187" i="6"/>
  <c r="AB184" i="6" a="1"/>
  <c r="AB184" i="6" s="1"/>
  <c r="AB177" i="6" a="1"/>
  <c r="AB177" i="6" s="1"/>
  <c r="AB176" i="6"/>
  <c r="AB195" i="6" a="1"/>
  <c r="AB195" i="6" s="1"/>
  <c r="AB188" i="6" a="1"/>
  <c r="AB188" i="6" s="1"/>
  <c r="AB187" i="6"/>
  <c r="AE184" i="6" a="1"/>
  <c r="AE184" i="6" s="1"/>
  <c r="AE188" i="6" a="1"/>
  <c r="AE188" i="6" s="1"/>
  <c r="AE177" i="6" a="1"/>
  <c r="AE177" i="6" s="1"/>
  <c r="AE195" i="6" a="1"/>
  <c r="AE195" i="6" s="1"/>
  <c r="AE187" i="6"/>
  <c r="AE176" i="6"/>
  <c r="L195" i="6" a="1"/>
  <c r="L195" i="6" s="1"/>
  <c r="L187" i="6"/>
  <c r="L184" i="6" a="1"/>
  <c r="L184" i="6" s="1"/>
  <c r="L188" i="6" a="1"/>
  <c r="L188" i="6" s="1"/>
  <c r="L177" i="6" a="1"/>
  <c r="L177" i="6" s="1"/>
  <c r="L176" i="6"/>
  <c r="AH176" i="6"/>
  <c r="AH195" i="6" a="1"/>
  <c r="AH195" i="6" s="1"/>
  <c r="AH187" i="6"/>
  <c r="AH177" i="6" a="1"/>
  <c r="AH177" i="6" s="1"/>
  <c r="AH184" i="6" a="1"/>
  <c r="AH184" i="6" s="1"/>
  <c r="AH188" i="6" a="1"/>
  <c r="AH188" i="6" s="1"/>
  <c r="BA187" i="6"/>
  <c r="BA195" i="6" a="1"/>
  <c r="BA195" i="6" s="1"/>
  <c r="BA177" i="6" a="1"/>
  <c r="BA177" i="6" s="1"/>
  <c r="BA184" i="6" a="1"/>
  <c r="BA184" i="6" s="1"/>
  <c r="BA188" i="6" a="1"/>
  <c r="BA188" i="6" s="1"/>
  <c r="BA176" i="6"/>
  <c r="CH184" i="6" a="1"/>
  <c r="CH184" i="6" s="1"/>
  <c r="CH188" i="6" a="1"/>
  <c r="CH188" i="6" s="1"/>
  <c r="CH177" i="6" a="1"/>
  <c r="CH177" i="6" s="1"/>
  <c r="CH195" i="6" a="1"/>
  <c r="CH195" i="6" s="1"/>
  <c r="CH187" i="6"/>
  <c r="CH176" i="6"/>
  <c r="V184" i="6" a="1"/>
  <c r="V184" i="6" s="1"/>
  <c r="V177" i="6" a="1"/>
  <c r="V177" i="6" s="1"/>
  <c r="V176" i="6"/>
  <c r="V188" i="6" a="1"/>
  <c r="V188" i="6" s="1"/>
  <c r="V195" i="6" a="1"/>
  <c r="V195" i="6" s="1"/>
  <c r="V187" i="6"/>
  <c r="AR184" i="6" a="1"/>
  <c r="AR184" i="6" s="1"/>
  <c r="AR176" i="6"/>
  <c r="AR177" i="6" a="1"/>
  <c r="AR177" i="6" s="1"/>
  <c r="AR188" i="6" a="1"/>
  <c r="AR188" i="6" s="1"/>
  <c r="AR195" i="6" a="1"/>
  <c r="AR195" i="6" s="1"/>
  <c r="AR187" i="6"/>
  <c r="AO176" i="6"/>
  <c r="AO188" i="6" a="1"/>
  <c r="AO188" i="6" s="1"/>
  <c r="AO177" i="6" a="1"/>
  <c r="AO177" i="6" s="1"/>
  <c r="AO184" i="6" a="1"/>
  <c r="AO184" i="6" s="1"/>
  <c r="AO195" i="6" a="1"/>
  <c r="AO195" i="6" s="1"/>
  <c r="AO187" i="6"/>
  <c r="BN187" i="6"/>
  <c r="BN176" i="6"/>
  <c r="BN184" i="6" a="1"/>
  <c r="BN184" i="6" s="1"/>
  <c r="BN177" i="6" a="1"/>
  <c r="BN177" i="6" s="1"/>
  <c r="BN188" i="6" a="1"/>
  <c r="BN188" i="6" s="1"/>
  <c r="BN195" i="6" a="1"/>
  <c r="BN195" i="6" s="1"/>
  <c r="CD188" i="6" a="1"/>
  <c r="CD188" i="6" s="1"/>
  <c r="CD177" i="6" a="1"/>
  <c r="CD177" i="6" s="1"/>
  <c r="CD195" i="6" a="1"/>
  <c r="CD195" i="6" s="1"/>
  <c r="CD187" i="6"/>
  <c r="CD176" i="6"/>
  <c r="CD184" i="6" a="1"/>
  <c r="CD184" i="6" s="1"/>
  <c r="BO176" i="6"/>
  <c r="BO195" i="6" a="1"/>
  <c r="BO195" i="6" s="1"/>
  <c r="BO187" i="6"/>
  <c r="BO177" i="6" a="1"/>
  <c r="BO177" i="6" s="1"/>
  <c r="BO188" i="6" a="1"/>
  <c r="BO188" i="6" s="1"/>
  <c r="BO184" i="6" a="1"/>
  <c r="BO184" i="6" s="1"/>
  <c r="AP176" i="6"/>
  <c r="AP188" i="6" a="1"/>
  <c r="AP188" i="6" s="1"/>
  <c r="AP184" i="6" a="1"/>
  <c r="AP184" i="6" s="1"/>
  <c r="AP177" i="6" a="1"/>
  <c r="AP177" i="6" s="1"/>
  <c r="AP195" i="6" a="1"/>
  <c r="AP195" i="6" s="1"/>
  <c r="AP187" i="6"/>
  <c r="AZ176" i="6"/>
  <c r="AZ177" i="6" a="1"/>
  <c r="AZ177" i="6" s="1"/>
  <c r="AZ184" i="6" a="1"/>
  <c r="AZ184" i="6" s="1"/>
  <c r="AZ188" i="6" a="1"/>
  <c r="AZ188" i="6" s="1"/>
  <c r="AZ187" i="6"/>
  <c r="AZ195" i="6" a="1"/>
  <c r="AZ195" i="6" s="1"/>
  <c r="CP205" i="6" a="1"/>
  <c r="CP205" i="6" s="1"/>
  <c r="CP199" i="6" a="1"/>
  <c r="CP199" i="6" s="1"/>
  <c r="CP198" i="6" a="1"/>
  <c r="CP198" i="6" s="1"/>
  <c r="S198" i="6" a="1"/>
  <c r="S198" i="6" s="1"/>
  <c r="S205" i="6" a="1"/>
  <c r="S205" i="6" s="1"/>
  <c r="S199" i="6" a="1"/>
  <c r="S199" i="6" s="1"/>
  <c r="CA176" i="6"/>
  <c r="CA184" i="6" a="1"/>
  <c r="CA184" i="6" s="1"/>
  <c r="CA188" i="6" a="1"/>
  <c r="CA188" i="6" s="1"/>
  <c r="CA195" i="6" a="1"/>
  <c r="CA195" i="6" s="1"/>
  <c r="CA187" i="6"/>
  <c r="CA177" i="6" a="1"/>
  <c r="CA177" i="6" s="1"/>
  <c r="BF198" i="6" a="1"/>
  <c r="BF198" i="6" s="1"/>
  <c r="BF205" i="6" a="1"/>
  <c r="BF205" i="6" s="1"/>
  <c r="BF199" i="6" a="1"/>
  <c r="BF199" i="6" s="1"/>
  <c r="AH199" i="6" a="1"/>
  <c r="AH199" i="6" s="1"/>
  <c r="AH198" i="6" a="1"/>
  <c r="AH198" i="6" s="1"/>
  <c r="AH205" i="6" a="1"/>
  <c r="AH205" i="6" s="1"/>
  <c r="M188" i="6" a="1"/>
  <c r="M188" i="6" s="1"/>
  <c r="M195" i="6" a="1"/>
  <c r="M195" i="6" s="1"/>
  <c r="M187" i="6"/>
  <c r="M184" i="6" a="1"/>
  <c r="M184" i="6" s="1"/>
  <c r="M177" i="6" a="1"/>
  <c r="M177" i="6" s="1"/>
  <c r="M176" i="6"/>
  <c r="BP191" i="6" a="1"/>
  <c r="BP191" i="6" s="1"/>
  <c r="BP190" i="6"/>
  <c r="BP180" i="6" a="1"/>
  <c r="BP180" i="6" s="1"/>
  <c r="BP179" i="6"/>
  <c r="BB195" i="6" a="1"/>
  <c r="BB195" i="6" s="1"/>
  <c r="BB187" i="6"/>
  <c r="BB184" i="6" a="1"/>
  <c r="BB184" i="6" s="1"/>
  <c r="BB177" i="6" a="1"/>
  <c r="BB177" i="6" s="1"/>
  <c r="BB176" i="6"/>
  <c r="BB188" i="6" a="1"/>
  <c r="BB188" i="6" s="1"/>
  <c r="BO198" i="6" a="1"/>
  <c r="BO198" i="6" s="1"/>
  <c r="BO199" i="6" a="1"/>
  <c r="BO199" i="6" s="1"/>
  <c r="BO205" i="6" a="1"/>
  <c r="BO205" i="6" s="1"/>
  <c r="BP198" i="6" a="1"/>
  <c r="BP198" i="6" s="1"/>
  <c r="BP205" i="6" a="1"/>
  <c r="BP205" i="6" s="1"/>
  <c r="BP199" i="6" a="1"/>
  <c r="BP199" i="6" s="1"/>
  <c r="AL188" i="6" a="1"/>
  <c r="AL188" i="6" s="1"/>
  <c r="AL176" i="6"/>
  <c r="AL195" i="6" a="1"/>
  <c r="AL195" i="6" s="1"/>
  <c r="AL187" i="6"/>
  <c r="AL184" i="6" a="1"/>
  <c r="AL184" i="6" s="1"/>
  <c r="AL177" i="6" a="1"/>
  <c r="AL177" i="6" s="1"/>
  <c r="CP184" i="6" a="1"/>
  <c r="CP184" i="6" s="1"/>
  <c r="CP177" i="6" a="1"/>
  <c r="CP177" i="6" s="1"/>
  <c r="CP187" i="6"/>
  <c r="CP176" i="6"/>
  <c r="CP188" i="6" a="1"/>
  <c r="CP188" i="6" s="1"/>
  <c r="CP195" i="6" a="1"/>
  <c r="CP195" i="6" s="1"/>
  <c r="BL195" i="6" a="1"/>
  <c r="BL195" i="6" s="1"/>
  <c r="BL187" i="6"/>
  <c r="BL177" i="6" a="1"/>
  <c r="BL177" i="6" s="1"/>
  <c r="BL184" i="6" a="1"/>
  <c r="BL184" i="6" s="1"/>
  <c r="BL176" i="6"/>
  <c r="BL188" i="6" a="1"/>
  <c r="BL188" i="6" s="1"/>
  <c r="CC184" i="6" a="1"/>
  <c r="CC184" i="6" s="1"/>
  <c r="CC195" i="6" a="1"/>
  <c r="CC195" i="6" s="1"/>
  <c r="CC188" i="6" a="1"/>
  <c r="CC188" i="6" s="1"/>
  <c r="CC177" i="6" a="1"/>
  <c r="CC177" i="6" s="1"/>
  <c r="CC187" i="6"/>
  <c r="CC176" i="6"/>
  <c r="CF198" i="6" a="1"/>
  <c r="CF198" i="6" s="1"/>
  <c r="CF205" i="6" a="1"/>
  <c r="CF205" i="6" s="1"/>
  <c r="CF199" i="6" a="1"/>
  <c r="CF199" i="6" s="1"/>
  <c r="P187" i="6"/>
  <c r="P176" i="6"/>
  <c r="P184" i="6" a="1"/>
  <c r="P184" i="6" s="1"/>
  <c r="P177" i="6" a="1"/>
  <c r="P177" i="6" s="1"/>
  <c r="P188" i="6" a="1"/>
  <c r="P188" i="6" s="1"/>
  <c r="P195" i="6" a="1"/>
  <c r="P195" i="6" s="1"/>
  <c r="AF187" i="6"/>
  <c r="AF188" i="6" a="1"/>
  <c r="AF188" i="6" s="1"/>
  <c r="AF184" i="6" a="1"/>
  <c r="AF184" i="6" s="1"/>
  <c r="AF177" i="6" a="1"/>
  <c r="AF177" i="6" s="1"/>
  <c r="AF176" i="6"/>
  <c r="AF195" i="6" a="1"/>
  <c r="AF195" i="6" s="1"/>
  <c r="BE176" i="6"/>
  <c r="BE184" i="6" a="1"/>
  <c r="BE184" i="6" s="1"/>
  <c r="BE188" i="6" a="1"/>
  <c r="BE188" i="6" s="1"/>
  <c r="BE177" i="6" a="1"/>
  <c r="BE177" i="6" s="1"/>
  <c r="BE195" i="6" a="1"/>
  <c r="BE195" i="6" s="1"/>
  <c r="BE187" i="6"/>
  <c r="AA195" i="6" a="1"/>
  <c r="AA195" i="6" s="1"/>
  <c r="AA177" i="6" a="1"/>
  <c r="AA177" i="6" s="1"/>
  <c r="AA176" i="6"/>
  <c r="AA184" i="6" a="1"/>
  <c r="AA184" i="6" s="1"/>
  <c r="AA187" i="6"/>
  <c r="AA188" i="6" a="1"/>
  <c r="AA188" i="6" s="1"/>
  <c r="AK177" i="6" a="1"/>
  <c r="AK177" i="6" s="1"/>
  <c r="AK195" i="6" a="1"/>
  <c r="AK195" i="6" s="1"/>
  <c r="AK187" i="6"/>
  <c r="AK176" i="6"/>
  <c r="AK184" i="6" a="1"/>
  <c r="AK184" i="6" s="1"/>
  <c r="AK188" i="6" a="1"/>
  <c r="AK188" i="6" s="1"/>
  <c r="BX198" i="6" a="1"/>
  <c r="BX198" i="6" s="1"/>
  <c r="BX205" i="6" a="1"/>
  <c r="BX205" i="6" s="1"/>
  <c r="BX199" i="6" a="1"/>
  <c r="BX199" i="6" s="1"/>
  <c r="P205" i="6" a="1"/>
  <c r="P205" i="6" s="1"/>
  <c r="P199" i="6" a="1"/>
  <c r="P199" i="6" s="1"/>
  <c r="P198" i="6" a="1"/>
  <c r="P198" i="6" s="1"/>
  <c r="AY198" i="6" a="1"/>
  <c r="AY198" i="6" s="1"/>
  <c r="AY205" i="6" a="1"/>
  <c r="AY205" i="6" s="1"/>
  <c r="AY199" i="6" a="1"/>
  <c r="AY199" i="6" s="1"/>
  <c r="BP176" i="6"/>
  <c r="BP184" i="6" a="1"/>
  <c r="BP184" i="6" s="1"/>
  <c r="BP188" i="6" a="1"/>
  <c r="BP188" i="6" s="1"/>
  <c r="BP177" i="6" a="1"/>
  <c r="BP177" i="6" s="1"/>
  <c r="BP195" i="6" a="1"/>
  <c r="BP195" i="6" s="1"/>
  <c r="BP187" i="6"/>
  <c r="BE205" i="6" a="1"/>
  <c r="BE205" i="6" s="1"/>
  <c r="BE199" i="6" a="1"/>
  <c r="BE199" i="6" s="1"/>
  <c r="BE198" i="6" a="1"/>
  <c r="BE198" i="6" s="1"/>
  <c r="AM187" i="6"/>
  <c r="AM177" i="6" a="1"/>
  <c r="AM177" i="6" s="1"/>
  <c r="AM184" i="6" a="1"/>
  <c r="AM184" i="6" s="1"/>
  <c r="AM176" i="6"/>
  <c r="AM188" i="6" a="1"/>
  <c r="AM188" i="6" s="1"/>
  <c r="AM195" i="6" a="1"/>
  <c r="AM195" i="6" s="1"/>
  <c r="AJ188" i="6" a="1"/>
  <c r="AJ188" i="6" s="1"/>
  <c r="AJ176" i="6"/>
  <c r="AJ184" i="6" a="1"/>
  <c r="AJ184" i="6" s="1"/>
  <c r="AJ177" i="6" a="1"/>
  <c r="AJ177" i="6" s="1"/>
  <c r="AJ195" i="6" a="1"/>
  <c r="AJ195" i="6" s="1"/>
  <c r="AJ187" i="6"/>
  <c r="BG177" i="6" a="1"/>
  <c r="BG177" i="6" s="1"/>
  <c r="BG176" i="6"/>
  <c r="BG195" i="6" a="1"/>
  <c r="BG195" i="6" s="1"/>
  <c r="BG184" i="6" a="1"/>
  <c r="BG184" i="6" s="1"/>
  <c r="BG188" i="6" a="1"/>
  <c r="BG188" i="6" s="1"/>
  <c r="BG187" i="6"/>
  <c r="CO205" i="6" a="1"/>
  <c r="CO205" i="6" s="1"/>
  <c r="CO199" i="6" a="1"/>
  <c r="CO199" i="6" s="1"/>
  <c r="CO198" i="6" a="1"/>
  <c r="CO198" i="6" s="1"/>
  <c r="Q184" i="6" a="1"/>
  <c r="Q184" i="6" s="1"/>
  <c r="Q176" i="6"/>
  <c r="Q177" i="6" a="1"/>
  <c r="Q177" i="6" s="1"/>
  <c r="Q188" i="6" a="1"/>
  <c r="Q188" i="6" s="1"/>
  <c r="Q195" i="6" a="1"/>
  <c r="Q195" i="6" s="1"/>
  <c r="Q187" i="6"/>
  <c r="N198" i="6" a="1"/>
  <c r="N198" i="6" s="1"/>
  <c r="N199" i="6" a="1"/>
  <c r="N199" i="6" s="1"/>
  <c r="N205" i="6" a="1"/>
  <c r="N205" i="6" s="1"/>
  <c r="W205" i="6" a="1"/>
  <c r="W205" i="6" s="1"/>
  <c r="W199" i="6" a="1"/>
  <c r="W199" i="6" s="1"/>
  <c r="W198" i="6" a="1"/>
  <c r="W198" i="6" s="1"/>
  <c r="CE199" i="6" a="1"/>
  <c r="CE199" i="6" s="1"/>
  <c r="CE198" i="6" a="1"/>
  <c r="CE198" i="6" s="1"/>
  <c r="CE205" i="6" a="1"/>
  <c r="CE205" i="6" s="1"/>
  <c r="Q199" i="6" a="1"/>
  <c r="Q199" i="6" s="1"/>
  <c r="Q198" i="6" a="1"/>
  <c r="Q198" i="6" s="1"/>
  <c r="Q205" i="6" a="1"/>
  <c r="Q205" i="6" s="1"/>
  <c r="BI195" i="6" a="1"/>
  <c r="BI195" i="6" s="1"/>
  <c r="BI187" i="6"/>
  <c r="BI176" i="6"/>
  <c r="BI184" i="6" a="1"/>
  <c r="BI184" i="6" s="1"/>
  <c r="BI188" i="6" a="1"/>
  <c r="BI188" i="6" s="1"/>
  <c r="BI177" i="6" a="1"/>
  <c r="BI177" i="6" s="1"/>
  <c r="BX177" i="6" a="1"/>
  <c r="BX177" i="6" s="1"/>
  <c r="BX195" i="6" a="1"/>
  <c r="BX195" i="6" s="1"/>
  <c r="BX187" i="6"/>
  <c r="BX184" i="6" a="1"/>
  <c r="BX184" i="6" s="1"/>
  <c r="BX176" i="6"/>
  <c r="BX188" i="6" a="1"/>
  <c r="BX188" i="6" s="1"/>
  <c r="U198" i="6" a="1"/>
  <c r="U198" i="6" s="1"/>
  <c r="U205" i="6" a="1"/>
  <c r="U205" i="6" s="1"/>
  <c r="U199" i="6" a="1"/>
  <c r="U199" i="6" s="1"/>
  <c r="V199" i="6" a="1"/>
  <c r="V199" i="6" s="1"/>
  <c r="V198" i="6" a="1"/>
  <c r="V198" i="6" s="1"/>
  <c r="V205" i="6" a="1"/>
  <c r="V205" i="6" s="1"/>
  <c r="AK190" i="6"/>
  <c r="AK180" i="6" a="1"/>
  <c r="AK180" i="6" s="1"/>
  <c r="AK191" i="6" a="1"/>
  <c r="AK191" i="6" s="1"/>
  <c r="AK179" i="6"/>
  <c r="AA190" i="6"/>
  <c r="AA180" i="6" a="1"/>
  <c r="AA180" i="6" s="1"/>
  <c r="AA179" i="6"/>
  <c r="AA191" i="6" a="1"/>
  <c r="AA191" i="6" s="1"/>
  <c r="X205" i="6" a="1"/>
  <c r="X205" i="6" s="1"/>
  <c r="X199" i="6" a="1"/>
  <c r="X199" i="6" s="1"/>
  <c r="X198" i="6" a="1"/>
  <c r="X198" i="6" s="1"/>
  <c r="BI198" i="6" a="1"/>
  <c r="BI198" i="6" s="1"/>
  <c r="BI205" i="6" a="1"/>
  <c r="BI205" i="6" s="1"/>
  <c r="BI199" i="6" a="1"/>
  <c r="BI199" i="6" s="1"/>
  <c r="K177" i="6" a="1"/>
  <c r="K177" i="6" s="1"/>
  <c r="K176" i="6"/>
  <c r="K195" i="6" a="1"/>
  <c r="K195" i="6" s="1"/>
  <c r="K187" i="6"/>
  <c r="K184" i="6" a="1"/>
  <c r="K184" i="6" s="1"/>
  <c r="K188" i="6" a="1"/>
  <c r="K188" i="6" s="1"/>
  <c r="CM198" i="6" a="1"/>
  <c r="CM198" i="6" s="1"/>
  <c r="CM205" i="6" a="1"/>
  <c r="CM205" i="6" s="1"/>
  <c r="CM199" i="6" a="1"/>
  <c r="CM199" i="6" s="1"/>
  <c r="K199" i="6" a="1"/>
  <c r="K199" i="6" s="1"/>
  <c r="K198" i="6" a="1"/>
  <c r="K198" i="6" s="1"/>
  <c r="K205" i="6" a="1"/>
  <c r="K205" i="6" s="1"/>
  <c r="CN176" i="6"/>
  <c r="CN184" i="6" a="1"/>
  <c r="CN184" i="6" s="1"/>
  <c r="CN188" i="6" a="1"/>
  <c r="CN188" i="6" s="1"/>
  <c r="CN177" i="6" a="1"/>
  <c r="CN177" i="6" s="1"/>
  <c r="CN195" i="6" a="1"/>
  <c r="CN195" i="6" s="1"/>
  <c r="CN187" i="6"/>
  <c r="AL205" i="6" a="1"/>
  <c r="AL205" i="6" s="1"/>
  <c r="AL199" i="6" a="1"/>
  <c r="AL199" i="6" s="1"/>
  <c r="AL198" i="6" a="1"/>
  <c r="AL198" i="6" s="1"/>
  <c r="AK198" i="6" a="1"/>
  <c r="AK198" i="6" s="1"/>
  <c r="AK199" i="6" a="1"/>
  <c r="AK199" i="6" s="1"/>
  <c r="AK205" i="6" a="1"/>
  <c r="AK205" i="6" s="1"/>
  <c r="CJ198" i="6" a="1"/>
  <c r="CJ198" i="6" s="1"/>
  <c r="CJ205" i="6" a="1"/>
  <c r="CJ205" i="6" s="1"/>
  <c r="CJ199" i="6" a="1"/>
  <c r="CJ199" i="6" s="1"/>
  <c r="AA205" i="6" a="1"/>
  <c r="AA205" i="6" s="1"/>
  <c r="AA198" i="6" a="1"/>
  <c r="AA198" i="6" s="1"/>
  <c r="AA199" i="6" a="1"/>
  <c r="AA199" i="6" s="1"/>
  <c r="BX201" i="6"/>
  <c r="BX202" i="6" a="1"/>
  <c r="BX202" i="6" s="1"/>
  <c r="AM191" i="6" a="1"/>
  <c r="AM191" i="6" s="1"/>
  <c r="AM180" i="6" a="1"/>
  <c r="AM180" i="6" s="1"/>
  <c r="AM190" i="6"/>
  <c r="AM179" i="6"/>
  <c r="Z188" i="6" a="1"/>
  <c r="Z188" i="6" s="1"/>
  <c r="Z177" i="6" a="1"/>
  <c r="Z177" i="6" s="1"/>
  <c r="Z176" i="6"/>
  <c r="Z195" i="6" a="1"/>
  <c r="Z195" i="6" s="1"/>
  <c r="Z187" i="6"/>
  <c r="Z184" i="6" a="1"/>
  <c r="Z184" i="6" s="1"/>
  <c r="AG195" i="6" a="1"/>
  <c r="AG195" i="6" s="1"/>
  <c r="AG187" i="6"/>
  <c r="AG184" i="6" a="1"/>
  <c r="AG184" i="6" s="1"/>
  <c r="AG177" i="6" a="1"/>
  <c r="AG177" i="6" s="1"/>
  <c r="AG188" i="6" a="1"/>
  <c r="AG188" i="6" s="1"/>
  <c r="AG176" i="6"/>
  <c r="BF184" i="6" a="1"/>
  <c r="BF184" i="6" s="1"/>
  <c r="BF177" i="6" a="1"/>
  <c r="BF177" i="6" s="1"/>
  <c r="BF188" i="6" a="1"/>
  <c r="BF188" i="6" s="1"/>
  <c r="BF195" i="6" a="1"/>
  <c r="BF195" i="6" s="1"/>
  <c r="BF187" i="6"/>
  <c r="BF176" i="6"/>
  <c r="CE180" i="6" a="1"/>
  <c r="CE180" i="6" s="1"/>
  <c r="CE191" i="6" a="1"/>
  <c r="CE191" i="6" s="1"/>
  <c r="CE179" i="6"/>
  <c r="CE190" i="6"/>
  <c r="CA199" i="6" a="1"/>
  <c r="CA199" i="6" s="1"/>
  <c r="CA198" i="6" a="1"/>
  <c r="CA198" i="6" s="1"/>
  <c r="CA205" i="6" a="1"/>
  <c r="CA205" i="6" s="1"/>
  <c r="BZ198" i="6" a="1"/>
  <c r="BZ198" i="6" s="1"/>
  <c r="BZ205" i="6" a="1"/>
  <c r="BZ205" i="6" s="1"/>
  <c r="BZ199" i="6" a="1"/>
  <c r="BZ199" i="6" s="1"/>
  <c r="CJ187" i="6"/>
  <c r="CJ177" i="6" a="1"/>
  <c r="CJ177" i="6" s="1"/>
  <c r="CJ184" i="6" a="1"/>
  <c r="CJ184" i="6" s="1"/>
  <c r="CJ188" i="6" a="1"/>
  <c r="CJ188" i="6" s="1"/>
  <c r="CJ176" i="6"/>
  <c r="CJ195" i="6" a="1"/>
  <c r="CJ195" i="6" s="1"/>
  <c r="CN199" i="6" a="1"/>
  <c r="CN199" i="6" s="1"/>
  <c r="CN198" i="6" a="1"/>
  <c r="CN198" i="6" s="1"/>
  <c r="CN205" i="6" a="1"/>
  <c r="CN205" i="6" s="1"/>
  <c r="CD205" i="6" a="1"/>
  <c r="CD205" i="6" s="1"/>
  <c r="CD199" i="6" a="1"/>
  <c r="CD199" i="6" s="1"/>
  <c r="CD198" i="6" a="1"/>
  <c r="CD198" i="6" s="1"/>
  <c r="AR198" i="6" a="1"/>
  <c r="AR198" i="6" s="1"/>
  <c r="AR205" i="6" a="1"/>
  <c r="AR205" i="6" s="1"/>
  <c r="AR199" i="6" a="1"/>
  <c r="AR199" i="6" s="1"/>
  <c r="BQ198" i="6" a="1"/>
  <c r="BQ198" i="6" s="1"/>
  <c r="BQ205" i="6" a="1"/>
  <c r="BQ205" i="6" s="1"/>
  <c r="BQ199" i="6" a="1"/>
  <c r="BQ199" i="6" s="1"/>
  <c r="AE205" i="6" a="1"/>
  <c r="AE205" i="6" s="1"/>
  <c r="AE199" i="6" a="1"/>
  <c r="AE199" i="6" s="1"/>
  <c r="AE198" i="6" a="1"/>
  <c r="AE198" i="6" s="1"/>
  <c r="AF198" i="6" a="1"/>
  <c r="AF198" i="6" s="1"/>
  <c r="AF205" i="6" a="1"/>
  <c r="AF205" i="6" s="1"/>
  <c r="AF199" i="6" a="1"/>
  <c r="AF199" i="6" s="1"/>
  <c r="AB199" i="6" a="1"/>
  <c r="AB199" i="6" s="1"/>
  <c r="AB198" i="6" a="1"/>
  <c r="AB198" i="6" s="1"/>
  <c r="AB205" i="6" a="1"/>
  <c r="AB205" i="6" s="1"/>
  <c r="CI198" i="6" a="1"/>
  <c r="CI198" i="6" s="1"/>
  <c r="CI205" i="6" a="1"/>
  <c r="CI205" i="6" s="1"/>
  <c r="CI199" i="6" a="1"/>
  <c r="CI199" i="6" s="1"/>
  <c r="BK199" i="6" a="1"/>
  <c r="BK199" i="6" s="1"/>
  <c r="BK205" i="6" a="1"/>
  <c r="BK205" i="6" s="1"/>
  <c r="BK198" i="6" a="1"/>
  <c r="BK198" i="6" s="1"/>
  <c r="BB198" i="6" a="1"/>
  <c r="BB198" i="6" s="1"/>
  <c r="BB199" i="6" a="1"/>
  <c r="BB199" i="6" s="1"/>
  <c r="BB205" i="6" a="1"/>
  <c r="BB205" i="6" s="1"/>
  <c r="AP198" i="6" a="1"/>
  <c r="AP198" i="6" s="1"/>
  <c r="AP205" i="6" a="1"/>
  <c r="AP205" i="6" s="1"/>
  <c r="AP199" i="6" a="1"/>
  <c r="AP199" i="6" s="1"/>
  <c r="BQ179" i="6"/>
  <c r="BQ191" i="6" a="1"/>
  <c r="BQ191" i="6" s="1"/>
  <c r="BQ190" i="6"/>
  <c r="BQ180" i="6" a="1"/>
  <c r="BQ180" i="6" s="1"/>
  <c r="BA205" i="6" a="1"/>
  <c r="BA205" i="6" s="1"/>
  <c r="BA199" i="6" a="1"/>
  <c r="BA199" i="6" s="1"/>
  <c r="BA198" i="6" a="1"/>
  <c r="BA198" i="6" s="1"/>
  <c r="CK199" i="6" a="1"/>
  <c r="CK199" i="6" s="1"/>
  <c r="CK205" i="6" a="1"/>
  <c r="CK205" i="6" s="1"/>
  <c r="CK198" i="6" a="1"/>
  <c r="CK198" i="6" s="1"/>
  <c r="AO198" i="6" a="1"/>
  <c r="AO198" i="6" s="1"/>
  <c r="AO199" i="6" a="1"/>
  <c r="AO199" i="6" s="1"/>
  <c r="AO205" i="6" a="1"/>
  <c r="AO205" i="6" s="1"/>
  <c r="BL199" i="6" a="1"/>
  <c r="BL199" i="6" s="1"/>
  <c r="BL205" i="6" a="1"/>
  <c r="BL205" i="6" s="1"/>
  <c r="BL198" i="6" a="1"/>
  <c r="BL198" i="6" s="1"/>
  <c r="BA190" i="6"/>
  <c r="BA180" i="6" a="1"/>
  <c r="BA180" i="6" s="1"/>
  <c r="BA179" i="6"/>
  <c r="BA191" i="6" a="1"/>
  <c r="BA191" i="6" s="1"/>
  <c r="CP191" i="6" a="1"/>
  <c r="CP191" i="6" s="1"/>
  <c r="CP180" i="6" a="1"/>
  <c r="CP180" i="6" s="1"/>
  <c r="CP190" i="6"/>
  <c r="CP179" i="6"/>
  <c r="AZ205" i="6" a="1"/>
  <c r="AZ205" i="6" s="1"/>
  <c r="AZ199" i="6" a="1"/>
  <c r="AZ199" i="6" s="1"/>
  <c r="AZ198" i="6" a="1"/>
  <c r="AZ198" i="6" s="1"/>
  <c r="CF195" i="6" a="1"/>
  <c r="CF195" i="6" s="1"/>
  <c r="CF187" i="6"/>
  <c r="CF184" i="6" a="1"/>
  <c r="CF184" i="6" s="1"/>
  <c r="CF176" i="6"/>
  <c r="CF188" i="6" a="1"/>
  <c r="CF188" i="6" s="1"/>
  <c r="CF177" i="6" a="1"/>
  <c r="CF177" i="6" s="1"/>
  <c r="AO191" i="6" a="1"/>
  <c r="AO191" i="6" s="1"/>
  <c r="AO180" i="6" a="1"/>
  <c r="AO180" i="6" s="1"/>
  <c r="AO190" i="6"/>
  <c r="AO179" i="6"/>
  <c r="CC205" i="6" a="1"/>
  <c r="CC205" i="6" s="1"/>
  <c r="CC199" i="6" a="1"/>
  <c r="CC199" i="6" s="1"/>
  <c r="CC198" i="6" a="1"/>
  <c r="CC198" i="6" s="1"/>
  <c r="CH198" i="6" a="1"/>
  <c r="CH198" i="6" s="1"/>
  <c r="CH205" i="6" a="1"/>
  <c r="CH205" i="6" s="1"/>
  <c r="CH199" i="6" a="1"/>
  <c r="CH199" i="6" s="1"/>
  <c r="CO191" i="6" a="1"/>
  <c r="CO191" i="6" s="1"/>
  <c r="CO179" i="6"/>
  <c r="CO180" i="6" a="1"/>
  <c r="CO180" i="6" s="1"/>
  <c r="CO190" i="6"/>
  <c r="CA191" i="6" a="1"/>
  <c r="CA191" i="6" s="1"/>
  <c r="CA180" i="6" a="1"/>
  <c r="CA180" i="6" s="1"/>
  <c r="CA179" i="6"/>
  <c r="CA190" i="6"/>
  <c r="BY205" i="6" a="1"/>
  <c r="BY205" i="6" s="1"/>
  <c r="BY199" i="6" a="1"/>
  <c r="BY199" i="6" s="1"/>
  <c r="BY198" i="6" a="1"/>
  <c r="BY198" i="6" s="1"/>
  <c r="CE187" i="6"/>
  <c r="CE193" i="6" s="1"/>
  <c r="CE184" i="6" a="1"/>
  <c r="CE184" i="6" s="1"/>
  <c r="CE177" i="6" a="1"/>
  <c r="CE177" i="6" s="1"/>
  <c r="CE188" i="6" a="1"/>
  <c r="CE188" i="6" s="1"/>
  <c r="CE176" i="6"/>
  <c r="CE195" i="6" a="1"/>
  <c r="CE195" i="6" s="1"/>
  <c r="BJ198" i="6" a="1"/>
  <c r="BJ198" i="6" s="1"/>
  <c r="BJ205" i="6" a="1"/>
  <c r="BJ205" i="6" s="1"/>
  <c r="BJ199" i="6" a="1"/>
  <c r="BJ199" i="6" s="1"/>
  <c r="AM199" i="6" a="1"/>
  <c r="AM199" i="6" s="1"/>
  <c r="AM198" i="6" a="1"/>
  <c r="AM198" i="6" s="1"/>
  <c r="AM205" i="6" a="1"/>
  <c r="AM205" i="6" s="1"/>
  <c r="BL190" i="6"/>
  <c r="BL179" i="6"/>
  <c r="BL191" i="6" a="1"/>
  <c r="BL191" i="6" s="1"/>
  <c r="BL180" i="6" a="1"/>
  <c r="BL180" i="6" s="1"/>
  <c r="BO201" i="6"/>
  <c r="BO202" i="6" a="1"/>
  <c r="BO202" i="6" s="1"/>
  <c r="L198" i="6" a="1"/>
  <c r="L198" i="6" s="1"/>
  <c r="L205" i="6" a="1"/>
  <c r="L205" i="6" s="1"/>
  <c r="L199" i="6" a="1"/>
  <c r="L199" i="6" s="1"/>
  <c r="Z205" i="6" a="1"/>
  <c r="Z205" i="6" s="1"/>
  <c r="Z198" i="6" a="1"/>
  <c r="Z198" i="6" s="1"/>
  <c r="Z199" i="6" a="1"/>
  <c r="Z199" i="6" s="1"/>
  <c r="BD198" i="6" a="1"/>
  <c r="BD198" i="6" s="1"/>
  <c r="BD199" i="6" a="1"/>
  <c r="BD199" i="6" s="1"/>
  <c r="BD205" i="6" a="1"/>
  <c r="BD205" i="6" s="1"/>
  <c r="BJ177" i="6" a="1"/>
  <c r="BJ177" i="6" s="1"/>
  <c r="BJ195" i="6" a="1"/>
  <c r="BJ195" i="6" s="1"/>
  <c r="BJ187" i="6"/>
  <c r="BJ176" i="6"/>
  <c r="BJ188" i="6" a="1"/>
  <c r="BJ188" i="6" s="1"/>
  <c r="BJ184" i="6" a="1"/>
  <c r="BJ184" i="6" s="1"/>
  <c r="CF180" i="6" a="1"/>
  <c r="CF180" i="6" s="1"/>
  <c r="CF190" i="6"/>
  <c r="CF179" i="6"/>
  <c r="CF191" i="6" a="1"/>
  <c r="CF191" i="6" s="1"/>
  <c r="BN199" i="6" a="1"/>
  <c r="BN199" i="6" s="1"/>
  <c r="BN198" i="6" a="1"/>
  <c r="BN198" i="6" s="1"/>
  <c r="BN205" i="6" a="1"/>
  <c r="BN205" i="6" s="1"/>
  <c r="AC198" i="6" a="1"/>
  <c r="AC198" i="6" s="1"/>
  <c r="AC205" i="6" a="1"/>
  <c r="AC205" i="6" s="1"/>
  <c r="AC199" i="6" a="1"/>
  <c r="AC199" i="6" s="1"/>
  <c r="R198" i="6" a="1"/>
  <c r="R198" i="6" s="1"/>
  <c r="R205" i="6" a="1"/>
  <c r="R205" i="6" s="1"/>
  <c r="R199" i="6" a="1"/>
  <c r="R199" i="6" s="1"/>
  <c r="R180" i="6" a="1"/>
  <c r="R180" i="6" s="1"/>
  <c r="R190" i="6"/>
  <c r="R179" i="6"/>
  <c r="R191" i="6" a="1"/>
  <c r="R191" i="6" s="1"/>
  <c r="AY191" i="6" a="1"/>
  <c r="AY191" i="6" s="1"/>
  <c r="AY180" i="6" a="1"/>
  <c r="AY180" i="6" s="1"/>
  <c r="AY179" i="6"/>
  <c r="AY190" i="6"/>
  <c r="P191" i="6" a="1"/>
  <c r="P191" i="6" s="1"/>
  <c r="P179" i="6"/>
  <c r="P190" i="6"/>
  <c r="P180" i="6" a="1"/>
  <c r="P180" i="6" s="1"/>
  <c r="AL191" i="6" a="1"/>
  <c r="AL191" i="6" s="1"/>
  <c r="AL179" i="6"/>
  <c r="AL180" i="6" a="1"/>
  <c r="AL180" i="6" s="1"/>
  <c r="AL190" i="6"/>
  <c r="CJ179" i="6"/>
  <c r="CJ190" i="6"/>
  <c r="CJ180" i="6" a="1"/>
  <c r="CJ180" i="6" s="1"/>
  <c r="CJ191" i="6" a="1"/>
  <c r="CJ191" i="6" s="1"/>
  <c r="V190" i="6"/>
  <c r="V180" i="6" a="1"/>
  <c r="V180" i="6" s="1"/>
  <c r="V179" i="6"/>
  <c r="V191" i="6" a="1"/>
  <c r="V191" i="6" s="1"/>
  <c r="AP191" i="6" a="1"/>
  <c r="AP191" i="6" s="1"/>
  <c r="AP179" i="6"/>
  <c r="AP180" i="6" a="1"/>
  <c r="AP180" i="6" s="1"/>
  <c r="AP190" i="6"/>
  <c r="BZ190" i="6"/>
  <c r="BZ180" i="6" a="1"/>
  <c r="BZ180" i="6" s="1"/>
  <c r="BZ191" i="6" a="1"/>
  <c r="BZ191" i="6" s="1"/>
  <c r="BZ179" i="6"/>
  <c r="BZ182" i="6" s="1"/>
  <c r="AG191" i="6" a="1"/>
  <c r="AG191" i="6" s="1"/>
  <c r="AG179" i="6"/>
  <c r="AG190" i="6"/>
  <c r="AG180" i="6" a="1"/>
  <c r="AG180" i="6" s="1"/>
  <c r="AB191" i="6" a="1"/>
  <c r="AB191" i="6" s="1"/>
  <c r="AB179" i="6"/>
  <c r="AB190" i="6"/>
  <c r="AB180" i="6" a="1"/>
  <c r="AB180" i="6" s="1"/>
  <c r="Z191" i="6" a="1"/>
  <c r="Z191" i="6" s="1"/>
  <c r="Z179" i="6"/>
  <c r="Z180" i="6" a="1"/>
  <c r="Z180" i="6" s="1"/>
  <c r="Z190" i="6"/>
  <c r="M190" i="6"/>
  <c r="M191" i="6" a="1"/>
  <c r="M191" i="6" s="1"/>
  <c r="M179" i="6"/>
  <c r="M180" i="6" a="1"/>
  <c r="M180" i="6" s="1"/>
  <c r="AJ190" i="6"/>
  <c r="AJ179" i="6"/>
  <c r="AJ180" i="6" a="1"/>
  <c r="AJ180" i="6" s="1"/>
  <c r="AJ191" i="6" a="1"/>
  <c r="AJ191" i="6" s="1"/>
  <c r="CH180" i="6" a="1"/>
  <c r="CH180" i="6" s="1"/>
  <c r="CH190" i="6"/>
  <c r="CH179" i="6"/>
  <c r="CH191" i="6" a="1"/>
  <c r="CH191" i="6" s="1"/>
  <c r="BF191" i="6" a="1"/>
  <c r="BF191" i="6" s="1"/>
  <c r="BF179" i="6"/>
  <c r="BF190" i="6"/>
  <c r="BF180" i="6" a="1"/>
  <c r="BF180" i="6" s="1"/>
  <c r="BD190" i="6"/>
  <c r="BD179" i="6"/>
  <c r="BD182" i="6" s="1"/>
  <c r="BD180" i="6" a="1"/>
  <c r="BD180" i="6" s="1"/>
  <c r="BD191" i="6" a="1"/>
  <c r="BD191" i="6" s="1"/>
  <c r="W190" i="6"/>
  <c r="W191" i="6" a="1"/>
  <c r="W191" i="6" s="1"/>
  <c r="W180" i="6" a="1"/>
  <c r="W180" i="6" s="1"/>
  <c r="W179" i="6"/>
  <c r="W182" i="6" s="1"/>
  <c r="BY179" i="6"/>
  <c r="BY182" i="6" s="1"/>
  <c r="BY190" i="6"/>
  <c r="BY180" i="6" a="1"/>
  <c r="BY180" i="6" s="1"/>
  <c r="BY191" i="6" a="1"/>
  <c r="BY191" i="6" s="1"/>
  <c r="BA202" i="6" a="1"/>
  <c r="BA202" i="6" s="1"/>
  <c r="BA201" i="6"/>
  <c r="AC190" i="6"/>
  <c r="AC191" i="6" a="1"/>
  <c r="AC191" i="6" s="1"/>
  <c r="AC180" i="6" a="1"/>
  <c r="AC180" i="6" s="1"/>
  <c r="AC179" i="6"/>
  <c r="X191" i="6" a="1"/>
  <c r="X191" i="6" s="1"/>
  <c r="X190" i="6"/>
  <c r="X180" i="6" a="1"/>
  <c r="X180" i="6" s="1"/>
  <c r="X179" i="6"/>
  <c r="CD180" i="6" a="1"/>
  <c r="CD180" i="6" s="1"/>
  <c r="CD191" i="6" a="1"/>
  <c r="CD191" i="6" s="1"/>
  <c r="CD179" i="6"/>
  <c r="CD190" i="6"/>
  <c r="CK190" i="6"/>
  <c r="CK179" i="6"/>
  <c r="CK191" i="6" a="1"/>
  <c r="CK191" i="6" s="1"/>
  <c r="CK180" i="6" a="1"/>
  <c r="CK180" i="6" s="1"/>
  <c r="BG190" i="6"/>
  <c r="BG179" i="6"/>
  <c r="BG191" i="6" a="1"/>
  <c r="BG191" i="6" s="1"/>
  <c r="BG180" i="6" a="1"/>
  <c r="BG180" i="6" s="1"/>
  <c r="BD201" i="6"/>
  <c r="BD202" i="6" a="1"/>
  <c r="BD202" i="6" s="1"/>
  <c r="BE179" i="6"/>
  <c r="BE190" i="6"/>
  <c r="BE191" i="6" a="1"/>
  <c r="BE191" i="6" s="1"/>
  <c r="BE180" i="6" a="1"/>
  <c r="BE180" i="6" s="1"/>
  <c r="U179" i="6"/>
  <c r="U182" i="6" s="1"/>
  <c r="U191" i="6" a="1"/>
  <c r="U191" i="6" s="1"/>
  <c r="U190" i="6"/>
  <c r="U180" i="6" a="1"/>
  <c r="U180" i="6" s="1"/>
  <c r="K180" i="6" a="1"/>
  <c r="K180" i="6" s="1"/>
  <c r="K191" i="6" a="1"/>
  <c r="K191" i="6" s="1"/>
  <c r="K190" i="6"/>
  <c r="K179" i="6"/>
  <c r="BB202" i="6" a="1"/>
  <c r="BB202" i="6" s="1"/>
  <c r="BB201" i="6"/>
  <c r="BJ179" i="6"/>
  <c r="BJ190" i="6"/>
  <c r="BJ180" i="6" a="1"/>
  <c r="BJ180" i="6" s="1"/>
  <c r="BJ191" i="6" a="1"/>
  <c r="BJ191" i="6" s="1"/>
  <c r="AH190" i="6"/>
  <c r="AH179" i="6"/>
  <c r="AH180" i="6" a="1"/>
  <c r="AH180" i="6" s="1"/>
  <c r="AH191" i="6" a="1"/>
  <c r="AH191" i="6" s="1"/>
  <c r="L180" i="6" a="1"/>
  <c r="L180" i="6" s="1"/>
  <c r="L179" i="6"/>
  <c r="L190" i="6"/>
  <c r="L191" i="6" a="1"/>
  <c r="L191" i="6" s="1"/>
  <c r="CN191" i="6" a="1"/>
  <c r="CN191" i="6" s="1"/>
  <c r="CN179" i="6"/>
  <c r="CN180" i="6" a="1"/>
  <c r="CN180" i="6" s="1"/>
  <c r="CN190" i="6"/>
  <c r="CC179" i="6"/>
  <c r="CC191" i="6" a="1"/>
  <c r="CC191" i="6" s="1"/>
  <c r="CC180" i="6" a="1"/>
  <c r="CC180" i="6" s="1"/>
  <c r="CC190" i="6"/>
  <c r="BK191" i="6" a="1"/>
  <c r="BK191" i="6" s="1"/>
  <c r="BK179" i="6"/>
  <c r="BK190" i="6"/>
  <c r="BK180" i="6" a="1"/>
  <c r="BK180" i="6" s="1"/>
  <c r="Q191" i="6" a="1"/>
  <c r="Q191" i="6" s="1"/>
  <c r="Q179" i="6"/>
  <c r="Q190" i="6"/>
  <c r="Q180" i="6" a="1"/>
  <c r="Q180" i="6" s="1"/>
  <c r="BN191" i="6" a="1"/>
  <c r="BN191" i="6" s="1"/>
  <c r="BN180" i="6" a="1"/>
  <c r="BN180" i="6" s="1"/>
  <c r="BN190" i="6"/>
  <c r="BN179" i="6"/>
  <c r="CH202" i="6" a="1"/>
  <c r="CH202" i="6" s="1"/>
  <c r="CH201" i="6"/>
  <c r="CM180" i="6" a="1"/>
  <c r="CM180" i="6" s="1"/>
  <c r="CM190" i="6"/>
  <c r="CM179" i="6"/>
  <c r="CM191" i="6" a="1"/>
  <c r="CM191" i="6" s="1"/>
  <c r="AQ191" i="6" a="1"/>
  <c r="AQ191" i="6" s="1"/>
  <c r="AQ180" i="6" a="1"/>
  <c r="AQ180" i="6" s="1"/>
  <c r="AQ179" i="6"/>
  <c r="AQ190" i="6"/>
  <c r="BN201" i="6"/>
  <c r="BN202" i="6" a="1"/>
  <c r="BN202" i="6" s="1"/>
  <c r="BI202" i="6" a="1"/>
  <c r="BI202" i="6" s="1"/>
  <c r="BI201" i="6"/>
  <c r="CI180" i="6" a="1"/>
  <c r="CI180" i="6" s="1"/>
  <c r="CI191" i="6" a="1"/>
  <c r="CI191" i="6" s="1"/>
  <c r="CI179" i="6"/>
  <c r="CI190" i="6"/>
  <c r="BE202" i="6" a="1"/>
  <c r="BE202" i="6" s="1"/>
  <c r="BE201" i="6"/>
  <c r="AZ191" i="6" a="1"/>
  <c r="AZ191" i="6" s="1"/>
  <c r="AZ180" i="6" a="1"/>
  <c r="AZ180" i="6" s="1"/>
  <c r="AZ179" i="6"/>
  <c r="AZ190" i="6"/>
  <c r="AE190" i="6"/>
  <c r="AE179" i="6"/>
  <c r="AE182" i="6" s="1"/>
  <c r="AE191" i="6" a="1"/>
  <c r="AE191" i="6" s="1"/>
  <c r="AE180" i="6" a="1"/>
  <c r="AE180" i="6" s="1"/>
  <c r="BX190" i="6"/>
  <c r="BX179" i="6"/>
  <c r="BX191" i="6" a="1"/>
  <c r="BX191" i="6" s="1"/>
  <c r="BX180" i="6" a="1"/>
  <c r="BX180" i="6" s="1"/>
  <c r="AJ202" i="6" a="1"/>
  <c r="AJ202" i="6" s="1"/>
  <c r="AJ201" i="6"/>
  <c r="U201" i="6"/>
  <c r="U202" i="6" a="1"/>
  <c r="U202" i="6" s="1"/>
  <c r="P201" i="6"/>
  <c r="P202" i="6" a="1"/>
  <c r="P202" i="6" s="1"/>
  <c r="BJ201" i="6"/>
  <c r="BJ202" i="6" a="1"/>
  <c r="BJ202" i="6" s="1"/>
  <c r="N190" i="6"/>
  <c r="N180" i="6" a="1"/>
  <c r="N180" i="6" s="1"/>
  <c r="N191" i="6" a="1"/>
  <c r="N191" i="6" s="1"/>
  <c r="N179" i="6"/>
  <c r="AP201" i="6"/>
  <c r="AP202" i="6" a="1"/>
  <c r="AP202" i="6" s="1"/>
  <c r="AR190" i="6"/>
  <c r="AR179" i="6"/>
  <c r="AR191" i="6" a="1"/>
  <c r="AR191" i="6" s="1"/>
  <c r="AR180" i="6" a="1"/>
  <c r="AR180" i="6" s="1"/>
  <c r="AL202" i="6" a="1"/>
  <c r="AL202" i="6" s="1"/>
  <c r="AL201" i="6"/>
  <c r="BB180" i="6" a="1"/>
  <c r="BB180" i="6" s="1"/>
  <c r="BB191" i="6" a="1"/>
  <c r="BB191" i="6" s="1"/>
  <c r="BB179" i="6"/>
  <c r="BB190" i="6"/>
  <c r="CM201" i="6"/>
  <c r="CM202" i="6" a="1"/>
  <c r="CM202" i="6" s="1"/>
  <c r="BI191" i="6" a="1"/>
  <c r="BI191" i="6" s="1"/>
  <c r="BI180" i="6" a="1"/>
  <c r="BI180" i="6" s="1"/>
  <c r="BI190" i="6"/>
  <c r="BI179" i="6"/>
  <c r="AR202" i="6" a="1"/>
  <c r="AR202" i="6" s="1"/>
  <c r="AR201" i="6"/>
  <c r="CJ202" i="6" a="1"/>
  <c r="CJ202" i="6" s="1"/>
  <c r="CJ201" i="6"/>
  <c r="AF180" i="6" a="1"/>
  <c r="AF180" i="6" s="1"/>
  <c r="AF179" i="6"/>
  <c r="AF191" i="6" a="1"/>
  <c r="AF191" i="6" s="1"/>
  <c r="AF190" i="6"/>
  <c r="BO179" i="6"/>
  <c r="BO190" i="6"/>
  <c r="BO191" i="6" a="1"/>
  <c r="BO191" i="6" s="1"/>
  <c r="BO180" i="6" a="1"/>
  <c r="BO180" i="6" s="1"/>
  <c r="CF202" i="6" a="1"/>
  <c r="CF202" i="6" s="1"/>
  <c r="CF201" i="6"/>
  <c r="CI202" i="6" a="1"/>
  <c r="CI202" i="6" s="1"/>
  <c r="CI201" i="6"/>
  <c r="BY201" i="6"/>
  <c r="BY202" i="6" a="1"/>
  <c r="BY202" i="6" s="1"/>
  <c r="CN201" i="6"/>
  <c r="CN202" i="6" a="1"/>
  <c r="CN202" i="6" s="1"/>
  <c r="Q201" i="6"/>
  <c r="Q202" i="6" a="1"/>
  <c r="Q202" i="6" s="1"/>
  <c r="M201" i="6"/>
  <c r="M202" i="6" a="1"/>
  <c r="M202" i="6" s="1"/>
  <c r="R202" i="6" a="1"/>
  <c r="R202" i="6" s="1"/>
  <c r="R201" i="6"/>
  <c r="R203" i="6" s="1"/>
  <c r="CE202" i="6" a="1"/>
  <c r="CE202" i="6" s="1"/>
  <c r="CE201" i="6"/>
  <c r="AH201" i="6"/>
  <c r="AH202" i="6" a="1"/>
  <c r="AH202" i="6" s="1"/>
  <c r="S202" i="6" a="1"/>
  <c r="S202" i="6" s="1"/>
  <c r="S201" i="6"/>
  <c r="AM202" i="6" a="1"/>
  <c r="AM202" i="6" s="1"/>
  <c r="AM201" i="6"/>
  <c r="AF201" i="6"/>
  <c r="AF202" i="6" a="1"/>
  <c r="AF202" i="6" s="1"/>
  <c r="S180" i="6" a="1"/>
  <c r="S180" i="6" s="1"/>
  <c r="S190" i="6"/>
  <c r="S179" i="6"/>
  <c r="S191" i="6" a="1"/>
  <c r="S191" i="6" s="1"/>
  <c r="CA201" i="6"/>
  <c r="CA202" i="6" a="1"/>
  <c r="CA202" i="6" s="1"/>
  <c r="Z202" i="6" a="1"/>
  <c r="Z202" i="6" s="1"/>
  <c r="Z201" i="6"/>
  <c r="CC202" i="6" a="1"/>
  <c r="CC202" i="6" s="1"/>
  <c r="CC201" i="6"/>
  <c r="CK201" i="6"/>
  <c r="CK202" i="6" a="1"/>
  <c r="CK202" i="6" s="1"/>
  <c r="K202" i="6" a="1"/>
  <c r="K202" i="6" s="1"/>
  <c r="K201" i="6"/>
  <c r="AC201" i="6"/>
  <c r="AC202" i="6" a="1"/>
  <c r="AC202" i="6" s="1"/>
  <c r="AY202" i="6" a="1"/>
  <c r="AY202" i="6" s="1"/>
  <c r="AY201" i="6"/>
  <c r="AG201" i="6"/>
  <c r="AG202" i="6" a="1"/>
  <c r="AG202" i="6" s="1"/>
  <c r="L201" i="6"/>
  <c r="L203" i="6" s="1"/>
  <c r="L202" i="6" a="1"/>
  <c r="L202" i="6" s="1"/>
  <c r="CO202" i="6" a="1"/>
  <c r="CO202" i="6" s="1"/>
  <c r="CO201" i="6"/>
  <c r="V201" i="6"/>
  <c r="V202" i="6" a="1"/>
  <c r="V202" i="6" s="1"/>
  <c r="AA201" i="6"/>
  <c r="AA202" i="6" a="1"/>
  <c r="AA202" i="6" s="1"/>
  <c r="AK201" i="6"/>
  <c r="AK202" i="6" a="1"/>
  <c r="AK202" i="6" s="1"/>
  <c r="BK201" i="6"/>
  <c r="BK202" i="6" a="1"/>
  <c r="BK202" i="6" s="1"/>
  <c r="AZ202" i="6" a="1"/>
  <c r="AZ202" i="6" s="1"/>
  <c r="AZ201" i="6"/>
  <c r="BG201" i="6"/>
  <c r="BG202" i="6" a="1"/>
  <c r="BG202" i="6" s="1"/>
  <c r="CP201" i="6"/>
  <c r="CP202" i="6" a="1"/>
  <c r="CP202" i="6" s="1"/>
  <c r="BZ202" i="6" a="1"/>
  <c r="BZ202" i="6" s="1"/>
  <c r="BZ201" i="6"/>
  <c r="W201" i="6"/>
  <c r="W202" i="6" a="1"/>
  <c r="W202" i="6" s="1"/>
  <c r="AO202" i="6" a="1"/>
  <c r="AO202" i="6" s="1"/>
  <c r="AO201" i="6"/>
  <c r="BF202" i="6" a="1"/>
  <c r="BF202" i="6" s="1"/>
  <c r="BF201" i="6"/>
  <c r="AE202" i="6" a="1"/>
  <c r="AE202" i="6" s="1"/>
  <c r="AE201" i="6"/>
  <c r="AB202" i="6" a="1"/>
  <c r="AB202" i="6" s="1"/>
  <c r="AB201" i="6"/>
  <c r="CD201" i="6"/>
  <c r="CD202" i="6" a="1"/>
  <c r="CD202" i="6" s="1"/>
  <c r="AQ201" i="6"/>
  <c r="AQ202" i="6" a="1"/>
  <c r="AQ202" i="6" s="1"/>
  <c r="BL202" i="6" a="1"/>
  <c r="BL202" i="6" s="1"/>
  <c r="BL201" i="6"/>
  <c r="BQ201" i="6"/>
  <c r="BQ202" i="6" a="1"/>
  <c r="BQ202" i="6" s="1"/>
  <c r="BP202" i="6" a="1"/>
  <c r="BP202" i="6" s="1"/>
  <c r="BP201" i="6"/>
  <c r="X202" i="6" a="1"/>
  <c r="X202" i="6" s="1"/>
  <c r="X201" i="6"/>
  <c r="N202" i="6" a="1"/>
  <c r="N202" i="6" s="1"/>
  <c r="N201" i="6"/>
  <c r="A220" i="6"/>
  <c r="CM182" i="6" l="1"/>
  <c r="N182" i="6"/>
  <c r="CJ203" i="6"/>
  <c r="V182" i="6"/>
  <c r="CP203" i="6"/>
  <c r="AZ182" i="6"/>
  <c r="BO203" i="6"/>
  <c r="CF193" i="6"/>
  <c r="BP193" i="6"/>
  <c r="BF193" i="6"/>
  <c r="AJ193" i="6"/>
  <c r="CC193" i="6"/>
  <c r="AZ193" i="6"/>
  <c r="CH193" i="6"/>
  <c r="AE193" i="6"/>
  <c r="BD193" i="6"/>
  <c r="CO193" i="6"/>
  <c r="AG193" i="6"/>
  <c r="K193" i="6"/>
  <c r="Q193" i="6"/>
  <c r="AK193" i="6"/>
  <c r="BL193" i="6"/>
  <c r="BB193" i="6"/>
  <c r="V193" i="6"/>
  <c r="AQ193" i="6"/>
  <c r="BJ193" i="6"/>
  <c r="BG193" i="6"/>
  <c r="BE193" i="6"/>
  <c r="M193" i="6"/>
  <c r="BA193" i="6"/>
  <c r="S193" i="6"/>
  <c r="CN193" i="6"/>
  <c r="BI193" i="6"/>
  <c r="AM193" i="6"/>
  <c r="P193" i="6"/>
  <c r="AL193" i="6"/>
  <c r="CD193" i="6"/>
  <c r="AR193" i="6"/>
  <c r="U193" i="6"/>
  <c r="AC193" i="6"/>
  <c r="BK193" i="6"/>
  <c r="CJ193" i="6"/>
  <c r="Z193" i="6"/>
  <c r="BX193" i="6"/>
  <c r="CA193" i="6"/>
  <c r="BN193" i="6"/>
  <c r="CK193" i="6"/>
  <c r="AA193" i="6"/>
  <c r="AF193" i="6"/>
  <c r="AP193" i="6"/>
  <c r="AO193" i="6"/>
  <c r="L193" i="6"/>
  <c r="AB193" i="6"/>
  <c r="CI193" i="6"/>
  <c r="X193" i="6"/>
  <c r="W193" i="6"/>
  <c r="BZ193" i="6"/>
  <c r="CP193" i="6"/>
  <c r="BO193" i="6"/>
  <c r="AH193" i="6"/>
  <c r="N193" i="6"/>
  <c r="CM193" i="6"/>
  <c r="BY193" i="6"/>
  <c r="AY193" i="6"/>
  <c r="R193" i="6"/>
  <c r="AF182" i="6"/>
  <c r="AO203" i="6"/>
  <c r="K182" i="6"/>
  <c r="AG203" i="6"/>
  <c r="AZ203" i="6"/>
  <c r="W203" i="6"/>
  <c r="AQ203" i="6"/>
  <c r="AP182" i="6"/>
  <c r="P182" i="6"/>
  <c r="CI182" i="6"/>
  <c r="AY182" i="6"/>
  <c r="CD182" i="6"/>
  <c r="R182" i="6"/>
  <c r="CH182" i="6"/>
  <c r="M203" i="6"/>
  <c r="CF203" i="6"/>
  <c r="AH203" i="6"/>
  <c r="Q203" i="6"/>
  <c r="CK182" i="6"/>
  <c r="BL182" i="6"/>
  <c r="BL203" i="6"/>
  <c r="BB182" i="6"/>
  <c r="S182" i="6"/>
  <c r="CE182" i="6"/>
  <c r="AO182" i="6"/>
  <c r="BF203" i="6"/>
  <c r="K203" i="6"/>
  <c r="BB203" i="6"/>
  <c r="BI182" i="6"/>
  <c r="BX182" i="6"/>
  <c r="BX203" i="6"/>
  <c r="CH203" i="6"/>
  <c r="Q182" i="6"/>
  <c r="BQ203" i="6"/>
  <c r="CN203" i="6"/>
  <c r="BA182" i="6"/>
  <c r="AM203" i="6"/>
  <c r="AL182" i="6"/>
  <c r="BK182" i="6"/>
  <c r="CP182" i="6"/>
  <c r="BG203" i="6"/>
  <c r="CK203" i="6"/>
  <c r="BI203" i="6"/>
  <c r="AY203" i="6"/>
  <c r="BF182" i="6"/>
  <c r="BE182" i="6"/>
  <c r="CO203" i="6"/>
  <c r="CC182" i="6"/>
  <c r="M182" i="6"/>
  <c r="BZ203" i="6"/>
  <c r="CF182" i="6"/>
  <c r="AK203" i="6"/>
  <c r="BA203" i="6"/>
  <c r="AJ182" i="6"/>
  <c r="BK203" i="6"/>
  <c r="AC203" i="6"/>
  <c r="BD203" i="6"/>
  <c r="AF203" i="6"/>
  <c r="CC203" i="6"/>
  <c r="BJ203" i="6"/>
  <c r="CI203" i="6"/>
  <c r="CA203" i="6"/>
  <c r="L182" i="6"/>
  <c r="Z203" i="6"/>
  <c r="CE203" i="6"/>
  <c r="BJ182" i="6"/>
  <c r="AC182" i="6"/>
  <c r="BP203" i="6"/>
  <c r="CJ182" i="6"/>
  <c r="AA203" i="6"/>
  <c r="CN182" i="6"/>
  <c r="U203" i="6"/>
  <c r="AM182" i="6"/>
  <c r="AK182" i="6"/>
  <c r="AQ182" i="6"/>
  <c r="AL203" i="6"/>
  <c r="N203" i="6"/>
  <c r="AE203" i="6"/>
  <c r="AJ203" i="6"/>
  <c r="AR203" i="6"/>
  <c r="AB182" i="6"/>
  <c r="CA182" i="6"/>
  <c r="X203" i="6"/>
  <c r="BO182" i="6"/>
  <c r="AP203" i="6"/>
  <c r="P203" i="6"/>
  <c r="BY203" i="6"/>
  <c r="V203" i="6"/>
  <c r="AG182" i="6"/>
  <c r="BN203" i="6"/>
  <c r="CD203" i="6"/>
  <c r="CM203" i="6"/>
  <c r="AB203" i="6"/>
  <c r="AR182" i="6"/>
  <c r="BG182" i="6"/>
  <c r="AH182" i="6"/>
  <c r="BP182" i="6"/>
  <c r="A221" i="6"/>
  <c r="CE91" i="5"/>
  <c r="AZ161" i="5"/>
  <c r="AH96" i="5"/>
  <c r="AG76" i="5"/>
  <c r="CW120" i="5"/>
  <c r="BA87" i="5"/>
  <c r="CN160" i="5"/>
  <c r="AE77" i="5"/>
  <c r="CW39" i="5"/>
  <c r="Q89" i="5"/>
  <c r="CM153" i="5"/>
  <c r="BP73" i="5"/>
  <c r="CW13" i="5"/>
  <c r="AO80" i="5"/>
  <c r="CK156" i="5"/>
  <c r="L74" i="5"/>
  <c r="M96" i="5"/>
  <c r="N79" i="5"/>
  <c r="AQ155" i="5"/>
  <c r="AJ163" i="5"/>
  <c r="BI94" i="5"/>
  <c r="AG77" i="5"/>
  <c r="CW95" i="5"/>
  <c r="AY84" i="5"/>
  <c r="CC88" i="5"/>
  <c r="L68" i="5"/>
  <c r="BF88" i="5"/>
  <c r="AB143" i="5"/>
  <c r="AC75" i="5"/>
  <c r="W84" i="5"/>
  <c r="BK166" i="5"/>
  <c r="CW153" i="5"/>
  <c r="Q94" i="5"/>
  <c r="K81" i="5"/>
  <c r="CW108" i="5"/>
  <c r="L95" i="5"/>
  <c r="AO85" i="5"/>
  <c r="BX89" i="5"/>
  <c r="BX161" i="5"/>
  <c r="AH160" i="5"/>
  <c r="BX163" i="5"/>
  <c r="AO79" i="5"/>
  <c r="AZ168" i="5"/>
  <c r="CO162" i="5"/>
  <c r="BK154" i="5"/>
  <c r="CE150" i="5"/>
  <c r="R160" i="5"/>
  <c r="BI166" i="5"/>
  <c r="CN83" i="5"/>
  <c r="AA92" i="5"/>
  <c r="AC95" i="5"/>
  <c r="CH160" i="5"/>
  <c r="CW26" i="5"/>
  <c r="BQ93" i="5"/>
  <c r="BD159" i="5"/>
  <c r="Z167" i="5"/>
  <c r="BD166" i="5"/>
  <c r="P79" i="5"/>
  <c r="AH85" i="5"/>
  <c r="BZ164" i="5"/>
  <c r="CM83" i="5"/>
  <c r="CP88" i="5"/>
  <c r="BQ79" i="5"/>
  <c r="AJ162" i="5"/>
  <c r="AL167" i="5"/>
  <c r="BP168" i="5"/>
  <c r="U155" i="5"/>
  <c r="CN167" i="5"/>
  <c r="AE165" i="5"/>
  <c r="BB86" i="5"/>
  <c r="D217" i="6"/>
  <c r="CW72" i="5"/>
  <c r="AR79" i="5"/>
  <c r="CK93" i="5"/>
  <c r="BD162" i="5"/>
  <c r="CC89" i="5"/>
  <c r="CW7" i="5"/>
  <c r="CW114" i="5"/>
  <c r="BN89" i="5"/>
  <c r="M81" i="5"/>
  <c r="CW116" i="5"/>
  <c r="BJ160" i="5"/>
  <c r="BX82" i="5"/>
  <c r="AF81" i="5"/>
  <c r="BQ163" i="5"/>
  <c r="AQ166" i="5"/>
  <c r="CK85" i="5"/>
  <c r="S90" i="5"/>
  <c r="CH166" i="5"/>
  <c r="CO168" i="5"/>
  <c r="AG155" i="5"/>
  <c r="D213" i="6"/>
  <c r="BE164" i="5"/>
  <c r="L88" i="5"/>
  <c r="CH82" i="5"/>
  <c r="AG96" i="5"/>
  <c r="CF156" i="5"/>
  <c r="AE80" i="5"/>
  <c r="CF154" i="5"/>
  <c r="AG90" i="5"/>
  <c r="Q154" i="5"/>
  <c r="BX93" i="5"/>
  <c r="CI157" i="5"/>
  <c r="AB160" i="5"/>
  <c r="CH77" i="5"/>
  <c r="AR155" i="5"/>
  <c r="AQ81" i="5"/>
  <c r="BQ167" i="5"/>
  <c r="BA165" i="5"/>
  <c r="AA94" i="5"/>
  <c r="BI78" i="5"/>
  <c r="S164" i="5"/>
  <c r="CF81" i="5"/>
  <c r="AG158" i="5"/>
  <c r="D221" i="6"/>
  <c r="CW136" i="5"/>
  <c r="W81" i="5"/>
  <c r="AK96" i="5"/>
  <c r="Z90" i="5"/>
  <c r="AB155" i="5"/>
  <c r="CJ84" i="5"/>
  <c r="BA151" i="5"/>
  <c r="N82" i="5"/>
  <c r="M69" i="5"/>
  <c r="BY77" i="5"/>
  <c r="CA164" i="5"/>
  <c r="BF163" i="5"/>
  <c r="CN159" i="5"/>
  <c r="BL148" i="5"/>
  <c r="CA167" i="5"/>
  <c r="AB162" i="5"/>
  <c r="M90" i="5"/>
  <c r="CH158" i="5"/>
  <c r="CN91" i="5"/>
  <c r="AZ166" i="5"/>
  <c r="BY161" i="5"/>
  <c r="AR83" i="5"/>
  <c r="Z94" i="5"/>
  <c r="M91" i="5"/>
  <c r="CH161" i="5"/>
  <c r="AE70" i="5"/>
  <c r="CW115" i="5"/>
  <c r="BE87" i="5"/>
  <c r="AJ86" i="5"/>
  <c r="BE79" i="5"/>
  <c r="CW109" i="5"/>
  <c r="CE90" i="5"/>
  <c r="M164" i="5"/>
  <c r="CD164" i="5"/>
  <c r="K86" i="5"/>
  <c r="AM166" i="5"/>
  <c r="BL158" i="5"/>
  <c r="CH81" i="5"/>
  <c r="D216" i="6"/>
  <c r="CW47" i="5"/>
  <c r="AZ154" i="5"/>
  <c r="AC86" i="5"/>
  <c r="CW138" i="5"/>
  <c r="CW21" i="5"/>
  <c r="BG81" i="5"/>
  <c r="M158" i="5"/>
  <c r="AO168" i="5"/>
  <c r="AG168" i="5"/>
  <c r="CJ152" i="5"/>
  <c r="AF159" i="5"/>
  <c r="CJ93" i="5"/>
  <c r="BD163" i="5"/>
  <c r="CM95" i="5"/>
  <c r="W89" i="5"/>
  <c r="AE152" i="5"/>
  <c r="BQ84" i="5"/>
  <c r="BA162" i="5"/>
  <c r="AA168" i="5"/>
  <c r="BN161" i="5"/>
  <c r="BF93" i="5"/>
  <c r="P160" i="5"/>
  <c r="CD168" i="5"/>
  <c r="BL90" i="5"/>
  <c r="AP164" i="5"/>
  <c r="BO164" i="5"/>
  <c r="CW80" i="5"/>
  <c r="AJ155" i="5"/>
  <c r="N86" i="5"/>
  <c r="CW104" i="5"/>
  <c r="V96" i="5"/>
  <c r="R86" i="5"/>
  <c r="BI162" i="5"/>
  <c r="BP95" i="5"/>
  <c r="CH96" i="5"/>
  <c r="K166" i="5"/>
  <c r="BI164" i="5"/>
  <c r="AL94" i="5"/>
  <c r="S162" i="5"/>
  <c r="AQ94" i="5"/>
  <c r="AG160" i="5"/>
  <c r="CW16" i="5"/>
  <c r="CH88" i="5"/>
  <c r="BP154" i="5"/>
  <c r="AM167" i="5"/>
  <c r="CW142" i="5"/>
  <c r="K164" i="5"/>
  <c r="BZ155" i="5"/>
  <c r="CW137" i="5"/>
  <c r="CD95" i="5"/>
  <c r="BP155" i="5"/>
  <c r="AE87" i="5"/>
  <c r="CN95" i="5"/>
  <c r="AH162" i="5"/>
  <c r="AB161" i="5"/>
  <c r="CN166" i="5"/>
  <c r="CE165" i="5"/>
  <c r="BO91" i="5"/>
  <c r="M92" i="5"/>
  <c r="BF96" i="5"/>
  <c r="BB156" i="5"/>
  <c r="CN153" i="5"/>
  <c r="BG96" i="5"/>
  <c r="CP159" i="5"/>
  <c r="CD92" i="5"/>
  <c r="AF72" i="5"/>
  <c r="CJ96" i="5"/>
  <c r="CI85" i="5"/>
  <c r="AE156" i="5"/>
  <c r="D215" i="6"/>
  <c r="CW111" i="5"/>
  <c r="BX81" i="5"/>
  <c r="BG90" i="5"/>
  <c r="CW76" i="5"/>
  <c r="CW149" i="5"/>
  <c r="BJ155" i="5"/>
  <c r="BX92" i="5"/>
  <c r="AB95" i="5"/>
  <c r="AQ92" i="5"/>
  <c r="BE162" i="5"/>
  <c r="CM167" i="5"/>
  <c r="AF167" i="5"/>
  <c r="CK168" i="5"/>
  <c r="CP91" i="5"/>
  <c r="P162" i="5"/>
  <c r="AC156" i="5"/>
  <c r="CO87" i="5"/>
  <c r="CH94" i="5"/>
  <c r="CH151" i="5"/>
  <c r="W142" i="5"/>
  <c r="AE68" i="5"/>
  <c r="CI80" i="5"/>
  <c r="CI168" i="5"/>
  <c r="BN168" i="5"/>
  <c r="AM84" i="5"/>
  <c r="CH154" i="5"/>
  <c r="CW38" i="5"/>
  <c r="CN161" i="5"/>
  <c r="Z89" i="5"/>
  <c r="AC76" i="5"/>
  <c r="CW106" i="5"/>
  <c r="BL160" i="5"/>
  <c r="AM80" i="5"/>
  <c r="AO81" i="5"/>
  <c r="BO92" i="5"/>
  <c r="AJ158" i="5"/>
  <c r="BP79" i="5"/>
  <c r="CE78" i="5"/>
  <c r="W164" i="5"/>
  <c r="N88" i="5"/>
  <c r="BG86" i="5"/>
  <c r="AG84" i="5"/>
  <c r="S161" i="5"/>
  <c r="CJ89" i="5"/>
  <c r="CW162" i="5"/>
  <c r="CO82" i="5"/>
  <c r="W162" i="5"/>
  <c r="BI161" i="5"/>
  <c r="K94" i="5"/>
  <c r="AL83" i="5"/>
  <c r="CP167" i="5"/>
  <c r="W91" i="5"/>
  <c r="N151" i="5"/>
  <c r="BF157" i="5"/>
  <c r="L166" i="5"/>
  <c r="BL96" i="5"/>
  <c r="CO160" i="5"/>
  <c r="BB168" i="5"/>
  <c r="BJ166" i="5"/>
  <c r="AK93" i="5"/>
  <c r="S165" i="5"/>
  <c r="R156" i="5"/>
  <c r="CJ168" i="5"/>
  <c r="CF94" i="5"/>
  <c r="S94" i="5"/>
  <c r="CW122" i="5"/>
  <c r="CD84" i="5"/>
  <c r="BG88" i="5"/>
  <c r="CW79" i="5"/>
  <c r="CF95" i="5"/>
  <c r="P155" i="5"/>
  <c r="BL157" i="5"/>
  <c r="CW85" i="5"/>
  <c r="CJ164" i="5"/>
  <c r="N157" i="5"/>
  <c r="CW91" i="5"/>
  <c r="BP92" i="5"/>
  <c r="AA158" i="5"/>
  <c r="AC155" i="5"/>
  <c r="AO91" i="5"/>
  <c r="BK155" i="5"/>
  <c r="S154" i="5"/>
  <c r="CJ87" i="5"/>
  <c r="AR162" i="5"/>
  <c r="BJ94" i="5"/>
  <c r="CA82" i="5"/>
  <c r="BY90" i="5"/>
  <c r="BI165" i="5"/>
  <c r="S93" i="5"/>
  <c r="BX162" i="5"/>
  <c r="BF94" i="5"/>
  <c r="CI160" i="5"/>
  <c r="CW86" i="5"/>
  <c r="P154" i="5"/>
  <c r="BO84" i="5"/>
  <c r="AL163" i="5"/>
  <c r="AH159" i="5"/>
  <c r="L165" i="5"/>
  <c r="BX96" i="5"/>
  <c r="BE158" i="5"/>
  <c r="CH84" i="5"/>
  <c r="BZ93" i="5"/>
  <c r="X154" i="5"/>
  <c r="L76" i="5"/>
  <c r="AZ146" i="5"/>
  <c r="AB156" i="5"/>
  <c r="AQ164" i="5"/>
  <c r="CD88" i="5"/>
  <c r="AO89" i="5"/>
  <c r="L96" i="5"/>
  <c r="AJ160" i="5"/>
  <c r="V89" i="5"/>
  <c r="CF77" i="5"/>
  <c r="AE153" i="5"/>
  <c r="AL90" i="5"/>
  <c r="CH157" i="5"/>
  <c r="BF167" i="5"/>
  <c r="AQ76" i="5"/>
  <c r="CJ159" i="5"/>
  <c r="X94" i="5"/>
  <c r="BA95" i="5"/>
  <c r="D227" i="6"/>
  <c r="BL92" i="5"/>
  <c r="K153" i="5"/>
  <c r="BX168" i="5"/>
  <c r="CW96" i="5"/>
  <c r="CW70" i="5"/>
  <c r="W158" i="5"/>
  <c r="CN165" i="5"/>
  <c r="L156" i="5"/>
  <c r="CF160" i="5"/>
  <c r="CW55" i="5"/>
  <c r="BZ158" i="5"/>
  <c r="BB78" i="5"/>
  <c r="P94" i="5"/>
  <c r="BE91" i="5"/>
  <c r="BN152" i="5"/>
  <c r="CE155" i="5"/>
  <c r="CW92" i="5"/>
  <c r="AL165" i="5"/>
  <c r="BQ83" i="5"/>
  <c r="AP84" i="5"/>
  <c r="CC93" i="5"/>
  <c r="BA90" i="5"/>
  <c r="N154" i="5"/>
  <c r="BP153" i="5"/>
  <c r="AA96" i="5"/>
  <c r="U93" i="5"/>
  <c r="AJ159" i="5"/>
  <c r="V167" i="5"/>
  <c r="BO153" i="5"/>
  <c r="BX95" i="5"/>
  <c r="CI166" i="5"/>
  <c r="CD166" i="5"/>
  <c r="BG84" i="5"/>
  <c r="AY83" i="5"/>
  <c r="V92" i="5"/>
  <c r="CP92" i="5"/>
  <c r="CM168" i="5"/>
  <c r="BQ161" i="5"/>
  <c r="BA166" i="5"/>
  <c r="CW44" i="5"/>
  <c r="K155" i="5"/>
  <c r="N155" i="5"/>
  <c r="BD90" i="5"/>
  <c r="K95" i="5"/>
  <c r="BX154" i="5"/>
  <c r="CD158" i="5"/>
  <c r="CW61" i="5"/>
  <c r="CE160" i="5"/>
  <c r="BP77" i="5"/>
  <c r="AJ154" i="5"/>
  <c r="BK90" i="5"/>
  <c r="AL162" i="5"/>
  <c r="AR156" i="5"/>
  <c r="AC82" i="5"/>
  <c r="BO161" i="5"/>
  <c r="BB96" i="5"/>
  <c r="BF87" i="5"/>
  <c r="CW49" i="5"/>
  <c r="AL86" i="5"/>
  <c r="BX88" i="5"/>
  <c r="CN158" i="5"/>
  <c r="BQ74" i="5"/>
  <c r="AK141" i="5"/>
  <c r="Z67" i="5"/>
  <c r="AY152" i="5"/>
  <c r="S163" i="5"/>
  <c r="M159" i="5"/>
  <c r="BJ158" i="5"/>
  <c r="AO77" i="5"/>
  <c r="AJ166" i="5"/>
  <c r="AL84" i="5"/>
  <c r="BQ81" i="5"/>
  <c r="CW71" i="5"/>
  <c r="CW36" i="5"/>
  <c r="U156" i="5"/>
  <c r="Q84" i="5"/>
  <c r="CW69" i="5"/>
  <c r="P164" i="5"/>
  <c r="S86" i="5"/>
  <c r="BB157" i="5"/>
  <c r="BZ94" i="5"/>
  <c r="BF159" i="5"/>
  <c r="BK85" i="5"/>
  <c r="L89" i="5"/>
  <c r="AJ161" i="5"/>
  <c r="AQ163" i="5"/>
  <c r="AF158" i="5"/>
  <c r="CO93" i="5"/>
  <c r="M79" i="5"/>
  <c r="AZ96" i="5"/>
  <c r="R159" i="5"/>
  <c r="K85" i="5"/>
  <c r="X87" i="5"/>
  <c r="AM93" i="5"/>
  <c r="BY167" i="5"/>
  <c r="BP81" i="5"/>
  <c r="BD160" i="5"/>
  <c r="CF168" i="5"/>
  <c r="L93" i="5"/>
  <c r="S168" i="5"/>
  <c r="K89" i="5"/>
  <c r="L92" i="5"/>
  <c r="CW24" i="5"/>
  <c r="BP166" i="5"/>
  <c r="K157" i="5"/>
  <c r="N165" i="5"/>
  <c r="BK161" i="5"/>
  <c r="CW87" i="5"/>
  <c r="CW147" i="5"/>
  <c r="AO83" i="5"/>
  <c r="CE154" i="5"/>
  <c r="AE96" i="5"/>
  <c r="CF164" i="5"/>
  <c r="AM87" i="5"/>
  <c r="P85" i="5"/>
  <c r="R163" i="5"/>
  <c r="BA168" i="5"/>
  <c r="W88" i="5"/>
  <c r="AL81" i="5"/>
  <c r="V166" i="5"/>
  <c r="AR95" i="5"/>
  <c r="CC164" i="5"/>
  <c r="CC167" i="5"/>
  <c r="CH159" i="5"/>
  <c r="AO165" i="5"/>
  <c r="BG162" i="5"/>
  <c r="CW148" i="5"/>
  <c r="BJ168" i="5"/>
  <c r="BI151" i="5"/>
  <c r="BY68" i="5"/>
  <c r="BK168" i="5"/>
  <c r="BB163" i="5"/>
  <c r="CP84" i="5"/>
  <c r="AR150" i="5"/>
  <c r="BZ92" i="5"/>
  <c r="BE161" i="5"/>
  <c r="CO158" i="5"/>
  <c r="CJ85" i="5"/>
  <c r="BK164" i="5"/>
  <c r="V93" i="5"/>
  <c r="AZ87" i="5"/>
  <c r="BQ158" i="5"/>
  <c r="BN90" i="5"/>
  <c r="Q168" i="5"/>
  <c r="CP94" i="5"/>
  <c r="BX64" i="5"/>
  <c r="CW31" i="5"/>
  <c r="CC159" i="5"/>
  <c r="CC163" i="5"/>
  <c r="CW163" i="5"/>
  <c r="N168" i="5"/>
  <c r="Z157" i="5"/>
  <c r="AK163" i="5"/>
  <c r="BQ94" i="5"/>
  <c r="BJ93" i="5"/>
  <c r="K90" i="5"/>
  <c r="AF157" i="5"/>
  <c r="AL96" i="5"/>
  <c r="AA162" i="5"/>
  <c r="BY157" i="5"/>
  <c r="AE161" i="5"/>
  <c r="AH163" i="5"/>
  <c r="AY166" i="5"/>
  <c r="BZ84" i="5"/>
  <c r="AY155" i="5"/>
  <c r="CW9" i="5"/>
  <c r="CW166" i="5"/>
  <c r="CJ76" i="5"/>
  <c r="AO72" i="5"/>
  <c r="AQ168" i="5"/>
  <c r="Q166" i="5"/>
  <c r="AP91" i="5"/>
  <c r="AG167" i="5"/>
  <c r="CN82" i="5"/>
  <c r="BL156" i="5"/>
  <c r="BF85" i="5"/>
  <c r="BJ71" i="5"/>
  <c r="BE75" i="5"/>
  <c r="CW124" i="5"/>
  <c r="M95" i="5"/>
  <c r="CE159" i="5"/>
  <c r="AY81" i="5"/>
  <c r="X88" i="5"/>
  <c r="CO86" i="5"/>
  <c r="BL95" i="5"/>
  <c r="BI83" i="5"/>
  <c r="AF153" i="5"/>
  <c r="CN96" i="5"/>
  <c r="BO162" i="5"/>
  <c r="BL85" i="5"/>
  <c r="BP160" i="5"/>
  <c r="AR164" i="5"/>
  <c r="AF163" i="5"/>
  <c r="AH165" i="5"/>
  <c r="BE159" i="5"/>
  <c r="CF93" i="5"/>
  <c r="AH168" i="5"/>
  <c r="AH157" i="5"/>
  <c r="U164" i="5"/>
  <c r="CW168" i="5"/>
  <c r="BJ161" i="5"/>
  <c r="Q95" i="5"/>
  <c r="AK160" i="5"/>
  <c r="BA157" i="5"/>
  <c r="BZ95" i="5"/>
  <c r="CW66" i="5"/>
  <c r="BY88" i="5"/>
  <c r="P68" i="5"/>
  <c r="CW101" i="5"/>
  <c r="Q163" i="5"/>
  <c r="AA83" i="5"/>
  <c r="Z71" i="5"/>
  <c r="CO95" i="5"/>
  <c r="AR93" i="5"/>
  <c r="BK76" i="5"/>
  <c r="AY64" i="5"/>
  <c r="Q167" i="5"/>
  <c r="CM96" i="5"/>
  <c r="AH87" i="5"/>
  <c r="BG160" i="5"/>
  <c r="AB90" i="5"/>
  <c r="AC157" i="5"/>
  <c r="CD165" i="5"/>
  <c r="BN165" i="5"/>
  <c r="BX85" i="5"/>
  <c r="CF158" i="5"/>
  <c r="AZ164" i="5"/>
  <c r="M93" i="5"/>
  <c r="BP158" i="5"/>
  <c r="S77" i="5"/>
  <c r="BY159" i="5"/>
  <c r="BB95" i="5"/>
  <c r="CN93" i="5"/>
  <c r="CD67" i="5"/>
  <c r="AB93" i="5"/>
  <c r="BF89" i="5"/>
  <c r="W90" i="5"/>
  <c r="CE75" i="5"/>
  <c r="CW140" i="5"/>
  <c r="Z84" i="5"/>
  <c r="BN158" i="5"/>
  <c r="CM90" i="5"/>
  <c r="CJ165" i="5"/>
  <c r="BK152" i="5"/>
  <c r="W153" i="5"/>
  <c r="AF95" i="5"/>
  <c r="CP168" i="5"/>
  <c r="M163" i="5"/>
  <c r="BD95" i="5"/>
  <c r="AB92" i="5"/>
  <c r="BA164" i="5"/>
  <c r="CN84" i="5"/>
  <c r="CW151" i="5"/>
  <c r="CW100" i="5"/>
  <c r="AY77" i="5"/>
  <c r="AQ78" i="5"/>
  <c r="CW78" i="5"/>
  <c r="CA94" i="5"/>
  <c r="CC166" i="5"/>
  <c r="BN65" i="5"/>
  <c r="AQ91" i="5"/>
  <c r="CE95" i="5"/>
  <c r="CK88" i="5"/>
  <c r="CF149" i="5"/>
  <c r="BG164" i="5"/>
  <c r="CO164" i="5"/>
  <c r="BF156" i="5"/>
  <c r="BA152" i="5"/>
  <c r="BQ168" i="5"/>
  <c r="BK88" i="5"/>
  <c r="BG168" i="5"/>
  <c r="CW19" i="5"/>
  <c r="AK90" i="5"/>
  <c r="Z154" i="5"/>
  <c r="X157" i="5"/>
  <c r="CE69" i="5"/>
  <c r="BI153" i="5"/>
  <c r="CH86" i="5"/>
  <c r="AH95" i="5"/>
  <c r="M167" i="5"/>
  <c r="AG165" i="5"/>
  <c r="P165" i="5"/>
  <c r="BK95" i="5"/>
  <c r="CW37" i="5"/>
  <c r="Z165" i="5"/>
  <c r="BQ90" i="5"/>
  <c r="CW143" i="5"/>
  <c r="AB167" i="5"/>
  <c r="AR88" i="5"/>
  <c r="AB158" i="5"/>
  <c r="CW62" i="5"/>
  <c r="AL160" i="5"/>
  <c r="AB89" i="5"/>
  <c r="AA88" i="5"/>
  <c r="V168" i="5"/>
  <c r="BA92" i="5"/>
  <c r="BE88" i="5"/>
  <c r="BD168" i="5"/>
  <c r="BL165" i="5"/>
  <c r="W156" i="5"/>
  <c r="CC91" i="5"/>
  <c r="CW75" i="5"/>
  <c r="AC159" i="5"/>
  <c r="AH161" i="5"/>
  <c r="BP161" i="5"/>
  <c r="AP90" i="5"/>
  <c r="AG88" i="5"/>
  <c r="AH94" i="5"/>
  <c r="AL92" i="5"/>
  <c r="BD155" i="5"/>
  <c r="AJ91" i="5"/>
  <c r="BG89" i="5"/>
  <c r="AR168" i="5"/>
  <c r="CO91" i="5"/>
  <c r="V81" i="5"/>
  <c r="R94" i="5"/>
  <c r="BF168" i="5"/>
  <c r="BX158" i="5"/>
  <c r="BQ150" i="5"/>
  <c r="CW167" i="5"/>
  <c r="CD82" i="5"/>
  <c r="CW56" i="5"/>
  <c r="AH84" i="5"/>
  <c r="AQ89" i="5"/>
  <c r="U83" i="5"/>
  <c r="CW42" i="5"/>
  <c r="AG89" i="5"/>
  <c r="K88" i="5"/>
  <c r="AK78" i="5"/>
  <c r="AA166" i="5"/>
  <c r="AF87" i="5"/>
  <c r="AE157" i="5"/>
  <c r="CC155" i="5"/>
  <c r="BB93" i="5"/>
  <c r="U86" i="5"/>
  <c r="BA78" i="5"/>
  <c r="BO88" i="5"/>
  <c r="BL166" i="5"/>
  <c r="BQ157" i="5"/>
  <c r="AB165" i="5"/>
  <c r="CW94" i="5"/>
  <c r="BB160" i="5"/>
  <c r="AP87" i="5"/>
  <c r="AH73" i="5"/>
  <c r="BZ161" i="5"/>
  <c r="AQ85" i="5"/>
  <c r="BB82" i="5"/>
  <c r="AR78" i="5"/>
  <c r="N167" i="5"/>
  <c r="Q158" i="5"/>
  <c r="CO154" i="5"/>
  <c r="BQ156" i="5"/>
  <c r="X160" i="5"/>
  <c r="BN154" i="5"/>
  <c r="BP83" i="5"/>
  <c r="AM159" i="5"/>
  <c r="AK94" i="5"/>
  <c r="AR96" i="5"/>
  <c r="BE166" i="5"/>
  <c r="N149" i="5"/>
  <c r="BI167" i="5"/>
  <c r="CA89" i="5"/>
  <c r="AY4" i="4"/>
  <c r="CE79" i="5"/>
  <c r="BE157" i="5"/>
  <c r="CW15" i="5"/>
  <c r="V94" i="5"/>
  <c r="BI88" i="5"/>
  <c r="AF154" i="5"/>
  <c r="AF92" i="5"/>
  <c r="N156" i="5"/>
  <c r="CW64" i="5"/>
  <c r="V58" i="5"/>
  <c r="CK86" i="5"/>
  <c r="BJ167" i="5"/>
  <c r="N89" i="5"/>
  <c r="R85" i="5"/>
  <c r="CM158" i="5"/>
  <c r="V157" i="5"/>
  <c r="BL167" i="5"/>
  <c r="BO168" i="5"/>
  <c r="CI83" i="5"/>
  <c r="AA86" i="5"/>
  <c r="V84" i="5"/>
  <c r="CW132" i="5"/>
  <c r="CH163" i="5"/>
  <c r="L162" i="5"/>
  <c r="S88" i="5"/>
  <c r="BG91" i="5"/>
  <c r="X166" i="5"/>
  <c r="AC85" i="5"/>
  <c r="CK91" i="5"/>
  <c r="CC153" i="5"/>
  <c r="AG154" i="5"/>
  <c r="AF166" i="5"/>
  <c r="BJ164" i="5"/>
  <c r="CM165" i="5"/>
  <c r="BD83" i="5"/>
  <c r="CW50" i="5"/>
  <c r="Q91" i="5"/>
  <c r="BK73" i="5"/>
  <c r="CJ91" i="5"/>
  <c r="AF155" i="5"/>
  <c r="CH155" i="5"/>
  <c r="CD91" i="5"/>
  <c r="BP156" i="5"/>
  <c r="AJ81" i="5"/>
  <c r="CA85" i="5"/>
  <c r="BQ77" i="5"/>
  <c r="BO95" i="5"/>
  <c r="S152" i="5"/>
  <c r="BK86" i="5"/>
  <c r="BO85" i="5"/>
  <c r="AP162" i="5"/>
  <c r="AC96" i="5"/>
  <c r="K159" i="5"/>
  <c r="M150" i="5"/>
  <c r="BA167" i="5"/>
  <c r="BI156" i="5"/>
  <c r="CP164" i="5"/>
  <c r="BY91" i="5"/>
  <c r="AQ87" i="5"/>
  <c r="CC72" i="5"/>
  <c r="BD77" i="5"/>
  <c r="L157" i="5"/>
  <c r="AO75" i="5"/>
  <c r="X151" i="5"/>
  <c r="S167" i="5"/>
  <c r="M87" i="5"/>
  <c r="AR151" i="5"/>
  <c r="BE67" i="5"/>
  <c r="AG166" i="5"/>
  <c r="Q96" i="5"/>
  <c r="CA156" i="5"/>
  <c r="BJ163" i="5"/>
  <c r="AC162" i="5"/>
  <c r="BO96" i="5"/>
  <c r="BA156" i="5"/>
  <c r="AJ83" i="5"/>
  <c r="AO95" i="5"/>
  <c r="CN92" i="5"/>
  <c r="N96" i="5"/>
  <c r="BA77" i="5"/>
  <c r="BJ96" i="5"/>
  <c r="AY92" i="5"/>
  <c r="BL80" i="5"/>
  <c r="AQ69" i="5"/>
  <c r="CW28" i="5"/>
  <c r="BI158" i="5"/>
  <c r="AY161" i="5"/>
  <c r="AC93" i="5"/>
  <c r="BJ90" i="5"/>
  <c r="BB87" i="5"/>
  <c r="CN151" i="5"/>
  <c r="BL65" i="5"/>
  <c r="CH148" i="5"/>
  <c r="CM161" i="5"/>
  <c r="BD153" i="5"/>
  <c r="N164" i="5"/>
  <c r="AZ90" i="5"/>
  <c r="Z93" i="5"/>
  <c r="BB80" i="5"/>
  <c r="CC79" i="5"/>
  <c r="AF82" i="5"/>
  <c r="BO132" i="5"/>
  <c r="X80" i="5"/>
  <c r="BD64" i="5"/>
  <c r="AE146" i="5"/>
  <c r="X86" i="5"/>
  <c r="AY89" i="5"/>
  <c r="AR70" i="5"/>
  <c r="BX57" i="5"/>
  <c r="X155" i="5"/>
  <c r="BF80" i="5"/>
  <c r="AQ148" i="5"/>
  <c r="AK162" i="5"/>
  <c r="AB79" i="5"/>
  <c r="AE83" i="5"/>
  <c r="CF54" i="5"/>
  <c r="CA79" i="5"/>
  <c r="CE65" i="5"/>
  <c r="K77" i="5"/>
  <c r="R157" i="5"/>
  <c r="M147" i="5"/>
  <c r="BO140" i="5"/>
  <c r="AB147" i="5"/>
  <c r="AJ142" i="5"/>
  <c r="CP85" i="5"/>
  <c r="AK92" i="5"/>
  <c r="BK153" i="5"/>
  <c r="CO89" i="5"/>
  <c r="AF91" i="5"/>
  <c r="N84" i="5"/>
  <c r="CH64" i="5"/>
  <c r="X147" i="5"/>
  <c r="AA60" i="5"/>
  <c r="CF68" i="5"/>
  <c r="CJ72" i="5"/>
  <c r="S73" i="5"/>
  <c r="BE89" i="5"/>
  <c r="CJ78" i="5"/>
  <c r="Z76" i="5"/>
  <c r="BG67" i="5"/>
  <c r="N91" i="5"/>
  <c r="BO77" i="5"/>
  <c r="BY67" i="5"/>
  <c r="BD92" i="5"/>
  <c r="AK76" i="5"/>
  <c r="L82" i="5"/>
  <c r="L146" i="5"/>
  <c r="Q165" i="5"/>
  <c r="N67" i="5"/>
  <c r="AZ152" i="5"/>
  <c r="CF82" i="5"/>
  <c r="Q59" i="5"/>
  <c r="Z147" i="5"/>
  <c r="BX60" i="5"/>
  <c r="BE131" i="5"/>
  <c r="AA78" i="5"/>
  <c r="CF157" i="5"/>
  <c r="BO87" i="5"/>
  <c r="CA165" i="5"/>
  <c r="CA166" i="5"/>
  <c r="BP157" i="5"/>
  <c r="BZ81" i="5"/>
  <c r="AZ70" i="5"/>
  <c r="CH83" i="5"/>
  <c r="BL76" i="5"/>
  <c r="BF62" i="5"/>
  <c r="CH143" i="5"/>
  <c r="AC160" i="5"/>
  <c r="CI69" i="5"/>
  <c r="M142" i="5"/>
  <c r="CI64" i="5"/>
  <c r="AZ86" i="5"/>
  <c r="AL73" i="5"/>
  <c r="AO166" i="5"/>
  <c r="BK167" i="5"/>
  <c r="K72" i="5"/>
  <c r="CF152" i="5"/>
  <c r="CH62" i="5"/>
  <c r="BZ157" i="5"/>
  <c r="BO69" i="5"/>
  <c r="BL72" i="5"/>
  <c r="BE76" i="5"/>
  <c r="M140" i="5"/>
  <c r="R149" i="5"/>
  <c r="Q148" i="5"/>
  <c r="AF57" i="5"/>
  <c r="S61" i="5"/>
  <c r="CD157" i="5"/>
  <c r="AC89" i="5"/>
  <c r="AR85" i="5"/>
  <c r="AH166" i="5"/>
  <c r="BJ91" i="5"/>
  <c r="CW23" i="5"/>
  <c r="BP162" i="5"/>
  <c r="CM68" i="5"/>
  <c r="AF149" i="5"/>
  <c r="AM156" i="5"/>
  <c r="CK71" i="5"/>
  <c r="BX84" i="5"/>
  <c r="W83" i="5"/>
  <c r="AO157" i="5"/>
  <c r="AM66" i="5"/>
  <c r="AO162" i="5"/>
  <c r="AZ76" i="5"/>
  <c r="W79" i="5"/>
  <c r="BL84" i="5"/>
  <c r="AY151" i="5"/>
  <c r="BX86" i="5"/>
  <c r="BN146" i="5"/>
  <c r="CN155" i="5"/>
  <c r="AF65" i="5"/>
  <c r="BF76" i="5"/>
  <c r="Z152" i="5"/>
  <c r="N63" i="5"/>
  <c r="K138" i="5"/>
  <c r="AM141" i="5"/>
  <c r="S130" i="5"/>
  <c r="AP144" i="5"/>
  <c r="CC86" i="5"/>
  <c r="BL74" i="5"/>
  <c r="AZ85" i="5"/>
  <c r="CC157" i="5"/>
  <c r="AL158" i="5"/>
  <c r="AQ158" i="5"/>
  <c r="W145" i="5"/>
  <c r="CC95" i="5"/>
  <c r="CO150" i="5"/>
  <c r="AB70" i="5"/>
  <c r="V73" i="5"/>
  <c r="CI161" i="5"/>
  <c r="CK164" i="5"/>
  <c r="R96" i="5"/>
  <c r="BI160" i="5"/>
  <c r="P166" i="5"/>
  <c r="AK89" i="5"/>
  <c r="AL79" i="5"/>
  <c r="BJ70" i="5"/>
  <c r="BO86" i="5"/>
  <c r="BJ75" i="5"/>
  <c r="K63" i="5"/>
  <c r="CK167" i="5"/>
  <c r="N80" i="5"/>
  <c r="AZ67" i="5"/>
  <c r="CK137" i="5"/>
  <c r="AR94" i="5"/>
  <c r="AO88" i="5"/>
  <c r="BX70" i="5"/>
  <c r="AG56" i="5"/>
  <c r="CH156" i="5"/>
  <c r="AO160" i="5"/>
  <c r="AK68" i="5"/>
  <c r="CH66" i="5"/>
  <c r="BJ59" i="5"/>
  <c r="U158" i="5"/>
  <c r="U92" i="5"/>
  <c r="CK162" i="5"/>
  <c r="P89" i="5"/>
  <c r="CH168" i="5"/>
  <c r="AB157" i="5"/>
  <c r="CK152" i="5"/>
  <c r="AF93" i="5"/>
  <c r="AY158" i="5"/>
  <c r="BQ155" i="5"/>
  <c r="CJ163" i="5"/>
  <c r="N163" i="5"/>
  <c r="AY162" i="5"/>
  <c r="CW32" i="5"/>
  <c r="L90" i="5"/>
  <c r="AP83" i="5"/>
  <c r="K91" i="5"/>
  <c r="BK163" i="5"/>
  <c r="BL162" i="5"/>
  <c r="BB159" i="5"/>
  <c r="CK67" i="5"/>
  <c r="R95" i="5"/>
  <c r="CC82" i="5"/>
  <c r="CE94" i="5"/>
  <c r="AM90" i="5"/>
  <c r="CI71" i="5"/>
  <c r="CW41" i="5"/>
  <c r="CP93" i="5"/>
  <c r="BI96" i="5"/>
  <c r="BA86" i="5"/>
  <c r="CE162" i="5"/>
  <c r="K154" i="5"/>
  <c r="N76" i="5"/>
  <c r="R168" i="5"/>
  <c r="AQ96" i="5"/>
  <c r="BN86" i="5"/>
  <c r="X152" i="5"/>
  <c r="AL93" i="5"/>
  <c r="CH85" i="5"/>
  <c r="BL89" i="5"/>
  <c r="D219" i="6"/>
  <c r="CW8" i="5"/>
  <c r="AF85" i="5"/>
  <c r="CJ156" i="5"/>
  <c r="CH162" i="5"/>
  <c r="BZ162" i="5"/>
  <c r="BE156" i="5"/>
  <c r="AF84" i="5"/>
  <c r="BP159" i="5"/>
  <c r="CI164" i="5"/>
  <c r="CK84" i="5"/>
  <c r="AE163" i="5"/>
  <c r="BD96" i="5"/>
  <c r="CK155" i="5"/>
  <c r="AZ160" i="5"/>
  <c r="BO159" i="5"/>
  <c r="AL143" i="5"/>
  <c r="AM144" i="5"/>
  <c r="CC94" i="5"/>
  <c r="W159" i="5"/>
  <c r="BP164" i="5"/>
  <c r="CD94" i="5"/>
  <c r="AH71" i="5"/>
  <c r="CA93" i="5"/>
  <c r="AF94" i="5"/>
  <c r="BO155" i="5"/>
  <c r="CI81" i="5"/>
  <c r="CW105" i="5"/>
  <c r="AC84" i="5"/>
  <c r="BD80" i="5"/>
  <c r="BQ69" i="5"/>
  <c r="CW20" i="5"/>
  <c r="S159" i="5"/>
  <c r="R82" i="5"/>
  <c r="Q157" i="5"/>
  <c r="BA96" i="5"/>
  <c r="AJ168" i="5"/>
  <c r="CP89" i="5"/>
  <c r="AG87" i="5"/>
  <c r="BK91" i="5"/>
  <c r="P96" i="5"/>
  <c r="AY167" i="5"/>
  <c r="AM168" i="5"/>
  <c r="CD160" i="5"/>
  <c r="V72" i="5"/>
  <c r="L152" i="5"/>
  <c r="Q83" i="5"/>
  <c r="BK74" i="5"/>
  <c r="Q85" i="5"/>
  <c r="CA84" i="5"/>
  <c r="AC79" i="5"/>
  <c r="R87" i="5"/>
  <c r="CA96" i="5"/>
  <c r="Q156" i="5"/>
  <c r="CW83" i="5"/>
  <c r="BZ67" i="5"/>
  <c r="X164" i="5"/>
  <c r="AP151" i="5"/>
  <c r="AA155" i="5"/>
  <c r="CI139" i="5"/>
  <c r="AB85" i="5"/>
  <c r="M154" i="5"/>
  <c r="L77" i="5"/>
  <c r="AE52" i="5"/>
  <c r="AL82" i="5"/>
  <c r="CM77" i="5"/>
  <c r="P152" i="5"/>
  <c r="K152" i="5"/>
  <c r="N69" i="5"/>
  <c r="AQ74" i="5"/>
  <c r="AR60" i="5"/>
  <c r="AA71" i="5"/>
  <c r="CD77" i="5"/>
  <c r="AO76" i="5"/>
  <c r="CC147" i="5"/>
  <c r="AK79" i="5"/>
  <c r="CD134" i="5"/>
  <c r="CC54" i="5"/>
  <c r="BX130" i="5"/>
  <c r="CI156" i="5"/>
  <c r="AZ82" i="5"/>
  <c r="AG95" i="5"/>
  <c r="AP160" i="5"/>
  <c r="BB92" i="5"/>
  <c r="BD167" i="5"/>
  <c r="AA161" i="5"/>
  <c r="BF73" i="5"/>
  <c r="BN167" i="5"/>
  <c r="CD80" i="5"/>
  <c r="AA69" i="5"/>
  <c r="CC57" i="5"/>
  <c r="AP155" i="5"/>
  <c r="BD148" i="5"/>
  <c r="BN72" i="5"/>
  <c r="AO53" i="5"/>
  <c r="BG87" i="5"/>
  <c r="BJ79" i="5"/>
  <c r="U67" i="5"/>
  <c r="BX91" i="5"/>
  <c r="AL153" i="5"/>
  <c r="CA59" i="5"/>
  <c r="BA64" i="5"/>
  <c r="AJ76" i="5"/>
  <c r="BQ76" i="5"/>
  <c r="BJ145" i="5"/>
  <c r="AE158" i="5"/>
  <c r="AQ66" i="5"/>
  <c r="AK146" i="5"/>
  <c r="BG131" i="5"/>
  <c r="AC122" i="5"/>
  <c r="BB79" i="5"/>
  <c r="CD87" i="5"/>
  <c r="AC81" i="5"/>
  <c r="BX159" i="5"/>
  <c r="CC90" i="5"/>
  <c r="BY153" i="5"/>
  <c r="AO159" i="5"/>
  <c r="AE144" i="5"/>
  <c r="AP92" i="5"/>
  <c r="AA157" i="5"/>
  <c r="CE71" i="5"/>
  <c r="R150" i="5"/>
  <c r="BX156" i="5"/>
  <c r="CM87" i="5"/>
  <c r="BY150" i="5"/>
  <c r="AA148" i="5"/>
  <c r="AF160" i="5"/>
  <c r="AQ157" i="5"/>
  <c r="BO66" i="5"/>
  <c r="BF154" i="5"/>
  <c r="BX152" i="5"/>
  <c r="K71" i="5"/>
  <c r="AP64" i="5"/>
  <c r="CN150" i="5"/>
  <c r="AJ152" i="5"/>
  <c r="CP147" i="5"/>
  <c r="AM96" i="5"/>
  <c r="CH138" i="5"/>
  <c r="CP81" i="5"/>
  <c r="CA52" i="5"/>
  <c r="AE35" i="5"/>
  <c r="AG142" i="5"/>
  <c r="CH69" i="5"/>
  <c r="AG162" i="5"/>
  <c r="CI87" i="5"/>
  <c r="AO96" i="5"/>
  <c r="CO155" i="5"/>
  <c r="BK156" i="5"/>
  <c r="BA63" i="5"/>
  <c r="AP96" i="5"/>
  <c r="BZ153" i="5"/>
  <c r="BZ61" i="5"/>
  <c r="BI59" i="5"/>
  <c r="CC78" i="5"/>
  <c r="BY74" i="5"/>
  <c r="AB141" i="5"/>
  <c r="K149" i="5"/>
  <c r="AA160" i="5"/>
  <c r="X71" i="5"/>
  <c r="L62" i="5"/>
  <c r="Z151" i="5"/>
  <c r="CC67" i="5"/>
  <c r="AE85" i="5"/>
  <c r="CO145" i="5"/>
  <c r="V86" i="5"/>
  <c r="CH74" i="5"/>
  <c r="BI74" i="5"/>
  <c r="AK156" i="5"/>
  <c r="CM61" i="5"/>
  <c r="CC144" i="5"/>
  <c r="AZ45" i="5"/>
  <c r="CP138" i="5"/>
  <c r="CM86" i="5"/>
  <c r="CH167" i="5"/>
  <c r="BY96" i="5"/>
  <c r="CK80" i="5"/>
  <c r="AH90" i="5"/>
  <c r="V156" i="5"/>
  <c r="BA84" i="5"/>
  <c r="BK72" i="5"/>
  <c r="M86" i="5"/>
  <c r="N62" i="5"/>
  <c r="AL70" i="5"/>
  <c r="BL56" i="5"/>
  <c r="CA155" i="5"/>
  <c r="X79" i="5"/>
  <c r="CF89" i="5"/>
  <c r="BF161" i="5"/>
  <c r="BI168" i="5"/>
  <c r="V77" i="5"/>
  <c r="AC154" i="5"/>
  <c r="AL64" i="5"/>
  <c r="R154" i="5"/>
  <c r="N68" i="5"/>
  <c r="CO147" i="5"/>
  <c r="CP90" i="5"/>
  <c r="Q86" i="5"/>
  <c r="R72" i="5"/>
  <c r="AF73" i="5"/>
  <c r="AJ95" i="5"/>
  <c r="BQ91" i="5"/>
  <c r="BF66" i="5"/>
  <c r="CW129" i="5"/>
  <c r="V75" i="5"/>
  <c r="BD62" i="5"/>
  <c r="M63" i="5"/>
  <c r="CN76" i="5"/>
  <c r="CJ151" i="5"/>
  <c r="W77" i="5"/>
  <c r="S160" i="5"/>
  <c r="BE81" i="5"/>
  <c r="BL146" i="5"/>
  <c r="M68" i="5"/>
  <c r="BF79" i="5"/>
  <c r="R90" i="5"/>
  <c r="CJ166" i="5"/>
  <c r="AP168" i="5"/>
  <c r="AK161" i="5"/>
  <c r="CW158" i="5"/>
  <c r="L87" i="5"/>
  <c r="AB151" i="5"/>
  <c r="AM85" i="5"/>
  <c r="AO167" i="5"/>
  <c r="CF162" i="5"/>
  <c r="CW29" i="5"/>
  <c r="AE92" i="5"/>
  <c r="BP87" i="5"/>
  <c r="CP79" i="5"/>
  <c r="N93" i="5"/>
  <c r="BX160" i="5"/>
  <c r="BJ95" i="5"/>
  <c r="CC162" i="5"/>
  <c r="CK148" i="5"/>
  <c r="M166" i="5"/>
  <c r="BI92" i="5"/>
  <c r="CN162" i="5"/>
  <c r="BZ159" i="5"/>
  <c r="BQ75" i="5"/>
  <c r="CW102" i="5"/>
  <c r="BK93" i="5"/>
  <c r="BA155" i="5"/>
  <c r="BQ11" i="6"/>
  <c r="AQ161" i="5"/>
  <c r="BN82" i="5"/>
  <c r="BA159" i="5"/>
  <c r="AA95" i="5"/>
  <c r="AA84" i="5"/>
  <c r="U167" i="5"/>
  <c r="CA95" i="5"/>
  <c r="BG163" i="5"/>
  <c r="CP77" i="5"/>
  <c r="AL154" i="5"/>
  <c r="AQ167" i="5"/>
  <c r="Q159" i="5"/>
  <c r="BJ92" i="5"/>
  <c r="L84" i="5"/>
  <c r="Q161" i="5"/>
  <c r="AM158" i="5"/>
  <c r="CE167" i="5"/>
  <c r="Q87" i="5"/>
  <c r="AJ164" i="5"/>
  <c r="CW11" i="5"/>
  <c r="X96" i="5"/>
  <c r="AM91" i="5"/>
  <c r="BY87" i="5"/>
  <c r="AJ88" i="5"/>
  <c r="CA157" i="5"/>
  <c r="BI152" i="5"/>
  <c r="CM151" i="5"/>
  <c r="CE63" i="5"/>
  <c r="AF90" i="5"/>
  <c r="CW59" i="5"/>
  <c r="CM166" i="5"/>
  <c r="CF90" i="5"/>
  <c r="BE148" i="5"/>
  <c r="BN93" i="5"/>
  <c r="CE156" i="5"/>
  <c r="AH81" i="5"/>
  <c r="CI89" i="5"/>
  <c r="BQ164" i="5"/>
  <c r="Z88" i="5"/>
  <c r="BF151" i="5"/>
  <c r="BL86" i="5"/>
  <c r="BY163" i="5"/>
  <c r="Z96" i="5"/>
  <c r="R167" i="5"/>
  <c r="BD73" i="5"/>
  <c r="V163" i="5"/>
  <c r="AO156" i="5"/>
  <c r="V85" i="5"/>
  <c r="D212" i="6"/>
  <c r="BK165" i="5"/>
  <c r="AM86" i="5"/>
  <c r="AF168" i="5"/>
  <c r="CD86" i="5"/>
  <c r="AK85" i="5"/>
  <c r="X89" i="5"/>
  <c r="CK76" i="5"/>
  <c r="BB83" i="5"/>
  <c r="X148" i="5"/>
  <c r="N158" i="5"/>
  <c r="CN164" i="5"/>
  <c r="CW112" i="5"/>
  <c r="BD152" i="5"/>
  <c r="CJ160" i="5"/>
  <c r="CM80" i="5"/>
  <c r="AK153" i="5"/>
  <c r="V79" i="5"/>
  <c r="U161" i="5"/>
  <c r="BA75" i="5"/>
  <c r="CP83" i="5"/>
  <c r="CC142" i="5"/>
  <c r="CP154" i="5"/>
  <c r="BE72" i="5"/>
  <c r="BP150" i="5"/>
  <c r="BG63" i="5"/>
  <c r="BO89" i="5"/>
  <c r="AZ157" i="5"/>
  <c r="BJ149" i="5"/>
  <c r="BY164" i="5"/>
  <c r="AF67" i="5"/>
  <c r="L86" i="5"/>
  <c r="BO165" i="5"/>
  <c r="BQ89" i="5"/>
  <c r="AK64" i="5"/>
  <c r="AB61" i="5"/>
  <c r="L151" i="5"/>
  <c r="AK145" i="5"/>
  <c r="BI143" i="5"/>
  <c r="AB149" i="5"/>
  <c r="S58" i="5"/>
  <c r="AH148" i="5"/>
  <c r="BG93" i="5"/>
  <c r="Z160" i="5"/>
  <c r="AY88" i="5"/>
  <c r="AR159" i="5"/>
  <c r="CI86" i="5"/>
  <c r="CF153" i="5"/>
  <c r="AE150" i="5"/>
  <c r="Q88" i="5"/>
  <c r="V74" i="5"/>
  <c r="BE85" i="5"/>
  <c r="CF70" i="5"/>
  <c r="CO151" i="5"/>
  <c r="AP68" i="5"/>
  <c r="AH76" i="5"/>
  <c r="BK71" i="5"/>
  <c r="CM154" i="5"/>
  <c r="BF69" i="5"/>
  <c r="M152" i="5"/>
  <c r="CF87" i="5"/>
  <c r="BQ152" i="5"/>
  <c r="BL154" i="5"/>
  <c r="CW99" i="5"/>
  <c r="W155" i="5"/>
  <c r="L80" i="5"/>
  <c r="W68" i="5"/>
  <c r="BJ77" i="5"/>
  <c r="AM145" i="5"/>
  <c r="CK139" i="5"/>
  <c r="AH136" i="5"/>
  <c r="AO48" i="5"/>
  <c r="AJ145" i="5"/>
  <c r="BE94" i="5"/>
  <c r="CW89" i="5"/>
  <c r="U78" i="5"/>
  <c r="P92" i="5"/>
  <c r="AZ88" i="5"/>
  <c r="AR90" i="5"/>
  <c r="CI84" i="5"/>
  <c r="CO159" i="5"/>
  <c r="AC63" i="5"/>
  <c r="R153" i="5"/>
  <c r="CD66" i="5"/>
  <c r="BX165" i="5"/>
  <c r="U150" i="5"/>
  <c r="BN164" i="5"/>
  <c r="V62" i="5"/>
  <c r="AA90" i="5"/>
  <c r="BF60" i="5"/>
  <c r="K151" i="5"/>
  <c r="AE160" i="5"/>
  <c r="AL159" i="5"/>
  <c r="BB72" i="5"/>
  <c r="Q160" i="5"/>
  <c r="V151" i="5"/>
  <c r="AA147" i="5"/>
  <c r="CE144" i="5"/>
  <c r="S151" i="5"/>
  <c r="Q75" i="5"/>
  <c r="AC132" i="5"/>
  <c r="CD144" i="5"/>
  <c r="BL53" i="5"/>
  <c r="BD65" i="5"/>
  <c r="CW123" i="5"/>
  <c r="BL94" i="5"/>
  <c r="S153" i="5"/>
  <c r="BZ156" i="5"/>
  <c r="N83" i="5"/>
  <c r="U89" i="5"/>
  <c r="AR72" i="5"/>
  <c r="CK157" i="5"/>
  <c r="CK60" i="5"/>
  <c r="V147" i="5"/>
  <c r="BG58" i="5"/>
  <c r="BG155" i="5"/>
  <c r="BZ62" i="5"/>
  <c r="BI71" i="5"/>
  <c r="AK65" i="5"/>
  <c r="BK82" i="5"/>
  <c r="CO68" i="5"/>
  <c r="P66" i="5"/>
  <c r="CM162" i="5"/>
  <c r="BI77" i="5"/>
  <c r="Z70" i="5"/>
  <c r="AE90" i="5"/>
  <c r="BO78" i="5"/>
  <c r="CK63" i="5"/>
  <c r="BP66" i="5"/>
  <c r="CA147" i="5"/>
  <c r="BY141" i="5"/>
  <c r="CC51" i="5"/>
  <c r="BN145" i="5"/>
  <c r="N129" i="5"/>
  <c r="BO73" i="5"/>
  <c r="P81" i="5"/>
  <c r="BI79" i="5"/>
  <c r="CC150" i="5"/>
  <c r="BY168" i="5"/>
  <c r="Q90" i="5"/>
  <c r="AE67" i="5"/>
  <c r="AE71" i="5"/>
  <c r="BE83" i="5"/>
  <c r="AQ153" i="5"/>
  <c r="AZ153" i="5"/>
  <c r="BI70" i="5"/>
  <c r="AY79" i="5"/>
  <c r="CE157" i="5"/>
  <c r="Z91" i="5"/>
  <c r="CW152" i="5"/>
  <c r="CD90" i="5"/>
  <c r="CW159" i="5"/>
  <c r="BL151" i="5"/>
  <c r="BE64" i="5"/>
  <c r="AJ80" i="5"/>
  <c r="BY152" i="5"/>
  <c r="CK142" i="5"/>
  <c r="BD87" i="5"/>
  <c r="AB153" i="5"/>
  <c r="BB75" i="5"/>
  <c r="CF136" i="5"/>
  <c r="AZ156" i="5"/>
  <c r="BG76" i="5"/>
  <c r="AP67" i="5"/>
  <c r="AB87" i="5"/>
  <c r="X91" i="5"/>
  <c r="CD78" i="5"/>
  <c r="BI69" i="5"/>
  <c r="AE155" i="5"/>
  <c r="P143" i="5"/>
  <c r="AQ64" i="5"/>
  <c r="AB75" i="5"/>
  <c r="BO72" i="5"/>
  <c r="BA68" i="5"/>
  <c r="AF64" i="5"/>
  <c r="BB136" i="5"/>
  <c r="AP88" i="5"/>
  <c r="U157" i="5"/>
  <c r="BY166" i="5"/>
  <c r="BG94" i="5"/>
  <c r="AF161" i="5"/>
  <c r="AO90" i="5"/>
  <c r="AH167" i="5"/>
  <c r="CW52" i="5"/>
  <c r="V91" i="5"/>
  <c r="BB161" i="5"/>
  <c r="BK157" i="5"/>
  <c r="CM89" i="5"/>
  <c r="BG161" i="5"/>
  <c r="BJ159" i="5"/>
  <c r="BI155" i="5"/>
  <c r="V165" i="5"/>
  <c r="BK78" i="5"/>
  <c r="BZ96" i="5"/>
  <c r="CF84" i="5"/>
  <c r="D225" i="6"/>
  <c r="CM163" i="5"/>
  <c r="BP86" i="5"/>
  <c r="U165" i="5"/>
  <c r="U163" i="5"/>
  <c r="BF92" i="5"/>
  <c r="AG93" i="5"/>
  <c r="CF163" i="5"/>
  <c r="AQ159" i="5"/>
  <c r="M168" i="5"/>
  <c r="AY160" i="5"/>
  <c r="Z166" i="5"/>
  <c r="BP96" i="5"/>
  <c r="BA93" i="5"/>
  <c r="AA164" i="5"/>
  <c r="AR157" i="5"/>
  <c r="CO92" i="5"/>
  <c r="CW5" i="5"/>
  <c r="BD78" i="5"/>
  <c r="AB86" i="5"/>
  <c r="CK163" i="5"/>
  <c r="AY159" i="5"/>
  <c r="AM78" i="5"/>
  <c r="AF83" i="5"/>
  <c r="X167" i="5"/>
  <c r="CI163" i="5"/>
  <c r="CA88" i="5"/>
  <c r="CM76" i="5"/>
  <c r="L94" i="5"/>
  <c r="CD96" i="5"/>
  <c r="AL91" i="5"/>
  <c r="BG167" i="5"/>
  <c r="CF161" i="5"/>
  <c r="AE166" i="5"/>
  <c r="L83" i="5"/>
  <c r="AF70" i="5"/>
  <c r="BE142" i="5"/>
  <c r="AL66" i="5"/>
  <c r="AP71" i="5"/>
  <c r="AP163" i="5"/>
  <c r="CD83" i="5"/>
  <c r="AP95" i="5"/>
  <c r="BO152" i="5"/>
  <c r="CF92" i="5"/>
  <c r="AB88" i="5"/>
  <c r="CD85" i="5"/>
  <c r="D226" i="6"/>
  <c r="CC92" i="5"/>
  <c r="AZ158" i="5"/>
  <c r="P156" i="5"/>
  <c r="CW135" i="5"/>
  <c r="CW156" i="5"/>
  <c r="BB89" i="5"/>
  <c r="S158" i="5"/>
  <c r="R166" i="5"/>
  <c r="CJ92" i="5"/>
  <c r="R89" i="5"/>
  <c r="K162" i="5"/>
  <c r="AB159" i="5"/>
  <c r="CN94" i="5"/>
  <c r="BJ89" i="5"/>
  <c r="N92" i="5"/>
  <c r="M160" i="5"/>
  <c r="V88" i="5"/>
  <c r="P163" i="5"/>
  <c r="CC161" i="5"/>
  <c r="AP76" i="5"/>
  <c r="CN58" i="5"/>
  <c r="BN157" i="5"/>
  <c r="BE96" i="5"/>
  <c r="CW14" i="5"/>
  <c r="AZ79" i="5"/>
  <c r="BO163" i="5"/>
  <c r="CP156" i="5"/>
  <c r="BN87" i="5"/>
  <c r="BK150" i="5"/>
  <c r="CO84" i="5"/>
  <c r="AH82" i="5"/>
  <c r="W154" i="5"/>
  <c r="BZ147" i="5"/>
  <c r="X153" i="5"/>
  <c r="AB73" i="5"/>
  <c r="AC149" i="5"/>
  <c r="AH147" i="5"/>
  <c r="BJ73" i="5"/>
  <c r="CP149" i="5"/>
  <c r="BA65" i="5"/>
  <c r="BB88" i="5"/>
  <c r="CM155" i="5"/>
  <c r="CF71" i="5"/>
  <c r="BB166" i="5"/>
  <c r="AF76" i="5"/>
  <c r="AJ71" i="5"/>
  <c r="BL161" i="5"/>
  <c r="CM78" i="5"/>
  <c r="S65" i="5"/>
  <c r="AB56" i="5"/>
  <c r="AJ146" i="5"/>
  <c r="W127" i="5"/>
  <c r="AM65" i="5"/>
  <c r="CP96" i="5"/>
  <c r="CP160" i="5"/>
  <c r="CH89" i="5"/>
  <c r="BY93" i="5"/>
  <c r="CN88" i="5"/>
  <c r="CN77" i="5"/>
  <c r="BA74" i="5"/>
  <c r="AK154" i="5"/>
  <c r="BZ74" i="5"/>
  <c r="BD146" i="5"/>
  <c r="BE60" i="5"/>
  <c r="BB147" i="5"/>
  <c r="AY66" i="5"/>
  <c r="AL148" i="5"/>
  <c r="AO60" i="5"/>
  <c r="BI86" i="5"/>
  <c r="AM67" i="5"/>
  <c r="BO71" i="5"/>
  <c r="Z155" i="5"/>
  <c r="AY149" i="5"/>
  <c r="CH71" i="5"/>
  <c r="R88" i="5"/>
  <c r="AO151" i="5"/>
  <c r="BN75" i="5"/>
  <c r="BY95" i="5"/>
  <c r="BY162" i="5"/>
  <c r="CO67" i="5"/>
  <c r="BD46" i="5"/>
  <c r="BB53" i="5"/>
  <c r="X121" i="5"/>
  <c r="AQ145" i="5"/>
  <c r="W160" i="5"/>
  <c r="CN157" i="5"/>
  <c r="CN74" i="5"/>
  <c r="BQ166" i="5"/>
  <c r="M89" i="5"/>
  <c r="BG74" i="5"/>
  <c r="L85" i="5"/>
  <c r="V154" i="5"/>
  <c r="AZ150" i="5"/>
  <c r="AM143" i="5"/>
  <c r="BZ68" i="5"/>
  <c r="BZ154" i="5"/>
  <c r="CI151" i="5"/>
  <c r="AB145" i="5"/>
  <c r="AG61" i="5"/>
  <c r="AA85" i="5"/>
  <c r="BD147" i="5"/>
  <c r="BP140" i="5"/>
  <c r="Z168" i="5"/>
  <c r="CI70" i="5"/>
  <c r="CI79" i="5"/>
  <c r="BZ165" i="5"/>
  <c r="BF95" i="5"/>
  <c r="X73" i="5"/>
  <c r="CO163" i="5"/>
  <c r="AM160" i="5"/>
  <c r="U60" i="5"/>
  <c r="L154" i="5"/>
  <c r="CA140" i="5"/>
  <c r="Z119" i="5"/>
  <c r="M59" i="5"/>
  <c r="BO157" i="5"/>
  <c r="BO156" i="5"/>
  <c r="BN79" i="5"/>
  <c r="BP91" i="5"/>
  <c r="CI153" i="5"/>
  <c r="BY151" i="5"/>
  <c r="BL73" i="5"/>
  <c r="BX77" i="5"/>
  <c r="P86" i="5"/>
  <c r="AQ63" i="5"/>
  <c r="AF60" i="5"/>
  <c r="BG82" i="5"/>
  <c r="BP76" i="5"/>
  <c r="AB148" i="5"/>
  <c r="AB71" i="5"/>
  <c r="AO70" i="5"/>
  <c r="BE70" i="5"/>
  <c r="BE71" i="5"/>
  <c r="CE158" i="5"/>
  <c r="CI77" i="5"/>
  <c r="S83" i="5"/>
  <c r="BN163" i="5"/>
  <c r="AO87" i="5"/>
  <c r="CH76" i="5"/>
  <c r="AC94" i="5"/>
  <c r="CJ154" i="5"/>
  <c r="AH60" i="5"/>
  <c r="N60" i="5"/>
  <c r="BX47" i="5"/>
  <c r="BE136" i="5"/>
  <c r="BG152" i="5"/>
  <c r="AZ163" i="5"/>
  <c r="S156" i="5"/>
  <c r="AC168" i="5"/>
  <c r="L91" i="5"/>
  <c r="BD154" i="5"/>
  <c r="CN154" i="5"/>
  <c r="BK68" i="5"/>
  <c r="AR73" i="5"/>
  <c r="CO142" i="5"/>
  <c r="AA77" i="5"/>
  <c r="AQ67" i="5"/>
  <c r="CW74" i="5"/>
  <c r="AC91" i="5"/>
  <c r="BZ83" i="5"/>
  <c r="X158" i="5"/>
  <c r="BE84" i="5"/>
  <c r="AO152" i="5"/>
  <c r="AL63" i="5"/>
  <c r="CW139" i="5"/>
  <c r="CO90" i="5"/>
  <c r="CM164" i="5"/>
  <c r="L73" i="5"/>
  <c r="BY84" i="5"/>
  <c r="BB77" i="5"/>
  <c r="BG83" i="5"/>
  <c r="BI148" i="5"/>
  <c r="BO90" i="5"/>
  <c r="AB81" i="5"/>
  <c r="M77" i="5"/>
  <c r="BY156" i="5"/>
  <c r="BI66" i="5"/>
  <c r="AE72" i="5"/>
  <c r="AQ61" i="5"/>
  <c r="R79" i="5"/>
  <c r="CE80" i="5"/>
  <c r="BZ77" i="5"/>
  <c r="U166" i="5"/>
  <c r="V136" i="5"/>
  <c r="CK141" i="5"/>
  <c r="W66" i="5"/>
  <c r="AZ129" i="5"/>
  <c r="BL163" i="5"/>
  <c r="CA90" i="5"/>
  <c r="CW34" i="5"/>
  <c r="U80" i="5"/>
  <c r="AH154" i="5"/>
  <c r="BZ87" i="5"/>
  <c r="AQ88" i="5"/>
  <c r="W161" i="5"/>
  <c r="U88" i="5"/>
  <c r="X83" i="5"/>
  <c r="M153" i="5"/>
  <c r="BN78" i="5"/>
  <c r="M88" i="5"/>
  <c r="CW125" i="5"/>
  <c r="CK96" i="5"/>
  <c r="AL89" i="5"/>
  <c r="BB162" i="5"/>
  <c r="N85" i="5"/>
  <c r="AB94" i="5"/>
  <c r="AE154" i="5"/>
  <c r="AM161" i="5"/>
  <c r="BP85" i="5"/>
  <c r="AJ94" i="5"/>
  <c r="BD91" i="5"/>
  <c r="BJ86" i="5"/>
  <c r="X85" i="5"/>
  <c r="CP157" i="5"/>
  <c r="BQ85" i="5"/>
  <c r="BE160" i="5"/>
  <c r="AQ93" i="5"/>
  <c r="BQ87" i="5"/>
  <c r="AH79" i="5"/>
  <c r="CI162" i="5"/>
  <c r="N159" i="5"/>
  <c r="S78" i="5"/>
  <c r="BY89" i="5"/>
  <c r="X159" i="5"/>
  <c r="BB164" i="5"/>
  <c r="BK80" i="5"/>
  <c r="AY86" i="5"/>
  <c r="CE161" i="5"/>
  <c r="BN96" i="5"/>
  <c r="AM88" i="5"/>
  <c r="AC87" i="5"/>
  <c r="AY164" i="5"/>
  <c r="CW88" i="5"/>
  <c r="CJ90" i="5"/>
  <c r="BK79" i="5"/>
  <c r="CW81" i="5"/>
  <c r="AC167" i="5"/>
  <c r="BG92" i="5"/>
  <c r="BX94" i="5"/>
  <c r="V83" i="5"/>
  <c r="S87" i="5"/>
  <c r="CK78" i="5"/>
  <c r="AM75" i="5"/>
  <c r="AY156" i="5"/>
  <c r="CW90" i="5"/>
  <c r="CW10" i="5"/>
  <c r="CW131" i="5"/>
  <c r="CC84" i="5"/>
  <c r="AM89" i="5"/>
  <c r="BE167" i="5"/>
  <c r="CP166" i="5"/>
  <c r="P157" i="5"/>
  <c r="AQ77" i="5"/>
  <c r="CK166" i="5"/>
  <c r="S91" i="5"/>
  <c r="CP158" i="5"/>
  <c r="S157" i="5"/>
  <c r="AP93" i="5"/>
  <c r="BG165" i="5"/>
  <c r="CE88" i="5"/>
  <c r="BN95" i="5"/>
  <c r="BO160" i="5"/>
  <c r="CW144" i="5"/>
  <c r="BQ88" i="5"/>
  <c r="BK158" i="5"/>
  <c r="AB164" i="5"/>
  <c r="CA162" i="5"/>
  <c r="BQ162" i="5"/>
  <c r="BO93" i="5"/>
  <c r="BN160" i="5"/>
  <c r="K78" i="5"/>
  <c r="CW58" i="5"/>
  <c r="BN67" i="5"/>
  <c r="BO67" i="5"/>
  <c r="L135" i="5"/>
  <c r="CM159" i="5"/>
  <c r="AK165" i="5"/>
  <c r="BL153" i="5"/>
  <c r="CN67" i="5"/>
  <c r="S92" i="5"/>
  <c r="AK158" i="5"/>
  <c r="CP80" i="5"/>
  <c r="P71" i="5"/>
  <c r="BZ82" i="5"/>
  <c r="AK147" i="5"/>
  <c r="AZ69" i="5"/>
  <c r="AJ58" i="5"/>
  <c r="AO74" i="5"/>
  <c r="Z72" i="5"/>
  <c r="CC70" i="5"/>
  <c r="BN53" i="5"/>
  <c r="BI68" i="5"/>
  <c r="BN66" i="5"/>
  <c r="CF75" i="5"/>
  <c r="CM65" i="5"/>
  <c r="BD72" i="5"/>
  <c r="AA57" i="5"/>
  <c r="AO92" i="5"/>
  <c r="AJ74" i="5"/>
  <c r="BF71" i="5"/>
  <c r="AL95" i="5"/>
  <c r="BJ69" i="5"/>
  <c r="BN56" i="5"/>
  <c r="AY141" i="5"/>
  <c r="AO141" i="5"/>
  <c r="CA135" i="5"/>
  <c r="AJ51" i="5"/>
  <c r="AG153" i="5"/>
  <c r="AY165" i="5"/>
  <c r="AM81" i="5"/>
  <c r="CW107" i="5"/>
  <c r="BI81" i="5"/>
  <c r="V155" i="5"/>
  <c r="CA151" i="5"/>
  <c r="R75" i="5"/>
  <c r="P64" i="5"/>
  <c r="CO80" i="5"/>
  <c r="BX55" i="5"/>
  <c r="W157" i="5"/>
  <c r="AZ143" i="5"/>
  <c r="AF150" i="5"/>
  <c r="Z50" i="5"/>
  <c r="CI90" i="5"/>
  <c r="CJ63" i="5"/>
  <c r="L160" i="5"/>
  <c r="BY80" i="5"/>
  <c r="Q147" i="5"/>
  <c r="BG144" i="5"/>
  <c r="CO77" i="5"/>
  <c r="Q149" i="5"/>
  <c r="BK61" i="5"/>
  <c r="N162" i="5"/>
  <c r="BN77" i="5"/>
  <c r="S79" i="5"/>
  <c r="BZ138" i="5"/>
  <c r="AE56" i="5"/>
  <c r="L44" i="5"/>
  <c r="CA137" i="5"/>
  <c r="CA168" i="5"/>
  <c r="AJ84" i="5"/>
  <c r="CW6" i="5"/>
  <c r="CJ162" i="5"/>
  <c r="BD89" i="5"/>
  <c r="AL80" i="5"/>
  <c r="BJ148" i="5"/>
  <c r="BN147" i="5"/>
  <c r="CP67" i="5"/>
  <c r="CM79" i="5"/>
  <c r="CJ140" i="5"/>
  <c r="Z156" i="5"/>
  <c r="CF146" i="5"/>
  <c r="BQ82" i="5"/>
  <c r="BJ146" i="5"/>
  <c r="CN87" i="5"/>
  <c r="CN64" i="5"/>
  <c r="X76" i="5"/>
  <c r="CN80" i="5"/>
  <c r="BE151" i="5"/>
  <c r="V76" i="5"/>
  <c r="AZ92" i="5"/>
  <c r="AP156" i="5"/>
  <c r="AY65" i="5"/>
  <c r="Z159" i="5"/>
  <c r="BX74" i="5"/>
  <c r="BF146" i="5"/>
  <c r="X49" i="5"/>
  <c r="K57" i="5"/>
  <c r="AB135" i="5"/>
  <c r="AB60" i="5"/>
  <c r="P84" i="5"/>
  <c r="CO88" i="5"/>
  <c r="CW97" i="5"/>
  <c r="M161" i="5"/>
  <c r="BA153" i="5"/>
  <c r="BZ89" i="5"/>
  <c r="CK59" i="5"/>
  <c r="AO150" i="5"/>
  <c r="BJ81" i="5"/>
  <c r="K65" i="5"/>
  <c r="AK137" i="5"/>
  <c r="AE94" i="5"/>
  <c r="CN68" i="5"/>
  <c r="AM70" i="5"/>
  <c r="CD132" i="5"/>
  <c r="AG156" i="5"/>
  <c r="CM71" i="5"/>
  <c r="BY81" i="5"/>
  <c r="CA86" i="5"/>
  <c r="BQ71" i="5"/>
  <c r="AZ145" i="5"/>
  <c r="M85" i="5"/>
  <c r="Z73" i="5"/>
  <c r="BN153" i="5"/>
  <c r="Z164" i="5"/>
  <c r="CK159" i="5"/>
  <c r="AB65" i="5"/>
  <c r="BX135" i="5"/>
  <c r="P55" i="5"/>
  <c r="BQ135" i="5"/>
  <c r="S89" i="5"/>
  <c r="Q152" i="5"/>
  <c r="CW45" i="5"/>
  <c r="AG159" i="5"/>
  <c r="BA94" i="5"/>
  <c r="BX151" i="5"/>
  <c r="S148" i="5"/>
  <c r="CN63" i="5"/>
  <c r="CO73" i="5"/>
  <c r="Z82" i="5"/>
  <c r="L79" i="5"/>
  <c r="AL57" i="5"/>
  <c r="CW68" i="5"/>
  <c r="CO165" i="5"/>
  <c r="CF88" i="5"/>
  <c r="D211" i="6"/>
  <c r="BN156" i="5"/>
  <c r="AO86" i="5"/>
  <c r="AQ62" i="5"/>
  <c r="CI91" i="5"/>
  <c r="CJ150" i="5"/>
  <c r="BP146" i="5"/>
  <c r="K61" i="5"/>
  <c r="V69" i="5"/>
  <c r="BX147" i="5"/>
  <c r="W58" i="5"/>
  <c r="BN137" i="5"/>
  <c r="BF82" i="5"/>
  <c r="AP75" i="5"/>
  <c r="CN146" i="5"/>
  <c r="U159" i="5"/>
  <c r="AG152" i="5"/>
  <c r="S85" i="5"/>
  <c r="CK94" i="5"/>
  <c r="CK147" i="5"/>
  <c r="K142" i="5"/>
  <c r="W141" i="5"/>
  <c r="BG68" i="5"/>
  <c r="R66" i="5"/>
  <c r="S64" i="5"/>
  <c r="U90" i="5"/>
  <c r="BY165" i="5"/>
  <c r="AJ90" i="5"/>
  <c r="CC160" i="5"/>
  <c r="BZ85" i="5"/>
  <c r="BN94" i="5"/>
  <c r="CF76" i="5"/>
  <c r="AA89" i="5"/>
  <c r="BI90" i="5"/>
  <c r="CF86" i="5"/>
  <c r="AM95" i="5"/>
  <c r="Z149" i="5"/>
  <c r="BL87" i="5"/>
  <c r="BP89" i="5"/>
  <c r="AM162" i="5"/>
  <c r="AJ77" i="5"/>
  <c r="BJ165" i="5"/>
  <c r="AK155" i="5"/>
  <c r="AR161" i="5"/>
  <c r="CP82" i="5"/>
  <c r="BP163" i="5"/>
  <c r="BD86" i="5"/>
  <c r="BG153" i="5"/>
  <c r="BX167" i="5"/>
  <c r="AK82" i="5"/>
  <c r="BA158" i="5"/>
  <c r="BF155" i="5"/>
  <c r="CA92" i="5"/>
  <c r="K93" i="5"/>
  <c r="CD93" i="5"/>
  <c r="AQ156" i="5"/>
  <c r="M162" i="5"/>
  <c r="R161" i="5"/>
  <c r="CW63" i="5"/>
  <c r="K163" i="5"/>
  <c r="AZ84" i="5"/>
  <c r="CW48" i="5"/>
  <c r="CW53" i="5"/>
  <c r="BQ151" i="5"/>
  <c r="X75" i="5"/>
  <c r="CW4" i="5"/>
  <c r="W96" i="5"/>
  <c r="AP94" i="5"/>
  <c r="N71" i="5"/>
  <c r="BE93" i="5"/>
  <c r="AO93" i="5"/>
  <c r="CJ88" i="5"/>
  <c r="AJ92" i="5"/>
  <c r="N160" i="5"/>
  <c r="AQ160" i="5"/>
  <c r="BO94" i="5"/>
  <c r="BY160" i="5"/>
  <c r="BO166" i="5"/>
  <c r="M151" i="5"/>
  <c r="CK87" i="5"/>
  <c r="AJ68" i="5"/>
  <c r="CM148" i="5"/>
  <c r="R164" i="5"/>
  <c r="W166" i="5"/>
  <c r="CC96" i="5"/>
  <c r="BY83" i="5"/>
  <c r="AQ165" i="5"/>
  <c r="CE164" i="5"/>
  <c r="CW119" i="5"/>
  <c r="CD89" i="5"/>
  <c r="AB152" i="5"/>
  <c r="R91" i="5"/>
  <c r="CW165" i="5"/>
  <c r="AY157" i="5"/>
  <c r="L161" i="5"/>
  <c r="CW40" i="5"/>
  <c r="BP93" i="5"/>
  <c r="CK154" i="5"/>
  <c r="AP89" i="5"/>
  <c r="BA160" i="5"/>
  <c r="CF167" i="5"/>
  <c r="BA154" i="5"/>
  <c r="CC156" i="5"/>
  <c r="BJ162" i="5"/>
  <c r="CI165" i="5"/>
  <c r="K92" i="5"/>
  <c r="AB84" i="5"/>
  <c r="Q93" i="5"/>
  <c r="CC152" i="5"/>
  <c r="CD167" i="5"/>
  <c r="AO158" i="5"/>
  <c r="P70" i="5"/>
  <c r="CI57" i="5"/>
  <c r="Q81" i="5"/>
  <c r="CN89" i="5"/>
  <c r="CN147" i="5"/>
  <c r="CW134" i="5"/>
  <c r="CW128" i="5"/>
  <c r="CM94" i="5"/>
  <c r="AP77" i="5"/>
  <c r="S150" i="5"/>
  <c r="AA152" i="5"/>
  <c r="CK77" i="5"/>
  <c r="R64" i="5"/>
  <c r="CO144" i="5"/>
  <c r="BI150" i="5"/>
  <c r="CD147" i="5"/>
  <c r="BB143" i="5"/>
  <c r="M67" i="5"/>
  <c r="CD79" i="5"/>
  <c r="BG66" i="5"/>
  <c r="AL145" i="5"/>
  <c r="BJ157" i="5"/>
  <c r="BD144" i="5"/>
  <c r="BD158" i="5"/>
  <c r="AK164" i="5"/>
  <c r="BX149" i="5"/>
  <c r="AF147" i="5"/>
  <c r="AA154" i="5"/>
  <c r="AP150" i="5"/>
  <c r="M136" i="5"/>
  <c r="AO137" i="5"/>
  <c r="BB47" i="5"/>
  <c r="BK37" i="5"/>
  <c r="Q67" i="5"/>
  <c r="K70" i="5"/>
  <c r="CA78" i="5"/>
  <c r="S166" i="5"/>
  <c r="CW54" i="5"/>
  <c r="AC78" i="5"/>
  <c r="P73" i="5"/>
  <c r="BE69" i="5"/>
  <c r="AM155" i="5"/>
  <c r="CN72" i="5"/>
  <c r="AA70" i="5"/>
  <c r="AZ74" i="5"/>
  <c r="L70" i="5"/>
  <c r="AJ64" i="5"/>
  <c r="BX150" i="5"/>
  <c r="BY65" i="5"/>
  <c r="W75" i="5"/>
  <c r="AH66" i="5"/>
  <c r="BI147" i="5"/>
  <c r="X74" i="5"/>
  <c r="BG72" i="5"/>
  <c r="AC67" i="5"/>
  <c r="X84" i="5"/>
  <c r="X150" i="5"/>
  <c r="AH78" i="5"/>
  <c r="CO94" i="5"/>
  <c r="BY75" i="5"/>
  <c r="AE149" i="5"/>
  <c r="AH62" i="5"/>
  <c r="AH126" i="5"/>
  <c r="BL39" i="5"/>
  <c r="U62" i="5"/>
  <c r="CA65" i="5"/>
  <c r="BB74" i="5"/>
  <c r="BL93" i="5"/>
  <c r="L164" i="5"/>
  <c r="AH88" i="5"/>
  <c r="AA153" i="5"/>
  <c r="CF144" i="5"/>
  <c r="AH152" i="5"/>
  <c r="N74" i="5"/>
  <c r="BE73" i="5"/>
  <c r="BF58" i="5"/>
  <c r="CI65" i="5"/>
  <c r="P76" i="5"/>
  <c r="AP60" i="5"/>
  <c r="AK61" i="5"/>
  <c r="BJ78" i="5"/>
  <c r="AO67" i="5"/>
  <c r="AG72" i="5"/>
  <c r="BY86" i="5"/>
  <c r="AL67" i="5"/>
  <c r="AO147" i="5"/>
  <c r="CH165" i="5"/>
  <c r="AM83" i="5"/>
  <c r="CP66" i="5"/>
  <c r="P93" i="5"/>
  <c r="AG60" i="5"/>
  <c r="AC140" i="5"/>
  <c r="BB55" i="5"/>
  <c r="R129" i="5"/>
  <c r="BN37" i="5"/>
  <c r="BD145" i="5"/>
  <c r="Z74" i="5"/>
  <c r="AQ151" i="5"/>
  <c r="W92" i="5"/>
  <c r="P159" i="5"/>
  <c r="AQ79" i="5"/>
  <c r="AR152" i="5"/>
  <c r="AA65" i="5"/>
  <c r="CP69" i="5"/>
  <c r="CC83" i="5"/>
  <c r="Q70" i="5"/>
  <c r="BJ72" i="5"/>
  <c r="CD148" i="5"/>
  <c r="BK75" i="5"/>
  <c r="BD150" i="5"/>
  <c r="AA79" i="5"/>
  <c r="BF74" i="5"/>
  <c r="AZ149" i="5"/>
  <c r="AY147" i="5"/>
  <c r="BY92" i="5"/>
  <c r="W144" i="5"/>
  <c r="Z153" i="5"/>
  <c r="AP158" i="5"/>
  <c r="AY154" i="5"/>
  <c r="BN64" i="5"/>
  <c r="P95" i="5"/>
  <c r="AH150" i="5"/>
  <c r="BJ64" i="5"/>
  <c r="AZ65" i="5"/>
  <c r="M55" i="5"/>
  <c r="V134" i="5"/>
  <c r="CH164" i="5"/>
  <c r="BF162" i="5"/>
  <c r="CW126" i="5"/>
  <c r="CW110" i="5"/>
  <c r="AG94" i="5"/>
  <c r="BB84" i="5"/>
  <c r="CK82" i="5"/>
  <c r="R57" i="5"/>
  <c r="V70" i="5"/>
  <c r="CJ141" i="5"/>
  <c r="CO71" i="5"/>
  <c r="CW117" i="5"/>
  <c r="AJ79" i="5"/>
  <c r="BP151" i="5"/>
  <c r="BL79" i="5"/>
  <c r="CW73" i="5"/>
  <c r="BN155" i="5"/>
  <c r="K82" i="5"/>
  <c r="BQ60" i="5"/>
  <c r="BE154" i="5"/>
  <c r="AJ69" i="5"/>
  <c r="CD81" i="5"/>
  <c r="CI141" i="5"/>
  <c r="AL147" i="5"/>
  <c r="AZ75" i="5"/>
  <c r="AH80" i="5"/>
  <c r="AE62" i="5"/>
  <c r="AZ72" i="5"/>
  <c r="X69" i="5"/>
  <c r="AA149" i="5"/>
  <c r="N78" i="5"/>
  <c r="R69" i="5"/>
  <c r="U149" i="5"/>
  <c r="V161" i="5"/>
  <c r="BI84" i="5"/>
  <c r="AF148" i="5"/>
  <c r="BA163" i="5"/>
  <c r="R83" i="5"/>
  <c r="AJ70" i="5"/>
  <c r="CM139" i="5"/>
  <c r="CE57" i="5"/>
  <c r="AR52" i="5"/>
  <c r="L69" i="5"/>
  <c r="V160" i="5"/>
  <c r="N87" i="5"/>
  <c r="L159" i="5"/>
  <c r="CF80" i="5"/>
  <c r="CF165" i="5"/>
  <c r="CF159" i="5"/>
  <c r="BF166" i="5"/>
  <c r="P149" i="5"/>
  <c r="AY68" i="5"/>
  <c r="BJ87" i="5"/>
  <c r="AQ95" i="5"/>
  <c r="M165" i="5"/>
  <c r="AG81" i="5"/>
  <c r="BZ91" i="5"/>
  <c r="Q164" i="5"/>
  <c r="AK157" i="5"/>
  <c r="AZ94" i="5"/>
  <c r="AM73" i="5"/>
  <c r="K168" i="5"/>
  <c r="BG79" i="5"/>
  <c r="CW30" i="5"/>
  <c r="BD161" i="5"/>
  <c r="AB150" i="5"/>
  <c r="CE92" i="5"/>
  <c r="R158" i="5"/>
  <c r="BB94" i="5"/>
  <c r="CW118" i="5"/>
  <c r="AA159" i="5"/>
  <c r="X165" i="5"/>
  <c r="CW113" i="5"/>
  <c r="CH90" i="5"/>
  <c r="AL78" i="5"/>
  <c r="W168" i="5"/>
  <c r="L168" i="5"/>
  <c r="BZ80" i="5"/>
  <c r="AP167" i="5"/>
  <c r="BX164" i="5"/>
  <c r="BB165" i="5"/>
  <c r="K160" i="5"/>
  <c r="AJ93" i="5"/>
  <c r="BZ163" i="5"/>
  <c r="AY95" i="5"/>
  <c r="BA88" i="5"/>
  <c r="BA82" i="5"/>
  <c r="BE168" i="5"/>
  <c r="AZ167" i="5"/>
  <c r="Z83" i="5"/>
  <c r="BK81" i="5"/>
  <c r="CW98" i="5"/>
  <c r="BN80" i="5"/>
  <c r="U162" i="5"/>
  <c r="BQ165" i="5"/>
  <c r="AJ151" i="5"/>
  <c r="CC148" i="5"/>
  <c r="CD155" i="5"/>
  <c r="BF90" i="5"/>
  <c r="BL143" i="5"/>
  <c r="AY90" i="5"/>
  <c r="CW82" i="5"/>
  <c r="CK165" i="5"/>
  <c r="AE78" i="5"/>
  <c r="CO157" i="5"/>
  <c r="X168" i="5"/>
  <c r="BE163" i="5"/>
  <c r="CF91" i="5"/>
  <c r="BZ88" i="5"/>
  <c r="AH92" i="5"/>
  <c r="N161" i="5"/>
  <c r="P91" i="5"/>
  <c r="N166" i="5"/>
  <c r="CC165" i="5"/>
  <c r="AH86" i="5"/>
  <c r="AB154" i="5"/>
  <c r="U82" i="5"/>
  <c r="S84" i="5"/>
  <c r="CW157" i="5"/>
  <c r="CH95" i="5"/>
  <c r="BY76" i="5"/>
  <c r="CW43" i="5"/>
  <c r="CA163" i="5"/>
  <c r="BK96" i="5"/>
  <c r="AC161" i="5"/>
  <c r="U94" i="5"/>
  <c r="CM82" i="5"/>
  <c r="AA93" i="5"/>
  <c r="AK77" i="5"/>
  <c r="AC147" i="5"/>
  <c r="BA91" i="5"/>
  <c r="CJ157" i="5"/>
  <c r="BE165" i="5"/>
  <c r="CI94" i="5"/>
  <c r="K96" i="5"/>
  <c r="CF96" i="5"/>
  <c r="AB77" i="5"/>
  <c r="L158" i="5"/>
  <c r="BN151" i="5"/>
  <c r="BN85" i="5"/>
  <c r="CI67" i="5"/>
  <c r="AJ61" i="5"/>
  <c r="V95" i="5"/>
  <c r="CH92" i="5"/>
  <c r="U71" i="5"/>
  <c r="CC58" i="5"/>
  <c r="AA163" i="5"/>
  <c r="BB85" i="5"/>
  <c r="BI65" i="5"/>
  <c r="BG61" i="5"/>
  <c r="W150" i="5"/>
  <c r="U147" i="5"/>
  <c r="CN71" i="5"/>
  <c r="BZ160" i="5"/>
  <c r="CH78" i="5"/>
  <c r="P150" i="5"/>
  <c r="AE167" i="5"/>
  <c r="CJ153" i="5"/>
  <c r="AA66" i="5"/>
  <c r="CH136" i="5"/>
  <c r="X142" i="5"/>
  <c r="V162" i="5"/>
  <c r="CW154" i="5"/>
  <c r="BK162" i="5"/>
  <c r="AQ86" i="5"/>
  <c r="BB167" i="5"/>
  <c r="AM163" i="5"/>
  <c r="AR75" i="5"/>
  <c r="CN86" i="5"/>
  <c r="Z86" i="5"/>
  <c r="BF83" i="5"/>
  <c r="CN62" i="5"/>
  <c r="AR74" i="5"/>
  <c r="BD93" i="5"/>
  <c r="BG77" i="5"/>
  <c r="AP142" i="5"/>
  <c r="BL68" i="5"/>
  <c r="CO96" i="5"/>
  <c r="AG151" i="5"/>
  <c r="CC62" i="5"/>
  <c r="BB61" i="5"/>
  <c r="CJ82" i="5"/>
  <c r="AA82" i="5"/>
  <c r="CE140" i="5"/>
  <c r="CA154" i="5"/>
  <c r="Q155" i="5"/>
  <c r="BO80" i="5"/>
  <c r="CO167" i="5"/>
  <c r="BD66" i="5"/>
  <c r="AQ149" i="5"/>
  <c r="AO135" i="5"/>
  <c r="BI145" i="5"/>
  <c r="Q153" i="5"/>
  <c r="CI95" i="5"/>
  <c r="BQ92" i="5"/>
  <c r="CW133" i="5"/>
  <c r="N94" i="5"/>
  <c r="CI167" i="5"/>
  <c r="M76" i="5"/>
  <c r="AB78" i="5"/>
  <c r="BD70" i="5"/>
  <c r="CK74" i="5"/>
  <c r="CK66" i="5"/>
  <c r="CM144" i="5"/>
  <c r="CW12" i="5"/>
  <c r="CE152" i="5"/>
  <c r="CA145" i="5"/>
  <c r="CJ66" i="5"/>
  <c r="AK167" i="5"/>
  <c r="AG150" i="5"/>
  <c r="BK63" i="5"/>
  <c r="X59" i="5"/>
  <c r="CM147" i="5"/>
  <c r="AZ80" i="5"/>
  <c r="AA75" i="5"/>
  <c r="AM152" i="5"/>
  <c r="AE75" i="5"/>
  <c r="AA68" i="5"/>
  <c r="K167" i="5"/>
  <c r="BI159" i="5"/>
  <c r="M146" i="5"/>
  <c r="CJ149" i="5"/>
  <c r="BQ57" i="5"/>
  <c r="AF89" i="5"/>
  <c r="CW93" i="5"/>
  <c r="AF164" i="5"/>
  <c r="X162" i="5"/>
  <c r="L163" i="5"/>
  <c r="W165" i="5"/>
  <c r="AR154" i="5"/>
  <c r="BK87" i="5"/>
  <c r="AA72" i="5"/>
  <c r="BZ150" i="5"/>
  <c r="CD75" i="5"/>
  <c r="CP72" i="5"/>
  <c r="AY94" i="5"/>
  <c r="CN79" i="5"/>
  <c r="BJ67" i="5"/>
  <c r="AR67" i="5"/>
  <c r="BF165" i="5"/>
  <c r="P153" i="5"/>
  <c r="CH70" i="5"/>
  <c r="AH146" i="5"/>
  <c r="BN81" i="5"/>
  <c r="BL70" i="5"/>
  <c r="AE60" i="5"/>
  <c r="Z85" i="5"/>
  <c r="CD60" i="5"/>
  <c r="AC77" i="5"/>
  <c r="P87" i="5"/>
  <c r="BY71" i="5"/>
  <c r="CO69" i="5"/>
  <c r="AB57" i="5"/>
  <c r="AH133" i="5"/>
  <c r="CN152" i="5"/>
  <c r="CE86" i="5"/>
  <c r="AK166" i="5"/>
  <c r="BZ78" i="5"/>
  <c r="AA167" i="5"/>
  <c r="AR166" i="5"/>
  <c r="M80" i="5"/>
  <c r="AJ78" i="5"/>
  <c r="P67" i="5"/>
  <c r="AC88" i="5"/>
  <c r="AM79" i="5"/>
  <c r="BX90" i="5"/>
  <c r="AR158" i="5"/>
  <c r="CF155" i="5"/>
  <c r="AK86" i="5"/>
  <c r="BZ166" i="5"/>
  <c r="X163" i="5"/>
  <c r="BN92" i="5"/>
  <c r="AP72" i="5"/>
  <c r="CI88" i="5"/>
  <c r="CC73" i="5"/>
  <c r="BE152" i="5"/>
  <c r="CI145" i="5"/>
  <c r="BB70" i="5"/>
  <c r="BB155" i="5"/>
  <c r="CD68" i="5"/>
  <c r="AK57" i="5"/>
  <c r="AQ150" i="5"/>
  <c r="BX78" i="5"/>
  <c r="CC71" i="5"/>
  <c r="BX145" i="5"/>
  <c r="Q71" i="5"/>
  <c r="CP73" i="5"/>
  <c r="AQ84" i="5"/>
  <c r="AH89" i="5"/>
  <c r="CP71" i="5"/>
  <c r="BK70" i="5"/>
  <c r="W163" i="5"/>
  <c r="CM84" i="5"/>
  <c r="AC59" i="5"/>
  <c r="BD143" i="5"/>
  <c r="CP152" i="5"/>
  <c r="CA80" i="5"/>
  <c r="AQ152" i="5"/>
  <c r="U77" i="5"/>
  <c r="BG166" i="5"/>
  <c r="AL166" i="5"/>
  <c r="V164" i="5"/>
  <c r="CA4" i="5"/>
  <c r="CP165" i="5"/>
  <c r="CM85" i="5"/>
  <c r="CP163" i="5"/>
  <c r="CN90" i="5"/>
  <c r="AQ90" i="5"/>
  <c r="CP155" i="5"/>
  <c r="AG163" i="5"/>
  <c r="CW155" i="5"/>
  <c r="AE86" i="5"/>
  <c r="BJ83" i="5"/>
  <c r="CW60" i="5"/>
  <c r="BL88" i="5"/>
  <c r="CW51" i="5"/>
  <c r="BF84" i="5"/>
  <c r="CW46" i="5"/>
  <c r="AK168" i="5"/>
  <c r="Z163" i="5"/>
  <c r="CO161" i="5"/>
  <c r="CW35" i="5"/>
  <c r="CD163" i="5"/>
  <c r="Z79" i="5"/>
  <c r="CK90" i="5"/>
  <c r="CC85" i="5"/>
  <c r="CI152" i="5"/>
  <c r="AC166" i="5"/>
  <c r="S95" i="5"/>
  <c r="CO85" i="5"/>
  <c r="AY78" i="5"/>
  <c r="CW17" i="5"/>
  <c r="P168" i="5"/>
  <c r="AP159" i="5"/>
  <c r="N152" i="5"/>
  <c r="CW103" i="5"/>
  <c r="BE155" i="5"/>
  <c r="AH158" i="5"/>
  <c r="BY149" i="5"/>
  <c r="AR92" i="5"/>
  <c r="AC80" i="5"/>
  <c r="CJ86" i="5"/>
  <c r="W151" i="5"/>
  <c r="BA161" i="5"/>
  <c r="BZ152" i="5"/>
  <c r="BB90" i="5"/>
  <c r="AL157" i="5"/>
  <c r="BO167" i="5"/>
  <c r="BJ151" i="5"/>
  <c r="BL147" i="5"/>
  <c r="AQ144" i="5"/>
  <c r="AQ82" i="5"/>
  <c r="Z92" i="5"/>
  <c r="BF160" i="5"/>
  <c r="R162" i="5"/>
  <c r="AF96" i="5"/>
  <c r="CJ158" i="5"/>
  <c r="AB91" i="5"/>
  <c r="CW130" i="5"/>
  <c r="CC87" i="5"/>
  <c r="BA73" i="5"/>
  <c r="CW77" i="5"/>
  <c r="AZ159" i="5"/>
  <c r="CK160" i="5"/>
  <c r="BI80" i="5"/>
  <c r="S96" i="5"/>
  <c r="AG164" i="5"/>
  <c r="M157" i="5"/>
  <c r="X82" i="5"/>
  <c r="BN166" i="5"/>
  <c r="CE96" i="5"/>
  <c r="AP157" i="5"/>
  <c r="BP84" i="5"/>
  <c r="BE95" i="5"/>
  <c r="P161" i="5"/>
  <c r="AH164" i="5"/>
  <c r="CW57" i="5"/>
  <c r="CF85" i="5"/>
  <c r="V148" i="5"/>
  <c r="BI157" i="5"/>
  <c r="M82" i="5"/>
  <c r="BQ80" i="5"/>
  <c r="AM164" i="5"/>
  <c r="Z161" i="5"/>
  <c r="CW127" i="5"/>
  <c r="AG91" i="5"/>
  <c r="CC168" i="5"/>
  <c r="AC164" i="5"/>
  <c r="CK75" i="5"/>
  <c r="BI87" i="5"/>
  <c r="BJ88" i="5"/>
  <c r="N73" i="5"/>
  <c r="BE80" i="5"/>
  <c r="BN57" i="5"/>
  <c r="BK160" i="5"/>
  <c r="BB67" i="5"/>
  <c r="CD151" i="5"/>
  <c r="AJ53" i="5"/>
  <c r="BZ90" i="5"/>
  <c r="CP153" i="5"/>
  <c r="BG150" i="5"/>
  <c r="X161" i="5"/>
  <c r="AG79" i="5"/>
  <c r="AY143" i="5"/>
  <c r="BG146" i="5"/>
  <c r="AR82" i="5"/>
  <c r="BJ82" i="5"/>
  <c r="R70" i="5"/>
  <c r="CM88" i="5"/>
  <c r="BX80" i="5"/>
  <c r="CA58" i="5"/>
  <c r="BQ65" i="5"/>
  <c r="S133" i="5"/>
  <c r="CE77" i="5"/>
  <c r="BF91" i="5"/>
  <c r="AZ162" i="5"/>
  <c r="CP95" i="5"/>
  <c r="AR87" i="5"/>
  <c r="BZ168" i="5"/>
  <c r="CN70" i="5"/>
  <c r="CM70" i="5"/>
  <c r="CE74" i="5"/>
  <c r="M78" i="5"/>
  <c r="AP78" i="5"/>
  <c r="CM141" i="5"/>
  <c r="CE168" i="5"/>
  <c r="BL150" i="5"/>
  <c r="AP79" i="5"/>
  <c r="AY136" i="5"/>
  <c r="CO166" i="5"/>
  <c r="BE147" i="5"/>
  <c r="AE151" i="5"/>
  <c r="CW18" i="5"/>
  <c r="BP88" i="5"/>
  <c r="BB71" i="5"/>
  <c r="Q66" i="5"/>
  <c r="CJ74" i="5"/>
  <c r="S81" i="5"/>
  <c r="AQ146" i="5"/>
  <c r="BN91" i="5"/>
  <c r="CD73" i="5"/>
  <c r="U58" i="5"/>
  <c r="AE139" i="5"/>
  <c r="AG138" i="5"/>
  <c r="P77" i="5"/>
  <c r="BZ167" i="5"/>
  <c r="AG161" i="5"/>
  <c r="BL82" i="5"/>
  <c r="CP4" i="5"/>
  <c r="BE92" i="5"/>
  <c r="CA160" i="5"/>
  <c r="AZ89" i="5"/>
  <c r="CE67" i="5"/>
  <c r="W86" i="5"/>
  <c r="AJ66" i="5"/>
  <c r="BD56" i="5"/>
  <c r="AB163" i="5"/>
  <c r="BJ156" i="5"/>
  <c r="BB148" i="5"/>
  <c r="K135" i="5"/>
  <c r="K165" i="5"/>
  <c r="CM160" i="5"/>
  <c r="AZ73" i="5"/>
  <c r="R165" i="5"/>
  <c r="AK83" i="5"/>
  <c r="BO82" i="5"/>
  <c r="CN65" i="5"/>
  <c r="BJ84" i="5"/>
  <c r="AY82" i="5"/>
  <c r="BN69" i="5"/>
  <c r="BL152" i="5"/>
  <c r="N61" i="5"/>
  <c r="R138" i="5"/>
  <c r="AQ141" i="5"/>
  <c r="BI129" i="5"/>
  <c r="BZ151" i="5"/>
  <c r="R80" i="5"/>
  <c r="BD82" i="5"/>
  <c r="AE168" i="5"/>
  <c r="CK95" i="5"/>
  <c r="AH91" i="5"/>
  <c r="BJ150" i="5"/>
  <c r="CF66" i="5"/>
  <c r="S66" i="5"/>
  <c r="BX155" i="5"/>
  <c r="AP148" i="5"/>
  <c r="CC139" i="5"/>
  <c r="CK92" i="5"/>
  <c r="X81" i="5"/>
  <c r="BN70" i="5"/>
  <c r="Z52" i="5"/>
  <c r="X95" i="5"/>
  <c r="K87" i="5"/>
  <c r="BO75" i="5"/>
  <c r="AP166" i="5"/>
  <c r="AK71" i="5"/>
  <c r="R143" i="5"/>
  <c r="M61" i="5"/>
  <c r="X156" i="5"/>
  <c r="AG75" i="5"/>
  <c r="CN140" i="5"/>
  <c r="BF77" i="5"/>
  <c r="N148" i="5"/>
  <c r="R147" i="5"/>
  <c r="CI55" i="5"/>
  <c r="AJ50" i="5"/>
  <c r="BL67" i="5"/>
  <c r="CK83" i="5"/>
  <c r="U153" i="5"/>
  <c r="BP90" i="5"/>
  <c r="AF165" i="5"/>
  <c r="AL156" i="5"/>
  <c r="AL161" i="5"/>
  <c r="R151" i="5"/>
  <c r="BN62" i="5"/>
  <c r="CD150" i="5"/>
  <c r="CM67" i="5"/>
  <c r="CK150" i="5"/>
  <c r="AG86" i="5"/>
  <c r="CN163" i="5"/>
  <c r="AM94" i="5"/>
  <c r="CM91" i="5"/>
  <c r="R92" i="5"/>
  <c r="CE81" i="5"/>
  <c r="R74" i="5"/>
  <c r="BG145" i="5"/>
  <c r="U91" i="5"/>
  <c r="AE147" i="5"/>
  <c r="BY59" i="5"/>
  <c r="BN150" i="5"/>
  <c r="AQ162" i="5"/>
  <c r="Q150" i="5"/>
  <c r="BE82" i="5"/>
  <c r="BJ60" i="5"/>
  <c r="AR89" i="5"/>
  <c r="S147" i="5"/>
  <c r="BP65" i="5"/>
  <c r="CM152" i="5"/>
  <c r="BI63" i="5"/>
  <c r="AR148" i="5"/>
  <c r="AY93" i="5"/>
  <c r="BX69" i="5"/>
  <c r="AR91" i="5"/>
  <c r="AO163" i="5"/>
  <c r="BI67" i="5"/>
  <c r="U151" i="5"/>
  <c r="BL52" i="5"/>
  <c r="BY133" i="5"/>
  <c r="AY134" i="5"/>
  <c r="AP153" i="5"/>
  <c r="CJ161" i="5"/>
  <c r="N53" i="5"/>
  <c r="BF145" i="5"/>
  <c r="AE91" i="5"/>
  <c r="CI96" i="5"/>
  <c r="AA165" i="5"/>
  <c r="CE163" i="5"/>
  <c r="AR165" i="5"/>
  <c r="Q92" i="5"/>
  <c r="BG154" i="5"/>
  <c r="W60" i="5"/>
  <c r="BE74" i="5"/>
  <c r="BA76" i="5"/>
  <c r="CH139" i="5"/>
  <c r="AZ165" i="5"/>
  <c r="BQ68" i="5"/>
  <c r="AO94" i="5"/>
  <c r="AC52" i="5"/>
  <c r="CW145" i="5"/>
  <c r="BZ72" i="5"/>
  <c r="CF79" i="5"/>
  <c r="AO63" i="5"/>
  <c r="M155" i="5"/>
  <c r="W73" i="5"/>
  <c r="CD146" i="5"/>
  <c r="BO151" i="5"/>
  <c r="CP62" i="5"/>
  <c r="CC146" i="5"/>
  <c r="AJ85" i="5"/>
  <c r="Z80" i="5"/>
  <c r="CJ139" i="5"/>
  <c r="CI142" i="5"/>
  <c r="BD50" i="5"/>
  <c r="AE164" i="5"/>
  <c r="U135" i="5"/>
  <c r="M94" i="5"/>
  <c r="BF78" i="5"/>
  <c r="BN149" i="5"/>
  <c r="CW67" i="5"/>
  <c r="K75" i="5"/>
  <c r="BA71" i="5"/>
  <c r="Z75" i="5"/>
  <c r="CD69" i="5"/>
  <c r="CJ52" i="5"/>
  <c r="AM153" i="5"/>
  <c r="BI75" i="5"/>
  <c r="BZ53" i="5"/>
  <c r="Z64" i="5"/>
  <c r="BO64" i="5"/>
  <c r="CD52" i="5"/>
  <c r="AK138" i="5"/>
  <c r="CF42" i="5"/>
  <c r="P78" i="5"/>
  <c r="BO131" i="5"/>
  <c r="BK55" i="5"/>
  <c r="CA130" i="5"/>
  <c r="BB149" i="5"/>
  <c r="BN55" i="5"/>
  <c r="Q64" i="5"/>
  <c r="CD70" i="5"/>
  <c r="CE130" i="5"/>
  <c r="BY154" i="5"/>
  <c r="BO147" i="5"/>
  <c r="U72" i="5"/>
  <c r="AH69" i="5"/>
  <c r="BE150" i="5"/>
  <c r="N138" i="5"/>
  <c r="V71" i="5"/>
  <c r="AK50" i="5"/>
  <c r="CE50" i="5"/>
  <c r="AZ137" i="5"/>
  <c r="CM140" i="5"/>
  <c r="AM64" i="5"/>
  <c r="BQ143" i="5"/>
  <c r="V144" i="5"/>
  <c r="AG54" i="5"/>
  <c r="CI53" i="5"/>
  <c r="BK94" i="5"/>
  <c r="CA68" i="5"/>
  <c r="N143" i="5"/>
  <c r="CK48" i="5"/>
  <c r="BO158" i="5"/>
  <c r="AA67" i="5"/>
  <c r="BQ147" i="5"/>
  <c r="W130" i="5"/>
  <c r="V56" i="5"/>
  <c r="BP44" i="5"/>
  <c r="BE120" i="5"/>
  <c r="Q43" i="5"/>
  <c r="CF61" i="5"/>
  <c r="CF133" i="5"/>
  <c r="BN34" i="5"/>
  <c r="BF140" i="5"/>
  <c r="BP75" i="5"/>
  <c r="P82" i="5"/>
  <c r="BP80" i="5"/>
  <c r="AY80" i="5"/>
  <c r="CP162" i="5"/>
  <c r="AK51" i="5"/>
  <c r="AY63" i="5"/>
  <c r="BB135" i="5"/>
  <c r="AL85" i="5"/>
  <c r="AH61" i="5"/>
  <c r="AL50" i="5"/>
  <c r="AL68" i="5"/>
  <c r="CO149" i="5"/>
  <c r="BO63" i="5"/>
  <c r="BG51" i="5"/>
  <c r="X46" i="5"/>
  <c r="AA73" i="5"/>
  <c r="AP69" i="5"/>
  <c r="BF143" i="5"/>
  <c r="AQ136" i="5"/>
  <c r="CA159" i="5"/>
  <c r="AC143" i="5"/>
  <c r="AZ51" i="5"/>
  <c r="BY143" i="5"/>
  <c r="CI132" i="5"/>
  <c r="BG36" i="5"/>
  <c r="AM21" i="5"/>
  <c r="M39" i="5"/>
  <c r="BA140" i="5"/>
  <c r="BB38" i="5"/>
  <c r="BG80" i="5"/>
  <c r="BD88" i="5"/>
  <c r="AR80" i="5"/>
  <c r="CJ148" i="5"/>
  <c r="P158" i="5"/>
  <c r="CF65" i="5"/>
  <c r="BO150" i="5"/>
  <c r="P54" i="5"/>
  <c r="CA150" i="5"/>
  <c r="AP136" i="5"/>
  <c r="CE143" i="5"/>
  <c r="BN138" i="5"/>
  <c r="AG73" i="5"/>
  <c r="AE79" i="5"/>
  <c r="U55" i="5"/>
  <c r="AH137" i="5"/>
  <c r="BB154" i="5"/>
  <c r="BQ67" i="5"/>
  <c r="L139" i="5"/>
  <c r="AY72" i="5"/>
  <c r="CM74" i="5"/>
  <c r="K64" i="5"/>
  <c r="CN61" i="5"/>
  <c r="BI60" i="5"/>
  <c r="AF56" i="5"/>
  <c r="CC120" i="5"/>
  <c r="BJ128" i="5"/>
  <c r="N125" i="5"/>
  <c r="CP61" i="5"/>
  <c r="BD123" i="5"/>
  <c r="BG134" i="5"/>
  <c r="N139" i="5"/>
  <c r="BG158" i="5"/>
  <c r="AM74" i="5"/>
  <c r="AE76" i="5"/>
  <c r="CW27" i="5"/>
  <c r="CJ81" i="5"/>
  <c r="AY47" i="5"/>
  <c r="AJ137" i="5"/>
  <c r="BI138" i="5"/>
  <c r="Q69" i="5"/>
  <c r="X145" i="5"/>
  <c r="Z53" i="5"/>
  <c r="BN136" i="5"/>
  <c r="N58" i="5"/>
  <c r="AY139" i="5"/>
  <c r="BX62" i="5"/>
  <c r="BP138" i="5"/>
  <c r="BK146" i="5"/>
  <c r="BD156" i="5"/>
  <c r="AZ50" i="5"/>
  <c r="Q51" i="5"/>
  <c r="CI63" i="5"/>
  <c r="BP61" i="5"/>
  <c r="BA142" i="5"/>
  <c r="BZ58" i="5"/>
  <c r="BZ128" i="5"/>
  <c r="BY85" i="5"/>
  <c r="AJ75" i="5"/>
  <c r="P69" i="5"/>
  <c r="BX71" i="5"/>
  <c r="CK65" i="5"/>
  <c r="R60" i="5"/>
  <c r="CE82" i="5"/>
  <c r="CM52" i="5"/>
  <c r="AR51" i="5"/>
  <c r="AR145" i="5"/>
  <c r="BP143" i="5"/>
  <c r="BA146" i="5"/>
  <c r="CA144" i="5"/>
  <c r="AZ138" i="5"/>
  <c r="L56" i="5"/>
  <c r="X65" i="5"/>
  <c r="BL58" i="5"/>
  <c r="BG142" i="5"/>
  <c r="BY55" i="5"/>
  <c r="BN61" i="5"/>
  <c r="BL47" i="5"/>
  <c r="W59" i="5"/>
  <c r="AM129" i="5"/>
  <c r="BK69" i="5"/>
  <c r="AJ52" i="5"/>
  <c r="K80" i="5"/>
  <c r="BO60" i="5"/>
  <c r="AJ153" i="5"/>
  <c r="AY91" i="5"/>
  <c r="AK70" i="5"/>
  <c r="CO79" i="5"/>
  <c r="CI147" i="5"/>
  <c r="BP147" i="5"/>
  <c r="Z136" i="5"/>
  <c r="BK77" i="5"/>
  <c r="CO141" i="5"/>
  <c r="S139" i="5"/>
  <c r="BB51" i="5"/>
  <c r="BO61" i="5"/>
  <c r="CJ50" i="5"/>
  <c r="AQ54" i="5"/>
  <c r="BP49" i="5"/>
  <c r="L78" i="5"/>
  <c r="X143" i="5"/>
  <c r="BF75" i="5"/>
  <c r="BG43" i="5"/>
  <c r="CC77" i="5"/>
  <c r="CI154" i="5"/>
  <c r="AO154" i="5"/>
  <c r="U75" i="5"/>
  <c r="CC59" i="5"/>
  <c r="M47" i="5"/>
  <c r="AH121" i="5"/>
  <c r="AJ129" i="5"/>
  <c r="BX37" i="5"/>
  <c r="CN131" i="5"/>
  <c r="CF128" i="5"/>
  <c r="P121" i="5"/>
  <c r="Q144" i="5"/>
  <c r="BL131" i="5"/>
  <c r="BG38" i="5"/>
  <c r="AA35" i="5"/>
  <c r="AA61" i="5"/>
  <c r="CA53" i="5"/>
  <c r="N44" i="5"/>
  <c r="AA116" i="5"/>
  <c r="BX142" i="5"/>
  <c r="BE53" i="5"/>
  <c r="AH123" i="5"/>
  <c r="AA124" i="5"/>
  <c r="R116" i="5"/>
  <c r="AC29" i="5"/>
  <c r="BG22" i="5"/>
  <c r="AC54" i="5"/>
  <c r="P110" i="5"/>
  <c r="AL111" i="5"/>
  <c r="BX75" i="5"/>
  <c r="BZ44" i="5"/>
  <c r="K62" i="5"/>
  <c r="U87" i="5"/>
  <c r="U95" i="5"/>
  <c r="BI91" i="5"/>
  <c r="Z162" i="5"/>
  <c r="AC165" i="5"/>
  <c r="BK84" i="5"/>
  <c r="X66" i="5"/>
  <c r="CH54" i="5"/>
  <c r="Q80" i="5"/>
  <c r="BX65" i="5"/>
  <c r="CF74" i="5"/>
  <c r="M84" i="5"/>
  <c r="AC153" i="5"/>
  <c r="BL71" i="5"/>
  <c r="CC149" i="5"/>
  <c r="CE87" i="5"/>
  <c r="BI76" i="5"/>
  <c r="BE86" i="5"/>
  <c r="CN168" i="5"/>
  <c r="AQ80" i="5"/>
  <c r="Z65" i="5"/>
  <c r="BZ50" i="5"/>
  <c r="BO79" i="5"/>
  <c r="BP68" i="5"/>
  <c r="CN156" i="5"/>
  <c r="BQ66" i="5"/>
  <c r="AG69" i="5"/>
  <c r="Q143" i="5"/>
  <c r="BP52" i="5"/>
  <c r="AM58" i="5"/>
  <c r="CI73" i="5"/>
  <c r="BO57" i="5"/>
  <c r="CM92" i="5"/>
  <c r="AF143" i="5"/>
  <c r="P61" i="5"/>
  <c r="AH156" i="5"/>
  <c r="CF73" i="5"/>
  <c r="AH63" i="5"/>
  <c r="R58" i="5"/>
  <c r="AH67" i="5"/>
  <c r="K53" i="5"/>
  <c r="CC140" i="5"/>
  <c r="BA67" i="5"/>
  <c r="AM140" i="5"/>
  <c r="AP51" i="5"/>
  <c r="AC83" i="5"/>
  <c r="AH140" i="5"/>
  <c r="R53" i="5"/>
  <c r="CC37" i="5"/>
  <c r="AZ61" i="5"/>
  <c r="W63" i="5"/>
  <c r="BK58" i="5"/>
  <c r="BB126" i="5"/>
  <c r="CI62" i="5"/>
  <c r="BZ59" i="5"/>
  <c r="BE134" i="5"/>
  <c r="BA141" i="5"/>
  <c r="U49" i="5"/>
  <c r="AM69" i="5"/>
  <c r="BZ63" i="5"/>
  <c r="AA143" i="5"/>
  <c r="CO75" i="5"/>
  <c r="X92" i="5"/>
  <c r="AB140" i="5"/>
  <c r="BP149" i="5"/>
  <c r="X136" i="5"/>
  <c r="P88" i="5"/>
  <c r="CA149" i="5"/>
  <c r="U69" i="5"/>
  <c r="BZ73" i="5"/>
  <c r="AA76" i="5"/>
  <c r="AA53" i="5"/>
  <c r="AC137" i="5"/>
  <c r="AJ126" i="5"/>
  <c r="BK151" i="5"/>
  <c r="CI72" i="5"/>
  <c r="BX58" i="5"/>
  <c r="S146" i="5"/>
  <c r="BL83" i="5"/>
  <c r="AY67" i="5"/>
  <c r="BZ65" i="5"/>
  <c r="AZ58" i="5"/>
  <c r="BO59" i="5"/>
  <c r="BZ46" i="5"/>
  <c r="BA119" i="5"/>
  <c r="Z44" i="5"/>
  <c r="Z59" i="5"/>
  <c r="BA123" i="5"/>
  <c r="BN121" i="5"/>
  <c r="AB68" i="5"/>
  <c r="V90" i="5"/>
  <c r="AM77" i="5"/>
  <c r="W82" i="5"/>
  <c r="BB59" i="5"/>
  <c r="BY82" i="5"/>
  <c r="CJ127" i="5"/>
  <c r="W148" i="5"/>
  <c r="CF83" i="5"/>
  <c r="BP71" i="5"/>
  <c r="CD58" i="5"/>
  <c r="S68" i="5"/>
  <c r="K56" i="5"/>
  <c r="BF64" i="5"/>
  <c r="AR62" i="5"/>
  <c r="AB50" i="5"/>
  <c r="CF126" i="5"/>
  <c r="CI68" i="5"/>
  <c r="AF136" i="5"/>
  <c r="BO135" i="5"/>
  <c r="Q139" i="5"/>
  <c r="AL74" i="5"/>
  <c r="AA144" i="5"/>
  <c r="BY142" i="5"/>
  <c r="AJ147" i="5"/>
  <c r="AG130" i="5"/>
  <c r="BB49" i="5"/>
  <c r="AL40" i="5"/>
  <c r="BJ134" i="5"/>
  <c r="N55" i="5"/>
  <c r="AF51" i="5"/>
  <c r="AM157" i="5"/>
  <c r="AY73" i="5"/>
  <c r="BD85" i="5"/>
  <c r="R63" i="5"/>
  <c r="BL155" i="5"/>
  <c r="BJ129" i="5"/>
  <c r="AO50" i="5"/>
  <c r="CP63" i="5"/>
  <c r="CK81" i="5"/>
  <c r="BQ148" i="5"/>
  <c r="AL138" i="5"/>
  <c r="U138" i="5"/>
  <c r="AE50" i="5"/>
  <c r="BN142" i="5"/>
  <c r="AL146" i="5"/>
  <c r="BK129" i="5"/>
  <c r="CD76" i="5"/>
  <c r="L65" i="5"/>
  <c r="AF63" i="5"/>
  <c r="L142" i="5"/>
  <c r="CK145" i="5"/>
  <c r="L148" i="5"/>
  <c r="BI140" i="5"/>
  <c r="BE61" i="5"/>
  <c r="BI58" i="5"/>
  <c r="BF44" i="5"/>
  <c r="AM42" i="5"/>
  <c r="AG36" i="5"/>
  <c r="BI132" i="5"/>
  <c r="M133" i="5"/>
  <c r="BO36" i="5"/>
  <c r="AM92" i="5"/>
  <c r="CF151" i="5"/>
  <c r="CH72" i="5"/>
  <c r="AE73" i="5"/>
  <c r="P151" i="5"/>
  <c r="AC74" i="5"/>
  <c r="AG85" i="5"/>
  <c r="CP50" i="5"/>
  <c r="CA71" i="5"/>
  <c r="K79" i="5"/>
  <c r="AY61" i="5"/>
  <c r="AA63" i="5"/>
  <c r="CO59" i="5"/>
  <c r="BK50" i="5"/>
  <c r="AK144" i="5"/>
  <c r="BQ47" i="5"/>
  <c r="BB140" i="5"/>
  <c r="BE66" i="5"/>
  <c r="CM60" i="5"/>
  <c r="BL55" i="5"/>
  <c r="AA58" i="5"/>
  <c r="BN88" i="5"/>
  <c r="S138" i="5"/>
  <c r="W64" i="5"/>
  <c r="BL77" i="5"/>
  <c r="CA40" i="5"/>
  <c r="CF69" i="5"/>
  <c r="R68" i="5"/>
  <c r="AL59" i="5"/>
  <c r="AZ141" i="5"/>
  <c r="BK143" i="5"/>
  <c r="AR50" i="5"/>
  <c r="M65" i="5"/>
  <c r="U51" i="5"/>
  <c r="BP167" i="5"/>
  <c r="BN68" i="5"/>
  <c r="M134" i="5"/>
  <c r="K59" i="5"/>
  <c r="AM150" i="5"/>
  <c r="BE153" i="5"/>
  <c r="AE53" i="5"/>
  <c r="AG136" i="5"/>
  <c r="BI82" i="5"/>
  <c r="CO139" i="5"/>
  <c r="AG67" i="5"/>
  <c r="AY55" i="5"/>
  <c r="W85" i="5"/>
  <c r="N50" i="5"/>
  <c r="BD138" i="5"/>
  <c r="BF52" i="5"/>
  <c r="S76" i="5"/>
  <c r="BD165" i="5"/>
  <c r="R65" i="5"/>
  <c r="AL168" i="5"/>
  <c r="AO82" i="5"/>
  <c r="CH79" i="5"/>
  <c r="BX61" i="5"/>
  <c r="AC73" i="5"/>
  <c r="BQ56" i="5"/>
  <c r="CP43" i="5"/>
  <c r="BI72" i="5"/>
  <c r="BG147" i="5"/>
  <c r="BZ55" i="5"/>
  <c r="S70" i="5"/>
  <c r="BA60" i="5"/>
  <c r="L136" i="5"/>
  <c r="CI50" i="5"/>
  <c r="Z128" i="5"/>
  <c r="W146" i="5"/>
  <c r="BZ145" i="5"/>
  <c r="BQ145" i="5"/>
  <c r="BB127" i="5"/>
  <c r="BY64" i="5"/>
  <c r="M83" i="5"/>
  <c r="CO136" i="5"/>
  <c r="W71" i="5"/>
  <c r="Z55" i="5"/>
  <c r="BN44" i="5"/>
  <c r="CD153" i="5"/>
  <c r="CD51" i="5"/>
  <c r="CF109" i="5"/>
  <c r="BF49" i="5"/>
  <c r="AQ138" i="5"/>
  <c r="S121" i="5"/>
  <c r="BK147" i="5"/>
  <c r="AL135" i="5"/>
  <c r="AP50" i="5"/>
  <c r="U32" i="5"/>
  <c r="AO146" i="5"/>
  <c r="BF38" i="5"/>
  <c r="AP138" i="5"/>
  <c r="Z118" i="5"/>
  <c r="CA61" i="5"/>
  <c r="BB130" i="5"/>
  <c r="BP129" i="5"/>
  <c r="AH117" i="5"/>
  <c r="N36" i="5"/>
  <c r="BG100" i="5"/>
  <c r="BB14" i="5"/>
  <c r="CP141" i="5"/>
  <c r="X36" i="5"/>
  <c r="AL144" i="5"/>
  <c r="AL75" i="5"/>
  <c r="BJ61" i="5"/>
  <c r="BA80" i="5"/>
  <c r="BK89" i="5"/>
  <c r="CK161" i="5"/>
  <c r="BY94" i="5"/>
  <c r="AC158" i="5"/>
  <c r="CD161" i="5"/>
  <c r="AA80" i="5"/>
  <c r="K66" i="5"/>
  <c r="AO65" i="5"/>
  <c r="AJ156" i="5"/>
  <c r="BQ138" i="5"/>
  <c r="CM156" i="5"/>
  <c r="CA70" i="5"/>
  <c r="CE76" i="5"/>
  <c r="X51" i="5"/>
  <c r="K158" i="5"/>
  <c r="CD154" i="5"/>
  <c r="BO70" i="5"/>
  <c r="AK87" i="5"/>
  <c r="CC80" i="5"/>
  <c r="BO149" i="5"/>
  <c r="BE144" i="5"/>
  <c r="CP150" i="5"/>
  <c r="X72" i="5"/>
  <c r="CP145" i="5"/>
  <c r="K148" i="5"/>
  <c r="CE58" i="5"/>
  <c r="V52" i="5"/>
  <c r="U139" i="5"/>
  <c r="CD46" i="5"/>
  <c r="N146" i="5"/>
  <c r="CJ143" i="5"/>
  <c r="W167" i="5"/>
  <c r="AH93" i="5"/>
  <c r="CH93" i="5"/>
  <c r="AB67" i="5"/>
  <c r="AC68" i="5"/>
  <c r="AO69" i="5"/>
  <c r="Z87" i="5"/>
  <c r="CJ138" i="5"/>
  <c r="Z49" i="5"/>
  <c r="BZ140" i="5"/>
  <c r="N56" i="5"/>
  <c r="BF54" i="5"/>
  <c r="U148" i="5"/>
  <c r="BI136" i="5"/>
  <c r="BY51" i="5"/>
  <c r="CI59" i="5"/>
  <c r="AH129" i="5"/>
  <c r="BF142" i="5"/>
  <c r="CN60" i="5"/>
  <c r="AB54" i="5"/>
  <c r="AO126" i="5"/>
  <c r="AB55" i="5"/>
  <c r="BZ137" i="5"/>
  <c r="AL49" i="5"/>
  <c r="AM146" i="5"/>
  <c r="AL43" i="5"/>
  <c r="AO52" i="5"/>
  <c r="BJ76" i="5"/>
  <c r="BI154" i="5"/>
  <c r="AC58" i="5"/>
  <c r="BY158" i="5"/>
  <c r="AQ46" i="5"/>
  <c r="BN141" i="5"/>
  <c r="CC48" i="5"/>
  <c r="AB74" i="5"/>
  <c r="AH59" i="5"/>
  <c r="CE147" i="5"/>
  <c r="CH58" i="5"/>
  <c r="BP58" i="5"/>
  <c r="AH145" i="5"/>
  <c r="AB62" i="5"/>
  <c r="N48" i="5"/>
  <c r="V150" i="5"/>
  <c r="CE139" i="5"/>
  <c r="BL64" i="5"/>
  <c r="CE51" i="5"/>
  <c r="L72" i="5"/>
  <c r="BY49" i="5"/>
  <c r="K141" i="5"/>
  <c r="BG129" i="5"/>
  <c r="V64" i="5"/>
  <c r="BK128" i="5"/>
  <c r="AG125" i="5"/>
  <c r="AM36" i="5"/>
  <c r="CF138" i="5"/>
  <c r="BB132" i="5"/>
  <c r="L39" i="5"/>
  <c r="CJ83" i="5"/>
  <c r="AG82" i="5"/>
  <c r="CC74" i="5"/>
  <c r="BK148" i="5"/>
  <c r="AY168" i="5"/>
  <c r="AF86" i="5"/>
  <c r="AH128" i="5"/>
  <c r="CO62" i="5"/>
  <c r="BY147" i="5"/>
  <c r="Q65" i="5"/>
  <c r="AZ71" i="5"/>
  <c r="X146" i="5"/>
  <c r="BP69" i="5"/>
  <c r="P62" i="5"/>
  <c r="CA57" i="5"/>
  <c r="R133" i="5"/>
  <c r="BK41" i="5"/>
  <c r="CA75" i="5"/>
  <c r="U146" i="5"/>
  <c r="BF65" i="5"/>
  <c r="BN63" i="5"/>
  <c r="CH73" i="5"/>
  <c r="BL69" i="5"/>
  <c r="P51" i="5"/>
  <c r="L155" i="5"/>
  <c r="AZ48" i="5"/>
  <c r="BB123" i="5"/>
  <c r="S32" i="5"/>
  <c r="AJ87" i="5"/>
  <c r="CA41" i="5"/>
  <c r="CW146" i="5"/>
  <c r="BG71" i="5"/>
  <c r="L75" i="5"/>
  <c r="BD67" i="5"/>
  <c r="CE166" i="5"/>
  <c r="AF66" i="5"/>
  <c r="AP131" i="5"/>
  <c r="N54" i="5"/>
  <c r="S141" i="5"/>
  <c r="CK89" i="5"/>
  <c r="AB59" i="5"/>
  <c r="AC55" i="5"/>
  <c r="BA51" i="5"/>
  <c r="CE146" i="5"/>
  <c r="AQ68" i="5"/>
  <c r="AQ49" i="5"/>
  <c r="BP39" i="5"/>
  <c r="U81" i="5"/>
  <c r="U76" i="5"/>
  <c r="BD141" i="5"/>
  <c r="BP59" i="5"/>
  <c r="R141" i="5"/>
  <c r="BQ70" i="5"/>
  <c r="CJ55" i="5"/>
  <c r="CH87" i="5"/>
  <c r="P37" i="5"/>
  <c r="BX35" i="5"/>
  <c r="P19" i="5"/>
  <c r="AR84" i="5"/>
  <c r="AK124" i="5"/>
  <c r="AY122" i="5"/>
  <c r="BZ36" i="5"/>
  <c r="CJ167" i="5"/>
  <c r="BA145" i="5"/>
  <c r="BB66" i="5"/>
  <c r="AM82" i="5"/>
  <c r="AE89" i="5"/>
  <c r="BZ57" i="5"/>
  <c r="BK83" i="5"/>
  <c r="CP143" i="5"/>
  <c r="AP61" i="5"/>
  <c r="BA149" i="5"/>
  <c r="AG59" i="5"/>
  <c r="CJ67" i="5"/>
  <c r="N57" i="5"/>
  <c r="BP145" i="5"/>
  <c r="AB53" i="5"/>
  <c r="CD136" i="5"/>
  <c r="BK56" i="5"/>
  <c r="BF153" i="5"/>
  <c r="AH65" i="5"/>
  <c r="R59" i="5"/>
  <c r="CC133" i="5"/>
  <c r="CA143" i="5"/>
  <c r="BG64" i="5"/>
  <c r="AH139" i="5"/>
  <c r="BE56" i="5"/>
  <c r="AP47" i="5"/>
  <c r="BA79" i="5"/>
  <c r="BO62" i="5"/>
  <c r="V142" i="5"/>
  <c r="N75" i="5"/>
  <c r="U152" i="5"/>
  <c r="CH52" i="5"/>
  <c r="AY135" i="5"/>
  <c r="BX52" i="5"/>
  <c r="CI158" i="5"/>
  <c r="BG148" i="5"/>
  <c r="BK142" i="5"/>
  <c r="BB57" i="5"/>
  <c r="BG78" i="5"/>
  <c r="BQ153" i="5"/>
  <c r="L149" i="5"/>
  <c r="BZ52" i="5"/>
  <c r="AP154" i="5"/>
  <c r="BN58" i="5"/>
  <c r="BJ74" i="5"/>
  <c r="AC66" i="5"/>
  <c r="R81" i="5"/>
  <c r="CJ145" i="5"/>
  <c r="AK72" i="5"/>
  <c r="BJ139" i="5"/>
  <c r="M52" i="5"/>
  <c r="CW164" i="5"/>
  <c r="CH80" i="5"/>
  <c r="L147" i="5"/>
  <c r="S74" i="5"/>
  <c r="CA87" i="5"/>
  <c r="AO49" i="5"/>
  <c r="BP67" i="5"/>
  <c r="CF58" i="5"/>
  <c r="BF136" i="5"/>
  <c r="CD61" i="5"/>
  <c r="AJ136" i="5"/>
  <c r="BY129" i="5"/>
  <c r="CA77" i="5"/>
  <c r="Z61" i="5"/>
  <c r="CD74" i="5"/>
  <c r="AY50" i="5"/>
  <c r="W53" i="5"/>
  <c r="BY61" i="5"/>
  <c r="Q60" i="5"/>
  <c r="CA146" i="5"/>
  <c r="V141" i="5"/>
  <c r="AM59" i="5"/>
  <c r="S80" i="5"/>
  <c r="AL51" i="5"/>
  <c r="CE145" i="5"/>
  <c r="P52" i="5"/>
  <c r="AA127" i="5"/>
  <c r="BI142" i="5"/>
  <c r="CP131" i="5"/>
  <c r="V42" i="5"/>
  <c r="CJ43" i="5"/>
  <c r="CA127" i="5"/>
  <c r="AJ41" i="5"/>
  <c r="W143" i="5"/>
  <c r="V122" i="5"/>
  <c r="AH37" i="5"/>
  <c r="BJ30" i="5"/>
  <c r="AY54" i="5"/>
  <c r="BA54" i="5"/>
  <c r="V36" i="5"/>
  <c r="BO31" i="5"/>
  <c r="CC135" i="5"/>
  <c r="BG52" i="5"/>
  <c r="AL24" i="5"/>
  <c r="AG127" i="5"/>
  <c r="AM39" i="5"/>
  <c r="BL26" i="5"/>
  <c r="CJ44" i="5"/>
  <c r="Q44" i="5"/>
  <c r="AE141" i="5"/>
  <c r="X78" i="5"/>
  <c r="N145" i="5"/>
  <c r="BK92" i="5"/>
  <c r="AP165" i="5"/>
  <c r="X93" i="5"/>
  <c r="CO81" i="5"/>
  <c r="AE82" i="5"/>
  <c r="AP86" i="5"/>
  <c r="CO78" i="5"/>
  <c r="BX166" i="5"/>
  <c r="AK80" i="5"/>
  <c r="CC65" i="5"/>
  <c r="Z145" i="5"/>
  <c r="AC152" i="5"/>
  <c r="AE81" i="5"/>
  <c r="BI85" i="5"/>
  <c r="BN140" i="5"/>
  <c r="CH91" i="5"/>
  <c r="CI82" i="5"/>
  <c r="BP82" i="5"/>
  <c r="Z77" i="5"/>
  <c r="BX153" i="5"/>
  <c r="CK72" i="5"/>
  <c r="BP134" i="5"/>
  <c r="BG85" i="5"/>
  <c r="BK67" i="5"/>
  <c r="AP66" i="5"/>
  <c r="BL78" i="5"/>
  <c r="BQ144" i="5"/>
  <c r="CH145" i="5"/>
  <c r="CN135" i="5"/>
  <c r="AJ140" i="5"/>
  <c r="BO154" i="5"/>
  <c r="CJ53" i="5"/>
  <c r="CP161" i="5"/>
  <c r="AZ78" i="5"/>
  <c r="BD81" i="5"/>
  <c r="BZ86" i="5"/>
  <c r="CE62" i="5"/>
  <c r="P140" i="5"/>
  <c r="AF152" i="5"/>
  <c r="AL149" i="5"/>
  <c r="AL53" i="5"/>
  <c r="W56" i="5"/>
  <c r="BL57" i="5"/>
  <c r="AE127" i="5"/>
  <c r="BI64" i="5"/>
  <c r="AQ59" i="5"/>
  <c r="BB69" i="5"/>
  <c r="N142" i="5"/>
  <c r="BF43" i="5"/>
  <c r="AP80" i="5"/>
  <c r="CI144" i="5"/>
  <c r="AF61" i="5"/>
  <c r="AR43" i="5"/>
  <c r="AJ63" i="5"/>
  <c r="CM136" i="5"/>
  <c r="AJ138" i="5"/>
  <c r="CD59" i="5"/>
  <c r="CJ155" i="5"/>
  <c r="BD75" i="5"/>
  <c r="P148" i="5"/>
  <c r="V80" i="5"/>
  <c r="AG92" i="5"/>
  <c r="AB80" i="5"/>
  <c r="BQ132" i="5"/>
  <c r="AM138" i="5"/>
  <c r="BA137" i="5"/>
  <c r="AG65" i="5"/>
  <c r="BK51" i="5"/>
  <c r="W135" i="5"/>
  <c r="AY53" i="5"/>
  <c r="AC145" i="5"/>
  <c r="AQ75" i="5"/>
  <c r="AM131" i="5"/>
  <c r="AK30" i="5"/>
  <c r="BG60" i="5"/>
  <c r="AK81" i="5"/>
  <c r="CI75" i="5"/>
  <c r="CN59" i="5"/>
  <c r="CK151" i="5"/>
  <c r="BI57" i="5"/>
  <c r="CE135" i="5"/>
  <c r="K54" i="5"/>
  <c r="AG137" i="5"/>
  <c r="BP45" i="5"/>
  <c r="BX113" i="5"/>
  <c r="W87" i="5"/>
  <c r="CK49" i="5"/>
  <c r="AQ122" i="5"/>
  <c r="CO37" i="5"/>
  <c r="AA156" i="5"/>
  <c r="BI89" i="5"/>
  <c r="BX54" i="5"/>
  <c r="BJ85" i="5"/>
  <c r="AB76" i="5"/>
  <c r="CE66" i="5"/>
  <c r="AK143" i="5"/>
  <c r="AE136" i="5"/>
  <c r="V60" i="5"/>
  <c r="K83" i="5"/>
  <c r="BE59" i="5"/>
  <c r="CP58" i="5"/>
  <c r="P141" i="5"/>
  <c r="AZ63" i="5"/>
  <c r="BJ51" i="5"/>
  <c r="L54" i="5"/>
  <c r="CA43" i="5"/>
  <c r="AZ81" i="5"/>
  <c r="W152" i="5"/>
  <c r="BB65" i="5"/>
  <c r="AG66" i="5"/>
  <c r="P90" i="5"/>
  <c r="AA150" i="5"/>
  <c r="BO142" i="5"/>
  <c r="BO146" i="5"/>
  <c r="BB45" i="5"/>
  <c r="AM54" i="5"/>
  <c r="AZ34" i="5"/>
  <c r="BE78" i="5"/>
  <c r="BA47" i="5"/>
  <c r="W94" i="5"/>
  <c r="BJ80" i="5"/>
  <c r="BX148" i="5"/>
  <c r="AH153" i="5"/>
  <c r="AK74" i="5"/>
  <c r="CK146" i="5"/>
  <c r="AR69" i="5"/>
  <c r="M139" i="5"/>
  <c r="CF56" i="5"/>
  <c r="AR153" i="5"/>
  <c r="AY146" i="5"/>
  <c r="CM75" i="5"/>
  <c r="BA138" i="5"/>
  <c r="CM64" i="5"/>
  <c r="BQ59" i="5"/>
  <c r="AL140" i="5"/>
  <c r="BF46" i="5"/>
  <c r="CK69" i="5"/>
  <c r="M58" i="5"/>
  <c r="AO71" i="5"/>
  <c r="S50" i="5"/>
  <c r="AJ82" i="5"/>
  <c r="AG146" i="5"/>
  <c r="AG62" i="5"/>
  <c r="AY145" i="5"/>
  <c r="AB136" i="5"/>
  <c r="AF130" i="5"/>
  <c r="CA113" i="5"/>
  <c r="AA137" i="5"/>
  <c r="CC128" i="5"/>
  <c r="CK47" i="5"/>
  <c r="CP132" i="5"/>
  <c r="BL75" i="5"/>
  <c r="CN139" i="5"/>
  <c r="BL164" i="5"/>
  <c r="X149" i="5"/>
  <c r="CJ79" i="5"/>
  <c r="AL61" i="5"/>
  <c r="CI133" i="5"/>
  <c r="BD58" i="5"/>
  <c r="BJ144" i="5"/>
  <c r="AL62" i="5"/>
  <c r="CA69" i="5"/>
  <c r="BG54" i="5"/>
  <c r="BF164" i="5"/>
  <c r="AP62" i="5"/>
  <c r="CH56" i="5"/>
  <c r="AC56" i="5"/>
  <c r="AG132" i="5"/>
  <c r="BK53" i="5"/>
  <c r="BL149" i="5"/>
  <c r="CJ69" i="5"/>
  <c r="BY136" i="5"/>
  <c r="CK61" i="5"/>
  <c r="BL140" i="5"/>
  <c r="CO134" i="5"/>
  <c r="CF67" i="5"/>
  <c r="X138" i="5"/>
  <c r="AR77" i="5"/>
  <c r="CA73" i="5"/>
  <c r="AM154" i="5"/>
  <c r="AL164" i="5"/>
  <c r="CK79" i="5"/>
  <c r="AL45" i="5"/>
  <c r="AA140" i="5"/>
  <c r="BB137" i="5"/>
  <c r="CH75" i="5"/>
  <c r="AK53" i="5"/>
  <c r="CO56" i="5"/>
  <c r="AL47" i="5"/>
  <c r="CA138" i="5"/>
  <c r="CF49" i="5"/>
  <c r="BA143" i="5"/>
  <c r="K130" i="5"/>
  <c r="BL145" i="5"/>
  <c r="W147" i="5"/>
  <c r="BF67" i="5"/>
  <c r="M72" i="5"/>
  <c r="BJ68" i="5"/>
  <c r="V66" i="5"/>
  <c r="CN56" i="5"/>
  <c r="AO56" i="5"/>
  <c r="AA45" i="5"/>
  <c r="AO78" i="5"/>
  <c r="CF78" i="5"/>
  <c r="AO84" i="5"/>
  <c r="BQ72" i="5"/>
  <c r="Q79" i="5"/>
  <c r="CH140" i="5"/>
  <c r="CP74" i="5"/>
  <c r="Z54" i="5"/>
  <c r="BE44" i="5"/>
  <c r="BP142" i="5"/>
  <c r="V139" i="5"/>
  <c r="CD63" i="5"/>
  <c r="CA66" i="5"/>
  <c r="AK67" i="5"/>
  <c r="Z141" i="5"/>
  <c r="Q77" i="5"/>
  <c r="U127" i="5"/>
  <c r="CA60" i="5"/>
  <c r="AZ56" i="5"/>
  <c r="BA144" i="5"/>
  <c r="AR126" i="5"/>
  <c r="CO152" i="5"/>
  <c r="CI93" i="5"/>
  <c r="AK128" i="5"/>
  <c r="V145" i="5"/>
  <c r="CA129" i="5"/>
  <c r="V31" i="5"/>
  <c r="BB58" i="5"/>
  <c r="AR37" i="5"/>
  <c r="CD119" i="5"/>
  <c r="BQ50" i="5"/>
  <c r="AC45" i="5"/>
  <c r="AE43" i="5"/>
  <c r="M46" i="5"/>
  <c r="AG50" i="5"/>
  <c r="CN31" i="5"/>
  <c r="AO123" i="5"/>
  <c r="CJ59" i="5"/>
  <c r="CK50" i="5"/>
  <c r="R124" i="5"/>
  <c r="BL43" i="5"/>
  <c r="CM51" i="5"/>
  <c r="AR129" i="5"/>
  <c r="AG147" i="5"/>
  <c r="V114" i="5"/>
  <c r="CK36" i="5"/>
  <c r="AH110" i="5"/>
  <c r="AB43" i="5"/>
  <c r="M116" i="5"/>
  <c r="K137" i="5"/>
  <c r="Q76" i="5"/>
  <c r="AM76" i="5"/>
  <c r="AE93" i="5"/>
  <c r="CW141" i="5"/>
  <c r="AJ89" i="5"/>
  <c r="D220" i="6"/>
  <c r="AC92" i="5"/>
  <c r="CC154" i="5"/>
  <c r="BA72" i="5"/>
  <c r="AC90" i="5"/>
  <c r="AO164" i="5"/>
  <c r="BZ148" i="5"/>
  <c r="BX138" i="5"/>
  <c r="AY153" i="5"/>
  <c r="U154" i="5"/>
  <c r="Q72" i="5"/>
  <c r="Z51" i="5"/>
  <c r="BQ86" i="5"/>
  <c r="BN162" i="5"/>
  <c r="CA76" i="5"/>
  <c r="K156" i="5"/>
  <c r="AY163" i="5"/>
  <c r="AQ154" i="5"/>
  <c r="L167" i="5"/>
  <c r="V82" i="5"/>
  <c r="S71" i="5"/>
  <c r="BJ55" i="5"/>
  <c r="R76" i="5"/>
  <c r="AP54" i="5"/>
  <c r="CF140" i="5"/>
  <c r="BD135" i="5"/>
  <c r="BY45" i="5"/>
  <c r="AF144" i="5"/>
  <c r="P145" i="5"/>
  <c r="AY71" i="5"/>
  <c r="Z69" i="5"/>
  <c r="AH75" i="5"/>
  <c r="BF86" i="5"/>
  <c r="R77" i="5"/>
  <c r="CH60" i="5"/>
  <c r="BA57" i="5"/>
  <c r="V63" i="5"/>
  <c r="CF52" i="5"/>
  <c r="AR63" i="5"/>
  <c r="AR57" i="5"/>
  <c r="CF142" i="5"/>
  <c r="AM148" i="5"/>
  <c r="BQ61" i="5"/>
  <c r="M64" i="5"/>
  <c r="AQ139" i="5"/>
  <c r="R93" i="5"/>
  <c r="CI148" i="5"/>
  <c r="CA133" i="5"/>
  <c r="BK132" i="5"/>
  <c r="CW121" i="5"/>
  <c r="AH144" i="5"/>
  <c r="CJ136" i="5"/>
  <c r="AM127" i="5"/>
  <c r="AB66" i="5"/>
  <c r="CE151" i="5"/>
  <c r="CM62" i="5"/>
  <c r="AL141" i="5"/>
  <c r="BQ160" i="5"/>
  <c r="BX157" i="5"/>
  <c r="BL60" i="5"/>
  <c r="AL88" i="5"/>
  <c r="CP54" i="5"/>
  <c r="Z126" i="5"/>
  <c r="Q63" i="5"/>
  <c r="Q145" i="5"/>
  <c r="Q151" i="5"/>
  <c r="BG141" i="5"/>
  <c r="AG63" i="5"/>
  <c r="M66" i="5"/>
  <c r="BF57" i="5"/>
  <c r="CP130" i="5"/>
  <c r="CP75" i="5"/>
  <c r="V143" i="5"/>
  <c r="P60" i="5"/>
  <c r="CI135" i="5"/>
  <c r="CJ57" i="5"/>
  <c r="CA81" i="5"/>
  <c r="X54" i="5"/>
  <c r="BP78" i="5"/>
  <c r="BQ46" i="5"/>
  <c r="AK129" i="5"/>
  <c r="U47" i="5"/>
  <c r="BF158" i="5"/>
  <c r="V48" i="5"/>
  <c r="BZ54" i="5"/>
  <c r="AQ43" i="5"/>
  <c r="U160" i="5"/>
  <c r="AA142" i="5"/>
  <c r="CJ64" i="5"/>
  <c r="CI149" i="5"/>
  <c r="K84" i="5"/>
  <c r="CC64" i="5"/>
  <c r="AB63" i="5"/>
  <c r="AQ142" i="5"/>
  <c r="CN145" i="5"/>
  <c r="Q68" i="5"/>
  <c r="AK151" i="5"/>
  <c r="AB142" i="5"/>
  <c r="CW150" i="5"/>
  <c r="AO68" i="5"/>
  <c r="CP53" i="5"/>
  <c r="AY128" i="5"/>
  <c r="BF40" i="5"/>
  <c r="AB138" i="5"/>
  <c r="AL76" i="5"/>
  <c r="AQ57" i="5"/>
  <c r="N132" i="5"/>
  <c r="AO59" i="5"/>
  <c r="BY138" i="5"/>
  <c r="AK133" i="5"/>
  <c r="CP70" i="5"/>
  <c r="BY131" i="5"/>
  <c r="X44" i="5"/>
  <c r="M30" i="5"/>
  <c r="M54" i="5"/>
  <c r="L57" i="5"/>
  <c r="N95" i="5"/>
  <c r="N72" i="5"/>
  <c r="V146" i="5"/>
  <c r="AJ96" i="5"/>
  <c r="W76" i="5"/>
  <c r="CA55" i="5"/>
  <c r="W61" i="5"/>
  <c r="CJ75" i="5"/>
  <c r="V132" i="5"/>
  <c r="AQ60" i="5"/>
  <c r="CM142" i="5"/>
  <c r="AO57" i="5"/>
  <c r="AE95" i="5"/>
  <c r="AL72" i="5"/>
  <c r="U74" i="5"/>
  <c r="AH130" i="5"/>
  <c r="BK124" i="5"/>
  <c r="CJ137" i="5"/>
  <c r="CJ51" i="5"/>
  <c r="CI137" i="5"/>
  <c r="W51" i="5"/>
  <c r="CI140" i="5"/>
  <c r="AY59" i="5"/>
  <c r="CE61" i="5"/>
  <c r="AK84" i="5"/>
  <c r="BA52" i="5"/>
  <c r="BB52" i="5"/>
  <c r="CA34" i="5"/>
  <c r="AA59" i="5"/>
  <c r="BZ56" i="5"/>
  <c r="AH45" i="5"/>
  <c r="BJ131" i="5"/>
  <c r="CW160" i="5"/>
  <c r="CJ94" i="5"/>
  <c r="AB168" i="5"/>
  <c r="BJ152" i="5"/>
  <c r="X67" i="5"/>
  <c r="CP57" i="5"/>
  <c r="AQ71" i="5"/>
  <c r="BN50" i="5"/>
  <c r="BB142" i="5"/>
  <c r="BX72" i="5"/>
  <c r="BI54" i="5"/>
  <c r="AJ139" i="5"/>
  <c r="N81" i="5"/>
  <c r="AJ67" i="5"/>
  <c r="W52" i="5"/>
  <c r="AM134" i="5"/>
  <c r="S132" i="5"/>
  <c r="Q140" i="5"/>
  <c r="CF64" i="5"/>
  <c r="BZ141" i="5"/>
  <c r="Q132" i="5"/>
  <c r="N150" i="5"/>
  <c r="AJ55" i="5"/>
  <c r="CJ146" i="5"/>
  <c r="AL65" i="5"/>
  <c r="BB152" i="5"/>
  <c r="BK65" i="5"/>
  <c r="CJ61" i="5"/>
  <c r="AO140" i="5"/>
  <c r="AH155" i="5"/>
  <c r="V68" i="5"/>
  <c r="BI95" i="5"/>
  <c r="AZ128" i="5"/>
  <c r="AC138" i="5"/>
  <c r="CM63" i="5"/>
  <c r="CK64" i="5"/>
  <c r="AQ147" i="5"/>
  <c r="BY58" i="5"/>
  <c r="AP145" i="5"/>
  <c r="AO144" i="5"/>
  <c r="AK59" i="5"/>
  <c r="BP51" i="5"/>
  <c r="CH152" i="5"/>
  <c r="BD51" i="5"/>
  <c r="AY57" i="5"/>
  <c r="AL142" i="5"/>
  <c r="AO155" i="5"/>
  <c r="AR137" i="5"/>
  <c r="AG135" i="5"/>
  <c r="BF150" i="5"/>
  <c r="BK134" i="5"/>
  <c r="AG80" i="5"/>
  <c r="CI76" i="5"/>
  <c r="R155" i="5"/>
  <c r="U70" i="5"/>
  <c r="AO58" i="5"/>
  <c r="BN51" i="5"/>
  <c r="BI163" i="5"/>
  <c r="BK59" i="5"/>
  <c r="U96" i="5"/>
  <c r="BY148" i="5"/>
  <c r="AR45" i="5"/>
  <c r="AM49" i="5"/>
  <c r="CI74" i="5"/>
  <c r="P139" i="5"/>
  <c r="AB69" i="5"/>
  <c r="CI66" i="5"/>
  <c r="AK95" i="5"/>
  <c r="BG55" i="5"/>
  <c r="L59" i="5"/>
  <c r="AR136" i="5"/>
  <c r="K74" i="5"/>
  <c r="CO63" i="5"/>
  <c r="R84" i="5"/>
  <c r="N70" i="5"/>
  <c r="CF60" i="5"/>
  <c r="N126" i="5"/>
  <c r="BB116" i="5"/>
  <c r="BA58" i="5"/>
  <c r="BD133" i="5"/>
  <c r="CC76" i="5"/>
  <c r="AY118" i="5"/>
  <c r="CF51" i="5"/>
  <c r="CI92" i="5"/>
  <c r="AH120" i="5"/>
  <c r="Q121" i="5"/>
  <c r="CJ114" i="5"/>
  <c r="CE126" i="5"/>
  <c r="BJ138" i="5"/>
  <c r="BJ117" i="5"/>
  <c r="CP117" i="5"/>
  <c r="V127" i="5"/>
  <c r="CK134" i="5"/>
  <c r="BF134" i="5"/>
  <c r="P147" i="5"/>
  <c r="AH105" i="5"/>
  <c r="Q41" i="5"/>
  <c r="CC23" i="5"/>
  <c r="AE23" i="5"/>
  <c r="CA108" i="5"/>
  <c r="AZ136" i="5"/>
  <c r="AY23" i="5"/>
  <c r="BO136" i="5"/>
  <c r="BG70" i="5"/>
  <c r="Q142" i="5"/>
  <c r="CE93" i="5"/>
  <c r="CA152" i="5"/>
  <c r="AH68" i="5"/>
  <c r="P167" i="5"/>
  <c r="BQ96" i="5"/>
  <c r="K76" i="5"/>
  <c r="CD159" i="5"/>
  <c r="BF149" i="5"/>
  <c r="CN69" i="5"/>
  <c r="AG78" i="5"/>
  <c r="AO149" i="5"/>
  <c r="AL151" i="5"/>
  <c r="AQ73" i="5"/>
  <c r="BX66" i="5"/>
  <c r="CH63" i="5"/>
  <c r="CE73" i="5"/>
  <c r="CH67" i="5"/>
  <c r="AF78" i="5"/>
  <c r="Q73" i="5"/>
  <c r="S69" i="5"/>
  <c r="AP58" i="5"/>
  <c r="AR163" i="5"/>
  <c r="V153" i="5"/>
  <c r="AJ73" i="5"/>
  <c r="AR160" i="5"/>
  <c r="BD76" i="5"/>
  <c r="R137" i="5"/>
  <c r="BX143" i="5"/>
  <c r="CE141" i="5"/>
  <c r="BG50" i="5"/>
  <c r="BE68" i="5"/>
  <c r="BX139" i="5"/>
  <c r="W78" i="5"/>
  <c r="BO144" i="5"/>
  <c r="AQ65" i="5"/>
  <c r="CM69" i="5"/>
  <c r="BL168" i="5"/>
  <c r="AY138" i="5"/>
  <c r="CE149" i="5"/>
  <c r="CJ65" i="5"/>
  <c r="Z81" i="5"/>
  <c r="BK141" i="5"/>
  <c r="AH53" i="5"/>
  <c r="BL130" i="5"/>
  <c r="AJ141" i="5"/>
  <c r="AE74" i="5"/>
  <c r="BF144" i="5"/>
  <c r="M53" i="5"/>
  <c r="AY96" i="5"/>
  <c r="BL144" i="5"/>
  <c r="CD143" i="5"/>
  <c r="BK137" i="5"/>
  <c r="W74" i="5"/>
  <c r="X62" i="5"/>
  <c r="CH53" i="5"/>
  <c r="CE59" i="5"/>
  <c r="P136" i="5"/>
  <c r="R152" i="5"/>
  <c r="BO74" i="5"/>
  <c r="AF59" i="5"/>
  <c r="AC70" i="5"/>
  <c r="CE83" i="5"/>
  <c r="P59" i="5"/>
  <c r="AF58" i="5"/>
  <c r="AH56" i="5"/>
  <c r="BD134" i="5"/>
  <c r="BD84" i="5"/>
  <c r="AP152" i="5"/>
  <c r="BD94" i="5"/>
  <c r="AM165" i="5"/>
  <c r="V67" i="5"/>
  <c r="S45" i="5"/>
  <c r="W137" i="5"/>
  <c r="AF114" i="5"/>
  <c r="CI143" i="5"/>
  <c r="AG148" i="5"/>
  <c r="Q55" i="5"/>
  <c r="CK57" i="5"/>
  <c r="BP135" i="5"/>
  <c r="AG143" i="5"/>
  <c r="V61" i="5"/>
  <c r="CO72" i="5"/>
  <c r="S127" i="5"/>
  <c r="AK132" i="5"/>
  <c r="AP43" i="5"/>
  <c r="CE148" i="5"/>
  <c r="CN55" i="5"/>
  <c r="AM53" i="5"/>
  <c r="AP27" i="5"/>
  <c r="CD162" i="5"/>
  <c r="N90" i="5"/>
  <c r="BQ95" i="5"/>
  <c r="AM151" i="5"/>
  <c r="CP151" i="5"/>
  <c r="BJ62" i="5"/>
  <c r="CD141" i="5"/>
  <c r="BP56" i="5"/>
  <c r="CM55" i="5"/>
  <c r="AC148" i="5"/>
  <c r="CM138" i="5"/>
  <c r="BI144" i="5"/>
  <c r="BQ73" i="5"/>
  <c r="AF79" i="5"/>
  <c r="BE135" i="5"/>
  <c r="BJ65" i="5"/>
  <c r="AC130" i="5"/>
  <c r="AE140" i="5"/>
  <c r="AO62" i="5"/>
  <c r="AM47" i="5"/>
  <c r="CD139" i="5"/>
  <c r="CN134" i="5"/>
  <c r="CM145" i="5"/>
  <c r="AC134" i="5"/>
  <c r="AF151" i="5"/>
  <c r="AG126" i="5"/>
  <c r="AM135" i="5"/>
  <c r="Q37" i="5"/>
  <c r="AQ140" i="5"/>
  <c r="AG134" i="5"/>
  <c r="CK158" i="5"/>
  <c r="BJ154" i="5"/>
  <c r="BB158" i="5"/>
  <c r="BD151" i="5"/>
  <c r="CN85" i="5"/>
  <c r="BJ49" i="5"/>
  <c r="AP74" i="5"/>
  <c r="BP70" i="5"/>
  <c r="AO54" i="5"/>
  <c r="CM58" i="5"/>
  <c r="AY137" i="5"/>
  <c r="CH65" i="5"/>
  <c r="BY69" i="5"/>
  <c r="AJ59" i="5"/>
  <c r="BG143" i="5"/>
  <c r="CF141" i="5"/>
  <c r="CF134" i="5"/>
  <c r="AZ55" i="5"/>
  <c r="CC141" i="5"/>
  <c r="BG138" i="5"/>
  <c r="P133" i="5"/>
  <c r="CH142" i="5"/>
  <c r="BP57" i="5"/>
  <c r="CN149" i="5"/>
  <c r="AF71" i="5"/>
  <c r="CP136" i="5"/>
  <c r="BY128" i="5"/>
  <c r="BJ46" i="5"/>
  <c r="AA51" i="5"/>
  <c r="AC47" i="5"/>
  <c r="L49" i="5"/>
  <c r="CI29" i="5"/>
  <c r="AL87" i="5"/>
  <c r="S82" i="5"/>
  <c r="BN84" i="5"/>
  <c r="BQ154" i="5"/>
  <c r="BA148" i="5"/>
  <c r="BX53" i="5"/>
  <c r="W139" i="5"/>
  <c r="AO55" i="5"/>
  <c r="S55" i="5"/>
  <c r="CH57" i="5"/>
  <c r="BJ140" i="5"/>
  <c r="BP136" i="5"/>
  <c r="AR149" i="5"/>
  <c r="M143" i="5"/>
  <c r="BF141" i="5"/>
  <c r="AR59" i="5"/>
  <c r="W46" i="5"/>
  <c r="CC56" i="5"/>
  <c r="AG141" i="5"/>
  <c r="R146" i="5"/>
  <c r="X135" i="5"/>
  <c r="BQ136" i="5"/>
  <c r="AA50" i="5"/>
  <c r="BY137" i="5"/>
  <c r="BY144" i="5"/>
  <c r="BD164" i="5"/>
  <c r="CH149" i="5"/>
  <c r="S135" i="5"/>
  <c r="AC163" i="5"/>
  <c r="AC151" i="5"/>
  <c r="W54" i="5"/>
  <c r="BX73" i="5"/>
  <c r="AQ52" i="5"/>
  <c r="CM135" i="5"/>
  <c r="BA81" i="5"/>
  <c r="AP57" i="5"/>
  <c r="BN59" i="5"/>
  <c r="CH47" i="5"/>
  <c r="CN132" i="5"/>
  <c r="BF63" i="5"/>
  <c r="X64" i="5"/>
  <c r="CM46" i="5"/>
  <c r="M149" i="5"/>
  <c r="V65" i="5"/>
  <c r="BD142" i="5"/>
  <c r="AC44" i="5"/>
  <c r="Q57" i="5"/>
  <c r="R148" i="5"/>
  <c r="AP65" i="5"/>
  <c r="AP146" i="5"/>
  <c r="CD33" i="5"/>
  <c r="X68" i="5"/>
  <c r="K67" i="5"/>
  <c r="AE159" i="5"/>
  <c r="BQ146" i="5"/>
  <c r="AR81" i="5"/>
  <c r="Z60" i="5"/>
  <c r="CA141" i="5"/>
  <c r="AE134" i="5"/>
  <c r="AZ77" i="5"/>
  <c r="S155" i="5"/>
  <c r="Q138" i="5"/>
  <c r="K68" i="5"/>
  <c r="AZ147" i="5"/>
  <c r="AP82" i="5"/>
  <c r="BO56" i="5"/>
  <c r="BJ132" i="5"/>
  <c r="BG149" i="5"/>
  <c r="N144" i="5"/>
  <c r="AJ135" i="5"/>
  <c r="X56" i="5"/>
  <c r="BG69" i="5"/>
  <c r="BI52" i="5"/>
  <c r="P132" i="5"/>
  <c r="W149" i="5"/>
  <c r="K144" i="5"/>
  <c r="BA130" i="5"/>
  <c r="BX117" i="5"/>
  <c r="U53" i="5"/>
  <c r="AZ131" i="5"/>
  <c r="AY60" i="5"/>
  <c r="BF55" i="5"/>
  <c r="M48" i="5"/>
  <c r="AG83" i="5"/>
  <c r="CF45" i="5"/>
  <c r="BN49" i="5"/>
  <c r="U33" i="5"/>
  <c r="CE129" i="5"/>
  <c r="CD48" i="5"/>
  <c r="AM133" i="5"/>
  <c r="BX48" i="5"/>
  <c r="CO70" i="5"/>
  <c r="BF53" i="5"/>
  <c r="AA52" i="5"/>
  <c r="N43" i="5"/>
  <c r="AF42" i="5"/>
  <c r="AE18" i="5"/>
  <c r="AL99" i="5"/>
  <c r="Q50" i="5"/>
  <c r="AJ132" i="5"/>
  <c r="BO39" i="5"/>
  <c r="BD18" i="5"/>
  <c r="AO134" i="5"/>
  <c r="BB60" i="5"/>
  <c r="BA53" i="5"/>
  <c r="Q162" i="5"/>
  <c r="AK91" i="5"/>
  <c r="CJ95" i="5"/>
  <c r="BQ159" i="5"/>
  <c r="CI159" i="5"/>
  <c r="AG68" i="5"/>
  <c r="AL77" i="5"/>
  <c r="BO148" i="5"/>
  <c r="BK159" i="5"/>
  <c r="P75" i="5"/>
  <c r="AO64" i="5"/>
  <c r="AJ149" i="5"/>
  <c r="AB83" i="5"/>
  <c r="CH147" i="5"/>
  <c r="BA61" i="5"/>
  <c r="AQ83" i="5"/>
  <c r="AH151" i="5"/>
  <c r="BG75" i="5"/>
  <c r="CN66" i="5"/>
  <c r="BD74" i="5"/>
  <c r="CP68" i="5"/>
  <c r="Z95" i="5"/>
  <c r="CO76" i="5"/>
  <c r="AY75" i="5"/>
  <c r="CE84" i="5"/>
  <c r="AZ68" i="5"/>
  <c r="AJ148" i="5"/>
  <c r="AM61" i="5"/>
  <c r="BE65" i="5"/>
  <c r="AJ133" i="5"/>
  <c r="CD140" i="5"/>
  <c r="CF143" i="5"/>
  <c r="CJ147" i="5"/>
  <c r="AO142" i="5"/>
  <c r="X63" i="5"/>
  <c r="CP144" i="5"/>
  <c r="Z78" i="5"/>
  <c r="BD48" i="5"/>
  <c r="AO145" i="5"/>
  <c r="CK58" i="5"/>
  <c r="Z158" i="5"/>
  <c r="AF69" i="5"/>
  <c r="BZ139" i="5"/>
  <c r="CK54" i="5"/>
  <c r="BQ62" i="5"/>
  <c r="BL63" i="5"/>
  <c r="CE54" i="5"/>
  <c r="CK43" i="5"/>
  <c r="S75" i="5"/>
  <c r="BN54" i="5"/>
  <c r="CI51" i="5"/>
  <c r="BJ45" i="5"/>
  <c r="CJ68" i="5"/>
  <c r="BE145" i="5"/>
  <c r="CN143" i="5"/>
  <c r="AP55" i="5"/>
  <c r="AY62" i="5"/>
  <c r="V159" i="5"/>
  <c r="BB153" i="5"/>
  <c r="AG157" i="5"/>
  <c r="BA85" i="5"/>
  <c r="AH72" i="5"/>
  <c r="BD136" i="5"/>
  <c r="BJ141" i="5"/>
  <c r="AJ57" i="5"/>
  <c r="AP149" i="5"/>
  <c r="CJ71" i="5"/>
  <c r="AM136" i="5"/>
  <c r="AE88" i="5"/>
  <c r="AA91" i="5"/>
  <c r="BN144" i="5"/>
  <c r="AZ64" i="5"/>
  <c r="BX146" i="5"/>
  <c r="AP141" i="5"/>
  <c r="CC137" i="5"/>
  <c r="CC61" i="5"/>
  <c r="BD44" i="5"/>
  <c r="AL44" i="5"/>
  <c r="CJ62" i="5"/>
  <c r="CI150" i="5"/>
  <c r="CF43" i="5"/>
  <c r="CK132" i="5"/>
  <c r="AF36" i="5"/>
  <c r="AH43" i="5"/>
  <c r="BY46" i="5"/>
  <c r="AH70" i="5"/>
  <c r="R128" i="5"/>
  <c r="AB52" i="5"/>
  <c r="L114" i="5"/>
  <c r="AO161" i="5"/>
  <c r="CA74" i="5"/>
  <c r="BP152" i="5"/>
  <c r="CK73" i="5"/>
  <c r="AE65" i="5"/>
  <c r="AF54" i="5"/>
  <c r="AO143" i="5"/>
  <c r="CE64" i="5"/>
  <c r="AZ139" i="5"/>
  <c r="CN81" i="5"/>
  <c r="AQ135" i="5"/>
  <c r="V135" i="5"/>
  <c r="CC68" i="5"/>
  <c r="AL60" i="5"/>
  <c r="BZ142" i="5"/>
  <c r="AM139" i="5"/>
  <c r="N112" i="5"/>
  <c r="X60" i="5"/>
  <c r="BK144" i="5"/>
  <c r="Q146" i="5"/>
  <c r="AO131" i="5"/>
  <c r="BY146" i="5"/>
  <c r="BE52" i="5"/>
  <c r="U56" i="5"/>
  <c r="W72" i="5"/>
  <c r="K46" i="5"/>
  <c r="AA123" i="5"/>
  <c r="BL121" i="5"/>
  <c r="S143" i="5"/>
  <c r="CC143" i="5"/>
  <c r="AZ91" i="5"/>
  <c r="AZ155" i="5"/>
  <c r="BQ78" i="5"/>
  <c r="AO66" i="5"/>
  <c r="CH61" i="5"/>
  <c r="AH54" i="5"/>
  <c r="AE142" i="5"/>
  <c r="U136" i="5"/>
  <c r="S145" i="5"/>
  <c r="CM149" i="5"/>
  <c r="CJ144" i="5"/>
  <c r="BY66" i="5"/>
  <c r="CP76" i="5"/>
  <c r="BE141" i="5"/>
  <c r="AA138" i="5"/>
  <c r="BN130" i="5"/>
  <c r="CM47" i="5"/>
  <c r="M57" i="5"/>
  <c r="Z140" i="5"/>
  <c r="AF132" i="5"/>
  <c r="R135" i="5"/>
  <c r="AE135" i="5"/>
  <c r="L63" i="5"/>
  <c r="AG57" i="5"/>
  <c r="K51" i="5"/>
  <c r="AM128" i="5"/>
  <c r="U39" i="5"/>
  <c r="CH34" i="5"/>
  <c r="CA142" i="5"/>
  <c r="AC135" i="5"/>
  <c r="R121" i="5"/>
  <c r="AM72" i="5"/>
  <c r="BI93" i="5"/>
  <c r="N66" i="5"/>
  <c r="AK152" i="5"/>
  <c r="CM72" i="5"/>
  <c r="M144" i="5"/>
  <c r="P135" i="5"/>
  <c r="AF52" i="5"/>
  <c r="L52" i="5"/>
  <c r="BP53" i="5"/>
  <c r="CA153" i="5"/>
  <c r="CC130" i="5"/>
  <c r="X57" i="5"/>
  <c r="Q78" i="5"/>
  <c r="AE69" i="5"/>
  <c r="Q53" i="5"/>
  <c r="CF145" i="5"/>
  <c r="AJ157" i="5"/>
  <c r="S59" i="5"/>
  <c r="BA62" i="5"/>
  <c r="AP143" i="5"/>
  <c r="AK69" i="5"/>
  <c r="BO145" i="5"/>
  <c r="AE54" i="5"/>
  <c r="U59" i="5"/>
  <c r="BX144" i="5"/>
  <c r="AP81" i="5"/>
  <c r="BO58" i="5"/>
  <c r="CW25" i="5"/>
  <c r="BX68" i="5"/>
  <c r="BN74" i="5"/>
  <c r="CE60" i="5"/>
  <c r="L67" i="5"/>
  <c r="AJ60" i="5"/>
  <c r="AR142" i="5"/>
  <c r="U144" i="5"/>
  <c r="BD140" i="5"/>
  <c r="R71" i="5"/>
  <c r="M156" i="5"/>
  <c r="BK66" i="5"/>
  <c r="U142" i="5"/>
  <c r="CN144" i="5"/>
  <c r="CA132" i="5"/>
  <c r="AY74" i="5"/>
  <c r="CP56" i="5"/>
  <c r="BA55" i="5"/>
  <c r="BQ48" i="5"/>
  <c r="BK57" i="5"/>
  <c r="BN76" i="5"/>
  <c r="BF59" i="5"/>
  <c r="BJ57" i="5"/>
  <c r="P129" i="5"/>
  <c r="AZ95" i="5"/>
  <c r="CO140" i="5"/>
  <c r="BY145" i="5"/>
  <c r="AB166" i="5"/>
  <c r="X90" i="5"/>
  <c r="BF126" i="5"/>
  <c r="S60" i="5"/>
  <c r="BP64" i="5"/>
  <c r="BN60" i="5"/>
  <c r="X61" i="5"/>
  <c r="BZ69" i="5"/>
  <c r="CF50" i="5"/>
  <c r="CP146" i="5"/>
  <c r="AO51" i="5"/>
  <c r="S137" i="5"/>
  <c r="BZ132" i="5"/>
  <c r="BB73" i="5"/>
  <c r="AG71" i="5"/>
  <c r="R51" i="5"/>
  <c r="BE132" i="5"/>
  <c r="BY155" i="5"/>
  <c r="L66" i="5"/>
  <c r="AG52" i="5"/>
  <c r="P63" i="5"/>
  <c r="AO138" i="5"/>
  <c r="CM143" i="5"/>
  <c r="AC116" i="5"/>
  <c r="CF132" i="5"/>
  <c r="R46" i="5"/>
  <c r="AK55" i="5"/>
  <c r="M138" i="5"/>
  <c r="BD49" i="5"/>
  <c r="AQ58" i="5"/>
  <c r="AG129" i="5"/>
  <c r="R54" i="5"/>
  <c r="Z19" i="5"/>
  <c r="R78" i="5"/>
  <c r="BZ124" i="5"/>
  <c r="BE116" i="5"/>
  <c r="Q36" i="5"/>
  <c r="AA81" i="5"/>
  <c r="BF133" i="5"/>
  <c r="AH44" i="5"/>
  <c r="CO46" i="5"/>
  <c r="N19" i="5"/>
  <c r="BA118" i="5"/>
  <c r="CE107" i="5"/>
  <c r="CH51" i="5"/>
  <c r="AZ121" i="5"/>
  <c r="BE127" i="5"/>
  <c r="BE130" i="5"/>
  <c r="L58" i="5"/>
  <c r="BG156" i="5"/>
  <c r="W93" i="5"/>
  <c r="CW22" i="5"/>
  <c r="AK159" i="5"/>
  <c r="CW33" i="5"/>
  <c r="BL159" i="5"/>
  <c r="CC81" i="5"/>
  <c r="CC63" i="5"/>
  <c r="AK88" i="5"/>
  <c r="BJ147" i="5"/>
  <c r="R67" i="5"/>
  <c r="D214" i="6"/>
  <c r="CH153" i="5"/>
  <c r="AJ72" i="5"/>
  <c r="K73" i="5"/>
  <c r="D224" i="6"/>
  <c r="V87" i="5"/>
  <c r="CC66" i="5"/>
  <c r="AP73" i="5"/>
  <c r="BB81" i="5"/>
  <c r="AE66" i="5"/>
  <c r="Z57" i="5"/>
  <c r="AE84" i="5"/>
  <c r="AP147" i="5"/>
  <c r="AK75" i="5"/>
  <c r="AJ165" i="5"/>
  <c r="BB145" i="5"/>
  <c r="CE68" i="5"/>
  <c r="Z56" i="5"/>
  <c r="CC145" i="5"/>
  <c r="S134" i="5"/>
  <c r="AC65" i="5"/>
  <c r="CW84" i="5"/>
  <c r="CI155" i="5"/>
  <c r="BQ149" i="5"/>
  <c r="BX87" i="5"/>
  <c r="CO156" i="5"/>
  <c r="AL152" i="5"/>
  <c r="Q128" i="5"/>
  <c r="CF72" i="5"/>
  <c r="AC62" i="5"/>
  <c r="P80" i="5"/>
  <c r="R73" i="5"/>
  <c r="L64" i="5"/>
  <c r="AO73" i="5"/>
  <c r="AR146" i="5"/>
  <c r="CH146" i="5"/>
  <c r="AH141" i="5"/>
  <c r="CH38" i="5"/>
  <c r="M73" i="5"/>
  <c r="BQ64" i="5"/>
  <c r="BI146" i="5"/>
  <c r="AK49" i="5"/>
  <c r="CA62" i="5"/>
  <c r="CF148" i="5"/>
  <c r="AR65" i="5"/>
  <c r="BA139" i="5"/>
  <c r="BG46" i="5"/>
  <c r="P83" i="5"/>
  <c r="AA87" i="5"/>
  <c r="BO83" i="5"/>
  <c r="M74" i="5"/>
  <c r="CA83" i="5"/>
  <c r="AH77" i="5"/>
  <c r="BE58" i="5"/>
  <c r="AE51" i="5"/>
  <c r="CM66" i="5"/>
  <c r="BP139" i="5"/>
  <c r="L71" i="5"/>
  <c r="N147" i="5"/>
  <c r="BL81" i="5"/>
  <c r="CD131" i="5"/>
  <c r="W65" i="5"/>
  <c r="AC50" i="5"/>
  <c r="BY118" i="5"/>
  <c r="CN142" i="5"/>
  <c r="U143" i="5"/>
  <c r="AZ133" i="5"/>
  <c r="BE139" i="5"/>
  <c r="M62" i="5"/>
  <c r="BP148" i="5"/>
  <c r="U141" i="5"/>
  <c r="AF55" i="5"/>
  <c r="BP55" i="5"/>
  <c r="AH122" i="5"/>
  <c r="Z121" i="5"/>
  <c r="AR140" i="5"/>
  <c r="CK44" i="5"/>
  <c r="BB31" i="5"/>
  <c r="BY70" i="5"/>
  <c r="AR167" i="5"/>
  <c r="BZ75" i="5"/>
  <c r="CD72" i="5"/>
  <c r="CP60" i="5"/>
  <c r="S63" i="5"/>
  <c r="AZ140" i="5"/>
  <c r="AG140" i="5"/>
  <c r="CD145" i="5"/>
  <c r="AJ128" i="5"/>
  <c r="CO57" i="5"/>
  <c r="AQ56" i="5"/>
  <c r="BA150" i="5"/>
  <c r="AJ150" i="5"/>
  <c r="AY148" i="5"/>
  <c r="AL56" i="5"/>
  <c r="BZ149" i="5"/>
  <c r="BA89" i="5"/>
  <c r="AF75" i="5"/>
  <c r="CH141" i="5"/>
  <c r="CP65" i="5"/>
  <c r="CP86" i="5"/>
  <c r="BB62" i="5"/>
  <c r="BD137" i="5"/>
  <c r="CO74" i="5"/>
  <c r="BF56" i="5"/>
  <c r="AB133" i="5"/>
  <c r="K129" i="5"/>
  <c r="AZ118" i="5"/>
  <c r="U57" i="5"/>
  <c r="L55" i="5"/>
  <c r="W95" i="5"/>
  <c r="CD152" i="5"/>
  <c r="CO153" i="5"/>
  <c r="AY87" i="5"/>
  <c r="CF147" i="5"/>
  <c r="CP135" i="5"/>
  <c r="BF147" i="5"/>
  <c r="BP144" i="5"/>
  <c r="AR134" i="5"/>
  <c r="AA151" i="5"/>
  <c r="BD139" i="5"/>
  <c r="BD60" i="5"/>
  <c r="L81" i="5"/>
  <c r="BY57" i="5"/>
  <c r="BO65" i="5"/>
  <c r="BO52" i="5"/>
  <c r="AP161" i="5"/>
  <c r="BX141" i="5"/>
  <c r="AO136" i="5"/>
  <c r="AO148" i="5"/>
  <c r="BX83" i="5"/>
  <c r="CO146" i="5"/>
  <c r="BF139" i="5"/>
  <c r="CM57" i="5"/>
  <c r="CO143" i="5"/>
  <c r="BK45" i="5"/>
  <c r="AA34" i="5"/>
  <c r="CJ42" i="5"/>
  <c r="Z138" i="5"/>
  <c r="R134" i="5"/>
  <c r="CE43" i="5"/>
  <c r="BX67" i="5"/>
  <c r="BG151" i="5"/>
  <c r="BJ143" i="5"/>
  <c r="N64" i="5"/>
  <c r="AC69" i="5"/>
  <c r="U85" i="5"/>
  <c r="M148" i="5"/>
  <c r="CH59" i="5"/>
  <c r="BI51" i="5"/>
  <c r="BA83" i="5"/>
  <c r="AC142" i="5"/>
  <c r="AF139" i="5"/>
  <c r="K150" i="5"/>
  <c r="BO76" i="5"/>
  <c r="AM149" i="5"/>
  <c r="BN52" i="5"/>
  <c r="CD130" i="5"/>
  <c r="CM81" i="5"/>
  <c r="BD149" i="5"/>
  <c r="AB58" i="5"/>
  <c r="CP140" i="5"/>
  <c r="AR66" i="5"/>
  <c r="AR61" i="5"/>
  <c r="BL62" i="5"/>
  <c r="Z143" i="5"/>
  <c r="BY53" i="5"/>
  <c r="BG95" i="5"/>
  <c r="BN73" i="5"/>
  <c r="CC151" i="5"/>
  <c r="BD79" i="5"/>
  <c r="AC71" i="5"/>
  <c r="AO61" i="5"/>
  <c r="AB146" i="5"/>
  <c r="AF68" i="5"/>
  <c r="AC146" i="5"/>
  <c r="BD71" i="5"/>
  <c r="U52" i="5"/>
  <c r="BQ137" i="5"/>
  <c r="CI78" i="5"/>
  <c r="CJ70" i="5"/>
  <c r="BF61" i="5"/>
  <c r="CM53" i="5"/>
  <c r="AA135" i="5"/>
  <c r="AY150" i="5"/>
  <c r="AZ49" i="5"/>
  <c r="BZ51" i="5"/>
  <c r="X128" i="5"/>
  <c r="BI61" i="5"/>
  <c r="BL139" i="5"/>
  <c r="CJ142" i="5"/>
  <c r="BK62" i="5"/>
  <c r="BN159" i="5"/>
  <c r="U84" i="5"/>
  <c r="CC55" i="5"/>
  <c r="CW65" i="5"/>
  <c r="AZ93" i="5"/>
  <c r="AZ151" i="5"/>
  <c r="AE148" i="5"/>
  <c r="BP50" i="5"/>
  <c r="AC136" i="5"/>
  <c r="BY63" i="5"/>
  <c r="AF80" i="5"/>
  <c r="X133" i="5"/>
  <c r="BZ144" i="5"/>
  <c r="CA72" i="5"/>
  <c r="V54" i="5"/>
  <c r="CH150" i="5"/>
  <c r="CM131" i="5"/>
  <c r="AC150" i="5"/>
  <c r="AE145" i="5"/>
  <c r="CE56" i="5"/>
  <c r="CD56" i="5"/>
  <c r="AO153" i="5"/>
  <c r="BL91" i="5"/>
  <c r="BP54" i="5"/>
  <c r="N131" i="5"/>
  <c r="BJ137" i="5"/>
  <c r="BO128" i="5"/>
  <c r="BA37" i="5"/>
  <c r="AQ131" i="5"/>
  <c r="AL39" i="5"/>
  <c r="L143" i="5"/>
  <c r="BQ49" i="5"/>
  <c r="AK48" i="5"/>
  <c r="BE146" i="5"/>
  <c r="BL124" i="5"/>
  <c r="BL129" i="5"/>
  <c r="BX123" i="5"/>
  <c r="S67" i="5"/>
  <c r="Q135" i="5"/>
  <c r="BL128" i="5"/>
  <c r="AM41" i="5"/>
  <c r="CO64" i="5"/>
  <c r="AM43" i="5"/>
  <c r="AA132" i="5"/>
  <c r="S131" i="5"/>
  <c r="V32" i="5"/>
  <c r="CE33" i="5"/>
  <c r="BA22" i="5"/>
  <c r="AQ126" i="5"/>
  <c r="BI121" i="5"/>
  <c r="CC112" i="5"/>
  <c r="W125" i="5"/>
  <c r="Q32" i="5"/>
  <c r="AZ52" i="5"/>
  <c r="CP125" i="5"/>
  <c r="S72" i="5"/>
  <c r="AF146" i="5"/>
  <c r="AZ60" i="5"/>
  <c r="CA148" i="5"/>
  <c r="BJ43" i="5"/>
  <c r="AP70" i="5"/>
  <c r="K132" i="5"/>
  <c r="CI44" i="5"/>
  <c r="U68" i="5"/>
  <c r="V49" i="5"/>
  <c r="AJ34" i="5"/>
  <c r="BF148" i="5"/>
  <c r="AC51" i="5"/>
  <c r="CH118" i="5"/>
  <c r="CI126" i="5"/>
  <c r="Z150" i="5"/>
  <c r="BG49" i="5"/>
  <c r="CO129" i="5"/>
  <c r="CC129" i="5"/>
  <c r="BP141" i="5"/>
  <c r="CF44" i="5"/>
  <c r="BN40" i="5"/>
  <c r="AK114" i="5"/>
  <c r="CN127" i="5"/>
  <c r="P35" i="5"/>
  <c r="BP94" i="5"/>
  <c r="R62" i="5"/>
  <c r="M70" i="5"/>
  <c r="K136" i="5"/>
  <c r="AO125" i="5"/>
  <c r="CO148" i="5"/>
  <c r="AH49" i="5"/>
  <c r="AG131" i="5"/>
  <c r="CM127" i="5"/>
  <c r="AH135" i="5"/>
  <c r="CD116" i="5"/>
  <c r="CN136" i="5"/>
  <c r="AR30" i="5"/>
  <c r="BN119" i="5"/>
  <c r="AR115" i="5"/>
  <c r="AM55" i="5"/>
  <c r="CC44" i="5"/>
  <c r="BX39" i="5"/>
  <c r="CK116" i="5"/>
  <c r="AA133" i="5"/>
  <c r="CA46" i="5"/>
  <c r="AC113" i="5"/>
  <c r="BQ112" i="5"/>
  <c r="BX25" i="5"/>
  <c r="CD124" i="5"/>
  <c r="AB113" i="5"/>
  <c r="CM157" i="5"/>
  <c r="BB46" i="5"/>
  <c r="AQ47" i="5"/>
  <c r="V44" i="5"/>
  <c r="L31" i="5"/>
  <c r="BI62" i="5"/>
  <c r="AY45" i="5"/>
  <c r="AO37" i="5"/>
  <c r="CD57" i="5"/>
  <c r="AY129" i="5"/>
  <c r="BG39" i="5"/>
  <c r="AM52" i="5"/>
  <c r="AR127" i="5"/>
  <c r="BJ29" i="5"/>
  <c r="AE123" i="5"/>
  <c r="Q62" i="5"/>
  <c r="AB49" i="5"/>
  <c r="BZ123" i="5"/>
  <c r="AC39" i="5"/>
  <c r="AR130" i="5"/>
  <c r="AO132" i="5"/>
  <c r="BL138" i="5"/>
  <c r="AH38" i="5"/>
  <c r="X116" i="5"/>
  <c r="CO33" i="5"/>
  <c r="AH34" i="5"/>
  <c r="AL127" i="5"/>
  <c r="CO43" i="5"/>
  <c r="AB82" i="5"/>
  <c r="BF70" i="5"/>
  <c r="BL137" i="5"/>
  <c r="M141" i="5"/>
  <c r="AC28" i="5"/>
  <c r="Z68" i="5"/>
  <c r="AC139" i="5"/>
  <c r="P119" i="5"/>
  <c r="CI60" i="5"/>
  <c r="CJ54" i="5"/>
  <c r="Z34" i="5"/>
  <c r="CE131" i="5"/>
  <c r="BL136" i="5"/>
  <c r="CF131" i="5"/>
  <c r="CM126" i="5"/>
  <c r="BK140" i="5"/>
  <c r="CK45" i="5"/>
  <c r="BN131" i="5"/>
  <c r="P130" i="5"/>
  <c r="BG65" i="5"/>
  <c r="CA45" i="5"/>
  <c r="AO128" i="5"/>
  <c r="CC123" i="5"/>
  <c r="CM33" i="5"/>
  <c r="BL99" i="5"/>
  <c r="V121" i="5"/>
  <c r="K44" i="5"/>
  <c r="BJ27" i="5"/>
  <c r="BE111" i="5"/>
  <c r="BD117" i="5"/>
  <c r="L129" i="5"/>
  <c r="BJ56" i="5"/>
  <c r="BF152" i="5"/>
  <c r="BF68" i="5"/>
  <c r="CP64" i="5"/>
  <c r="S149" i="5"/>
  <c r="X122" i="5"/>
  <c r="BF81" i="5"/>
  <c r="Q131" i="5"/>
  <c r="BP43" i="5"/>
  <c r="AF135" i="5"/>
  <c r="Z45" i="5"/>
  <c r="V126" i="5"/>
  <c r="AL71" i="5"/>
  <c r="CN46" i="5"/>
  <c r="W115" i="5"/>
  <c r="AF33" i="5"/>
  <c r="BD55" i="5"/>
  <c r="BO51" i="5"/>
  <c r="CE39" i="5"/>
  <c r="AK34" i="5"/>
  <c r="AP139" i="5"/>
  <c r="V51" i="5"/>
  <c r="CP134" i="5"/>
  <c r="P112" i="5"/>
  <c r="CD43" i="5"/>
  <c r="BJ110" i="5"/>
  <c r="CD115" i="5"/>
  <c r="BB131" i="5"/>
  <c r="CC35" i="5"/>
  <c r="CD17" i="5"/>
  <c r="BD110" i="5"/>
  <c r="BF50" i="5"/>
  <c r="CD122" i="5"/>
  <c r="AJ65" i="5"/>
  <c r="CJ60" i="5"/>
  <c r="N140" i="5"/>
  <c r="CA54" i="5"/>
  <c r="CF111" i="5"/>
  <c r="BB63" i="5"/>
  <c r="CA56" i="5"/>
  <c r="AH31" i="5"/>
  <c r="CF39" i="5"/>
  <c r="BJ40" i="5"/>
  <c r="AQ34" i="5"/>
  <c r="BN134" i="5"/>
  <c r="BD130" i="5"/>
  <c r="AQ39" i="5"/>
  <c r="S104" i="5"/>
  <c r="CM56" i="5"/>
  <c r="P126" i="5"/>
  <c r="AL42" i="5"/>
  <c r="BG124" i="5"/>
  <c r="AR143" i="5"/>
  <c r="AQ36" i="5"/>
  <c r="CF62" i="5"/>
  <c r="BD41" i="5"/>
  <c r="V131" i="5"/>
  <c r="P23" i="5"/>
  <c r="BF114" i="5"/>
  <c r="BK43" i="5"/>
  <c r="AZ40" i="5"/>
  <c r="U19" i="5"/>
  <c r="R109" i="5"/>
  <c r="P42" i="5"/>
  <c r="BK113" i="5"/>
  <c r="AM62" i="5"/>
  <c r="L48" i="5"/>
  <c r="AH20" i="5"/>
  <c r="Q58" i="5"/>
  <c r="X126" i="5"/>
  <c r="AP118" i="5"/>
  <c r="AL46" i="5"/>
  <c r="AR117" i="5"/>
  <c r="CF27" i="5"/>
  <c r="AC105" i="5"/>
  <c r="CH104" i="5"/>
  <c r="CH35" i="5"/>
  <c r="AC41" i="5"/>
  <c r="CF110" i="5"/>
  <c r="P134" i="5"/>
  <c r="AE41" i="5"/>
  <c r="U22" i="5"/>
  <c r="BQ31" i="5"/>
  <c r="BA39" i="5"/>
  <c r="CH117" i="5"/>
  <c r="Z104" i="5"/>
  <c r="CN100" i="5"/>
  <c r="BF130" i="5"/>
  <c r="AA117" i="5"/>
  <c r="CF119" i="5"/>
  <c r="AA106" i="5"/>
  <c r="P106" i="5"/>
  <c r="BJ104" i="5"/>
  <c r="CH102" i="5"/>
  <c r="CM129" i="4"/>
  <c r="CN11" i="4"/>
  <c r="CN101" i="4"/>
  <c r="CK52" i="5"/>
  <c r="BZ130" i="5"/>
  <c r="AB33" i="5"/>
  <c r="BJ118" i="5"/>
  <c r="AL37" i="5"/>
  <c r="BZ28" i="5"/>
  <c r="AZ132" i="5"/>
  <c r="CD109" i="5"/>
  <c r="CI40" i="5"/>
  <c r="AP17" i="5"/>
  <c r="BZ12" i="5"/>
  <c r="CA42" i="5"/>
  <c r="CM108" i="5"/>
  <c r="U40" i="5"/>
  <c r="CH55" i="5"/>
  <c r="BZ125" i="5"/>
  <c r="AY31" i="5"/>
  <c r="AR123" i="5"/>
  <c r="BZ45" i="5"/>
  <c r="CN39" i="5"/>
  <c r="R118" i="5"/>
  <c r="AH98" i="5"/>
  <c r="CI47" i="5"/>
  <c r="BG135" i="5"/>
  <c r="CK39" i="5"/>
  <c r="AG30" i="5"/>
  <c r="CP101" i="5"/>
  <c r="S102" i="5"/>
  <c r="AM98" i="5"/>
  <c r="CP113" i="4"/>
  <c r="CO92" i="4"/>
  <c r="CP71" i="4"/>
  <c r="CI20" i="4"/>
  <c r="CH78" i="4"/>
  <c r="BK17" i="5"/>
  <c r="AE113" i="5"/>
  <c r="BL11" i="5"/>
  <c r="CP124" i="4"/>
  <c r="CM153" i="4"/>
  <c r="CE85" i="5"/>
  <c r="AJ42" i="5"/>
  <c r="CA50" i="5"/>
  <c r="CC46" i="5"/>
  <c r="CK53" i="5"/>
  <c r="AL136" i="5"/>
  <c r="AE110" i="5"/>
  <c r="BP112" i="5"/>
  <c r="BL106" i="5"/>
  <c r="BY112" i="5"/>
  <c r="N101" i="5"/>
  <c r="BJ125" i="5"/>
  <c r="N116" i="5"/>
  <c r="BZ31" i="5"/>
  <c r="M71" i="5"/>
  <c r="BI130" i="5"/>
  <c r="AB108" i="5"/>
  <c r="CJ33" i="5"/>
  <c r="BL104" i="5"/>
  <c r="AF120" i="5"/>
  <c r="BY30" i="5"/>
  <c r="BI8" i="5"/>
  <c r="P50" i="5"/>
  <c r="BI36" i="5"/>
  <c r="BD35" i="5"/>
  <c r="BD104" i="5"/>
  <c r="AB27" i="5"/>
  <c r="BF33" i="5"/>
  <c r="BP33" i="5"/>
  <c r="CM99" i="4"/>
  <c r="U24" i="5"/>
  <c r="BI108" i="5"/>
  <c r="AB45" i="5"/>
  <c r="BO42" i="5"/>
  <c r="CF150" i="5"/>
  <c r="AP140" i="5"/>
  <c r="BA131" i="5"/>
  <c r="AE44" i="5"/>
  <c r="BD124" i="5"/>
  <c r="BD63" i="5"/>
  <c r="AG55" i="5"/>
  <c r="BD37" i="5"/>
  <c r="CK135" i="5"/>
  <c r="W140" i="5"/>
  <c r="AO45" i="5"/>
  <c r="CP127" i="5"/>
  <c r="CK133" i="5"/>
  <c r="U37" i="5"/>
  <c r="CI27" i="5"/>
  <c r="AJ54" i="5"/>
  <c r="S46" i="5"/>
  <c r="S49" i="5"/>
  <c r="AB37" i="5"/>
  <c r="Q49" i="5"/>
  <c r="CA128" i="5"/>
  <c r="CC75" i="5"/>
  <c r="L36" i="5"/>
  <c r="Z23" i="5"/>
  <c r="AJ43" i="5"/>
  <c r="BY116" i="5"/>
  <c r="AH74" i="5"/>
  <c r="CM146" i="5"/>
  <c r="AZ148" i="5"/>
  <c r="BQ139" i="5"/>
  <c r="BF127" i="5"/>
  <c r="W138" i="5"/>
  <c r="BO50" i="5"/>
  <c r="AL69" i="5"/>
  <c r="AP53" i="5"/>
  <c r="AQ55" i="5"/>
  <c r="K147" i="5"/>
  <c r="BO54" i="5"/>
  <c r="AR36" i="5"/>
  <c r="BP29" i="5"/>
  <c r="BD43" i="5"/>
  <c r="AY142" i="5"/>
  <c r="M43" i="5"/>
  <c r="CO128" i="5"/>
  <c r="AB96" i="5"/>
  <c r="M131" i="5"/>
  <c r="BD121" i="5"/>
  <c r="BB139" i="5"/>
  <c r="W47" i="5"/>
  <c r="AK26" i="5"/>
  <c r="P18" i="5"/>
  <c r="X14" i="5"/>
  <c r="K34" i="5"/>
  <c r="W114" i="5"/>
  <c r="AY76" i="5"/>
  <c r="BB64" i="5"/>
  <c r="W136" i="5"/>
  <c r="AB47" i="5"/>
  <c r="X34" i="5"/>
  <c r="BX56" i="5"/>
  <c r="AJ131" i="5"/>
  <c r="AF28" i="5"/>
  <c r="K143" i="5"/>
  <c r="CN53" i="5"/>
  <c r="AE104" i="5"/>
  <c r="AO127" i="5"/>
  <c r="AH46" i="5"/>
  <c r="BF39" i="5"/>
  <c r="AK108" i="5"/>
  <c r="P144" i="5"/>
  <c r="R45" i="5"/>
  <c r="BI39" i="5"/>
  <c r="AP109" i="5"/>
  <c r="CO83" i="5"/>
  <c r="Q27" i="5"/>
  <c r="BG157" i="5"/>
  <c r="CJ123" i="5"/>
  <c r="BD24" i="5"/>
  <c r="AQ116" i="5"/>
  <c r="CP121" i="5"/>
  <c r="BO119" i="5"/>
  <c r="BF112" i="5"/>
  <c r="CH24" i="5"/>
  <c r="N18" i="5"/>
  <c r="BK54" i="5"/>
  <c r="BD21" i="5"/>
  <c r="V149" i="5"/>
  <c r="CO53" i="5"/>
  <c r="BO134" i="5"/>
  <c r="AZ62" i="5"/>
  <c r="AJ105" i="5"/>
  <c r="U64" i="5"/>
  <c r="BK47" i="5"/>
  <c r="AB22" i="5"/>
  <c r="N136" i="5"/>
  <c r="CM49" i="5"/>
  <c r="BE110" i="5"/>
  <c r="BG136" i="5"/>
  <c r="BB141" i="5"/>
  <c r="BG125" i="5"/>
  <c r="AB32" i="5"/>
  <c r="AK140" i="5"/>
  <c r="BE140" i="5"/>
  <c r="Q115" i="5"/>
  <c r="AG118" i="5"/>
  <c r="AG139" i="5"/>
  <c r="BJ135" i="5"/>
  <c r="N153" i="5"/>
  <c r="X41" i="5"/>
  <c r="CP113" i="5"/>
  <c r="CA36" i="5"/>
  <c r="CM21" i="5"/>
  <c r="AM32" i="5"/>
  <c r="CI127" i="5"/>
  <c r="CH98" i="5"/>
  <c r="X33" i="5"/>
  <c r="AG46" i="5"/>
  <c r="AF25" i="5"/>
  <c r="BD69" i="5"/>
  <c r="AY85" i="5"/>
  <c r="CA91" i="5"/>
  <c r="Q47" i="5"/>
  <c r="BP122" i="5"/>
  <c r="AE55" i="5"/>
  <c r="U44" i="5"/>
  <c r="CC158" i="5"/>
  <c r="CI136" i="5"/>
  <c r="AB134" i="5"/>
  <c r="BN36" i="5"/>
  <c r="Z62" i="5"/>
  <c r="BA56" i="5"/>
  <c r="AM113" i="5"/>
  <c r="R37" i="5"/>
  <c r="BL141" i="5"/>
  <c r="M51" i="5"/>
  <c r="AR28" i="5"/>
  <c r="CM121" i="5"/>
  <c r="CO130" i="5"/>
  <c r="Q54" i="5"/>
  <c r="BE63" i="5"/>
  <c r="L41" i="5"/>
  <c r="BP126" i="5"/>
  <c r="BI101" i="5"/>
  <c r="U109" i="5"/>
  <c r="CN126" i="5"/>
  <c r="W39" i="5"/>
  <c r="BK12" i="5"/>
  <c r="BL7" i="5"/>
  <c r="AQ134" i="5"/>
  <c r="BD126" i="5"/>
  <c r="AE59" i="5"/>
  <c r="K43" i="5"/>
  <c r="BX59" i="5"/>
  <c r="AM71" i="5"/>
  <c r="P58" i="5"/>
  <c r="AO120" i="5"/>
  <c r="BQ37" i="5"/>
  <c r="BG28" i="5"/>
  <c r="AB127" i="5"/>
  <c r="AG35" i="5"/>
  <c r="X70" i="5"/>
  <c r="CO29" i="5"/>
  <c r="S119" i="5"/>
  <c r="AH109" i="5"/>
  <c r="BZ40" i="5"/>
  <c r="AC42" i="5"/>
  <c r="AR18" i="5"/>
  <c r="CA39" i="5"/>
  <c r="R44" i="5"/>
  <c r="AQ40" i="5"/>
  <c r="CO23" i="5"/>
  <c r="CO39" i="5"/>
  <c r="BQ27" i="5"/>
  <c r="K26" i="5"/>
  <c r="BL21" i="5"/>
  <c r="U15" i="5"/>
  <c r="X25" i="5"/>
  <c r="BZ26" i="5"/>
  <c r="CO144" i="4"/>
  <c r="CN156" i="4"/>
  <c r="CO10" i="4"/>
  <c r="CN29" i="4"/>
  <c r="W57" i="5"/>
  <c r="BI40" i="5"/>
  <c r="BZ71" i="5"/>
  <c r="AY69" i="5"/>
  <c r="BY73" i="5"/>
  <c r="BN125" i="5"/>
  <c r="L117" i="5"/>
  <c r="BB109" i="5"/>
  <c r="AZ27" i="5"/>
  <c r="X107" i="5"/>
  <c r="P74" i="5"/>
  <c r="CI106" i="5"/>
  <c r="K106" i="5"/>
  <c r="CH44" i="5"/>
  <c r="BL42" i="5"/>
  <c r="CJ37" i="5"/>
  <c r="Q24" i="5"/>
  <c r="U30" i="5"/>
  <c r="CE49" i="5"/>
  <c r="BY125" i="5"/>
  <c r="S116" i="5"/>
  <c r="S117" i="5"/>
  <c r="BJ120" i="5"/>
  <c r="L40" i="5"/>
  <c r="BL107" i="5"/>
  <c r="BB16" i="5"/>
  <c r="BE55" i="5"/>
  <c r="X106" i="5"/>
  <c r="CN36" i="4"/>
  <c r="CM101" i="4"/>
  <c r="CI148" i="4"/>
  <c r="CI7" i="4"/>
  <c r="CF139" i="4"/>
  <c r="CD157" i="4"/>
  <c r="BO109" i="5"/>
  <c r="CA117" i="5"/>
  <c r="CM64" i="4"/>
  <c r="CK37" i="4"/>
  <c r="CK98" i="4"/>
  <c r="AL155" i="5"/>
  <c r="CJ28" i="5"/>
  <c r="Z129" i="5"/>
  <c r="BE126" i="5"/>
  <c r="BL44" i="5"/>
  <c r="BA44" i="5"/>
  <c r="N26" i="5"/>
  <c r="AG124" i="5"/>
  <c r="CJ77" i="5"/>
  <c r="M33" i="5"/>
  <c r="BX34" i="5"/>
  <c r="BZ136" i="5"/>
  <c r="S37" i="5"/>
  <c r="AQ115" i="5"/>
  <c r="BJ50" i="5"/>
  <c r="V128" i="5"/>
  <c r="BP23" i="5"/>
  <c r="CJ104" i="5"/>
  <c r="BB91" i="5"/>
  <c r="K123" i="5"/>
  <c r="CE30" i="5"/>
  <c r="CN29" i="5"/>
  <c r="AR49" i="5"/>
  <c r="CE114" i="5"/>
  <c r="AR29" i="5"/>
  <c r="CI39" i="5"/>
  <c r="R49" i="5"/>
  <c r="BF118" i="5"/>
  <c r="BX103" i="5"/>
  <c r="CP126" i="4"/>
  <c r="K5" i="5"/>
  <c r="AA26" i="5"/>
  <c r="BP125" i="5"/>
  <c r="BD38" i="5"/>
  <c r="AK73" i="5"/>
  <c r="BL59" i="5"/>
  <c r="AM147" i="5"/>
  <c r="BE48" i="5"/>
  <c r="CH17" i="5"/>
  <c r="AZ53" i="5"/>
  <c r="CP49" i="5"/>
  <c r="N77" i="5"/>
  <c r="BQ39" i="5"/>
  <c r="CD44" i="5"/>
  <c r="BJ153" i="5"/>
  <c r="X27" i="5"/>
  <c r="AM114" i="5"/>
  <c r="AP34" i="5"/>
  <c r="CH127" i="5"/>
  <c r="AP132" i="5"/>
  <c r="AJ130" i="5"/>
  <c r="AH29" i="5"/>
  <c r="BX127" i="5"/>
  <c r="CJ46" i="5"/>
  <c r="BQ45" i="5"/>
  <c r="S142" i="5"/>
  <c r="BA42" i="5"/>
  <c r="BB19" i="5"/>
  <c r="CI21" i="5"/>
  <c r="CM15" i="5"/>
  <c r="Q141" i="5"/>
  <c r="CO51" i="5"/>
  <c r="BD54" i="5"/>
  <c r="BX133" i="5"/>
  <c r="S36" i="5"/>
  <c r="P56" i="5"/>
  <c r="BL142" i="5"/>
  <c r="N141" i="5"/>
  <c r="BO44" i="5"/>
  <c r="CO48" i="5"/>
  <c r="CN52" i="5"/>
  <c r="CA124" i="5"/>
  <c r="BZ47" i="5"/>
  <c r="AP119" i="5"/>
  <c r="AJ122" i="5"/>
  <c r="W49" i="5"/>
  <c r="CE48" i="5"/>
  <c r="CH125" i="5"/>
  <c r="CO65" i="5"/>
  <c r="BG133" i="5"/>
  <c r="M128" i="5"/>
  <c r="AH50" i="5"/>
  <c r="AK112" i="5"/>
  <c r="BA26" i="5"/>
  <c r="BF11" i="5"/>
  <c r="CD156" i="5"/>
  <c r="N33" i="5"/>
  <c r="M25" i="5"/>
  <c r="U65" i="5"/>
  <c r="W80" i="5"/>
  <c r="AJ119" i="5"/>
  <c r="Q130" i="5"/>
  <c r="M38" i="5"/>
  <c r="AM56" i="5"/>
  <c r="V138" i="5"/>
  <c r="AE162" i="5"/>
  <c r="CH126" i="5"/>
  <c r="AG133" i="5"/>
  <c r="CC36" i="5"/>
  <c r="CI130" i="5"/>
  <c r="X53" i="5"/>
  <c r="CC121" i="5"/>
  <c r="BY27" i="5"/>
  <c r="S128" i="5"/>
  <c r="Z146" i="5"/>
  <c r="L45" i="5"/>
  <c r="AE37" i="5"/>
  <c r="AA139" i="5"/>
  <c r="BQ44" i="5"/>
  <c r="BG56" i="5"/>
  <c r="R39" i="5"/>
  <c r="BF124" i="5"/>
  <c r="AP36" i="5"/>
  <c r="AP29" i="5"/>
  <c r="AB41" i="5"/>
  <c r="BA125" i="5"/>
  <c r="R8" i="5"/>
  <c r="CI99" i="5"/>
  <c r="CO49" i="5"/>
  <c r="BK125" i="5"/>
  <c r="BP74" i="5"/>
  <c r="BE90" i="5"/>
  <c r="AL130" i="5"/>
  <c r="BQ140" i="5"/>
  <c r="AG47" i="5"/>
  <c r="BZ66" i="5"/>
  <c r="CE137" i="5"/>
  <c r="BZ76" i="5"/>
  <c r="U130" i="5"/>
  <c r="BQ131" i="5"/>
  <c r="AR39" i="5"/>
  <c r="AM48" i="5"/>
  <c r="CI45" i="5"/>
  <c r="AF113" i="5"/>
  <c r="S43" i="5"/>
  <c r="AK148" i="5"/>
  <c r="CC49" i="5"/>
  <c r="BK111" i="5"/>
  <c r="BY29" i="5"/>
  <c r="CK128" i="5"/>
  <c r="CJ133" i="5"/>
  <c r="AY58" i="5"/>
  <c r="K42" i="5"/>
  <c r="AR110" i="5"/>
  <c r="CF31" i="5"/>
  <c r="AE8" i="5"/>
  <c r="AF45" i="5"/>
  <c r="AE45" i="5"/>
  <c r="BK7" i="5"/>
  <c r="AC7" i="5"/>
  <c r="CN130" i="5"/>
  <c r="S38" i="5"/>
  <c r="R140" i="5"/>
  <c r="AF142" i="5"/>
  <c r="BD68" i="5"/>
  <c r="AL129" i="5"/>
  <c r="CF120" i="5"/>
  <c r="BD61" i="5"/>
  <c r="BL126" i="5"/>
  <c r="AZ57" i="5"/>
  <c r="CD55" i="5"/>
  <c r="L133" i="5"/>
  <c r="BP62" i="5"/>
  <c r="CD129" i="5"/>
  <c r="AH52" i="5"/>
  <c r="N120" i="5"/>
  <c r="BB114" i="5"/>
  <c r="Q74" i="5"/>
  <c r="L138" i="5"/>
  <c r="CI134" i="5"/>
  <c r="Q82" i="5"/>
  <c r="K134" i="5"/>
  <c r="AL123" i="5"/>
  <c r="S126" i="5"/>
  <c r="U41" i="5"/>
  <c r="R35" i="5"/>
  <c r="BD128" i="5"/>
  <c r="P114" i="5"/>
  <c r="W43" i="5"/>
  <c r="AH118" i="5"/>
  <c r="AC118" i="5"/>
  <c r="CO25" i="5"/>
  <c r="BJ127" i="5"/>
  <c r="CD41" i="5"/>
  <c r="CH50" i="5"/>
  <c r="BN126" i="5"/>
  <c r="BX140" i="5"/>
  <c r="CD135" i="5"/>
  <c r="AC129" i="5"/>
  <c r="AG112" i="5"/>
  <c r="CH48" i="5"/>
  <c r="AG29" i="5"/>
  <c r="BP27" i="5"/>
  <c r="CO35" i="5"/>
  <c r="AF134" i="5"/>
  <c r="U120" i="5"/>
  <c r="CK119" i="5"/>
  <c r="AY6" i="5"/>
  <c r="AY43" i="5"/>
  <c r="Z40" i="5"/>
  <c r="BB23" i="5"/>
  <c r="BL19" i="5"/>
  <c r="AM57" i="5"/>
  <c r="AQ45" i="5"/>
  <c r="BK24" i="5"/>
  <c r="AL116" i="5"/>
  <c r="AO22" i="5"/>
  <c r="M122" i="5"/>
  <c r="BX26" i="5"/>
  <c r="CK105" i="5"/>
  <c r="BO118" i="5"/>
  <c r="S16" i="5"/>
  <c r="BG31" i="5"/>
  <c r="AQ6" i="5"/>
  <c r="CO100" i="5"/>
  <c r="BE9" i="5"/>
  <c r="CJ47" i="5"/>
  <c r="AK58" i="5"/>
  <c r="Z58" i="5"/>
  <c r="AP134" i="5"/>
  <c r="AF145" i="5"/>
  <c r="BB29" i="5"/>
  <c r="BK130" i="5"/>
  <c r="CP37" i="5"/>
  <c r="AO121" i="5"/>
  <c r="CF107" i="5"/>
  <c r="P138" i="5"/>
  <c r="V119" i="5"/>
  <c r="BN106" i="5"/>
  <c r="AG32" i="5"/>
  <c r="AE128" i="5"/>
  <c r="AC123" i="5"/>
  <c r="AB24" i="5"/>
  <c r="AK122" i="5"/>
  <c r="BE47" i="5"/>
  <c r="BP120" i="5"/>
  <c r="AP121" i="5"/>
  <c r="AM110" i="5"/>
  <c r="BI46" i="5"/>
  <c r="N37" i="5"/>
  <c r="Z101" i="5"/>
  <c r="BD15" i="5"/>
  <c r="CE22" i="5"/>
  <c r="AZ5" i="5"/>
  <c r="CD103" i="5"/>
  <c r="AQ19" i="5"/>
  <c r="BB4" i="5"/>
  <c r="W101" i="5"/>
  <c r="CC91" i="4"/>
  <c r="BY85" i="4"/>
  <c r="AH22" i="5"/>
  <c r="BA109" i="5"/>
  <c r="N100" i="5"/>
  <c r="BN97" i="5"/>
  <c r="AA14" i="5"/>
  <c r="BI149" i="5"/>
  <c r="CI146" i="5"/>
  <c r="Z132" i="5"/>
  <c r="W32" i="5"/>
  <c r="BG118" i="5"/>
  <c r="BD57" i="5"/>
  <c r="P98" i="5"/>
  <c r="BZ39" i="5"/>
  <c r="CN133" i="5"/>
  <c r="AM115" i="5"/>
  <c r="CA22" i="5"/>
  <c r="AM123" i="5"/>
  <c r="S41" i="5"/>
  <c r="BB17" i="5"/>
  <c r="L53" i="5"/>
  <c r="CH42" i="5"/>
  <c r="BA35" i="5"/>
  <c r="CN34" i="5"/>
  <c r="AH48" i="5"/>
  <c r="BD122" i="5"/>
  <c r="BQ124" i="5"/>
  <c r="P14" i="5"/>
  <c r="CH45" i="5"/>
  <c r="X38" i="5"/>
  <c r="N22" i="5"/>
  <c r="N14" i="5"/>
  <c r="U10" i="5"/>
  <c r="CN15" i="5"/>
  <c r="L15" i="5"/>
  <c r="CO9" i="5"/>
  <c r="AJ97" i="5"/>
  <c r="BO25" i="5"/>
  <c r="S124" i="5"/>
  <c r="AZ117" i="5"/>
  <c r="U79" i="5"/>
  <c r="CE70" i="5"/>
  <c r="S140" i="5"/>
  <c r="CK131" i="5"/>
  <c r="W41" i="5"/>
  <c r="V152" i="5"/>
  <c r="BZ133" i="5"/>
  <c r="AZ66" i="5"/>
  <c r="CA44" i="5"/>
  <c r="CO126" i="5"/>
  <c r="CM73" i="5"/>
  <c r="P131" i="5"/>
  <c r="CP128" i="5"/>
  <c r="K145" i="5"/>
  <c r="BE32" i="5"/>
  <c r="N51" i="5"/>
  <c r="N45" i="5"/>
  <c r="CN50" i="5"/>
  <c r="CK153" i="5"/>
  <c r="CE138" i="5"/>
  <c r="R131" i="5"/>
  <c r="BL134" i="5"/>
  <c r="AO40" i="5"/>
  <c r="BG24" i="5"/>
  <c r="AA23" i="5"/>
  <c r="AB72" i="5"/>
  <c r="AB51" i="5"/>
  <c r="BG59" i="5"/>
  <c r="CO44" i="5"/>
  <c r="AQ129" i="5"/>
  <c r="BD36" i="5"/>
  <c r="AM130" i="5"/>
  <c r="CO120" i="5"/>
  <c r="AM68" i="5"/>
  <c r="AQ51" i="5"/>
  <c r="U38" i="5"/>
  <c r="CK149" i="5"/>
  <c r="BL45" i="5"/>
  <c r="AG45" i="5"/>
  <c r="AL33" i="5"/>
  <c r="CP78" i="5"/>
  <c r="BZ134" i="5"/>
  <c r="CJ125" i="5"/>
  <c r="AA119" i="5"/>
  <c r="M60" i="5"/>
  <c r="Q136" i="5"/>
  <c r="AY51" i="5"/>
  <c r="R48" i="5"/>
  <c r="CN141" i="5"/>
  <c r="CO118" i="5"/>
  <c r="AF40" i="5"/>
  <c r="L145" i="5"/>
  <c r="CO123" i="5"/>
  <c r="BP25" i="5"/>
  <c r="AA141" i="5"/>
  <c r="CI49" i="5"/>
  <c r="AK63" i="5"/>
  <c r="BF131" i="5"/>
  <c r="Z48" i="5"/>
  <c r="K52" i="5"/>
  <c r="CI48" i="5"/>
  <c r="CN75" i="5"/>
  <c r="CA126" i="5"/>
  <c r="BX45" i="5"/>
  <c r="BB76" i="5"/>
  <c r="CF127" i="5"/>
  <c r="CN48" i="5"/>
  <c r="BO32" i="5"/>
  <c r="X32" i="5"/>
  <c r="CF47" i="5"/>
  <c r="M44" i="5"/>
  <c r="V53" i="5"/>
  <c r="AF88" i="5"/>
  <c r="AP38" i="5"/>
  <c r="L113" i="5"/>
  <c r="BD33" i="5"/>
  <c r="BJ52" i="5"/>
  <c r="X16" i="5"/>
  <c r="X24" i="5"/>
  <c r="M119" i="5"/>
  <c r="BO141" i="5"/>
  <c r="N34" i="5"/>
  <c r="S21" i="5"/>
  <c r="AQ120" i="5"/>
  <c r="CH122" i="5"/>
  <c r="CE121" i="5"/>
  <c r="CE72" i="5"/>
  <c r="CA64" i="5"/>
  <c r="BO68" i="5"/>
  <c r="BZ49" i="5"/>
  <c r="BJ34" i="5"/>
  <c r="BI50" i="5"/>
  <c r="AK54" i="5"/>
  <c r="S144" i="5"/>
  <c r="R139" i="5"/>
  <c r="BO126" i="5"/>
  <c r="CA63" i="5"/>
  <c r="BK52" i="5"/>
  <c r="R56" i="5"/>
  <c r="K38" i="5"/>
  <c r="BF109" i="5"/>
  <c r="V57" i="5"/>
  <c r="AB139" i="5"/>
  <c r="CE128" i="5"/>
  <c r="BY78" i="5"/>
  <c r="AZ43" i="5"/>
  <c r="BZ48" i="5"/>
  <c r="CM43" i="5"/>
  <c r="BJ44" i="5"/>
  <c r="BK102" i="5"/>
  <c r="CI41" i="5"/>
  <c r="BG121" i="5"/>
  <c r="W40" i="5"/>
  <c r="Z105" i="5"/>
  <c r="BB121" i="5"/>
  <c r="AO115" i="5"/>
  <c r="Q22" i="5"/>
  <c r="BQ23" i="5"/>
  <c r="BY72" i="5"/>
  <c r="BK138" i="5"/>
  <c r="M56" i="5"/>
  <c r="CN51" i="5"/>
  <c r="AJ107" i="5"/>
  <c r="CI128" i="5"/>
  <c r="AY46" i="5"/>
  <c r="CO58" i="5"/>
  <c r="U34" i="5"/>
  <c r="BN139" i="5"/>
  <c r="BN71" i="5"/>
  <c r="BL46" i="5"/>
  <c r="CJ134" i="5"/>
  <c r="AE40" i="5"/>
  <c r="BO113" i="5"/>
  <c r="AO139" i="5"/>
  <c r="CO50" i="5"/>
  <c r="W124" i="5"/>
  <c r="CD62" i="5"/>
  <c r="BP38" i="5"/>
  <c r="L46" i="5"/>
  <c r="AP48" i="5"/>
  <c r="CE27" i="5"/>
  <c r="AQ35" i="5"/>
  <c r="AC21" i="5"/>
  <c r="CA136" i="5"/>
  <c r="AP42" i="5"/>
  <c r="CN109" i="5"/>
  <c r="BJ111" i="5"/>
  <c r="AY105" i="5"/>
  <c r="BO129" i="5"/>
  <c r="CE47" i="5"/>
  <c r="BG126" i="5"/>
  <c r="CC7" i="5"/>
  <c r="BI106" i="5"/>
  <c r="AC125" i="5"/>
  <c r="AE49" i="5"/>
  <c r="BQ134" i="5"/>
  <c r="BP60" i="5"/>
  <c r="U140" i="5"/>
  <c r="V137" i="5"/>
  <c r="AH39" i="5"/>
  <c r="AC141" i="5"/>
  <c r="CO45" i="5"/>
  <c r="BI139" i="5"/>
  <c r="CA51" i="5"/>
  <c r="CK40" i="5"/>
  <c r="CC138" i="5"/>
  <c r="AE132" i="5"/>
  <c r="BE133" i="5"/>
  <c r="AZ26" i="5"/>
  <c r="BN83" i="5"/>
  <c r="AF47" i="5"/>
  <c r="M127" i="5"/>
  <c r="X42" i="5"/>
  <c r="R55" i="5"/>
  <c r="CO131" i="5"/>
  <c r="AC133" i="5"/>
  <c r="AK47" i="5"/>
  <c r="AQ112" i="5"/>
  <c r="BO107" i="5"/>
  <c r="AH30" i="5"/>
  <c r="BP165" i="5"/>
  <c r="BX50" i="5"/>
  <c r="CP47" i="5"/>
  <c r="R50" i="5"/>
  <c r="AR48" i="5"/>
  <c r="BL111" i="5"/>
  <c r="AR55" i="5"/>
  <c r="AE125" i="5"/>
  <c r="CP142" i="5"/>
  <c r="AF44" i="5"/>
  <c r="AR118" i="5"/>
  <c r="CK144" i="5"/>
  <c r="R47" i="5"/>
  <c r="CC131" i="5"/>
  <c r="BI123" i="5"/>
  <c r="AR68" i="5"/>
  <c r="K131" i="5"/>
  <c r="CF135" i="5"/>
  <c r="CI30" i="5"/>
  <c r="U50" i="5"/>
  <c r="BG115" i="5"/>
  <c r="X47" i="5"/>
  <c r="AP31" i="5"/>
  <c r="CD31" i="5"/>
  <c r="BI18" i="5"/>
  <c r="CO24" i="5"/>
  <c r="BQ42" i="5"/>
  <c r="N134" i="5"/>
  <c r="CA25" i="5"/>
  <c r="W62" i="5"/>
  <c r="AK66" i="5"/>
  <c r="CO60" i="5"/>
  <c r="CF48" i="5"/>
  <c r="BD22" i="5"/>
  <c r="AR47" i="5"/>
  <c r="BG128" i="5"/>
  <c r="Z135" i="5"/>
  <c r="BX36" i="5"/>
  <c r="CP51" i="5"/>
  <c r="CD142" i="5"/>
  <c r="BQ40" i="5"/>
  <c r="BG57" i="5"/>
  <c r="BI42" i="5"/>
  <c r="CD113" i="5"/>
  <c r="BG53" i="5"/>
  <c r="BQ141" i="5"/>
  <c r="AH42" i="5"/>
  <c r="BK145" i="5"/>
  <c r="CE45" i="5"/>
  <c r="AP49" i="5"/>
  <c r="K49" i="5"/>
  <c r="N39" i="5"/>
  <c r="N106" i="5"/>
  <c r="CI7" i="5"/>
  <c r="X144" i="5"/>
  <c r="AO42" i="5"/>
  <c r="BG117" i="5"/>
  <c r="CA21" i="5"/>
  <c r="CE112" i="5"/>
  <c r="AO39" i="5"/>
  <c r="U121" i="5"/>
  <c r="R61" i="5"/>
  <c r="CA131" i="5"/>
  <c r="BA147" i="5"/>
  <c r="BL127" i="5"/>
  <c r="BB122" i="5"/>
  <c r="V46" i="5"/>
  <c r="AO35" i="5"/>
  <c r="CN78" i="5"/>
  <c r="CM122" i="5"/>
  <c r="CN44" i="5"/>
  <c r="CE136" i="5"/>
  <c r="X120" i="5"/>
  <c r="U48" i="5"/>
  <c r="Q118" i="5"/>
  <c r="Z122" i="5"/>
  <c r="BL135" i="5"/>
  <c r="Z131" i="5"/>
  <c r="BD39" i="5"/>
  <c r="AK142" i="5"/>
  <c r="CO47" i="5"/>
  <c r="AR53" i="5"/>
  <c r="M130" i="5"/>
  <c r="BX118" i="5"/>
  <c r="BO110" i="5"/>
  <c r="Q13" i="5"/>
  <c r="L60" i="5"/>
  <c r="CN28" i="5"/>
  <c r="BN18" i="5"/>
  <c r="CJ120" i="5"/>
  <c r="AH26" i="5"/>
  <c r="CN120" i="5"/>
  <c r="BJ112" i="5"/>
  <c r="BX51" i="5"/>
  <c r="AA55" i="5"/>
  <c r="BZ146" i="5"/>
  <c r="CA47" i="5"/>
  <c r="AM106" i="5"/>
  <c r="K36" i="5"/>
  <c r="AZ112" i="5"/>
  <c r="AP56" i="5"/>
  <c r="S54" i="5"/>
  <c r="CD45" i="5"/>
  <c r="N65" i="5"/>
  <c r="K48" i="5"/>
  <c r="V55" i="5"/>
  <c r="CJ40" i="5"/>
  <c r="P72" i="5"/>
  <c r="S52" i="5"/>
  <c r="AM46" i="5"/>
  <c r="BA124" i="5"/>
  <c r="CD65" i="5"/>
  <c r="AF48" i="5"/>
  <c r="BQ142" i="5"/>
  <c r="CM133" i="5"/>
  <c r="BX42" i="5"/>
  <c r="P28" i="5"/>
  <c r="BQ105" i="5"/>
  <c r="S53" i="5"/>
  <c r="BF122" i="5"/>
  <c r="CF32" i="5"/>
  <c r="AK119" i="5"/>
  <c r="R36" i="5"/>
  <c r="AQ38" i="5"/>
  <c r="AR71" i="5"/>
  <c r="L122" i="5"/>
  <c r="BQ117" i="5"/>
  <c r="AL134" i="5"/>
  <c r="BI133" i="5"/>
  <c r="BN46" i="5"/>
  <c r="CN115" i="5"/>
  <c r="CN138" i="5"/>
  <c r="AO16" i="5"/>
  <c r="BO55" i="5"/>
  <c r="CH32" i="5"/>
  <c r="V130" i="5"/>
  <c r="AE126" i="5"/>
  <c r="X119" i="5"/>
  <c r="M23" i="5"/>
  <c r="N135" i="5"/>
  <c r="AL119" i="5"/>
  <c r="BD16" i="5"/>
  <c r="BO23" i="5"/>
  <c r="CN38" i="5"/>
  <c r="Q117" i="5"/>
  <c r="AK15" i="5"/>
  <c r="BY62" i="5"/>
  <c r="BD31" i="5"/>
  <c r="AL120" i="5"/>
  <c r="W111" i="5"/>
  <c r="BA128" i="5"/>
  <c r="BY31" i="5"/>
  <c r="Z14" i="5"/>
  <c r="CD106" i="5"/>
  <c r="CP125" i="4"/>
  <c r="CO11" i="4"/>
  <c r="AB64" i="5"/>
  <c r="BN124" i="5"/>
  <c r="CC53" i="5"/>
  <c r="AQ132" i="5"/>
  <c r="X45" i="5"/>
  <c r="AG49" i="5"/>
  <c r="AQ124" i="5"/>
  <c r="CE36" i="5"/>
  <c r="BZ33" i="5"/>
  <c r="AE121" i="5"/>
  <c r="AG24" i="5"/>
  <c r="CD53" i="5"/>
  <c r="AH131" i="5"/>
  <c r="CI22" i="5"/>
  <c r="CJ80" i="5"/>
  <c r="BF132" i="5"/>
  <c r="BK122" i="5"/>
  <c r="CD25" i="5"/>
  <c r="BZ32" i="5"/>
  <c r="BJ123" i="5"/>
  <c r="AE124" i="5"/>
  <c r="CK13" i="5"/>
  <c r="BP72" i="5"/>
  <c r="AH115" i="5"/>
  <c r="AC22" i="5"/>
  <c r="S33" i="5"/>
  <c r="BY37" i="5"/>
  <c r="AC109" i="5"/>
  <c r="P101" i="5"/>
  <c r="CO164" i="4"/>
  <c r="CM77" i="4"/>
  <c r="CO71" i="4"/>
  <c r="CN132" i="4"/>
  <c r="CH108" i="4"/>
  <c r="CM130" i="5"/>
  <c r="CN124" i="5"/>
  <c r="AR111" i="5"/>
  <c r="CM154" i="4"/>
  <c r="CM163" i="4"/>
  <c r="CN44" i="4"/>
  <c r="V158" i="5"/>
  <c r="P45" i="5"/>
  <c r="BY130" i="5"/>
  <c r="BF129" i="5"/>
  <c r="AP113" i="5"/>
  <c r="BG120" i="5"/>
  <c r="BQ41" i="5"/>
  <c r="CJ119" i="5"/>
  <c r="BO121" i="5"/>
  <c r="AM35" i="5"/>
  <c r="V9" i="5"/>
  <c r="AZ126" i="5"/>
  <c r="AZ120" i="5"/>
  <c r="AZ41" i="5"/>
  <c r="AR132" i="5"/>
  <c r="AB48" i="5"/>
  <c r="BA38" i="5"/>
  <c r="K22" i="5"/>
  <c r="BY135" i="5"/>
  <c r="CM45" i="5"/>
  <c r="BN102" i="5"/>
  <c r="S12" i="5"/>
  <c r="CP126" i="5"/>
  <c r="AA125" i="5"/>
  <c r="U108" i="5"/>
  <c r="AZ119" i="5"/>
  <c r="CE97" i="5"/>
  <c r="AK120" i="5"/>
  <c r="BO104" i="5"/>
  <c r="CN87" i="4"/>
  <c r="AR32" i="5"/>
  <c r="P117" i="5"/>
  <c r="K33" i="5"/>
  <c r="AJ167" i="5"/>
  <c r="BO46" i="5"/>
  <c r="N130" i="5"/>
  <c r="CO61" i="5"/>
  <c r="AB137" i="5"/>
  <c r="AK118" i="5"/>
  <c r="L140" i="5"/>
  <c r="X111" i="5"/>
  <c r="BA69" i="5"/>
  <c r="CH132" i="5"/>
  <c r="V39" i="5"/>
  <c r="CD149" i="5"/>
  <c r="BG45" i="5"/>
  <c r="AH142" i="5"/>
  <c r="AM124" i="5"/>
  <c r="BA66" i="5"/>
  <c r="BD127" i="5"/>
  <c r="X132" i="5"/>
  <c r="AO124" i="5"/>
  <c r="CK140" i="5"/>
  <c r="CO127" i="5"/>
  <c r="CJ131" i="5"/>
  <c r="P47" i="5"/>
  <c r="AJ39" i="5"/>
  <c r="AK22" i="5"/>
  <c r="S118" i="5"/>
  <c r="CO66" i="5"/>
  <c r="AC64" i="5"/>
  <c r="AQ70" i="5"/>
  <c r="BG48" i="5"/>
  <c r="AO46" i="5"/>
  <c r="BG35" i="5"/>
  <c r="AE130" i="5"/>
  <c r="AK46" i="5"/>
  <c r="BE149" i="5"/>
  <c r="CA134" i="5"/>
  <c r="BG107" i="5"/>
  <c r="U63" i="5"/>
  <c r="R52" i="5"/>
  <c r="BY35" i="5"/>
  <c r="BN22" i="5"/>
  <c r="W67" i="5"/>
  <c r="BA45" i="5"/>
  <c r="CF53" i="5"/>
  <c r="CE29" i="5"/>
  <c r="AL132" i="5"/>
  <c r="AA47" i="5"/>
  <c r="BY52" i="5"/>
  <c r="U119" i="5"/>
  <c r="CK125" i="5"/>
  <c r="BN23" i="5"/>
  <c r="CF16" i="5"/>
  <c r="BQ52" i="5"/>
  <c r="W117" i="5"/>
  <c r="CE124" i="5"/>
  <c r="BI141" i="5"/>
  <c r="K50" i="5"/>
  <c r="P137" i="5"/>
  <c r="AE61" i="5"/>
  <c r="CP36" i="5"/>
  <c r="Q45" i="5"/>
  <c r="CP123" i="5"/>
  <c r="CH137" i="5"/>
  <c r="CI54" i="5"/>
  <c r="BY48" i="5"/>
  <c r="BB54" i="5"/>
  <c r="M50" i="5"/>
  <c r="CK51" i="5"/>
  <c r="AC106" i="5"/>
  <c r="K69" i="5"/>
  <c r="AB131" i="5"/>
  <c r="BI45" i="5"/>
  <c r="AJ117" i="5"/>
  <c r="AY140" i="5"/>
  <c r="X58" i="5"/>
  <c r="CP52" i="5"/>
  <c r="AQ127" i="5"/>
  <c r="BE128" i="5"/>
  <c r="CF105" i="5"/>
  <c r="BY24" i="5"/>
  <c r="BB138" i="5"/>
  <c r="BK26" i="5"/>
  <c r="Q42" i="5"/>
  <c r="AE19" i="5"/>
  <c r="BN99" i="5"/>
  <c r="BL123" i="5"/>
  <c r="CI125" i="5"/>
  <c r="BB56" i="5"/>
  <c r="BI135" i="5"/>
  <c r="AJ56" i="5"/>
  <c r="M132" i="5"/>
  <c r="BA33" i="5"/>
  <c r="AE63" i="5"/>
  <c r="K121" i="5"/>
  <c r="N133" i="5"/>
  <c r="BG44" i="5"/>
  <c r="AP39" i="5"/>
  <c r="CK70" i="5"/>
  <c r="AY133" i="5"/>
  <c r="CN47" i="5"/>
  <c r="W118" i="5"/>
  <c r="U73" i="5"/>
  <c r="CM59" i="5"/>
  <c r="BK149" i="5"/>
  <c r="AY34" i="5"/>
  <c r="CF59" i="5"/>
  <c r="CC43" i="5"/>
  <c r="BJ47" i="5"/>
  <c r="BO48" i="5"/>
  <c r="AK117" i="5"/>
  <c r="AZ30" i="5"/>
  <c r="CE118" i="5"/>
  <c r="CH49" i="5"/>
  <c r="BZ122" i="5"/>
  <c r="AZ32" i="5"/>
  <c r="AB107" i="5"/>
  <c r="BZ117" i="5"/>
  <c r="CO42" i="5"/>
  <c r="AC72" i="5"/>
  <c r="BZ135" i="5"/>
  <c r="AR135" i="5"/>
  <c r="CN57" i="5"/>
  <c r="BA136" i="5"/>
  <c r="AL125" i="5"/>
  <c r="CN45" i="5"/>
  <c r="BL40" i="5"/>
  <c r="BK60" i="5"/>
  <c r="CJ56" i="5"/>
  <c r="X39" i="5"/>
  <c r="CH135" i="5"/>
  <c r="AA136" i="5"/>
  <c r="BI34" i="5"/>
  <c r="AA44" i="5"/>
  <c r="U66" i="5"/>
  <c r="S136" i="5"/>
  <c r="BX132" i="5"/>
  <c r="BX120" i="5"/>
  <c r="CE52" i="5"/>
  <c r="BN48" i="5"/>
  <c r="CI129" i="5"/>
  <c r="BO114" i="5"/>
  <c r="BL114" i="5"/>
  <c r="BD103" i="5"/>
  <c r="U129" i="5"/>
  <c r="BP46" i="5"/>
  <c r="BI124" i="5"/>
  <c r="BO105" i="5"/>
  <c r="AA111" i="5"/>
  <c r="BZ64" i="5"/>
  <c r="CF129" i="5"/>
  <c r="AM137" i="5"/>
  <c r="CM120" i="5"/>
  <c r="L130" i="5"/>
  <c r="CF57" i="5"/>
  <c r="BQ127" i="5"/>
  <c r="BX131" i="5"/>
  <c r="AP114" i="5"/>
  <c r="CP31" i="5"/>
  <c r="BN21" i="5"/>
  <c r="AQ25" i="5"/>
  <c r="BP30" i="5"/>
  <c r="AK131" i="5"/>
  <c r="R123" i="5"/>
  <c r="CH116" i="5"/>
  <c r="CK35" i="5"/>
  <c r="AK139" i="5"/>
  <c r="CI123" i="5"/>
  <c r="AA64" i="5"/>
  <c r="CE153" i="5"/>
  <c r="S62" i="5"/>
  <c r="AP52" i="5"/>
  <c r="W44" i="5"/>
  <c r="AO21" i="5"/>
  <c r="CO138" i="5"/>
  <c r="AA48" i="5"/>
  <c r="BK135" i="5"/>
  <c r="L137" i="5"/>
  <c r="BP35" i="5"/>
  <c r="CC50" i="5"/>
  <c r="BB133" i="5"/>
  <c r="AP126" i="5"/>
  <c r="AC36" i="5"/>
  <c r="CA158" i="5"/>
  <c r="AJ47" i="5"/>
  <c r="CE44" i="5"/>
  <c r="CN20" i="5"/>
  <c r="X140" i="5"/>
  <c r="BQ55" i="5"/>
  <c r="AP111" i="5"/>
  <c r="AR139" i="5"/>
  <c r="X134" i="5"/>
  <c r="BQ118" i="5"/>
  <c r="P17" i="5"/>
  <c r="U18" i="5"/>
  <c r="CD114" i="5"/>
  <c r="AC53" i="5"/>
  <c r="BZ143" i="5"/>
  <c r="V133" i="5"/>
  <c r="BY117" i="5"/>
  <c r="AJ115" i="5"/>
  <c r="V118" i="5"/>
  <c r="CA123" i="5"/>
  <c r="CI56" i="5"/>
  <c r="U137" i="5"/>
  <c r="CP148" i="5"/>
  <c r="L132" i="5"/>
  <c r="CM28" i="5"/>
  <c r="CE123" i="5"/>
  <c r="BK28" i="5"/>
  <c r="U29" i="5"/>
  <c r="CK136" i="5"/>
  <c r="AC57" i="5"/>
  <c r="BQ129" i="5"/>
  <c r="CJ48" i="5"/>
  <c r="AZ35" i="5"/>
  <c r="AY41" i="5"/>
  <c r="BD125" i="5"/>
  <c r="K18" i="5"/>
  <c r="CA32" i="5"/>
  <c r="BQ133" i="5"/>
  <c r="CK33" i="5"/>
  <c r="AR44" i="5"/>
  <c r="BI14" i="5"/>
  <c r="AL31" i="5"/>
  <c r="X18" i="5"/>
  <c r="P125" i="5"/>
  <c r="AB110" i="5"/>
  <c r="U42" i="5"/>
  <c r="AJ32" i="5"/>
  <c r="AZ135" i="5"/>
  <c r="BE109" i="5"/>
  <c r="BO49" i="5"/>
  <c r="CN90" i="4"/>
  <c r="CO128" i="4"/>
  <c r="M111" i="5"/>
  <c r="AE48" i="5"/>
  <c r="AJ62" i="5"/>
  <c r="AQ24" i="5"/>
  <c r="BG27" i="5"/>
  <c r="BK44" i="5"/>
  <c r="AK21" i="5"/>
  <c r="AC124" i="5"/>
  <c r="R115" i="5"/>
  <c r="BO53" i="5"/>
  <c r="BN43" i="5"/>
  <c r="CA37" i="5"/>
  <c r="N16" i="5"/>
  <c r="CK115" i="5"/>
  <c r="CP54" i="4"/>
  <c r="CK16" i="4"/>
  <c r="CC141" i="4"/>
  <c r="AR105" i="5"/>
  <c r="CP117" i="4"/>
  <c r="CI81" i="4"/>
  <c r="CH37" i="5"/>
  <c r="AG58" i="5"/>
  <c r="L37" i="5"/>
  <c r="BO29" i="5"/>
  <c r="N41" i="5"/>
  <c r="BN123" i="5"/>
  <c r="AZ54" i="5"/>
  <c r="BO137" i="5"/>
  <c r="AO10" i="5"/>
  <c r="BX121" i="5"/>
  <c r="M109" i="5"/>
  <c r="BP40" i="5"/>
  <c r="BQ119" i="5"/>
  <c r="AA108" i="5"/>
  <c r="CK57" i="4"/>
  <c r="CK5" i="4"/>
  <c r="CI13" i="4"/>
  <c r="CD29" i="4"/>
  <c r="CE25" i="4"/>
  <c r="AC15" i="5"/>
  <c r="AG22" i="5"/>
  <c r="CM28" i="4"/>
  <c r="CK127" i="4"/>
  <c r="CH120" i="4"/>
  <c r="CI95" i="4"/>
  <c r="CD62" i="4"/>
  <c r="CC117" i="4"/>
  <c r="BB115" i="5"/>
  <c r="AZ16" i="5"/>
  <c r="Q4" i="5"/>
  <c r="AH149" i="5"/>
  <c r="BQ126" i="5"/>
  <c r="CF166" i="5"/>
  <c r="BZ121" i="5"/>
  <c r="BI119" i="5"/>
  <c r="CA122" i="5"/>
  <c r="CH131" i="5"/>
  <c r="P30" i="5"/>
  <c r="CH119" i="5"/>
  <c r="AA31" i="5"/>
  <c r="AK14" i="5"/>
  <c r="R126" i="5"/>
  <c r="AB39" i="5"/>
  <c r="Q113" i="5"/>
  <c r="AC48" i="5"/>
  <c r="AF41" i="5"/>
  <c r="AM26" i="5"/>
  <c r="AE31" i="5"/>
  <c r="BB44" i="5"/>
  <c r="BE114" i="5"/>
  <c r="CC8" i="5"/>
  <c r="AL17" i="5"/>
  <c r="CF139" i="5"/>
  <c r="Q48" i="5"/>
  <c r="Q119" i="5"/>
  <c r="AC18" i="5"/>
  <c r="BZ8" i="5"/>
  <c r="BF28" i="5"/>
  <c r="L8" i="5"/>
  <c r="CP143" i="4"/>
  <c r="CP12" i="4"/>
  <c r="CM167" i="4"/>
  <c r="CK58" i="4"/>
  <c r="CK136" i="4"/>
  <c r="S125" i="5"/>
  <c r="AO104" i="5"/>
  <c r="BI137" i="5"/>
  <c r="R136" i="5"/>
  <c r="CP44" i="5"/>
  <c r="AE33" i="5"/>
  <c r="CK122" i="5"/>
  <c r="X55" i="5"/>
  <c r="CN148" i="5"/>
  <c r="BF116" i="5"/>
  <c r="BA134" i="5"/>
  <c r="BA31" i="5"/>
  <c r="CH111" i="5"/>
  <c r="BF45" i="5"/>
  <c r="CP41" i="5"/>
  <c r="BE51" i="5"/>
  <c r="BK48" i="5"/>
  <c r="K41" i="5"/>
  <c r="CO114" i="5"/>
  <c r="CO105" i="5"/>
  <c r="BP63" i="5"/>
  <c r="AR42" i="5"/>
  <c r="CM118" i="5"/>
  <c r="BX11" i="5"/>
  <c r="Q56" i="5"/>
  <c r="AP120" i="5"/>
  <c r="P123" i="5"/>
  <c r="AB7" i="5"/>
  <c r="AK113" i="5"/>
  <c r="BG25" i="5"/>
  <c r="AB4" i="5"/>
  <c r="AC97" i="5"/>
  <c r="AG108" i="5"/>
  <c r="AH5" i="5"/>
  <c r="CF42" i="4"/>
  <c r="BZ41" i="4"/>
  <c r="BG32" i="5"/>
  <c r="Z117" i="5"/>
  <c r="AC16" i="5"/>
  <c r="AG14" i="5"/>
  <c r="AJ5" i="5"/>
  <c r="Q103" i="5"/>
  <c r="CH144" i="5"/>
  <c r="BZ70" i="5"/>
  <c r="CD137" i="5"/>
  <c r="BI53" i="5"/>
  <c r="CJ129" i="5"/>
  <c r="BQ114" i="5"/>
  <c r="CP40" i="5"/>
  <c r="BB20" i="5"/>
  <c r="CO38" i="5"/>
  <c r="AG74" i="5"/>
  <c r="Z148" i="5"/>
  <c r="U46" i="5"/>
  <c r="CK38" i="5"/>
  <c r="CH39" i="5"/>
  <c r="AK123" i="5"/>
  <c r="BK36" i="5"/>
  <c r="BB35" i="5"/>
  <c r="CK55" i="5"/>
  <c r="BG40" i="5"/>
  <c r="V115" i="5"/>
  <c r="CM38" i="5"/>
  <c r="BI44" i="5"/>
  <c r="BL30" i="5"/>
  <c r="BE143" i="5"/>
  <c r="CD105" i="5"/>
  <c r="BN19" i="5"/>
  <c r="BL23" i="5"/>
  <c r="AQ72" i="5"/>
  <c r="BL122" i="5"/>
  <c r="Q112" i="5"/>
  <c r="AR124" i="5"/>
  <c r="CI131" i="5"/>
  <c r="CC122" i="5"/>
  <c r="CM7" i="5"/>
  <c r="BI24" i="5"/>
  <c r="AJ18" i="5"/>
  <c r="BO34" i="5"/>
  <c r="X97" i="5"/>
  <c r="BJ102" i="5"/>
  <c r="N98" i="5"/>
  <c r="U103" i="5"/>
  <c r="CK12" i="4"/>
  <c r="CE146" i="4"/>
  <c r="BX29" i="5"/>
  <c r="AG9" i="5"/>
  <c r="BD118" i="5"/>
  <c r="AP102" i="5"/>
  <c r="Q99" i="5"/>
  <c r="AG97" i="5"/>
  <c r="CK154" i="4"/>
  <c r="CD14" i="4"/>
  <c r="BQ17" i="5"/>
  <c r="CK120" i="5"/>
  <c r="BO9" i="5"/>
  <c r="AJ143" i="5"/>
  <c r="R145" i="5"/>
  <c r="CP48" i="5"/>
  <c r="BN24" i="5"/>
  <c r="BK49" i="5"/>
  <c r="CF114" i="5"/>
  <c r="BB108" i="5"/>
  <c r="AK32" i="5"/>
  <c r="CF137" i="5"/>
  <c r="BD108" i="5"/>
  <c r="AF20" i="5"/>
  <c r="Q40" i="5"/>
  <c r="BN32" i="5"/>
  <c r="BL20" i="5"/>
  <c r="K127" i="5"/>
  <c r="CM26" i="5"/>
  <c r="Z22" i="5"/>
  <c r="CD30" i="5"/>
  <c r="BD53" i="5"/>
  <c r="AC127" i="5"/>
  <c r="AA18" i="5"/>
  <c r="P25" i="5"/>
  <c r="AZ134" i="5"/>
  <c r="CN122" i="5"/>
  <c r="CH22" i="5"/>
  <c r="P9" i="5"/>
  <c r="S39" i="5"/>
  <c r="R16" i="5"/>
  <c r="BO18" i="5"/>
  <c r="V29" i="5"/>
  <c r="BG6" i="5"/>
  <c r="AQ102" i="5"/>
  <c r="CJ38" i="5"/>
  <c r="AM22" i="5"/>
  <c r="CO18" i="4"/>
  <c r="BQ5" i="4"/>
  <c r="BX14" i="5"/>
  <c r="CO39" i="4"/>
  <c r="CA14" i="5"/>
  <c r="CF109" i="4"/>
  <c r="CO109" i="5"/>
  <c r="AR19" i="5"/>
  <c r="BE100" i="5"/>
  <c r="BZ7" i="5"/>
  <c r="W17" i="5"/>
  <c r="CK142" i="4"/>
  <c r="CF160" i="4"/>
  <c r="BB106" i="5"/>
  <c r="L51" i="5"/>
  <c r="BJ16" i="5"/>
  <c r="BY32" i="5"/>
  <c r="BO8" i="5"/>
  <c r="CO44" i="4"/>
  <c r="AL103" i="5"/>
  <c r="R42" i="5"/>
  <c r="CC100" i="5"/>
  <c r="CO103" i="5"/>
  <c r="X10" i="5"/>
  <c r="AG26" i="5"/>
  <c r="CE127" i="4"/>
  <c r="CA110" i="4"/>
  <c r="AQ104" i="5"/>
  <c r="AM24" i="5"/>
  <c r="AL13" i="5"/>
  <c r="BP106" i="5"/>
  <c r="CI102" i="5"/>
  <c r="BA17" i="5"/>
  <c r="CF78" i="4"/>
  <c r="AE22" i="5"/>
  <c r="AY104" i="5"/>
  <c r="CO22" i="5"/>
  <c r="CN15" i="4"/>
  <c r="CM112" i="4"/>
  <c r="CP58" i="4"/>
  <c r="CI50" i="4"/>
  <c r="AC99" i="5"/>
  <c r="BP54" i="4"/>
  <c r="BN153" i="4"/>
  <c r="BQ120" i="4"/>
  <c r="CH71" i="4"/>
  <c r="BK133" i="5"/>
  <c r="CF20" i="5"/>
  <c r="CO151" i="4"/>
  <c r="CJ37" i="4"/>
  <c r="CF38" i="5"/>
  <c r="CI91" i="4"/>
  <c r="AJ120" i="5"/>
  <c r="L112" i="5"/>
  <c r="AP85" i="5"/>
  <c r="AF31" i="5"/>
  <c r="AL58" i="5"/>
  <c r="AB144" i="5"/>
  <c r="P57" i="5"/>
  <c r="BQ120" i="5"/>
  <c r="U123" i="5"/>
  <c r="BY50" i="5"/>
  <c r="BJ42" i="5"/>
  <c r="AG145" i="5"/>
  <c r="Z63" i="5"/>
  <c r="CE142" i="5"/>
  <c r="K37" i="5"/>
  <c r="BY123" i="5"/>
  <c r="M37" i="5"/>
  <c r="AK62" i="5"/>
  <c r="AR122" i="5"/>
  <c r="V59" i="5"/>
  <c r="AF141" i="5"/>
  <c r="AG70" i="5"/>
  <c r="AZ29" i="5"/>
  <c r="CH120" i="5"/>
  <c r="W107" i="5"/>
  <c r="X141" i="5"/>
  <c r="N124" i="5"/>
  <c r="Q133" i="5"/>
  <c r="AC144" i="5"/>
  <c r="BG62" i="5"/>
  <c r="AK127" i="5"/>
  <c r="P48" i="5"/>
  <c r="AQ118" i="5"/>
  <c r="BJ48" i="5"/>
  <c r="AR144" i="5"/>
  <c r="K103" i="5"/>
  <c r="AE114" i="5"/>
  <c r="AO102" i="5"/>
  <c r="CJ41" i="5"/>
  <c r="CK17" i="5"/>
  <c r="K47" i="5"/>
  <c r="BN118" i="5"/>
  <c r="CJ126" i="5"/>
  <c r="U20" i="5"/>
  <c r="W105" i="5"/>
  <c r="Q109" i="5"/>
  <c r="BZ104" i="5"/>
  <c r="BA50" i="5"/>
  <c r="AY39" i="5"/>
  <c r="Q61" i="5"/>
  <c r="CC117" i="5"/>
  <c r="AC111" i="5"/>
  <c r="M124" i="5"/>
  <c r="AE17" i="5"/>
  <c r="Q29" i="5"/>
  <c r="AF17" i="5"/>
  <c r="BE45" i="5"/>
  <c r="CE111" i="5"/>
  <c r="Q52" i="5"/>
  <c r="BI6" i="5"/>
  <c r="CE105" i="5"/>
  <c r="CJ105" i="5"/>
  <c r="CJ25" i="5"/>
  <c r="CC4" i="4"/>
  <c r="AR9" i="5"/>
  <c r="BY23" i="5"/>
  <c r="AF11" i="5"/>
  <c r="BN148" i="5"/>
  <c r="BN143" i="5"/>
  <c r="CO112" i="5"/>
  <c r="K24" i="5"/>
  <c r="CO40" i="5"/>
  <c r="AH33" i="5"/>
  <c r="X112" i="5"/>
  <c r="AY35" i="5"/>
  <c r="AJ118" i="5"/>
  <c r="BA43" i="5"/>
  <c r="K108" i="5"/>
  <c r="P122" i="5"/>
  <c r="BP11" i="5"/>
  <c r="AQ9" i="5"/>
  <c r="Q7" i="5"/>
  <c r="BI102" i="5"/>
  <c r="CN98" i="5"/>
  <c r="BY118" i="4"/>
  <c r="BY156" i="4"/>
  <c r="AH114" i="5"/>
  <c r="CC26" i="5"/>
  <c r="BE106" i="5"/>
  <c r="BB6" i="5"/>
  <c r="AY8" i="5"/>
  <c r="BF22" i="5"/>
  <c r="BZ50" i="4"/>
  <c r="CA47" i="4"/>
  <c r="CH105" i="5"/>
  <c r="BZ22" i="5"/>
  <c r="BX116" i="5"/>
  <c r="BG139" i="5"/>
  <c r="BB40" i="5"/>
  <c r="BY47" i="5"/>
  <c r="BJ66" i="5"/>
  <c r="CC134" i="5"/>
  <c r="AA24" i="5"/>
  <c r="Q125" i="5"/>
  <c r="BJ20" i="5"/>
  <c r="CP139" i="5"/>
  <c r="BB34" i="5"/>
  <c r="CO52" i="5"/>
  <c r="BO45" i="5"/>
  <c r="BF37" i="5"/>
  <c r="V27" i="5"/>
  <c r="AK27" i="5"/>
  <c r="BZ113" i="5"/>
  <c r="CM10" i="5"/>
  <c r="Z26" i="5"/>
  <c r="W55" i="5"/>
  <c r="AB123" i="5"/>
  <c r="CI108" i="5"/>
  <c r="CP115" i="5"/>
  <c r="Q124" i="5"/>
  <c r="BA112" i="5"/>
  <c r="X104" i="5"/>
  <c r="BK33" i="5"/>
  <c r="CA20" i="5"/>
  <c r="BL15" i="5"/>
  <c r="CP28" i="4"/>
  <c r="CK61" i="4"/>
  <c r="CH87" i="4"/>
  <c r="CJ8" i="4"/>
  <c r="CE64" i="4"/>
  <c r="CC56" i="4"/>
  <c r="AJ48" i="5"/>
  <c r="CI113" i="5"/>
  <c r="AH58" i="5"/>
  <c r="BP132" i="5"/>
  <c r="L120" i="5"/>
  <c r="CH123" i="5"/>
  <c r="CM36" i="5"/>
  <c r="CP110" i="5"/>
  <c r="BQ128" i="5"/>
  <c r="V14" i="5"/>
  <c r="CE133" i="5"/>
  <c r="CH101" i="5"/>
  <c r="Z17" i="5"/>
  <c r="N38" i="5"/>
  <c r="BJ130" i="5"/>
  <c r="S103" i="5"/>
  <c r="BL51" i="5"/>
  <c r="BK123" i="5"/>
  <c r="CD126" i="5"/>
  <c r="BP37" i="5"/>
  <c r="CH134" i="5"/>
  <c r="AZ125" i="5"/>
  <c r="N113" i="5"/>
  <c r="AQ15" i="5"/>
  <c r="AC126" i="5"/>
  <c r="AO41" i="5"/>
  <c r="AE129" i="5"/>
  <c r="BD26" i="5"/>
  <c r="AH108" i="5"/>
  <c r="N23" i="5"/>
  <c r="AR13" i="5"/>
  <c r="L16" i="5"/>
  <c r="BK104" i="5"/>
  <c r="AG15" i="5"/>
  <c r="CA124" i="4"/>
  <c r="BP107" i="4"/>
  <c r="BG116" i="5"/>
  <c r="BI118" i="5"/>
  <c r="R106" i="5"/>
  <c r="AC27" i="5"/>
  <c r="BJ25" i="5"/>
  <c r="BD157" i="5"/>
  <c r="AL54" i="5"/>
  <c r="BZ60" i="5"/>
  <c r="W134" i="5"/>
  <c r="S120" i="5"/>
  <c r="AQ133" i="5"/>
  <c r="AQ125" i="5"/>
  <c r="CC40" i="5"/>
  <c r="R33" i="5"/>
  <c r="CP38" i="5"/>
  <c r="AR54" i="5"/>
  <c r="AA131" i="5"/>
  <c r="CP129" i="5"/>
  <c r="BY115" i="5"/>
  <c r="N110" i="5"/>
  <c r="W131" i="5"/>
  <c r="BQ53" i="5"/>
  <c r="CM14" i="5"/>
  <c r="S56" i="5"/>
  <c r="CK41" i="5"/>
  <c r="AE115" i="5"/>
  <c r="K120" i="5"/>
  <c r="CA125" i="5"/>
  <c r="BX107" i="5"/>
  <c r="AA29" i="5"/>
  <c r="AO122" i="5"/>
  <c r="BX24" i="5"/>
  <c r="CN102" i="5"/>
  <c r="AH51" i="5"/>
  <c r="CC33" i="5"/>
  <c r="U113" i="5"/>
  <c r="BG21" i="5"/>
  <c r="AH132" i="5"/>
  <c r="CD42" i="5"/>
  <c r="BA32" i="5"/>
  <c r="AL10" i="5"/>
  <c r="AF34" i="5"/>
  <c r="AM117" i="5"/>
  <c r="CC31" i="5"/>
  <c r="AH12" i="5"/>
  <c r="BP8" i="5"/>
  <c r="AF13" i="5"/>
  <c r="CE152" i="4"/>
  <c r="BY165" i="4"/>
  <c r="AH113" i="5"/>
  <c r="CM128" i="5"/>
  <c r="BQ15" i="5"/>
  <c r="CD16" i="5"/>
  <c r="BA100" i="5"/>
  <c r="BF4" i="5"/>
  <c r="CE29" i="4"/>
  <c r="BX149" i="4"/>
  <c r="AJ116" i="5"/>
  <c r="BQ121" i="5"/>
  <c r="X12" i="5"/>
  <c r="CM134" i="5"/>
  <c r="BF48" i="5"/>
  <c r="AC128" i="5"/>
  <c r="AC32" i="5"/>
  <c r="BX122" i="5"/>
  <c r="BD47" i="5"/>
  <c r="BL61" i="5"/>
  <c r="AR113" i="5"/>
  <c r="BL54" i="5"/>
  <c r="Z109" i="5"/>
  <c r="Z16" i="5"/>
  <c r="AG23" i="5"/>
  <c r="K39" i="5"/>
  <c r="BB25" i="5"/>
  <c r="BF47" i="5"/>
  <c r="AG41" i="5"/>
  <c r="K99" i="5"/>
  <c r="CF101" i="5"/>
  <c r="AA54" i="5"/>
  <c r="BI107" i="5"/>
  <c r="CI18" i="5"/>
  <c r="CJ35" i="5"/>
  <c r="AH138" i="5"/>
  <c r="CJ122" i="5"/>
  <c r="CM16" i="5"/>
  <c r="BK117" i="5"/>
  <c r="CA26" i="5"/>
  <c r="W109" i="5"/>
  <c r="AA7" i="5"/>
  <c r="S97" i="5"/>
  <c r="CJ107" i="5"/>
  <c r="AQ4" i="5"/>
  <c r="P107" i="5"/>
  <c r="AF110" i="5"/>
  <c r="CO50" i="4"/>
  <c r="CC10" i="4"/>
  <c r="AY27" i="5"/>
  <c r="BF16" i="5"/>
  <c r="CP102" i="4"/>
  <c r="BY38" i="4"/>
  <c r="BD25" i="5"/>
  <c r="AZ114" i="5"/>
  <c r="N10" i="5"/>
  <c r="CJ101" i="5"/>
  <c r="CO16" i="5"/>
  <c r="CC32" i="4"/>
  <c r="CA58" i="4"/>
  <c r="X23" i="5"/>
  <c r="AK116" i="5"/>
  <c r="CP5" i="4"/>
  <c r="CN52" i="4"/>
  <c r="CN115" i="4"/>
  <c r="CP34" i="4"/>
  <c r="R102" i="5"/>
  <c r="U43" i="5"/>
  <c r="AQ10" i="5"/>
  <c r="BQ116" i="5"/>
  <c r="Q120" i="5"/>
  <c r="S100" i="5"/>
  <c r="BY58" i="4"/>
  <c r="CN100" i="4"/>
  <c r="BD107" i="5"/>
  <c r="N25" i="5"/>
  <c r="P27" i="5"/>
  <c r="BJ101" i="5"/>
  <c r="CP22" i="4"/>
  <c r="CN148" i="4"/>
  <c r="CH119" i="4"/>
  <c r="BD10" i="5"/>
  <c r="AC23" i="5"/>
  <c r="CO133" i="4"/>
  <c r="V101" i="5"/>
  <c r="CP97" i="5"/>
  <c r="AJ8" i="5"/>
  <c r="CD137" i="4"/>
  <c r="AA4" i="5"/>
  <c r="CH67" i="4"/>
  <c r="BJ69" i="4"/>
  <c r="CH165" i="4"/>
  <c r="CA89" i="4"/>
  <c r="AM17" i="5"/>
  <c r="BY108" i="5"/>
  <c r="BB10" i="5"/>
  <c r="BY123" i="4"/>
  <c r="Q116" i="5"/>
  <c r="CK11" i="5"/>
  <c r="CJ121" i="5"/>
  <c r="CA12" i="5"/>
  <c r="AP135" i="5"/>
  <c r="CD39" i="5"/>
  <c r="AL137" i="5"/>
  <c r="CM137" i="5"/>
  <c r="AM142" i="5"/>
  <c r="CA38" i="5"/>
  <c r="BI134" i="5"/>
  <c r="M145" i="5"/>
  <c r="L128" i="5"/>
  <c r="Z137" i="5"/>
  <c r="CP133" i="5"/>
  <c r="CD64" i="5"/>
  <c r="AZ127" i="5"/>
  <c r="W132" i="5"/>
  <c r="BN39" i="5"/>
  <c r="AE143" i="5"/>
  <c r="AK121" i="5"/>
  <c r="CC52" i="5"/>
  <c r="AR76" i="5"/>
  <c r="AR58" i="5"/>
  <c r="CD120" i="5"/>
  <c r="U31" i="5"/>
  <c r="BO38" i="5"/>
  <c r="BI55" i="5"/>
  <c r="CM34" i="5"/>
  <c r="AE137" i="5"/>
  <c r="AR56" i="5"/>
  <c r="CD54" i="5"/>
  <c r="BI117" i="5"/>
  <c r="BN47" i="5"/>
  <c r="BY56" i="5"/>
  <c r="U131" i="5"/>
  <c r="AH55" i="5"/>
  <c r="AJ45" i="5"/>
  <c r="AK37" i="5"/>
  <c r="CA115" i="5"/>
  <c r="AF129" i="5"/>
  <c r="BI99" i="5"/>
  <c r="W42" i="5"/>
  <c r="S19" i="5"/>
  <c r="AC104" i="5"/>
  <c r="BY21" i="5"/>
  <c r="AM33" i="5"/>
  <c r="W16" i="5"/>
  <c r="BO102" i="5"/>
  <c r="N52" i="5"/>
  <c r="BB124" i="5"/>
  <c r="CE53" i="5"/>
  <c r="AB117" i="5"/>
  <c r="X28" i="5"/>
  <c r="BK127" i="5"/>
  <c r="N21" i="5"/>
  <c r="Q34" i="5"/>
  <c r="BF97" i="5"/>
  <c r="AZ42" i="5"/>
  <c r="BY119" i="5"/>
  <c r="CF35" i="5"/>
  <c r="BK114" i="5"/>
  <c r="CC104" i="5"/>
  <c r="BP10" i="5"/>
  <c r="BO125" i="5"/>
  <c r="CA71" i="4"/>
  <c r="BE107" i="5"/>
  <c r="Z113" i="5"/>
  <c r="CH68" i="5"/>
  <c r="P53" i="5"/>
  <c r="AP46" i="5"/>
  <c r="BQ33" i="5"/>
  <c r="CN24" i="5"/>
  <c r="AR16" i="5"/>
  <c r="AP45" i="5"/>
  <c r="BZ110" i="5"/>
  <c r="CN32" i="5"/>
  <c r="X20" i="5"/>
  <c r="BN120" i="5"/>
  <c r="AB128" i="5"/>
  <c r="CN128" i="5"/>
  <c r="L109" i="5"/>
  <c r="N40" i="5"/>
  <c r="BK6" i="5"/>
  <c r="CM117" i="5"/>
  <c r="AR99" i="5"/>
  <c r="BY27" i="4"/>
  <c r="CA122" i="4"/>
  <c r="CE125" i="5"/>
  <c r="BX105" i="5"/>
  <c r="AQ14" i="5"/>
  <c r="BE13" i="5"/>
  <c r="CO104" i="5"/>
  <c r="BQ12" i="5"/>
  <c r="BX119" i="4"/>
  <c r="BB111" i="5"/>
  <c r="X103" i="5"/>
  <c r="BQ107" i="5"/>
  <c r="CO147" i="4"/>
  <c r="CA48" i="5"/>
  <c r="CD71" i="5"/>
  <c r="BI49" i="5"/>
  <c r="AQ48" i="5"/>
  <c r="K140" i="5"/>
  <c r="BG114" i="5"/>
  <c r="AK125" i="5"/>
  <c r="Z108" i="5"/>
  <c r="AA118" i="5"/>
  <c r="AA113" i="5"/>
  <c r="CM54" i="5"/>
  <c r="BK30" i="5"/>
  <c r="Z24" i="5"/>
  <c r="AF27" i="5"/>
  <c r="AY48" i="5"/>
  <c r="S123" i="5"/>
  <c r="AP25" i="5"/>
  <c r="CA30" i="5"/>
  <c r="BG41" i="5"/>
  <c r="Z43" i="5"/>
  <c r="CC116" i="5"/>
  <c r="N108" i="5"/>
  <c r="CE127" i="5"/>
  <c r="BE113" i="5"/>
  <c r="L9" i="5"/>
  <c r="CD6" i="5"/>
  <c r="BY18" i="5"/>
  <c r="BF27" i="5"/>
  <c r="AA8" i="5"/>
  <c r="BD9" i="5"/>
  <c r="BP15" i="5"/>
  <c r="BK103" i="5"/>
  <c r="BZ145" i="4"/>
  <c r="CA137" i="4"/>
  <c r="Q31" i="5"/>
  <c r="BA29" i="5"/>
  <c r="R144" i="5"/>
  <c r="BA48" i="5"/>
  <c r="CI61" i="5"/>
  <c r="CN123" i="5"/>
  <c r="W69" i="5"/>
  <c r="BP42" i="5"/>
  <c r="AM34" i="5"/>
  <c r="S109" i="5"/>
  <c r="CC45" i="5"/>
  <c r="AZ19" i="5"/>
  <c r="BL12" i="5"/>
  <c r="AJ38" i="5"/>
  <c r="L111" i="5"/>
  <c r="S122" i="5"/>
  <c r="BK46" i="5"/>
  <c r="N30" i="5"/>
  <c r="V129" i="5"/>
  <c r="AL38" i="5"/>
  <c r="W45" i="5"/>
  <c r="BK42" i="5"/>
  <c r="AL118" i="5"/>
  <c r="AE21" i="5"/>
  <c r="CM124" i="5"/>
  <c r="CI124" i="5"/>
  <c r="AY113" i="5"/>
  <c r="CF21" i="5"/>
  <c r="BO20" i="5"/>
  <c r="CP118" i="5"/>
  <c r="AF30" i="5"/>
  <c r="CM86" i="4"/>
  <c r="CN76" i="4"/>
  <c r="CO106" i="4"/>
  <c r="CH162" i="4"/>
  <c r="CK167" i="4"/>
  <c r="AG110" i="5"/>
  <c r="CF24" i="5"/>
  <c r="CN118" i="4"/>
  <c r="CM20" i="4"/>
  <c r="CP39" i="4"/>
  <c r="BO130" i="5"/>
  <c r="U126" i="5"/>
  <c r="AM50" i="5"/>
  <c r="N128" i="5"/>
  <c r="S44" i="5"/>
  <c r="N46" i="5"/>
  <c r="CF23" i="5"/>
  <c r="CK30" i="5"/>
  <c r="CM105" i="5"/>
  <c r="BE137" i="5"/>
  <c r="Z144" i="5"/>
  <c r="K139" i="5"/>
  <c r="BJ126" i="5"/>
  <c r="CN116" i="5"/>
  <c r="L32" i="5"/>
  <c r="CC16" i="5"/>
  <c r="AR46" i="5"/>
  <c r="AB119" i="5"/>
  <c r="BD40" i="5"/>
  <c r="BQ22" i="5"/>
  <c r="CO113" i="5"/>
  <c r="BF34" i="5"/>
  <c r="V45" i="5"/>
  <c r="BQ101" i="5"/>
  <c r="AP130" i="5"/>
  <c r="AC119" i="5"/>
  <c r="CC27" i="5"/>
  <c r="CD35" i="5"/>
  <c r="CE46" i="5"/>
  <c r="AY121" i="5"/>
  <c r="CM25" i="5"/>
  <c r="U12" i="5"/>
  <c r="AL139" i="5"/>
  <c r="AP41" i="5"/>
  <c r="AK106" i="5"/>
  <c r="Z46" i="5"/>
  <c r="BI112" i="5"/>
  <c r="BQ32" i="5"/>
  <c r="AZ9" i="5"/>
  <c r="AJ112" i="5"/>
  <c r="X4" i="5"/>
  <c r="N4" i="5"/>
  <c r="CN21" i="4"/>
  <c r="CH73" i="4"/>
  <c r="L34" i="5"/>
  <c r="AG20" i="5"/>
  <c r="AK11" i="5"/>
  <c r="CP59" i="4"/>
  <c r="CN110" i="4"/>
  <c r="CM45" i="4"/>
  <c r="CJ126" i="4"/>
  <c r="CJ104" i="4"/>
  <c r="BP31" i="5"/>
  <c r="AH104" i="5"/>
  <c r="CN147" i="4"/>
  <c r="K58" i="5"/>
  <c r="CJ128" i="5"/>
  <c r="V33" i="5"/>
  <c r="U124" i="5"/>
  <c r="Z39" i="5"/>
  <c r="BO127" i="5"/>
  <c r="CH133" i="5"/>
  <c r="R26" i="5"/>
  <c r="AJ44" i="5"/>
  <c r="AG25" i="5"/>
  <c r="CP106" i="5"/>
  <c r="AY40" i="5"/>
  <c r="AZ123" i="5"/>
  <c r="AJ99" i="5"/>
  <c r="CH128" i="5"/>
  <c r="K128" i="5"/>
  <c r="BG123" i="5"/>
  <c r="AG27" i="5"/>
  <c r="AG44" i="5"/>
  <c r="CH46" i="5"/>
  <c r="CH6" i="5"/>
  <c r="AA110" i="5"/>
  <c r="N49" i="5"/>
  <c r="AP128" i="5"/>
  <c r="AQ30" i="5"/>
  <c r="AY30" i="5"/>
  <c r="U128" i="5"/>
  <c r="CE109" i="5"/>
  <c r="AL128" i="5"/>
  <c r="P65" i="5"/>
  <c r="CN119" i="5"/>
  <c r="CA139" i="5"/>
  <c r="BB128" i="5"/>
  <c r="AK45" i="5"/>
  <c r="Q134" i="5"/>
  <c r="BA20" i="5"/>
  <c r="CP87" i="5"/>
  <c r="CJ45" i="5"/>
  <c r="M75" i="5"/>
  <c r="BA135" i="5"/>
  <c r="BL116" i="5"/>
  <c r="CC126" i="5"/>
  <c r="AJ14" i="5"/>
  <c r="AB21" i="5"/>
  <c r="CW161" i="5"/>
  <c r="X137" i="5"/>
  <c r="AA62" i="5"/>
  <c r="AC46" i="5"/>
  <c r="BN129" i="5"/>
  <c r="BA132" i="5"/>
  <c r="AE15" i="5"/>
  <c r="N104" i="5"/>
  <c r="CE89" i="5"/>
  <c r="W133" i="5"/>
  <c r="BE62" i="5"/>
  <c r="BI47" i="5"/>
  <c r="CK130" i="5"/>
  <c r="BB129" i="5"/>
  <c r="U61" i="5"/>
  <c r="AR86" i="5"/>
  <c r="CI117" i="5"/>
  <c r="Z47" i="5"/>
  <c r="BB37" i="5"/>
  <c r="BE138" i="5"/>
  <c r="BI122" i="5"/>
  <c r="AL28" i="5"/>
  <c r="U168" i="5"/>
  <c r="AB132" i="5"/>
  <c r="CP55" i="5"/>
  <c r="BD132" i="5"/>
  <c r="CO132" i="5"/>
  <c r="CO133" i="5"/>
  <c r="CM99" i="5"/>
  <c r="BQ110" i="5"/>
  <c r="AH83" i="5"/>
  <c r="BB48" i="5"/>
  <c r="BX137" i="5"/>
  <c r="AM44" i="5"/>
  <c r="BQ51" i="5"/>
  <c r="CA49" i="5"/>
  <c r="U105" i="5"/>
  <c r="V17" i="5"/>
  <c r="K161" i="5"/>
  <c r="AO119" i="5"/>
  <c r="BB134" i="5"/>
  <c r="BF138" i="5"/>
  <c r="CF46" i="5"/>
  <c r="AR64" i="5"/>
  <c r="L123" i="5"/>
  <c r="CA35" i="5"/>
  <c r="CO135" i="5"/>
  <c r="Q126" i="5"/>
  <c r="AG37" i="5"/>
  <c r="BN108" i="5"/>
  <c r="CF123" i="5"/>
  <c r="AB129" i="5"/>
  <c r="L119" i="5"/>
  <c r="BN29" i="5"/>
  <c r="M115" i="5"/>
  <c r="BY134" i="5"/>
  <c r="M121" i="5"/>
  <c r="BX41" i="5"/>
  <c r="AE105" i="5"/>
  <c r="CO23" i="4"/>
  <c r="BY140" i="5"/>
  <c r="BO139" i="5"/>
  <c r="BP131" i="5"/>
  <c r="CH27" i="5"/>
  <c r="CA161" i="5"/>
  <c r="BE35" i="5"/>
  <c r="BG34" i="5"/>
  <c r="CO54" i="5"/>
  <c r="CA29" i="5"/>
  <c r="U16" i="5"/>
  <c r="V40" i="5"/>
  <c r="AP44" i="5"/>
  <c r="CK22" i="5"/>
  <c r="CP35" i="5"/>
  <c r="BI16" i="5"/>
  <c r="CI6" i="4"/>
  <c r="CH29" i="4"/>
  <c r="AA40" i="5"/>
  <c r="BO115" i="5"/>
  <c r="CH44" i="4"/>
  <c r="BP133" i="5"/>
  <c r="AZ142" i="5"/>
  <c r="AJ144" i="5"/>
  <c r="Z42" i="5"/>
  <c r="BF120" i="5"/>
  <c r="AG149" i="5"/>
  <c r="CH112" i="5"/>
  <c r="L116" i="5"/>
  <c r="S15" i="5"/>
  <c r="N42" i="5"/>
  <c r="BI17" i="5"/>
  <c r="AK43" i="5"/>
  <c r="M107" i="5"/>
  <c r="BZ115" i="5"/>
  <c r="CM14" i="4"/>
  <c r="CH27" i="4"/>
  <c r="CI21" i="4"/>
  <c r="CK128" i="4"/>
  <c r="CE109" i="4"/>
  <c r="BZ120" i="5"/>
  <c r="AC107" i="5"/>
  <c r="M123" i="5"/>
  <c r="CM88" i="4"/>
  <c r="CH132" i="4"/>
  <c r="CK93" i="4"/>
  <c r="CJ23" i="4"/>
  <c r="CF62" i="4"/>
  <c r="S17" i="5"/>
  <c r="BE6" i="5"/>
  <c r="Q102" i="5"/>
  <c r="AF162" i="5"/>
  <c r="BK126" i="5"/>
  <c r="AE34" i="5"/>
  <c r="BY127" i="5"/>
  <c r="U125" i="5"/>
  <c r="BN127" i="5"/>
  <c r="BD12" i="5"/>
  <c r="K104" i="5"/>
  <c r="CP24" i="5"/>
  <c r="CO122" i="5"/>
  <c r="CH114" i="5"/>
  <c r="BL49" i="5"/>
  <c r="CF40" i="5"/>
  <c r="L124" i="5"/>
  <c r="BB146" i="5"/>
  <c r="CO119" i="5"/>
  <c r="BL28" i="5"/>
  <c r="CA106" i="5"/>
  <c r="BN42" i="5"/>
  <c r="BX23" i="5"/>
  <c r="CM123" i="5"/>
  <c r="CO6" i="5"/>
  <c r="BY79" i="5"/>
  <c r="AR38" i="5"/>
  <c r="CI120" i="5"/>
  <c r="CD110" i="5"/>
  <c r="BB112" i="5"/>
  <c r="CK23" i="5"/>
  <c r="Z98" i="5"/>
  <c r="CN150" i="4"/>
  <c r="CP69" i="4"/>
  <c r="CP87" i="4"/>
  <c r="CM71" i="4"/>
  <c r="CI74" i="4"/>
  <c r="CK108" i="5"/>
  <c r="CA105" i="5"/>
  <c r="CM23" i="5"/>
  <c r="AC131" i="5"/>
  <c r="BX136" i="5"/>
  <c r="AH47" i="5"/>
  <c r="BJ53" i="5"/>
  <c r="AF138" i="5"/>
  <c r="CF37" i="5"/>
  <c r="Z133" i="5"/>
  <c r="BN10" i="5"/>
  <c r="AM125" i="5"/>
  <c r="BZ111" i="5"/>
  <c r="Z134" i="5"/>
  <c r="CK117" i="5"/>
  <c r="BN8" i="5"/>
  <c r="N109" i="5"/>
  <c r="CN129" i="5"/>
  <c r="AJ35" i="5"/>
  <c r="BB15" i="5"/>
  <c r="AH19" i="5"/>
  <c r="AP129" i="5"/>
  <c r="BP36" i="5"/>
  <c r="W21" i="5"/>
  <c r="V25" i="5"/>
  <c r="CC41" i="5"/>
  <c r="BX119" i="5"/>
  <c r="AM99" i="5"/>
  <c r="AA13" i="5"/>
  <c r="P105" i="5"/>
  <c r="U132" i="5"/>
  <c r="L26" i="5"/>
  <c r="AE9" i="5"/>
  <c r="AE101" i="5"/>
  <c r="CF4" i="5"/>
  <c r="BY32" i="4"/>
  <c r="BX83" i="4"/>
  <c r="BJ106" i="5"/>
  <c r="AQ121" i="5"/>
  <c r="M102" i="5"/>
  <c r="BF102" i="5"/>
  <c r="BJ119" i="5"/>
  <c r="BQ63" i="5"/>
  <c r="W70" i="5"/>
  <c r="AK134" i="5"/>
  <c r="BE57" i="5"/>
  <c r="CM35" i="5"/>
  <c r="CK129" i="5"/>
  <c r="CJ73" i="5"/>
  <c r="AY111" i="5"/>
  <c r="S57" i="5"/>
  <c r="CI36" i="5"/>
  <c r="AE64" i="5"/>
  <c r="BP128" i="5"/>
  <c r="L61" i="5"/>
  <c r="K55" i="5"/>
  <c r="AR128" i="5"/>
  <c r="AB116" i="5"/>
  <c r="BZ43" i="5"/>
  <c r="AJ23" i="5"/>
  <c r="BP47" i="5"/>
  <c r="BI19" i="5"/>
  <c r="AC60" i="5"/>
  <c r="AK136" i="5"/>
  <c r="CO110" i="5"/>
  <c r="CD20" i="5"/>
  <c r="AA43" i="5"/>
  <c r="AE106" i="5"/>
  <c r="K29" i="5"/>
  <c r="K112" i="5"/>
  <c r="CJ135" i="5"/>
  <c r="U45" i="5"/>
  <c r="AZ37" i="5"/>
  <c r="CE34" i="5"/>
  <c r="BK119" i="5"/>
  <c r="W122" i="5"/>
  <c r="BD114" i="5"/>
  <c r="AM23" i="5"/>
  <c r="AR106" i="5"/>
  <c r="CM4" i="5"/>
  <c r="AM25" i="5"/>
  <c r="BL13" i="5"/>
  <c r="L35" i="5"/>
  <c r="W6" i="5"/>
  <c r="CD68" i="4"/>
  <c r="CE60" i="4"/>
  <c r="W33" i="5"/>
  <c r="AA12" i="5"/>
  <c r="BA8" i="5"/>
  <c r="CP9" i="5"/>
  <c r="CE24" i="5"/>
  <c r="BG15" i="5"/>
  <c r="CF136" i="4"/>
  <c r="CF18" i="4"/>
  <c r="BG122" i="5"/>
  <c r="CJ116" i="5"/>
  <c r="Z7" i="5"/>
  <c r="K60" i="5"/>
  <c r="BJ54" i="5"/>
  <c r="N127" i="5"/>
  <c r="CI52" i="5"/>
  <c r="CK138" i="5"/>
  <c r="S18" i="5"/>
  <c r="AY123" i="5"/>
  <c r="AA104" i="5"/>
  <c r="R21" i="5"/>
  <c r="CI26" i="5"/>
  <c r="AP63" i="5"/>
  <c r="CC132" i="5"/>
  <c r="AM27" i="5"/>
  <c r="N103" i="5"/>
  <c r="AR41" i="5"/>
  <c r="BE39" i="5"/>
  <c r="BX31" i="5"/>
  <c r="K17" i="5"/>
  <c r="P128" i="5"/>
  <c r="M36" i="5"/>
  <c r="AE30" i="5"/>
  <c r="BQ20" i="5"/>
  <c r="CA111" i="5"/>
  <c r="R130" i="5"/>
  <c r="CN16" i="5"/>
  <c r="BP109" i="5"/>
  <c r="AG111" i="5"/>
  <c r="W106" i="5"/>
  <c r="BJ107" i="5"/>
  <c r="P99" i="5"/>
  <c r="BY4" i="5"/>
  <c r="AL35" i="5"/>
  <c r="CJ111" i="5"/>
  <c r="AY102" i="5"/>
  <c r="CN60" i="4"/>
  <c r="AY101" i="5"/>
  <c r="CN55" i="4"/>
  <c r="CN153" i="4"/>
  <c r="CI45" i="4"/>
  <c r="V140" i="5"/>
  <c r="R125" i="5"/>
  <c r="CP65" i="4"/>
  <c r="BE101" i="5"/>
  <c r="U6" i="5"/>
  <c r="X9" i="5"/>
  <c r="CE164" i="4"/>
  <c r="BK131" i="5"/>
  <c r="BF111" i="5"/>
  <c r="AG31" i="5"/>
  <c r="AP10" i="5"/>
  <c r="AB9" i="5"/>
  <c r="CN78" i="4"/>
  <c r="CP44" i="4"/>
  <c r="AM122" i="5"/>
  <c r="BK115" i="5"/>
  <c r="R23" i="5"/>
  <c r="BJ19" i="5"/>
  <c r="V108" i="5"/>
  <c r="R11" i="5"/>
  <c r="BZ43" i="4"/>
  <c r="BZ88" i="4"/>
  <c r="BN16" i="5"/>
  <c r="CD37" i="5"/>
  <c r="CM100" i="5"/>
  <c r="AB34" i="5"/>
  <c r="CF99" i="5"/>
  <c r="AA20" i="5"/>
  <c r="X115" i="5"/>
  <c r="V30" i="5"/>
  <c r="AC19" i="5"/>
  <c r="CO94" i="4"/>
  <c r="CM137" i="4"/>
  <c r="CM147" i="4"/>
  <c r="CN114" i="4"/>
  <c r="CO32" i="5"/>
  <c r="CI5" i="4"/>
  <c r="BO87" i="4"/>
  <c r="BN101" i="4"/>
  <c r="BJ58" i="4"/>
  <c r="BP81" i="4"/>
  <c r="BB32" i="5"/>
  <c r="CE31" i="5"/>
  <c r="CK164" i="4"/>
  <c r="BA28" i="5"/>
  <c r="CO9" i="4"/>
  <c r="CP17" i="5"/>
  <c r="CA67" i="5"/>
  <c r="AK149" i="5"/>
  <c r="AA128" i="5"/>
  <c r="AG42" i="5"/>
  <c r="CI58" i="5"/>
  <c r="R127" i="5"/>
  <c r="BI7" i="5"/>
  <c r="BG140" i="5"/>
  <c r="BX46" i="5"/>
  <c r="CO55" i="5"/>
  <c r="BF128" i="5"/>
  <c r="AG53" i="5"/>
  <c r="BA129" i="5"/>
  <c r="AM30" i="5"/>
  <c r="M21" i="5"/>
  <c r="CP59" i="5"/>
  <c r="CM32" i="5"/>
  <c r="AE46" i="5"/>
  <c r="AM121" i="5"/>
  <c r="BI126" i="5"/>
  <c r="CP137" i="5"/>
  <c r="M18" i="5"/>
  <c r="BG98" i="5"/>
  <c r="AY70" i="5"/>
  <c r="X124" i="5"/>
  <c r="BO41" i="5"/>
  <c r="CK28" i="5"/>
  <c r="AA129" i="5"/>
  <c r="BY132" i="5"/>
  <c r="M31" i="5"/>
  <c r="AE28" i="5"/>
  <c r="AY52" i="5"/>
  <c r="X50" i="5"/>
  <c r="BI73" i="5"/>
  <c r="V35" i="5"/>
  <c r="S51" i="5"/>
  <c r="X127" i="5"/>
  <c r="AJ16" i="5"/>
  <c r="BQ54" i="5"/>
  <c r="BA114" i="5"/>
  <c r="AF131" i="5"/>
  <c r="BX6" i="5"/>
  <c r="AK39" i="5"/>
  <c r="BZ13" i="5"/>
  <c r="CJ16" i="5"/>
  <c r="BK139" i="5"/>
  <c r="P43" i="5"/>
  <c r="K126" i="5"/>
  <c r="X109" i="5"/>
  <c r="AC121" i="5"/>
  <c r="CD123" i="5"/>
  <c r="X19" i="5"/>
  <c r="CK126" i="5"/>
  <c r="CO15" i="5"/>
  <c r="Q137" i="5"/>
  <c r="AZ33" i="5"/>
  <c r="AO130" i="5"/>
  <c r="AO105" i="5"/>
  <c r="AE7" i="5"/>
  <c r="BO22" i="5"/>
  <c r="S10" i="5"/>
  <c r="CC51" i="4"/>
  <c r="Z21" i="5"/>
  <c r="BL110" i="5"/>
  <c r="BK110" i="5"/>
  <c r="BG130" i="5"/>
  <c r="CK46" i="5"/>
  <c r="BK136" i="5"/>
  <c r="CM125" i="5"/>
  <c r="AF127" i="5"/>
  <c r="AQ143" i="5"/>
  <c r="CM113" i="5"/>
  <c r="AA27" i="5"/>
  <c r="CP104" i="5"/>
  <c r="BL37" i="5"/>
  <c r="AO29" i="5"/>
  <c r="CN114" i="5"/>
  <c r="AM29" i="5"/>
  <c r="CM17" i="5"/>
  <c r="BY14" i="5"/>
  <c r="BK4" i="5"/>
  <c r="CA8" i="5"/>
  <c r="CD119" i="4"/>
  <c r="BX45" i="4"/>
  <c r="R24" i="5"/>
  <c r="AF98" i="5"/>
  <c r="AJ33" i="5"/>
  <c r="CJ109" i="5"/>
  <c r="AH17" i="5"/>
  <c r="W24" i="5"/>
  <c r="CE96" i="4"/>
  <c r="CA34" i="4"/>
  <c r="CP39" i="5"/>
  <c r="BG110" i="5"/>
  <c r="AQ103" i="5"/>
  <c r="BE77" i="5"/>
  <c r="AF117" i="5"/>
  <c r="AY49" i="5"/>
  <c r="CI35" i="5"/>
  <c r="CE134" i="5"/>
  <c r="AG120" i="5"/>
  <c r="S26" i="5"/>
  <c r="CH23" i="5"/>
  <c r="AH64" i="5"/>
  <c r="CP112" i="5"/>
  <c r="BI110" i="5"/>
  <c r="CF130" i="5"/>
  <c r="AJ121" i="5"/>
  <c r="AK42" i="5"/>
  <c r="BY60" i="5"/>
  <c r="AG128" i="5"/>
  <c r="BG29" i="5"/>
  <c r="AB31" i="5"/>
  <c r="BF72" i="5"/>
  <c r="M45" i="5"/>
  <c r="BA113" i="5"/>
  <c r="AF105" i="5"/>
  <c r="AC43" i="5"/>
  <c r="AE32" i="5"/>
  <c r="CM27" i="5"/>
  <c r="BN115" i="5"/>
  <c r="U122" i="5"/>
  <c r="CA110" i="5"/>
  <c r="BZ18" i="5"/>
  <c r="CM116" i="4"/>
  <c r="CJ39" i="4"/>
  <c r="CH96" i="4"/>
  <c r="CI19" i="4"/>
  <c r="CE79" i="4"/>
  <c r="CE115" i="5"/>
  <c r="W20" i="5"/>
  <c r="BX76" i="5"/>
  <c r="BD131" i="5"/>
  <c r="AA146" i="5"/>
  <c r="AQ50" i="5"/>
  <c r="BQ38" i="5"/>
  <c r="BX129" i="5"/>
  <c r="BN15" i="5"/>
  <c r="AO27" i="5"/>
  <c r="Z20" i="5"/>
  <c r="AH41" i="5"/>
  <c r="N123" i="5"/>
  <c r="BG47" i="5"/>
  <c r="CF122" i="5"/>
  <c r="BI15" i="5"/>
  <c r="AP24" i="5"/>
  <c r="CE41" i="5"/>
  <c r="AO106" i="5"/>
  <c r="BJ115" i="5"/>
  <c r="R112" i="5"/>
  <c r="BG37" i="5"/>
  <c r="BY126" i="5"/>
  <c r="AR14" i="5"/>
  <c r="Z110" i="5"/>
  <c r="AB124" i="5"/>
  <c r="Z41" i="5"/>
  <c r="AQ123" i="5"/>
  <c r="CF63" i="5"/>
  <c r="AA39" i="5"/>
  <c r="AR119" i="5"/>
  <c r="CO4" i="5"/>
  <c r="CE7" i="5"/>
  <c r="M10" i="5"/>
  <c r="AF12" i="5"/>
  <c r="BQ112" i="4"/>
  <c r="BF135" i="5"/>
  <c r="Q104" i="5"/>
  <c r="R122" i="5"/>
  <c r="CD18" i="5"/>
  <c r="BP105" i="5"/>
  <c r="AL16" i="5"/>
  <c r="AF140" i="5"/>
  <c r="BL132" i="5"/>
  <c r="P124" i="5"/>
  <c r="Z127" i="5"/>
  <c r="CH130" i="5"/>
  <c r="Q30" i="5"/>
  <c r="CP42" i="5"/>
  <c r="AZ111" i="5"/>
  <c r="BK40" i="5"/>
  <c r="X110" i="5"/>
  <c r="BY44" i="5"/>
  <c r="AA145" i="5"/>
  <c r="W48" i="5"/>
  <c r="BJ136" i="5"/>
  <c r="S113" i="5"/>
  <c r="W25" i="5"/>
  <c r="CK29" i="5"/>
  <c r="S115" i="5"/>
  <c r="BD32" i="5"/>
  <c r="BX97" i="5"/>
  <c r="BG137" i="5"/>
  <c r="AG122" i="5"/>
  <c r="AJ98" i="5"/>
  <c r="CO20" i="5"/>
  <c r="AG39" i="5"/>
  <c r="BJ121" i="5"/>
  <c r="BE34" i="5"/>
  <c r="CI14" i="5"/>
  <c r="CK26" i="5"/>
  <c r="BA108" i="5"/>
  <c r="AF111" i="5"/>
  <c r="AY108" i="5"/>
  <c r="CP109" i="5"/>
  <c r="BX44" i="5"/>
  <c r="R104" i="5"/>
  <c r="BQ30" i="5"/>
  <c r="M118" i="5"/>
  <c r="BY113" i="5"/>
  <c r="BK19" i="5"/>
  <c r="Q101" i="5"/>
  <c r="V8" i="5"/>
  <c r="W4" i="5"/>
  <c r="BX65" i="4"/>
  <c r="CA139" i="4"/>
  <c r="BJ116" i="5"/>
  <c r="P39" i="5"/>
  <c r="BX5" i="5"/>
  <c r="AL101" i="5"/>
  <c r="M106" i="5"/>
  <c r="AP13" i="5"/>
  <c r="BX152" i="4"/>
  <c r="BB144" i="5"/>
  <c r="CK124" i="5"/>
  <c r="BF117" i="5"/>
  <c r="BA18" i="5"/>
  <c r="Q123" i="5"/>
  <c r="P142" i="5"/>
  <c r="BF51" i="5"/>
  <c r="BI128" i="5"/>
  <c r="AF38" i="5"/>
  <c r="AH27" i="5"/>
  <c r="CH41" i="5"/>
  <c r="S27" i="5"/>
  <c r="BY40" i="5"/>
  <c r="CC107" i="5"/>
  <c r="AG51" i="5"/>
  <c r="AM37" i="5"/>
  <c r="BD115" i="5"/>
  <c r="CK19" i="5"/>
  <c r="CO36" i="5"/>
  <c r="AP137" i="5"/>
  <c r="BO26" i="5"/>
  <c r="BA10" i="5"/>
  <c r="V47" i="5"/>
  <c r="N29" i="5"/>
  <c r="AJ19" i="5"/>
  <c r="Z18" i="5"/>
  <c r="BG119" i="5"/>
  <c r="BN41" i="5"/>
  <c r="N121" i="5"/>
  <c r="BP111" i="5"/>
  <c r="CK104" i="5"/>
  <c r="AF19" i="5"/>
  <c r="BX102" i="5"/>
  <c r="L24" i="5"/>
  <c r="CJ100" i="5"/>
  <c r="CC110" i="5"/>
  <c r="AC26" i="5"/>
  <c r="AL108" i="5"/>
  <c r="BZ99" i="4"/>
  <c r="AF35" i="5"/>
  <c r="BJ97" i="5"/>
  <c r="BA102" i="5"/>
  <c r="CC149" i="4"/>
  <c r="AK44" i="5"/>
  <c r="CC21" i="5"/>
  <c r="AF22" i="5"/>
  <c r="L7" i="5"/>
  <c r="M103" i="5"/>
  <c r="CP5" i="5"/>
  <c r="BX35" i="4"/>
  <c r="BA126" i="5"/>
  <c r="W119" i="5"/>
  <c r="AQ31" i="5"/>
  <c r="CN124" i="4"/>
  <c r="CP31" i="4"/>
  <c r="CO99" i="4"/>
  <c r="CO137" i="5"/>
  <c r="X123" i="5"/>
  <c r="BP116" i="5"/>
  <c r="M5" i="5"/>
  <c r="AL100" i="5"/>
  <c r="AC103" i="5"/>
  <c r="AF104" i="5"/>
  <c r="BQ16" i="4"/>
  <c r="BB50" i="5"/>
  <c r="AJ17" i="5"/>
  <c r="V125" i="5"/>
  <c r="L13" i="5"/>
  <c r="CO135" i="4"/>
  <c r="CN23" i="4"/>
  <c r="CO166" i="4"/>
  <c r="CK113" i="5"/>
  <c r="CD40" i="5"/>
  <c r="CC99" i="5"/>
  <c r="BE97" i="5"/>
  <c r="CP11" i="5"/>
  <c r="BG102" i="5"/>
  <c r="CJ15" i="4"/>
  <c r="AK28" i="5"/>
  <c r="CD126" i="4"/>
  <c r="CH135" i="4"/>
  <c r="BJ59" i="4"/>
  <c r="CE144" i="4"/>
  <c r="CK32" i="5"/>
  <c r="BX22" i="5"/>
  <c r="L30" i="5"/>
  <c r="CK90" i="4"/>
  <c r="CA109" i="5"/>
  <c r="CD5" i="5"/>
  <c r="AE120" i="5"/>
  <c r="BD119" i="5"/>
  <c r="R142" i="5"/>
  <c r="AF46" i="5"/>
  <c r="BA70" i="5"/>
  <c r="N137" i="5"/>
  <c r="CC60" i="5"/>
  <c r="CF125" i="5"/>
  <c r="K13" i="5"/>
  <c r="BK22" i="5"/>
  <c r="BL125" i="5"/>
  <c r="CK42" i="5"/>
  <c r="CE40" i="5"/>
  <c r="CF7" i="5"/>
  <c r="AF39" i="5"/>
  <c r="P11" i="5"/>
  <c r="BO19" i="5"/>
  <c r="R132" i="5"/>
  <c r="BO112" i="5"/>
  <c r="AB19" i="5"/>
  <c r="BA21" i="5"/>
  <c r="BG73" i="5"/>
  <c r="AG33" i="5"/>
  <c r="CN137" i="5"/>
  <c r="BX16" i="5"/>
  <c r="K113" i="5"/>
  <c r="CJ24" i="5"/>
  <c r="CM49" i="4"/>
  <c r="CH28" i="4"/>
  <c r="W15" i="5"/>
  <c r="CM141" i="4"/>
  <c r="CK34" i="4"/>
  <c r="CI110" i="5"/>
  <c r="BN135" i="5"/>
  <c r="CK111" i="5"/>
  <c r="Q46" i="5"/>
  <c r="AP123" i="5"/>
  <c r="V41" i="5"/>
  <c r="AZ44" i="5"/>
  <c r="AJ124" i="5"/>
  <c r="P6" i="5"/>
  <c r="AY131" i="5"/>
  <c r="AG121" i="5"/>
  <c r="Q33" i="5"/>
  <c r="Z99" i="5"/>
  <c r="AK150" i="5"/>
  <c r="AM60" i="5"/>
  <c r="AE131" i="5"/>
  <c r="BO120" i="5"/>
  <c r="AZ144" i="5"/>
  <c r="Q129" i="5"/>
  <c r="AQ28" i="5"/>
  <c r="BK35" i="5"/>
  <c r="CJ36" i="5"/>
  <c r="AY17" i="5"/>
  <c r="AG115" i="5"/>
  <c r="BP113" i="5"/>
  <c r="BY39" i="5"/>
  <c r="CI121" i="4"/>
  <c r="K102" i="5"/>
  <c r="CE98" i="5"/>
  <c r="AE57" i="5"/>
  <c r="CA28" i="5"/>
  <c r="AE4" i="5"/>
  <c r="AZ46" i="5"/>
  <c r="M137" i="5"/>
  <c r="BE54" i="5"/>
  <c r="M35" i="5"/>
  <c r="CO27" i="5"/>
  <c r="AY117" i="5"/>
  <c r="AY36" i="5"/>
  <c r="CF29" i="5"/>
  <c r="V120" i="5"/>
  <c r="BX43" i="5"/>
  <c r="AR141" i="5"/>
  <c r="CM123" i="4"/>
  <c r="CP81" i="4"/>
  <c r="X131" i="5"/>
  <c r="CP144" i="4"/>
  <c r="CM59" i="4"/>
  <c r="K122" i="5"/>
  <c r="CO146" i="4"/>
  <c r="BQ43" i="5"/>
  <c r="BX128" i="5"/>
  <c r="BQ115" i="5"/>
  <c r="CD107" i="5"/>
  <c r="AE107" i="5"/>
  <c r="AB40" i="5"/>
  <c r="BP21" i="5"/>
  <c r="BD4" i="5"/>
  <c r="V43" i="5"/>
  <c r="AL32" i="5"/>
  <c r="CN160" i="4"/>
  <c r="CM122" i="4"/>
  <c r="BF42" i="5"/>
  <c r="CP4" i="4"/>
  <c r="AE14" i="5"/>
  <c r="CE154" i="4"/>
  <c r="BN28" i="5"/>
  <c r="CP23" i="4"/>
  <c r="CP98" i="4"/>
  <c r="CC7" i="4"/>
  <c r="AB30" i="5"/>
  <c r="CE26" i="5"/>
  <c r="BQ7" i="5"/>
  <c r="U26" i="5"/>
  <c r="BI113" i="5"/>
  <c r="AM10" i="5"/>
  <c r="CF77" i="4"/>
  <c r="V117" i="5"/>
  <c r="Q110" i="5"/>
  <c r="M15" i="5"/>
  <c r="AA42" i="5"/>
  <c r="CF12" i="5"/>
  <c r="N7" i="5"/>
  <c r="BN46" i="4"/>
  <c r="BY64" i="4"/>
  <c r="BO143" i="4"/>
  <c r="AM119" i="5"/>
  <c r="CD97" i="5"/>
  <c r="S11" i="5"/>
  <c r="AF18" i="5"/>
  <c r="CI94" i="4"/>
  <c r="BD23" i="5"/>
  <c r="L25" i="5"/>
  <c r="CP41" i="4"/>
  <c r="CP149" i="4"/>
  <c r="CM42" i="4"/>
  <c r="CK86" i="4"/>
  <c r="CF25" i="4"/>
  <c r="CF117" i="5"/>
  <c r="CI24" i="5"/>
  <c r="BE108" i="5"/>
  <c r="CK27" i="5"/>
  <c r="AK6" i="5"/>
  <c r="AA11" i="5"/>
  <c r="CC28" i="5"/>
  <c r="AA105" i="5"/>
  <c r="AK19" i="5"/>
  <c r="X100" i="5"/>
  <c r="CD24" i="5"/>
  <c r="AF6" i="5"/>
  <c r="CK18" i="4"/>
  <c r="CD134" i="4"/>
  <c r="BA36" i="5"/>
  <c r="CH5" i="5"/>
  <c r="BB8" i="5"/>
  <c r="M104" i="5"/>
  <c r="AM12" i="5"/>
  <c r="BZ30" i="5"/>
  <c r="CH8" i="4"/>
  <c r="S35" i="5"/>
  <c r="BK32" i="5"/>
  <c r="AB103" i="5"/>
  <c r="BF103" i="5"/>
  <c r="AC9" i="5"/>
  <c r="CE99" i="5"/>
  <c r="BX55" i="4"/>
  <c r="CO116" i="5"/>
  <c r="CA87" i="4"/>
  <c r="BY39" i="4"/>
  <c r="CA132" i="4"/>
  <c r="BK124" i="4"/>
  <c r="AR147" i="4"/>
  <c r="CN51" i="4"/>
  <c r="BY154" i="4"/>
  <c r="CA167" i="4"/>
  <c r="BY15" i="4"/>
  <c r="BK98" i="4"/>
  <c r="AZ12" i="4"/>
  <c r="CP8" i="5"/>
  <c r="CA153" i="4"/>
  <c r="BO150" i="4"/>
  <c r="BX30" i="4"/>
  <c r="BK128" i="4"/>
  <c r="CI124" i="4"/>
  <c r="CO54" i="4"/>
  <c r="BX168" i="4"/>
  <c r="BQ39" i="4"/>
  <c r="CH21" i="5"/>
  <c r="BZ119" i="5"/>
  <c r="AE27" i="5"/>
  <c r="CJ82" i="4"/>
  <c r="CP111" i="5"/>
  <c r="M97" i="5"/>
  <c r="AL107" i="5"/>
  <c r="CF149" i="4"/>
  <c r="CM12" i="5"/>
  <c r="S25" i="5"/>
  <c r="AK12" i="5"/>
  <c r="CI114" i="5"/>
  <c r="AF37" i="5"/>
  <c r="CF108" i="4"/>
  <c r="BZ83" i="4"/>
  <c r="AM102" i="5"/>
  <c r="CC105" i="5"/>
  <c r="AF5" i="5"/>
  <c r="CO31" i="4"/>
  <c r="CP141" i="4"/>
  <c r="CP108" i="4"/>
  <c r="AM111" i="5"/>
  <c r="AK104" i="5"/>
  <c r="AM13" i="5"/>
  <c r="CJ97" i="5"/>
  <c r="Q11" i="5"/>
  <c r="BY105" i="5"/>
  <c r="CD102" i="4"/>
  <c r="CA140" i="4"/>
  <c r="CE117" i="5"/>
  <c r="R111" i="5"/>
  <c r="X101" i="5"/>
  <c r="AK100" i="5"/>
  <c r="BI111" i="5"/>
  <c r="AR4" i="5"/>
  <c r="CC119" i="4"/>
  <c r="AL27" i="5"/>
  <c r="K15" i="5"/>
  <c r="CO129" i="4"/>
  <c r="CO105" i="4"/>
  <c r="CO45" i="4"/>
  <c r="CM29" i="4"/>
  <c r="CH152" i="4"/>
  <c r="S98" i="5"/>
  <c r="BP155" i="4"/>
  <c r="BO67" i="4"/>
  <c r="BQ65" i="4"/>
  <c r="CE74" i="4"/>
  <c r="BJ54" i="4"/>
  <c r="CP6" i="5"/>
  <c r="CH30" i="4"/>
  <c r="BQ90" i="4"/>
  <c r="BO43" i="5"/>
  <c r="BF41" i="5"/>
  <c r="BF125" i="5"/>
  <c r="CD10" i="4"/>
  <c r="CJ112" i="5"/>
  <c r="CO5" i="5"/>
  <c r="AG116" i="5"/>
  <c r="CK168" i="4"/>
  <c r="CI25" i="5"/>
  <c r="BE31" i="5"/>
  <c r="CN143" i="4"/>
  <c r="CI92" i="4"/>
  <c r="CI97" i="4"/>
  <c r="CH129" i="4"/>
  <c r="CC90" i="4"/>
  <c r="Z37" i="5"/>
  <c r="N107" i="5"/>
  <c r="AY99" i="5"/>
  <c r="AH102" i="5"/>
  <c r="AL9" i="5"/>
  <c r="R100" i="5"/>
  <c r="AB112" i="5"/>
  <c r="S5" i="5"/>
  <c r="BZ15" i="5"/>
  <c r="K32" i="5"/>
  <c r="AF137" i="5"/>
  <c r="P36" i="5"/>
  <c r="AY126" i="5"/>
  <c r="BE28" i="5"/>
  <c r="Z66" i="5"/>
  <c r="AZ115" i="5"/>
  <c r="AA49" i="5"/>
  <c r="P40" i="5"/>
  <c r="V107" i="5"/>
  <c r="K35" i="5"/>
  <c r="CF17" i="5"/>
  <c r="AF14" i="5"/>
  <c r="AO32" i="5"/>
  <c r="K125" i="5"/>
  <c r="AR103" i="5"/>
  <c r="CK121" i="5"/>
  <c r="CP124" i="5"/>
  <c r="BX32" i="5"/>
  <c r="CE119" i="5"/>
  <c r="CC127" i="5"/>
  <c r="M49" i="5"/>
  <c r="AY38" i="5"/>
  <c r="CF100" i="5"/>
  <c r="BI131" i="5"/>
  <c r="V111" i="5"/>
  <c r="AK102" i="5"/>
  <c r="CH110" i="5"/>
  <c r="AA36" i="5"/>
  <c r="V24" i="5"/>
  <c r="Z28" i="5"/>
  <c r="CN31" i="4"/>
  <c r="AM126" i="5"/>
  <c r="AB46" i="5"/>
  <c r="AA10" i="5"/>
  <c r="CK107" i="5"/>
  <c r="L29" i="5"/>
  <c r="S29" i="5"/>
  <c r="CM50" i="5"/>
  <c r="AP19" i="5"/>
  <c r="BA120" i="5"/>
  <c r="AG34" i="5"/>
  <c r="Q100" i="5"/>
  <c r="CN104" i="5"/>
  <c r="BF107" i="5"/>
  <c r="CM48" i="5"/>
  <c r="CP122" i="5"/>
  <c r="BA115" i="5"/>
  <c r="Z125" i="5"/>
  <c r="AF133" i="5"/>
  <c r="AK60" i="5"/>
  <c r="AQ33" i="5"/>
  <c r="AO38" i="5"/>
  <c r="AF74" i="5"/>
  <c r="BY38" i="5"/>
  <c r="P46" i="5"/>
  <c r="CP75" i="4"/>
  <c r="CC25" i="4"/>
  <c r="CA19" i="5"/>
  <c r="CP109" i="4"/>
  <c r="BO28" i="5"/>
  <c r="CK143" i="5"/>
  <c r="AB125" i="5"/>
  <c r="CK18" i="5"/>
  <c r="V50" i="5"/>
  <c r="AQ137" i="5"/>
  <c r="AO28" i="5"/>
  <c r="BZ118" i="5"/>
  <c r="Z11" i="5"/>
  <c r="AH134" i="5"/>
  <c r="K117" i="5"/>
  <c r="BZ107" i="5"/>
  <c r="BE36" i="5"/>
  <c r="AP32" i="5"/>
  <c r="BG10" i="5"/>
  <c r="CP63" i="4"/>
  <c r="BE115" i="5"/>
  <c r="AP103" i="5"/>
  <c r="CP133" i="4"/>
  <c r="AM18" i="5"/>
  <c r="BZ79" i="5"/>
  <c r="CK68" i="5"/>
  <c r="N47" i="5"/>
  <c r="BL31" i="5"/>
  <c r="AF77" i="5"/>
  <c r="AR112" i="5"/>
  <c r="AR107" i="5"/>
  <c r="AF53" i="5"/>
  <c r="AO24" i="5"/>
  <c r="CA27" i="5"/>
  <c r="AR120" i="5"/>
  <c r="P116" i="5"/>
  <c r="CO122" i="4"/>
  <c r="CJ132" i="5"/>
  <c r="CD82" i="4"/>
  <c r="CN54" i="4"/>
  <c r="CA160" i="4"/>
  <c r="AR31" i="5"/>
  <c r="CP13" i="4"/>
  <c r="CM70" i="4"/>
  <c r="N117" i="5"/>
  <c r="R7" i="5"/>
  <c r="AB10" i="5"/>
  <c r="CF30" i="5"/>
  <c r="BL27" i="5"/>
  <c r="CO61" i="4"/>
  <c r="CN75" i="4"/>
  <c r="CI115" i="5"/>
  <c r="AH106" i="5"/>
  <c r="CN155" i="4"/>
  <c r="CM73" i="4"/>
  <c r="Q108" i="5"/>
  <c r="BD98" i="5"/>
  <c r="K101" i="5"/>
  <c r="AC120" i="5"/>
  <c r="CF46" i="4"/>
  <c r="BN58" i="4"/>
  <c r="BQ130" i="5"/>
  <c r="BZ49" i="4"/>
  <c r="CM65" i="4"/>
  <c r="CN5" i="5"/>
  <c r="CC123" i="4"/>
  <c r="V20" i="5"/>
  <c r="BD106" i="5"/>
  <c r="CP98" i="5"/>
  <c r="AF24" i="5"/>
  <c r="R13" i="5"/>
  <c r="CD95" i="4"/>
  <c r="CD58" i="4"/>
  <c r="K19" i="5"/>
  <c r="BE25" i="5"/>
  <c r="Q97" i="5"/>
  <c r="CP83" i="4"/>
  <c r="CP24" i="4"/>
  <c r="CM120" i="4"/>
  <c r="CD102" i="5"/>
  <c r="AY28" i="5"/>
  <c r="AQ108" i="5"/>
  <c r="CM103" i="5"/>
  <c r="BB30" i="5"/>
  <c r="CA98" i="5"/>
  <c r="CE158" i="4"/>
  <c r="BY163" i="4"/>
  <c r="CN121" i="5"/>
  <c r="BY43" i="5"/>
  <c r="CF98" i="5"/>
  <c r="AF8" i="5"/>
  <c r="BY11" i="5"/>
  <c r="N12" i="5"/>
  <c r="CD16" i="4"/>
  <c r="BA41" i="5"/>
  <c r="CP116" i="5"/>
  <c r="CO72" i="4"/>
  <c r="CN61" i="4"/>
  <c r="CO113" i="4"/>
  <c r="CN102" i="4"/>
  <c r="CJ112" i="4"/>
  <c r="BA110" i="5"/>
  <c r="BN29" i="4"/>
  <c r="BP161" i="4"/>
  <c r="BO6" i="4"/>
  <c r="CE18" i="4"/>
  <c r="BN67" i="4"/>
  <c r="CP79" i="4"/>
  <c r="CH36" i="4"/>
  <c r="BQ161" i="4"/>
  <c r="BN84" i="4"/>
  <c r="CE125" i="4"/>
  <c r="BJ39" i="4"/>
  <c r="BA97" i="5"/>
  <c r="CH137" i="4"/>
  <c r="BP15" i="4"/>
  <c r="BO51" i="4"/>
  <c r="BZ102" i="4"/>
  <c r="BJ30" i="4"/>
  <c r="CP70" i="4"/>
  <c r="CJ151" i="4"/>
  <c r="BI19" i="4"/>
  <c r="AR22" i="5"/>
  <c r="BN20" i="5"/>
  <c r="CD29" i="5"/>
  <c r="BY149" i="4"/>
  <c r="CK98" i="5"/>
  <c r="BZ6" i="5"/>
  <c r="CP151" i="4"/>
  <c r="BZ36" i="4"/>
  <c r="BB118" i="5"/>
  <c r="CK24" i="5"/>
  <c r="CI100" i="5"/>
  <c r="BZ35" i="5"/>
  <c r="AA100" i="5"/>
  <c r="CF35" i="4"/>
  <c r="CA149" i="4"/>
  <c r="AQ20" i="5"/>
  <c r="CH108" i="5"/>
  <c r="CN58" i="4"/>
  <c r="CN9" i="4"/>
  <c r="CM6" i="4"/>
  <c r="CM89" i="4"/>
  <c r="CF18" i="5"/>
  <c r="L105" i="5"/>
  <c r="CC29" i="5"/>
  <c r="CP129" i="4"/>
  <c r="CM62" i="4"/>
  <c r="CM157" i="4"/>
  <c r="CJ9" i="4"/>
  <c r="CH40" i="4"/>
  <c r="AQ117" i="5"/>
  <c r="AL30" i="5"/>
  <c r="AZ100" i="5"/>
  <c r="CN89" i="4"/>
  <c r="CP52" i="4"/>
  <c r="CN117" i="4"/>
  <c r="CK54" i="4"/>
  <c r="AG113" i="5"/>
  <c r="BN103" i="5"/>
  <c r="AJ127" i="5"/>
  <c r="L14" i="5"/>
  <c r="Z5" i="5"/>
  <c r="AA107" i="5"/>
  <c r="CD115" i="4"/>
  <c r="V13" i="5"/>
  <c r="CJ41" i="4"/>
  <c r="BL118" i="4"/>
  <c r="CF105" i="4"/>
  <c r="BO81" i="4"/>
  <c r="BF162" i="4"/>
  <c r="BP14" i="5"/>
  <c r="CC95" i="4"/>
  <c r="BK139" i="4"/>
  <c r="BX108" i="5"/>
  <c r="BB117" i="5"/>
  <c r="R101" i="5"/>
  <c r="CK44" i="4"/>
  <c r="AJ28" i="5"/>
  <c r="W97" i="5"/>
  <c r="CK97" i="5"/>
  <c r="BZ159" i="4"/>
  <c r="AR104" i="5"/>
  <c r="CA107" i="5"/>
  <c r="BO101" i="5"/>
  <c r="BJ142" i="5"/>
  <c r="AA115" i="5"/>
  <c r="BN133" i="5"/>
  <c r="AP116" i="5"/>
  <c r="W36" i="5"/>
  <c r="Z120" i="5"/>
  <c r="L144" i="5"/>
  <c r="CN41" i="5"/>
  <c r="AL131" i="5"/>
  <c r="AC38" i="5"/>
  <c r="W50" i="5"/>
  <c r="BF119" i="5"/>
  <c r="M28" i="5"/>
  <c r="BL98" i="5"/>
  <c r="CK56" i="5"/>
  <c r="CI42" i="5"/>
  <c r="BD59" i="5"/>
  <c r="Z124" i="5"/>
  <c r="X118" i="5"/>
  <c r="AL105" i="5"/>
  <c r="BQ34" i="5"/>
  <c r="AY125" i="5"/>
  <c r="AO133" i="5"/>
  <c r="K133" i="5"/>
  <c r="BL117" i="5"/>
  <c r="AR40" i="5"/>
  <c r="BI10" i="5"/>
  <c r="CO56" i="4"/>
  <c r="BY26" i="5"/>
  <c r="CP57" i="4"/>
  <c r="CM95" i="4"/>
  <c r="CD104" i="5"/>
  <c r="BX79" i="5"/>
  <c r="CF36" i="5"/>
  <c r="BJ133" i="5"/>
  <c r="BX15" i="5"/>
  <c r="AM112" i="5"/>
  <c r="R43" i="5"/>
  <c r="BB119" i="5"/>
  <c r="BN132" i="5"/>
  <c r="AE109" i="5"/>
  <c r="BA111" i="5"/>
  <c r="AY112" i="5"/>
  <c r="BX4" i="5"/>
  <c r="CI20" i="5"/>
  <c r="AZ104" i="5"/>
  <c r="P34" i="5"/>
  <c r="N59" i="5"/>
  <c r="R19" i="5"/>
  <c r="AQ128" i="5"/>
  <c r="BN122" i="5"/>
  <c r="Z139" i="5"/>
  <c r="CN33" i="5"/>
  <c r="AP133" i="5"/>
  <c r="AM51" i="5"/>
  <c r="P22" i="5"/>
  <c r="BE123" i="5"/>
  <c r="BL8" i="5"/>
  <c r="CH39" i="4"/>
  <c r="CE102" i="5"/>
  <c r="AP6" i="5"/>
  <c r="BG127" i="5"/>
  <c r="BX126" i="5"/>
  <c r="BP110" i="5"/>
  <c r="BB151" i="5"/>
  <c r="CN73" i="5"/>
  <c r="BZ131" i="5"/>
  <c r="CP105" i="5"/>
  <c r="AA74" i="5"/>
  <c r="BK21" i="5"/>
  <c r="BF35" i="5"/>
  <c r="AF43" i="5"/>
  <c r="BL38" i="5"/>
  <c r="BX109" i="5"/>
  <c r="AY109" i="5"/>
  <c r="CM139" i="4"/>
  <c r="CN4" i="4"/>
  <c r="BN33" i="5"/>
  <c r="CM94" i="4"/>
  <c r="CM18" i="4"/>
  <c r="CE110" i="5"/>
  <c r="AP59" i="5"/>
  <c r="CD128" i="5"/>
  <c r="BP121" i="5"/>
  <c r="V112" i="5"/>
  <c r="AL133" i="5"/>
  <c r="AQ37" i="5"/>
  <c r="CK106" i="5"/>
  <c r="L38" i="5"/>
  <c r="N20" i="5"/>
  <c r="CN110" i="5"/>
  <c r="BG105" i="5"/>
  <c r="CM145" i="4"/>
  <c r="CM98" i="4"/>
  <c r="CA24" i="5"/>
  <c r="CE33" i="4"/>
  <c r="BQ99" i="5"/>
  <c r="CJ122" i="4"/>
  <c r="AP125" i="5"/>
  <c r="CM68" i="4"/>
  <c r="CM55" i="4"/>
  <c r="BB99" i="5"/>
  <c r="CJ8" i="5"/>
  <c r="V5" i="5"/>
  <c r="N24" i="5"/>
  <c r="CC4" i="5"/>
  <c r="BB7" i="5"/>
  <c r="CI127" i="4"/>
  <c r="AO111" i="5"/>
  <c r="V11" i="5"/>
  <c r="CN101" i="5"/>
  <c r="CJ58" i="4"/>
  <c r="BE23" i="5"/>
  <c r="BY9" i="5"/>
  <c r="BZ100" i="5"/>
  <c r="CN108" i="5"/>
  <c r="CE110" i="4"/>
  <c r="BN7" i="4"/>
  <c r="BY121" i="5"/>
  <c r="CE31" i="4"/>
  <c r="CN21" i="5"/>
  <c r="CN63" i="4"/>
  <c r="CA74" i="4"/>
  <c r="BL108" i="5"/>
  <c r="BL109" i="5"/>
  <c r="BN114" i="5"/>
  <c r="CH115" i="5"/>
  <c r="CI19" i="5"/>
  <c r="CF69" i="4"/>
  <c r="BX11" i="4"/>
  <c r="AG123" i="5"/>
  <c r="R20" i="5"/>
  <c r="CM134" i="4"/>
  <c r="CO7" i="4"/>
  <c r="CN27" i="4"/>
  <c r="CO123" i="4"/>
  <c r="U111" i="5"/>
  <c r="BD29" i="5"/>
  <c r="CK9" i="5"/>
  <c r="AB100" i="5"/>
  <c r="CP146" i="4"/>
  <c r="CO33" i="4"/>
  <c r="CI85" i="4"/>
  <c r="CK22" i="4"/>
  <c r="K8" i="5"/>
  <c r="BL41" i="5"/>
  <c r="BE102" i="5"/>
  <c r="CP153" i="4"/>
  <c r="CM44" i="4"/>
  <c r="CP80" i="4"/>
  <c r="CK103" i="4"/>
  <c r="BJ31" i="5"/>
  <c r="AM118" i="5"/>
  <c r="CM35" i="4"/>
  <c r="AP101" i="5"/>
  <c r="BB12" i="5"/>
  <c r="CA112" i="5"/>
  <c r="CD154" i="4"/>
  <c r="CH13" i="5"/>
  <c r="CJ163" i="4"/>
  <c r="BJ138" i="4"/>
  <c r="CD156" i="4"/>
  <c r="BN45" i="4"/>
  <c r="BG139" i="4"/>
  <c r="CP17" i="4"/>
  <c r="CF63" i="4"/>
  <c r="BI105" i="4"/>
  <c r="CA113" i="4"/>
  <c r="BO109" i="4"/>
  <c r="BF72" i="4"/>
  <c r="W31" i="5"/>
  <c r="CC12" i="4"/>
  <c r="BK55" i="4"/>
  <c r="BZ113" i="4"/>
  <c r="BP158" i="4"/>
  <c r="BF149" i="4"/>
  <c r="CO87" i="4"/>
  <c r="CE160" i="4"/>
  <c r="BL4" i="4"/>
  <c r="BD45" i="5"/>
  <c r="AY124" i="5"/>
  <c r="CJ20" i="5"/>
  <c r="CK20" i="5"/>
  <c r="CN161" i="4"/>
  <c r="BQ98" i="5"/>
  <c r="CD131" i="4"/>
  <c r="CI132" i="4"/>
  <c r="Q21" i="5"/>
  <c r="S8" i="5"/>
  <c r="CN70" i="4"/>
  <c r="CN48" i="4"/>
  <c r="CP116" i="4"/>
  <c r="CH84" i="4"/>
  <c r="CK85" i="4"/>
  <c r="K110" i="5"/>
  <c r="BA27" i="5"/>
  <c r="AC8" i="5"/>
  <c r="BE26" i="5"/>
  <c r="BA105" i="5"/>
  <c r="S112" i="5"/>
  <c r="AB28" i="5"/>
  <c r="K7" i="5"/>
  <c r="CP137" i="4"/>
  <c r="CO5" i="4"/>
  <c r="CO86" i="4"/>
  <c r="CO162" i="4"/>
  <c r="CD168" i="4"/>
  <c r="CF125" i="4"/>
  <c r="AO34" i="5"/>
  <c r="CC102" i="5"/>
  <c r="CM91" i="4"/>
  <c r="CO57" i="4"/>
  <c r="CM165" i="4"/>
  <c r="CI42" i="4"/>
  <c r="CF162" i="4"/>
  <c r="X114" i="5"/>
  <c r="BE27" i="5"/>
  <c r="BX7" i="5"/>
  <c r="AH15" i="5"/>
  <c r="BZ109" i="5"/>
  <c r="BZ106" i="5"/>
  <c r="CA67" i="4"/>
  <c r="CC154" i="4"/>
  <c r="CE100" i="4"/>
  <c r="BG5" i="4"/>
  <c r="BQ108" i="4"/>
  <c r="BL53" i="4"/>
  <c r="BA28" i="4"/>
  <c r="CD109" i="4"/>
  <c r="CD77" i="4"/>
  <c r="CK33" i="4"/>
  <c r="BY99" i="5"/>
  <c r="BG159" i="5"/>
  <c r="X99" i="5"/>
  <c r="BX44" i="4"/>
  <c r="V10" i="5"/>
  <c r="Q98" i="5"/>
  <c r="CN32" i="4"/>
  <c r="BQ70" i="4"/>
  <c r="AB26" i="5"/>
  <c r="X22" i="5"/>
  <c r="BY101" i="5"/>
  <c r="AA16" i="5"/>
  <c r="L4" i="5"/>
  <c r="BZ135" i="4"/>
  <c r="BZ124" i="4"/>
  <c r="CM22" i="5"/>
  <c r="AJ11" i="5"/>
  <c r="CP89" i="4"/>
  <c r="CJ159" i="4"/>
  <c r="CI152" i="4"/>
  <c r="CI88" i="4"/>
  <c r="BD5" i="5"/>
  <c r="AE102" i="5"/>
  <c r="BO7" i="5"/>
  <c r="CP100" i="4"/>
  <c r="AF156" i="5"/>
  <c r="P118" i="5"/>
  <c r="BA133" i="5"/>
  <c r="BI35" i="5"/>
  <c r="AQ130" i="5"/>
  <c r="BB42" i="5"/>
  <c r="AG48" i="5"/>
  <c r="BI23" i="5"/>
  <c r="BX38" i="5"/>
  <c r="BF137" i="5"/>
  <c r="BK121" i="5"/>
  <c r="BO124" i="5"/>
  <c r="AM116" i="5"/>
  <c r="W13" i="5"/>
  <c r="AL124" i="5"/>
  <c r="AJ104" i="5"/>
  <c r="V37" i="5"/>
  <c r="BD7" i="5"/>
  <c r="BX17" i="5"/>
  <c r="CF10" i="5"/>
  <c r="BA106" i="5"/>
  <c r="AO36" i="5"/>
  <c r="BK27" i="5"/>
  <c r="BQ14" i="5"/>
  <c r="BA127" i="5"/>
  <c r="Z27" i="5"/>
  <c r="CI98" i="5"/>
  <c r="CP111" i="4"/>
  <c r="Q107" i="5"/>
  <c r="CE8" i="5"/>
  <c r="CM93" i="4"/>
  <c r="BL35" i="5"/>
  <c r="CC69" i="5"/>
  <c r="CM132" i="5"/>
  <c r="CE37" i="5"/>
  <c r="P146" i="5"/>
  <c r="CE42" i="5"/>
  <c r="CE101" i="5"/>
  <c r="W26" i="5"/>
  <c r="CD32" i="5"/>
  <c r="CE28" i="5"/>
  <c r="CN125" i="5"/>
  <c r="X30" i="5"/>
  <c r="AH119" i="5"/>
  <c r="CF166" i="4"/>
  <c r="N28" i="5"/>
  <c r="Z36" i="5"/>
  <c r="CJ49" i="5"/>
  <c r="R40" i="5"/>
  <c r="AY107" i="5"/>
  <c r="U106" i="5"/>
  <c r="CO30" i="5"/>
  <c r="S110" i="5"/>
  <c r="AP28" i="5"/>
  <c r="CE120" i="5"/>
  <c r="BK112" i="5"/>
  <c r="BZ27" i="5"/>
  <c r="AP108" i="5"/>
  <c r="CF101" i="4"/>
  <c r="CC5" i="5"/>
  <c r="AC13" i="5"/>
  <c r="U118" i="5"/>
  <c r="AH143" i="5"/>
  <c r="BL118" i="5"/>
  <c r="BA59" i="5"/>
  <c r="CH129" i="5"/>
  <c r="M20" i="5"/>
  <c r="U17" i="5"/>
  <c r="AK56" i="5"/>
  <c r="BY114" i="5"/>
  <c r="M34" i="5"/>
  <c r="BI38" i="5"/>
  <c r="W34" i="5"/>
  <c r="BN104" i="5"/>
  <c r="BP118" i="5"/>
  <c r="CN106" i="4"/>
  <c r="CN64" i="4"/>
  <c r="CD117" i="5"/>
  <c r="CN67" i="4"/>
  <c r="CP147" i="4"/>
  <c r="CM114" i="5"/>
  <c r="U54" i="5"/>
  <c r="K40" i="5"/>
  <c r="BZ38" i="5"/>
  <c r="AG38" i="5"/>
  <c r="AA56" i="5"/>
  <c r="R32" i="5"/>
  <c r="AE117" i="5"/>
  <c r="AE42" i="5"/>
  <c r="X77" i="5"/>
  <c r="CC12" i="5"/>
  <c r="P16" i="5"/>
  <c r="CN40" i="4"/>
  <c r="CO34" i="4"/>
  <c r="CH121" i="5"/>
  <c r="CM39" i="5"/>
  <c r="CO161" i="4"/>
  <c r="CH19" i="4"/>
  <c r="L108" i="5"/>
  <c r="CP9" i="4"/>
  <c r="CI112" i="4"/>
  <c r="CH9" i="5"/>
  <c r="BO21" i="5"/>
  <c r="BE21" i="5"/>
  <c r="AH125" i="5"/>
  <c r="CN108" i="4"/>
  <c r="CP42" i="4"/>
  <c r="CJ40" i="4"/>
  <c r="BY36" i="5"/>
  <c r="CO140" i="4"/>
  <c r="CP162" i="4"/>
  <c r="CH147" i="4"/>
  <c r="AR35" i="5"/>
  <c r="Z13" i="5"/>
  <c r="AY7" i="5"/>
  <c r="CK62" i="4"/>
  <c r="BK59" i="4"/>
  <c r="BN17" i="4"/>
  <c r="CC32" i="5"/>
  <c r="AY20" i="5"/>
  <c r="CJ93" i="4"/>
  <c r="CJ29" i="4"/>
  <c r="CK76" i="4"/>
  <c r="CJ26" i="5"/>
  <c r="Q122" i="5"/>
  <c r="CM132" i="4"/>
  <c r="CP165" i="4"/>
  <c r="CN37" i="4"/>
  <c r="CK68" i="4"/>
  <c r="CK145" i="4"/>
  <c r="BB107" i="5"/>
  <c r="AK99" i="5"/>
  <c r="AG103" i="5"/>
  <c r="AH97" i="5"/>
  <c r="BZ19" i="5"/>
  <c r="BL4" i="5"/>
  <c r="BL18" i="5"/>
  <c r="P26" i="5"/>
  <c r="CP159" i="4"/>
  <c r="CM37" i="4"/>
  <c r="CN135" i="4"/>
  <c r="CN69" i="4"/>
  <c r="CH115" i="4"/>
  <c r="CF44" i="4"/>
  <c r="CP32" i="5"/>
  <c r="AA120" i="5"/>
  <c r="CP101" i="4"/>
  <c r="CM130" i="4"/>
  <c r="CO83" i="4"/>
  <c r="CO138" i="4"/>
  <c r="CE86" i="4"/>
  <c r="AK126" i="5"/>
  <c r="P20" i="5"/>
  <c r="AO100" i="5"/>
  <c r="BO117" i="5"/>
  <c r="BE7" i="5"/>
  <c r="V18" i="5"/>
  <c r="CA116" i="4"/>
  <c r="CI155" i="4"/>
  <c r="CD75" i="4"/>
  <c r="BE153" i="4"/>
  <c r="BP164" i="4"/>
  <c r="BN122" i="4"/>
  <c r="AQ6" i="4"/>
  <c r="CF60" i="4"/>
  <c r="CE45" i="4"/>
  <c r="CN154" i="4"/>
  <c r="BP105" i="4"/>
  <c r="BK92" i="4"/>
  <c r="AQ19" i="4"/>
  <c r="CO75" i="4"/>
  <c r="BZ18" i="4"/>
  <c r="CH158" i="4"/>
  <c r="BN142" i="4"/>
  <c r="BI117" i="4"/>
  <c r="AZ83" i="4"/>
  <c r="CH114" i="4"/>
  <c r="BZ139" i="4"/>
  <c r="CF95" i="4"/>
  <c r="AF128" i="5"/>
  <c r="AY127" i="5"/>
  <c r="BL14" i="5"/>
  <c r="AR98" i="5"/>
  <c r="W102" i="5"/>
  <c r="BK9" i="5"/>
  <c r="CC59" i="4"/>
  <c r="CC38" i="4"/>
  <c r="BQ16" i="5"/>
  <c r="BF8" i="5"/>
  <c r="CM4" i="4"/>
  <c r="CI84" i="4"/>
  <c r="CI111" i="4"/>
  <c r="CC137" i="4"/>
  <c r="CE145" i="4"/>
  <c r="BB28" i="5"/>
  <c r="AE24" i="5"/>
  <c r="CE21" i="5"/>
  <c r="BY17" i="5"/>
  <c r="X113" i="5"/>
  <c r="AK98" i="5"/>
  <c r="CP16" i="5"/>
  <c r="AF118" i="5"/>
  <c r="BO100" i="5"/>
  <c r="Q8" i="5"/>
  <c r="AH11" i="5"/>
  <c r="CO111" i="5"/>
  <c r="CC21" i="4"/>
  <c r="CE157" i="4"/>
  <c r="CF26" i="5"/>
  <c r="CE6" i="5"/>
  <c r="BP22" i="5"/>
  <c r="CA99" i="5"/>
  <c r="CK34" i="5"/>
  <c r="CK99" i="5"/>
  <c r="AC49" i="5"/>
  <c r="AC30" i="5"/>
  <c r="BJ28" i="5"/>
  <c r="AP106" i="5"/>
  <c r="CO8" i="4"/>
  <c r="CN96" i="4"/>
  <c r="CN142" i="4"/>
  <c r="CJ32" i="4"/>
  <c r="CC127" i="4"/>
  <c r="BX12" i="4"/>
  <c r="BX146" i="4"/>
  <c r="BI102" i="4"/>
  <c r="BL128" i="4"/>
  <c r="BA168" i="4"/>
  <c r="BZ136" i="4"/>
  <c r="BZ69" i="4"/>
  <c r="CA88" i="4"/>
  <c r="BE33" i="5"/>
  <c r="AA126" i="5"/>
  <c r="BE16" i="5"/>
  <c r="BN112" i="5"/>
  <c r="K10" i="5"/>
  <c r="BF15" i="5"/>
  <c r="CC80" i="4"/>
  <c r="CH121" i="4"/>
  <c r="L125" i="5"/>
  <c r="CJ99" i="5"/>
  <c r="CO110" i="4"/>
  <c r="CP118" i="4"/>
  <c r="CO80" i="4"/>
  <c r="CI110" i="4"/>
  <c r="CH139" i="4"/>
  <c r="CP25" i="5"/>
  <c r="AA114" i="5"/>
  <c r="R30" i="5"/>
  <c r="AK33" i="5"/>
  <c r="AL5" i="5"/>
  <c r="AK8" i="5"/>
  <c r="V105" i="5"/>
  <c r="AJ106" i="5"/>
  <c r="X139" i="5"/>
  <c r="CJ117" i="5"/>
  <c r="BJ58" i="5"/>
  <c r="BO37" i="5"/>
  <c r="AJ134" i="5"/>
  <c r="CN30" i="5"/>
  <c r="CE55" i="5"/>
  <c r="BN17" i="5"/>
  <c r="AC61" i="5"/>
  <c r="BJ122" i="5"/>
  <c r="AF119" i="5"/>
  <c r="BQ24" i="5"/>
  <c r="BD111" i="5"/>
  <c r="CJ11" i="5"/>
  <c r="AH57" i="5"/>
  <c r="AZ36" i="5"/>
  <c r="AY42" i="5"/>
  <c r="BZ34" i="5"/>
  <c r="BQ19" i="5"/>
  <c r="R9" i="5"/>
  <c r="P33" i="5"/>
  <c r="X129" i="5"/>
  <c r="BK64" i="5"/>
  <c r="AJ24" i="5"/>
  <c r="AJ123" i="5"/>
  <c r="AY25" i="5"/>
  <c r="L27" i="5"/>
  <c r="CC126" i="4"/>
  <c r="AM19" i="5"/>
  <c r="CP49" i="4"/>
  <c r="CA24" i="4"/>
  <c r="AC20" i="5"/>
  <c r="L150" i="5"/>
  <c r="L107" i="5"/>
  <c r="BK20" i="5"/>
  <c r="CK127" i="5"/>
  <c r="L47" i="5"/>
  <c r="BX30" i="5"/>
  <c r="AE112" i="5"/>
  <c r="W38" i="5"/>
  <c r="CH113" i="5"/>
  <c r="AY33" i="5"/>
  <c r="AK5" i="5"/>
  <c r="CE10" i="5"/>
  <c r="BZ100" i="4"/>
  <c r="N105" i="5"/>
  <c r="CC24" i="5"/>
  <c r="AQ53" i="5"/>
  <c r="AR23" i="5"/>
  <c r="W110" i="5"/>
  <c r="CA121" i="5"/>
  <c r="BQ36" i="5"/>
  <c r="AJ9" i="5"/>
  <c r="CI38" i="5"/>
  <c r="AJ36" i="5"/>
  <c r="CK110" i="5"/>
  <c r="BL34" i="5"/>
  <c r="CO51" i="4"/>
  <c r="CE161" i="4"/>
  <c r="W23" i="5"/>
  <c r="CP14" i="4"/>
  <c r="BI127" i="5"/>
  <c r="AG64" i="5"/>
  <c r="BX21" i="5"/>
  <c r="CK62" i="5"/>
  <c r="AE133" i="5"/>
  <c r="BX33" i="5"/>
  <c r="BE43" i="5"/>
  <c r="BE41" i="5"/>
  <c r="S7" i="5"/>
  <c r="CH28" i="5"/>
  <c r="AA30" i="5"/>
  <c r="AZ83" i="5"/>
  <c r="AJ26" i="5"/>
  <c r="AY103" i="5"/>
  <c r="BK29" i="5"/>
  <c r="CK9" i="4"/>
  <c r="M32" i="5"/>
  <c r="CN57" i="4"/>
  <c r="CD23" i="4"/>
  <c r="BJ33" i="5"/>
  <c r="AE119" i="5"/>
  <c r="CM93" i="5"/>
  <c r="CC113" i="5"/>
  <c r="AJ31" i="5"/>
  <c r="BY124" i="5"/>
  <c r="CJ58" i="5"/>
  <c r="CA31" i="5"/>
  <c r="AJ20" i="5"/>
  <c r="M135" i="5"/>
  <c r="M120" i="5"/>
  <c r="CK109" i="5"/>
  <c r="CO14" i="4"/>
  <c r="CM8" i="4"/>
  <c r="AA46" i="5"/>
  <c r="CF113" i="5"/>
  <c r="BK105" i="5"/>
  <c r="CF99" i="4"/>
  <c r="BQ4" i="5"/>
  <c r="CM113" i="4"/>
  <c r="CD86" i="4"/>
  <c r="BX110" i="5"/>
  <c r="AC34" i="5"/>
  <c r="BY111" i="5"/>
  <c r="CH31" i="5"/>
  <c r="CO152" i="4"/>
  <c r="BJ4" i="5"/>
  <c r="CF4" i="4"/>
  <c r="BG20" i="5"/>
  <c r="CD98" i="5"/>
  <c r="AK7" i="5"/>
  <c r="AR147" i="5"/>
  <c r="AM120" i="5"/>
  <c r="CI109" i="5"/>
  <c r="CI9" i="5"/>
  <c r="CF150" i="4"/>
  <c r="CC48" i="4"/>
  <c r="BI63" i="4"/>
  <c r="AB130" i="5"/>
  <c r="BD102" i="5"/>
  <c r="L115" i="5"/>
  <c r="CD122" i="4"/>
  <c r="CF53" i="4"/>
  <c r="BO111" i="5"/>
  <c r="AY15" i="5"/>
  <c r="CN127" i="4"/>
  <c r="CP67" i="4"/>
  <c r="CM76" i="4"/>
  <c r="CD21" i="4"/>
  <c r="CD94" i="4"/>
  <c r="BP20" i="5"/>
  <c r="AM38" i="5"/>
  <c r="AP16" i="5"/>
  <c r="CJ6" i="5"/>
  <c r="BO108" i="5"/>
  <c r="CJ18" i="5"/>
  <c r="BP34" i="5"/>
  <c r="AC5" i="5"/>
  <c r="CO17" i="5"/>
  <c r="AG11" i="5"/>
  <c r="CI12" i="5"/>
  <c r="V6" i="5"/>
  <c r="CF123" i="4"/>
  <c r="CE24" i="4"/>
  <c r="BK109" i="5"/>
  <c r="AO98" i="5"/>
  <c r="AY5" i="5"/>
  <c r="CD22" i="5"/>
  <c r="CA5" i="5"/>
  <c r="BD14" i="5"/>
  <c r="CI34" i="5"/>
  <c r="P44" i="5"/>
  <c r="BX20" i="5"/>
  <c r="X5" i="5"/>
  <c r="AG17" i="5"/>
  <c r="CP15" i="5"/>
  <c r="BY98" i="5"/>
  <c r="BO90" i="4"/>
  <c r="CD38" i="4"/>
  <c r="BZ94" i="4"/>
  <c r="BX140" i="4"/>
  <c r="BJ115" i="4"/>
  <c r="BL84" i="4"/>
  <c r="AP154" i="4"/>
  <c r="BZ140" i="4"/>
  <c r="BX68" i="4"/>
  <c r="BY164" i="4"/>
  <c r="BI162" i="4"/>
  <c r="BK144" i="4"/>
  <c r="BA108" i="4"/>
  <c r="BX69" i="4"/>
  <c r="BZ80" i="4"/>
  <c r="BP128" i="4"/>
  <c r="BK62" i="4"/>
  <c r="CJ16" i="4"/>
  <c r="CI121" i="5"/>
  <c r="CO117" i="4"/>
  <c r="BX38" i="4"/>
  <c r="BQ166" i="4"/>
  <c r="AH103" i="5"/>
  <c r="AA15" i="5"/>
  <c r="CH21" i="4"/>
  <c r="X40" i="5"/>
  <c r="S107" i="5"/>
  <c r="AF102" i="5"/>
  <c r="CH122" i="4"/>
  <c r="AO44" i="5"/>
  <c r="U21" i="5"/>
  <c r="CM34" i="4"/>
  <c r="BL5" i="5"/>
  <c r="AL14" i="5"/>
  <c r="AZ103" i="5"/>
  <c r="BY78" i="4"/>
  <c r="BP137" i="5"/>
  <c r="AF115" i="5"/>
  <c r="BG104" i="5"/>
  <c r="BA11" i="5"/>
  <c r="CO156" i="4"/>
  <c r="CP112" i="4"/>
  <c r="CM5" i="4"/>
  <c r="BP48" i="5"/>
  <c r="W129" i="5"/>
  <c r="BB125" i="5"/>
  <c r="CJ130" i="5"/>
  <c r="BX124" i="5"/>
  <c r="BX134" i="5"/>
  <c r="V113" i="5"/>
  <c r="BI116" i="5"/>
  <c r="AR125" i="5"/>
  <c r="BY104" i="5"/>
  <c r="Z106" i="5"/>
  <c r="U13" i="5"/>
  <c r="BJ124" i="5"/>
  <c r="S47" i="5"/>
  <c r="S28" i="5"/>
  <c r="BL48" i="5"/>
  <c r="P21" i="5"/>
  <c r="CJ118" i="5"/>
  <c r="BO30" i="5"/>
  <c r="CE54" i="4"/>
  <c r="AK101" i="5"/>
  <c r="BE122" i="5"/>
  <c r="BD120" i="5"/>
  <c r="AZ47" i="5"/>
  <c r="BF121" i="5"/>
  <c r="CH19" i="5"/>
  <c r="CM136" i="4"/>
  <c r="CK40" i="4"/>
  <c r="BK116" i="5"/>
  <c r="CO79" i="4"/>
  <c r="CK143" i="4"/>
  <c r="CC10" i="5"/>
  <c r="X43" i="5"/>
  <c r="CI43" i="5"/>
  <c r="BN107" i="5"/>
  <c r="CH40" i="5"/>
  <c r="AM40" i="5"/>
  <c r="BD42" i="5"/>
  <c r="AH107" i="5"/>
  <c r="AJ125" i="5"/>
  <c r="CI46" i="5"/>
  <c r="V110" i="5"/>
  <c r="W121" i="5"/>
  <c r="BB97" i="5"/>
  <c r="BX155" i="4"/>
  <c r="BB18" i="5"/>
  <c r="BZ129" i="5"/>
  <c r="AY56" i="5"/>
  <c r="BB102" i="5"/>
  <c r="CI23" i="5"/>
  <c r="AR109" i="5"/>
  <c r="AJ37" i="5"/>
  <c r="W113" i="5"/>
  <c r="CO34" i="5"/>
  <c r="CI28" i="5"/>
  <c r="BN128" i="5"/>
  <c r="CO46" i="4"/>
  <c r="M101" i="5"/>
  <c r="S40" i="5"/>
  <c r="CO127" i="4"/>
  <c r="V100" i="5"/>
  <c r="BO81" i="5"/>
  <c r="P49" i="5"/>
  <c r="X37" i="5"/>
  <c r="N122" i="5"/>
  <c r="CE132" i="5"/>
  <c r="BO138" i="5"/>
  <c r="Z123" i="5"/>
  <c r="BX40" i="5"/>
  <c r="BX63" i="5"/>
  <c r="CJ22" i="5"/>
  <c r="CC42" i="5"/>
  <c r="BQ58" i="5"/>
  <c r="AY119" i="5"/>
  <c r="AA38" i="5"/>
  <c r="CO62" i="4"/>
  <c r="CP35" i="4"/>
  <c r="AM20" i="5"/>
  <c r="CP86" i="4"/>
  <c r="CJ36" i="4"/>
  <c r="CH100" i="5"/>
  <c r="CN36" i="5"/>
  <c r="AQ44" i="5"/>
  <c r="AG43" i="5"/>
  <c r="BF31" i="5"/>
  <c r="AR121" i="5"/>
  <c r="BE49" i="5"/>
  <c r="AL34" i="5"/>
  <c r="BI41" i="5"/>
  <c r="Z38" i="5"/>
  <c r="Z6" i="5"/>
  <c r="CN19" i="5"/>
  <c r="CN95" i="4"/>
  <c r="CA33" i="5"/>
  <c r="BJ32" i="5"/>
  <c r="AJ110" i="5"/>
  <c r="CO102" i="4"/>
  <c r="CF112" i="5"/>
  <c r="M7" i="5"/>
  <c r="CM9" i="4"/>
  <c r="CK42" i="4"/>
  <c r="K4" i="5"/>
  <c r="CK14" i="5"/>
  <c r="CD11" i="5"/>
  <c r="AM105" i="5"/>
  <c r="CO37" i="4"/>
  <c r="CP99" i="4"/>
  <c r="CJ33" i="4"/>
  <c r="AH32" i="5"/>
  <c r="CP157" i="4"/>
  <c r="CP138" i="4"/>
  <c r="CH29" i="5"/>
  <c r="CO108" i="5"/>
  <c r="BX10" i="5"/>
  <c r="CC105" i="4"/>
  <c r="CK43" i="4"/>
  <c r="BI131" i="4"/>
  <c r="BD52" i="5"/>
  <c r="CI118" i="5"/>
  <c r="BI30" i="5"/>
  <c r="CJ125" i="4"/>
  <c r="CH24" i="4"/>
  <c r="AJ40" i="5"/>
  <c r="CF116" i="5"/>
  <c r="CP155" i="4"/>
  <c r="W11" i="5"/>
  <c r="BY12" i="5"/>
  <c r="AE16" i="5"/>
  <c r="CE57" i="4"/>
  <c r="S129" i="5"/>
  <c r="AL21" i="5"/>
  <c r="AL22" i="5"/>
  <c r="W19" i="5"/>
  <c r="CP128" i="4"/>
  <c r="CM12" i="4"/>
  <c r="CM39" i="4"/>
  <c r="Z107" i="5"/>
  <c r="R108" i="5"/>
  <c r="AJ15" i="5"/>
  <c r="AP99" i="5"/>
  <c r="AZ14" i="5"/>
  <c r="BP13" i="5"/>
  <c r="CA156" i="4"/>
  <c r="BX90" i="4"/>
  <c r="CN25" i="5"/>
  <c r="BG112" i="5"/>
  <c r="AJ4" i="5"/>
  <c r="CA16" i="5"/>
  <c r="AZ107" i="5"/>
  <c r="CJ115" i="5"/>
  <c r="AL121" i="5"/>
  <c r="BI11" i="5"/>
  <c r="BY106" i="5"/>
  <c r="CM75" i="4"/>
  <c r="CN88" i="4"/>
  <c r="CN5" i="4"/>
  <c r="CP152" i="4"/>
  <c r="Z103" i="5"/>
  <c r="CK107" i="4"/>
  <c r="BN77" i="4"/>
  <c r="BO86" i="4"/>
  <c r="BK79" i="4"/>
  <c r="BN66" i="4"/>
  <c r="BZ116" i="5"/>
  <c r="CH168" i="4"/>
  <c r="CJ44" i="4"/>
  <c r="BP47" i="4"/>
  <c r="BE78" i="4"/>
  <c r="BL28" i="4"/>
  <c r="AR25" i="5"/>
  <c r="CD87" i="4"/>
  <c r="CH81" i="4"/>
  <c r="BP160" i="4"/>
  <c r="BF37" i="4"/>
  <c r="BL19" i="4"/>
  <c r="BX18" i="5"/>
  <c r="CF23" i="4"/>
  <c r="CI166" i="4"/>
  <c r="X26" i="5"/>
  <c r="BA7" i="5"/>
  <c r="BG11" i="5"/>
  <c r="CH42" i="4"/>
  <c r="BE30" i="5"/>
  <c r="BB9" i="5"/>
  <c r="BB100" i="5"/>
  <c r="CF141" i="4"/>
  <c r="BL22" i="5"/>
  <c r="AJ108" i="5"/>
  <c r="AB16" i="5"/>
  <c r="CP12" i="5"/>
  <c r="R98" i="5"/>
  <c r="CE5" i="5"/>
  <c r="BZ144" i="4"/>
  <c r="BO122" i="5"/>
  <c r="AA22" i="5"/>
  <c r="BL25" i="5"/>
  <c r="CM58" i="4"/>
  <c r="CO55" i="4"/>
  <c r="CM124" i="4"/>
  <c r="U133" i="5"/>
  <c r="AR133" i="5"/>
  <c r="K30" i="5"/>
  <c r="AF126" i="5"/>
  <c r="AO116" i="5"/>
  <c r="BJ35" i="5"/>
  <c r="CO125" i="5"/>
  <c r="AA41" i="5"/>
  <c r="AM45" i="5"/>
  <c r="AQ41" i="5"/>
  <c r="AP122" i="5"/>
  <c r="CD100" i="5"/>
  <c r="AH127" i="5"/>
  <c r="BF30" i="5"/>
  <c r="AA134" i="5"/>
  <c r="CC124" i="5"/>
  <c r="AF32" i="5"/>
  <c r="X98" i="5"/>
  <c r="M42" i="5"/>
  <c r="AB35" i="5"/>
  <c r="BZ53" i="4"/>
  <c r="BZ42" i="5"/>
  <c r="AA112" i="5"/>
  <c r="CJ103" i="5"/>
  <c r="CA116" i="5"/>
  <c r="BF32" i="5"/>
  <c r="BY33" i="5"/>
  <c r="Q9" i="5"/>
  <c r="CJ138" i="4"/>
  <c r="AG102" i="5"/>
  <c r="AG12" i="5"/>
  <c r="CK53" i="4"/>
  <c r="CE19" i="5"/>
  <c r="AM63" i="5"/>
  <c r="CP46" i="5"/>
  <c r="BE46" i="5"/>
  <c r="AP20" i="5"/>
  <c r="CM41" i="5"/>
  <c r="CM44" i="5"/>
  <c r="BX115" i="5"/>
  <c r="BP41" i="5"/>
  <c r="CF55" i="5"/>
  <c r="CH8" i="5"/>
  <c r="AE108" i="5"/>
  <c r="AF10" i="5"/>
  <c r="CA145" i="4"/>
  <c r="AP112" i="5"/>
  <c r="CP34" i="5"/>
  <c r="L50" i="5"/>
  <c r="BQ25" i="5"/>
  <c r="BF20" i="5"/>
  <c r="AE38" i="5"/>
  <c r="CH30" i="5"/>
  <c r="AE58" i="5"/>
  <c r="BI114" i="5"/>
  <c r="CF118" i="5"/>
  <c r="CN23" i="5"/>
  <c r="CO28" i="4"/>
  <c r="BQ11" i="5"/>
  <c r="BA116" i="5"/>
  <c r="CO96" i="4"/>
  <c r="AZ59" i="5"/>
  <c r="CN54" i="5"/>
  <c r="S31" i="5"/>
  <c r="AE138" i="5"/>
  <c r="CM40" i="5"/>
  <c r="BY54" i="5"/>
  <c r="BB21" i="5"/>
  <c r="L42" i="5"/>
  <c r="BJ37" i="5"/>
  <c r="BP130" i="5"/>
  <c r="BF23" i="5"/>
  <c r="AL126" i="5"/>
  <c r="BA40" i="5"/>
  <c r="BX106" i="5"/>
  <c r="CD27" i="5"/>
  <c r="CM105" i="4"/>
  <c r="CK77" i="4"/>
  <c r="CA119" i="5"/>
  <c r="CM50" i="4"/>
  <c r="CD103" i="4"/>
  <c r="AR26" i="5"/>
  <c r="AB121" i="5"/>
  <c r="P41" i="5"/>
  <c r="V116" i="5"/>
  <c r="P113" i="5"/>
  <c r="AO129" i="5"/>
  <c r="CC34" i="5"/>
  <c r="CE32" i="5"/>
  <c r="V23" i="5"/>
  <c r="S42" i="5"/>
  <c r="BB110" i="5"/>
  <c r="U8" i="5"/>
  <c r="CP106" i="4"/>
  <c r="CN49" i="5"/>
  <c r="AB29" i="5"/>
  <c r="L97" i="5"/>
  <c r="CE103" i="5"/>
  <c r="BN13" i="5"/>
  <c r="CM52" i="4"/>
  <c r="CO38" i="4"/>
  <c r="CF13" i="4"/>
  <c r="AK41" i="5"/>
  <c r="Q15" i="5"/>
  <c r="AH13" i="5"/>
  <c r="CM8" i="5"/>
  <c r="BA12" i="5"/>
  <c r="V104" i="5"/>
  <c r="CF57" i="4"/>
  <c r="CF11" i="5"/>
  <c r="BP98" i="5"/>
  <c r="BJ10" i="5"/>
  <c r="BN12" i="5"/>
  <c r="BP5" i="5"/>
  <c r="BL101" i="5"/>
  <c r="BY167" i="4"/>
  <c r="CD84" i="4"/>
  <c r="CE139" i="4"/>
  <c r="CD28" i="5"/>
  <c r="S30" i="5"/>
  <c r="AH23" i="5"/>
  <c r="CE4" i="5"/>
  <c r="CD135" i="4"/>
  <c r="BB33" i="5"/>
  <c r="AJ114" i="5"/>
  <c r="AA99" i="5"/>
  <c r="BK25" i="5"/>
  <c r="AK105" i="5"/>
  <c r="BF24" i="5"/>
  <c r="CA14" i="4"/>
  <c r="BG23" i="5"/>
  <c r="AR21" i="5"/>
  <c r="CC22" i="5"/>
  <c r="CM164" i="4"/>
  <c r="CM72" i="4"/>
  <c r="CP139" i="4"/>
  <c r="AA37" i="5"/>
  <c r="CH107" i="5"/>
  <c r="BZ108" i="5"/>
  <c r="AG10" i="5"/>
  <c r="CN12" i="5"/>
  <c r="CN33" i="4"/>
  <c r="CP11" i="4"/>
  <c r="CH124" i="4"/>
  <c r="S48" i="5"/>
  <c r="BJ108" i="5"/>
  <c r="CJ29" i="5"/>
  <c r="AF4" i="5"/>
  <c r="CM156" i="4"/>
  <c r="CM22" i="4"/>
  <c r="CN129" i="4"/>
  <c r="BQ21" i="5"/>
  <c r="AY116" i="5"/>
  <c r="AF16" i="5"/>
  <c r="AZ8" i="5"/>
  <c r="AK23" i="5"/>
  <c r="CK5" i="5"/>
  <c r="CJ28" i="4"/>
  <c r="BE105" i="5"/>
  <c r="CA80" i="4"/>
  <c r="CK84" i="4"/>
  <c r="BK64" i="4"/>
  <c r="CF145" i="4"/>
  <c r="BF46" i="4"/>
  <c r="CH36" i="5"/>
  <c r="BY153" i="4"/>
  <c r="CE147" i="4"/>
  <c r="BL10" i="4"/>
  <c r="BX51" i="4"/>
  <c r="BF69" i="4"/>
  <c r="CD23" i="5"/>
  <c r="BY93" i="4"/>
  <c r="CF20" i="4"/>
  <c r="BK120" i="4"/>
  <c r="BX56" i="4"/>
  <c r="BE57" i="4"/>
  <c r="CC25" i="5"/>
  <c r="CI34" i="4"/>
  <c r="CF86" i="4"/>
  <c r="U145" i="5"/>
  <c r="BB39" i="5"/>
  <c r="V109" i="5"/>
  <c r="BX28" i="4"/>
  <c r="AP18" i="5"/>
  <c r="CK12" i="5"/>
  <c r="CO168" i="4"/>
  <c r="BY21" i="4"/>
  <c r="CO121" i="5"/>
  <c r="AJ101" i="5"/>
  <c r="CK6" i="5"/>
  <c r="CP47" i="4"/>
  <c r="CO112" i="4"/>
  <c r="CO77" i="4"/>
  <c r="CH100" i="4"/>
  <c r="BI105" i="5"/>
  <c r="BL10" i="5"/>
  <c r="CN9" i="5"/>
  <c r="AQ98" i="5"/>
  <c r="CD101" i="5"/>
  <c r="Z29" i="5"/>
  <c r="CO115" i="5"/>
  <c r="CK15" i="5"/>
  <c r="BA24" i="5"/>
  <c r="CP96" i="4"/>
  <c r="CP15" i="4"/>
  <c r="CP43" i="4"/>
  <c r="CK108" i="4"/>
  <c r="CF168" i="4"/>
  <c r="AK35" i="5"/>
  <c r="CM109" i="5"/>
  <c r="BG14" i="5"/>
  <c r="CN6" i="4"/>
  <c r="CM47" i="4"/>
  <c r="CK29" i="4"/>
  <c r="CJ87" i="4"/>
  <c r="AB8" i="5"/>
  <c r="CF19" i="5"/>
  <c r="BE40" i="5"/>
  <c r="V12" i="5"/>
  <c r="CK100" i="5"/>
  <c r="V123" i="5"/>
  <c r="CE138" i="4"/>
  <c r="R18" i="5"/>
  <c r="CI58" i="4"/>
  <c r="CD160" i="4"/>
  <c r="BF8" i="4"/>
  <c r="BQ12" i="4"/>
  <c r="AZ17" i="4"/>
  <c r="CM56" i="4"/>
  <c r="CC147" i="4"/>
  <c r="CH23" i="4"/>
  <c r="AG114" i="5"/>
  <c r="BZ21" i="5"/>
  <c r="Z142" i="5"/>
  <c r="CJ120" i="4"/>
  <c r="BA5" i="5"/>
  <c r="CO19" i="5"/>
  <c r="L103" i="5"/>
  <c r="CC65" i="4"/>
  <c r="CD133" i="5"/>
  <c r="K23" i="5"/>
  <c r="BG4" i="5"/>
  <c r="AR5" i="5"/>
  <c r="BG8" i="5"/>
  <c r="BO12" i="5"/>
  <c r="BY112" i="4"/>
  <c r="BK120" i="5"/>
  <c r="BQ103" i="5"/>
  <c r="AA28" i="5"/>
  <c r="CN20" i="4"/>
  <c r="CK89" i="4"/>
  <c r="CK166" i="4"/>
  <c r="CD49" i="5"/>
  <c r="AO109" i="5"/>
  <c r="AE47" i="5"/>
  <c r="CD15" i="5"/>
  <c r="CP120" i="5"/>
  <c r="BB41" i="5"/>
  <c r="L101" i="5"/>
  <c r="CP18" i="5"/>
  <c r="AR138" i="5"/>
  <c r="AH40" i="5"/>
  <c r="AC117" i="5"/>
  <c r="CJ113" i="4"/>
  <c r="BA46" i="5"/>
  <c r="CD47" i="5"/>
  <c r="CC30" i="5"/>
  <c r="Z114" i="5"/>
  <c r="CH104" i="4"/>
  <c r="AO8" i="5"/>
  <c r="BF21" i="5"/>
  <c r="CN85" i="4"/>
  <c r="CI156" i="4"/>
  <c r="AF109" i="5"/>
  <c r="AL23" i="5"/>
  <c r="N15" i="5"/>
  <c r="BG7" i="4"/>
  <c r="AP97" i="4"/>
  <c r="CE5" i="4"/>
  <c r="CO97" i="5"/>
  <c r="CE81" i="4"/>
  <c r="CP114" i="5"/>
  <c r="AM14" i="5"/>
  <c r="CN92" i="4"/>
  <c r="AB120" i="5"/>
  <c r="AB12" i="5"/>
  <c r="CO155" i="4"/>
  <c r="CA102" i="5"/>
  <c r="CP8" i="4"/>
  <c r="L19" i="5"/>
  <c r="BO55" i="4"/>
  <c r="AZ86" i="4"/>
  <c r="CE63" i="4"/>
  <c r="BE125" i="5"/>
  <c r="CM29" i="5"/>
  <c r="CI22" i="4"/>
  <c r="CI33" i="5"/>
  <c r="BE15" i="5"/>
  <c r="BX165" i="4"/>
  <c r="AB105" i="5"/>
  <c r="CO35" i="4"/>
  <c r="CP142" i="4"/>
  <c r="M40" i="5"/>
  <c r="CM162" i="4"/>
  <c r="W7" i="5"/>
  <c r="AG99" i="5"/>
  <c r="K118" i="5"/>
  <c r="BX14" i="4"/>
  <c r="BY157" i="4"/>
  <c r="S22" i="5"/>
  <c r="AZ21" i="5"/>
  <c r="AQ12" i="5"/>
  <c r="AB104" i="5"/>
  <c r="Q14" i="5"/>
  <c r="CE13" i="5"/>
  <c r="BL133" i="5"/>
  <c r="Z100" i="5"/>
  <c r="BX114" i="5"/>
  <c r="CP40" i="4"/>
  <c r="CO66" i="4"/>
  <c r="CN45" i="4"/>
  <c r="CK126" i="4"/>
  <c r="CJ30" i="5"/>
  <c r="CH64" i="4"/>
  <c r="CH74" i="4"/>
  <c r="BO137" i="4"/>
  <c r="BI23" i="4"/>
  <c r="BL44" i="4"/>
  <c r="BF123" i="5"/>
  <c r="CF79" i="4"/>
  <c r="CH118" i="4"/>
  <c r="BP58" i="4"/>
  <c r="BE160" i="4"/>
  <c r="BJ161" i="4"/>
  <c r="BI21" i="5"/>
  <c r="CD108" i="4"/>
  <c r="CI56" i="4"/>
  <c r="BI51" i="4"/>
  <c r="CI134" i="4"/>
  <c r="BF44" i="4"/>
  <c r="CF124" i="5"/>
  <c r="CA76" i="4"/>
  <c r="CK88" i="4"/>
  <c r="BJ99" i="5"/>
  <c r="AQ107" i="5"/>
  <c r="CE122" i="5"/>
  <c r="CF31" i="4"/>
  <c r="Q12" i="5"/>
  <c r="CM127" i="4"/>
  <c r="BJ15" i="5"/>
  <c r="BX9" i="4"/>
  <c r="CH14" i="5"/>
  <c r="AY100" i="5"/>
  <c r="AK107" i="5"/>
  <c r="AG21" i="5"/>
  <c r="AP26" i="5"/>
  <c r="X7" i="5"/>
  <c r="BX49" i="4"/>
  <c r="BG42" i="5"/>
  <c r="CK118" i="5"/>
  <c r="S20" i="5"/>
  <c r="CO95" i="4"/>
  <c r="CI162" i="4"/>
  <c r="CK157" i="4"/>
  <c r="BE119" i="5"/>
  <c r="CH11" i="5"/>
  <c r="CP33" i="5"/>
  <c r="CP104" i="4"/>
  <c r="CO88" i="4"/>
  <c r="CP76" i="4"/>
  <c r="CM54" i="4"/>
  <c r="CH83" i="4"/>
  <c r="AE122" i="5"/>
  <c r="BD19" i="5"/>
  <c r="CM13" i="5"/>
  <c r="CP140" i="4"/>
  <c r="CN74" i="4"/>
  <c r="CP134" i="4"/>
  <c r="CP103" i="4"/>
  <c r="BI100" i="5"/>
  <c r="BA103" i="5"/>
  <c r="CO11" i="5"/>
  <c r="AH28" i="5"/>
  <c r="CJ4" i="5"/>
  <c r="CP100" i="5"/>
  <c r="CF128" i="4"/>
  <c r="BQ18" i="5"/>
  <c r="BX86" i="4"/>
  <c r="CC113" i="4"/>
  <c r="BL69" i="4"/>
  <c r="BX58" i="4"/>
  <c r="BG142" i="4"/>
  <c r="V124" i="5"/>
  <c r="BN132" i="4"/>
  <c r="CE58" i="4"/>
  <c r="AP23" i="5"/>
  <c r="AC110" i="5"/>
  <c r="CM80" i="4"/>
  <c r="AB114" i="5"/>
  <c r="CP85" i="4"/>
  <c r="CO141" i="4"/>
  <c r="CO108" i="4"/>
  <c r="BX139" i="4"/>
  <c r="V22" i="5"/>
  <c r="BB101" i="5"/>
  <c r="BK10" i="5"/>
  <c r="CE104" i="5"/>
  <c r="BI5" i="5"/>
  <c r="CE12" i="4"/>
  <c r="CF59" i="4"/>
  <c r="BP117" i="5"/>
  <c r="BQ111" i="5"/>
  <c r="AZ110" i="5"/>
  <c r="AF7" i="5"/>
  <c r="CF13" i="5"/>
  <c r="BF12" i="5"/>
  <c r="BF14" i="5"/>
  <c r="AQ16" i="5"/>
  <c r="AG101" i="5"/>
  <c r="BF9" i="5"/>
  <c r="AL104" i="5"/>
  <c r="U100" i="5"/>
  <c r="BZ63" i="4"/>
  <c r="BY77" i="4"/>
  <c r="AR27" i="5"/>
  <c r="CP19" i="5"/>
  <c r="AG6" i="5"/>
  <c r="BP119" i="5"/>
  <c r="BD6" i="5"/>
  <c r="AG19" i="5"/>
  <c r="BG132" i="5"/>
  <c r="AC102" i="5"/>
  <c r="CM107" i="5"/>
  <c r="CO69" i="4"/>
  <c r="CN50" i="4"/>
  <c r="CM46" i="4"/>
  <c r="CM115" i="4"/>
  <c r="CJ71" i="4"/>
  <c r="BZ129" i="4"/>
  <c r="CA85" i="4"/>
  <c r="BO103" i="4"/>
  <c r="BJ67" i="4"/>
  <c r="BD154" i="4"/>
  <c r="X52" i="5"/>
  <c r="BQ85" i="4"/>
  <c r="BX21" i="4"/>
  <c r="BQ19" i="4"/>
  <c r="BI95" i="4"/>
  <c r="BZ77" i="4"/>
  <c r="AK25" i="5"/>
  <c r="CH112" i="4"/>
  <c r="BP31" i="4"/>
  <c r="BN50" i="4"/>
  <c r="BL110" i="4"/>
  <c r="BQ139" i="4"/>
  <c r="BZ29" i="5"/>
  <c r="CD42" i="4"/>
  <c r="CK151" i="4"/>
  <c r="BN45" i="5"/>
  <c r="AZ130" i="5"/>
  <c r="M41" i="5"/>
  <c r="CH82" i="4"/>
  <c r="M6" i="5"/>
  <c r="CC111" i="5"/>
  <c r="CJ19" i="4"/>
  <c r="CI83" i="4"/>
  <c r="AA21" i="5"/>
  <c r="N97" i="5"/>
  <c r="CO154" i="4"/>
  <c r="CO70" i="4"/>
  <c r="CN91" i="4"/>
  <c r="CO32" i="4"/>
  <c r="CK133" i="4"/>
  <c r="BP32" i="5"/>
  <c r="AL26" i="5"/>
  <c r="BY15" i="5"/>
  <c r="CC11" i="5"/>
  <c r="CC101" i="5"/>
  <c r="K11" i="5"/>
  <c r="BJ114" i="5"/>
  <c r="AO13" i="5"/>
  <c r="N119" i="5"/>
  <c r="CK140" i="4"/>
  <c r="CI147" i="4"/>
  <c r="Q38" i="5"/>
  <c r="CI101" i="4"/>
  <c r="CC22" i="4"/>
  <c r="BP107" i="5"/>
  <c r="CM19" i="5"/>
  <c r="AO14" i="5"/>
  <c r="CJ13" i="5"/>
  <c r="CI8" i="5"/>
  <c r="CO98" i="5"/>
  <c r="CJ7" i="4"/>
  <c r="AY19" i="5"/>
  <c r="BQ29" i="5"/>
  <c r="CM9" i="5"/>
  <c r="M105" i="5"/>
  <c r="BO99" i="5"/>
  <c r="BY97" i="5"/>
  <c r="BZ132" i="4"/>
  <c r="AH7" i="5"/>
  <c r="CC118" i="4"/>
  <c r="CC103" i="4"/>
  <c r="CF83" i="4"/>
  <c r="BO9" i="4"/>
  <c r="BA34" i="4"/>
  <c r="BP9" i="5"/>
  <c r="CE70" i="4"/>
  <c r="CC13" i="4"/>
  <c r="AR24" i="5"/>
  <c r="BZ127" i="5"/>
  <c r="AF23" i="5"/>
  <c r="CE9" i="4"/>
  <c r="AB118" i="5"/>
  <c r="CP110" i="4"/>
  <c r="CP36" i="4"/>
  <c r="CA155" i="4"/>
  <c r="BN7" i="5"/>
  <c r="CF103" i="5"/>
  <c r="CE12" i="5"/>
  <c r="AK9" i="5"/>
  <c r="AP7" i="5"/>
  <c r="CP56" i="4"/>
  <c r="CJ129" i="4"/>
  <c r="AC35" i="5"/>
  <c r="AB15" i="5"/>
  <c r="CP21" i="5"/>
  <c r="CA13" i="5"/>
  <c r="AK17" i="5"/>
  <c r="U97" i="5"/>
  <c r="BE42" i="5"/>
  <c r="BF25" i="5"/>
  <c r="BB27" i="5"/>
  <c r="CM60" i="4"/>
  <c r="CP82" i="4"/>
  <c r="CM61" i="4"/>
  <c r="CM81" i="4"/>
  <c r="CJ157" i="4"/>
  <c r="BL24" i="5"/>
  <c r="CF14" i="5"/>
  <c r="BF110" i="5"/>
  <c r="CM57" i="4"/>
  <c r="CO115" i="4"/>
  <c r="CN18" i="4"/>
  <c r="CO111" i="4"/>
  <c r="CA104" i="5"/>
  <c r="CM18" i="5"/>
  <c r="AJ7" i="5"/>
  <c r="AY12" i="5"/>
  <c r="CM98" i="5"/>
  <c r="V106" i="5"/>
  <c r="CF148" i="4"/>
  <c r="BD116" i="5"/>
  <c r="CI47" i="4"/>
  <c r="CF19" i="4"/>
  <c r="BL15" i="4"/>
  <c r="BZ142" i="4"/>
  <c r="BD157" i="4"/>
  <c r="CP119" i="5"/>
  <c r="CI64" i="4"/>
  <c r="CC40" i="4"/>
  <c r="BF34" i="4"/>
  <c r="BO63" i="4"/>
  <c r="AR92" i="4"/>
  <c r="CO13" i="4"/>
  <c r="CD110" i="4"/>
  <c r="CN93" i="4"/>
  <c r="BE125" i="4"/>
  <c r="BP64" i="4"/>
  <c r="AZ117" i="4"/>
  <c r="AM101" i="5"/>
  <c r="CC29" i="4"/>
  <c r="CH59" i="4"/>
  <c r="CI123" i="4"/>
  <c r="BL134" i="4"/>
  <c r="CC157" i="4"/>
  <c r="CK163" i="4"/>
  <c r="BL20" i="4"/>
  <c r="CJ30" i="4"/>
  <c r="CF51" i="4"/>
  <c r="BK162" i="4"/>
  <c r="BI122" i="4"/>
  <c r="AQ98" i="4"/>
  <c r="CA83" i="4"/>
  <c r="BX163" i="4"/>
  <c r="CA43" i="4"/>
  <c r="BI112" i="4"/>
  <c r="BF76" i="4"/>
  <c r="CM11" i="4"/>
  <c r="CF163" i="4"/>
  <c r="CC107" i="4"/>
  <c r="CD97" i="4"/>
  <c r="BN32" i="4"/>
  <c r="AR101" i="4"/>
  <c r="BY79" i="4"/>
  <c r="BY100" i="4"/>
  <c r="BZ101" i="4"/>
  <c r="BL87" i="4"/>
  <c r="BJ60" i="4"/>
  <c r="CF74" i="4"/>
  <c r="CD107" i="4"/>
  <c r="BK115" i="4"/>
  <c r="BF4" i="4"/>
  <c r="BF13" i="4"/>
  <c r="AL122" i="4"/>
  <c r="BK134" i="4"/>
  <c r="BB112" i="4"/>
  <c r="BB62" i="4"/>
  <c r="AK162" i="4"/>
  <c r="BI150" i="4"/>
  <c r="BE6" i="4"/>
  <c r="BA135" i="4"/>
  <c r="AK81" i="4"/>
  <c r="BK85" i="4"/>
  <c r="BF125" i="4"/>
  <c r="BB119" i="4"/>
  <c r="BP22" i="4"/>
  <c r="BB123" i="4"/>
  <c r="BI130" i="4"/>
  <c r="AQ50" i="4"/>
  <c r="BK117" i="4"/>
  <c r="BJ100" i="4"/>
  <c r="BB14" i="4"/>
  <c r="AM109" i="4"/>
  <c r="BI47" i="4"/>
  <c r="BK70" i="4"/>
  <c r="BA89" i="4"/>
  <c r="AK11" i="4"/>
  <c r="BB11" i="4"/>
  <c r="BO107" i="4"/>
  <c r="BP101" i="4"/>
  <c r="BB103" i="4"/>
  <c r="AH15" i="4"/>
  <c r="AP164" i="4"/>
  <c r="AB110" i="4"/>
  <c r="AH7" i="4"/>
  <c r="AJ29" i="4"/>
  <c r="CD52" i="4"/>
  <c r="BK152" i="4"/>
  <c r="CE133" i="4"/>
  <c r="BK6" i="4"/>
  <c r="BI52" i="4"/>
  <c r="CC24" i="4"/>
  <c r="BP134" i="4"/>
  <c r="BG60" i="4"/>
  <c r="BK22" i="4"/>
  <c r="W112" i="5"/>
  <c r="CC146" i="4"/>
  <c r="CH140" i="4"/>
  <c r="BN35" i="4"/>
  <c r="BG153" i="4"/>
  <c r="BI72" i="4"/>
  <c r="CH154" i="4"/>
  <c r="BX117" i="4"/>
  <c r="BO58" i="4"/>
  <c r="BP51" i="4"/>
  <c r="CH157" i="4"/>
  <c r="AO15" i="5"/>
  <c r="CC114" i="4"/>
  <c r="CI125" i="4"/>
  <c r="BQ28" i="4"/>
  <c r="BF116" i="4"/>
  <c r="BI53" i="4"/>
  <c r="BY59" i="4"/>
  <c r="BZ15" i="4"/>
  <c r="BF86" i="4"/>
  <c r="AQ99" i="4"/>
  <c r="AZ140" i="4"/>
  <c r="BX5" i="4"/>
  <c r="BG71" i="4"/>
  <c r="AR116" i="4"/>
  <c r="AZ151" i="4"/>
  <c r="AF151" i="4"/>
  <c r="BG156" i="4"/>
  <c r="AY114" i="4"/>
  <c r="AQ31" i="4"/>
  <c r="AF100" i="4"/>
  <c r="BE69" i="4"/>
  <c r="AY115" i="4"/>
  <c r="AQ88" i="4"/>
  <c r="BQ67" i="4"/>
  <c r="BJ110" i="4"/>
  <c r="BF77" i="4"/>
  <c r="AL44" i="4"/>
  <c r="CC144" i="4"/>
  <c r="BD123" i="4"/>
  <c r="AQ158" i="4"/>
  <c r="AF114" i="4"/>
  <c r="CA162" i="4"/>
  <c r="BD60" i="4"/>
  <c r="AQ141" i="4"/>
  <c r="AG21" i="4"/>
  <c r="BY57" i="4"/>
  <c r="BF121" i="4"/>
  <c r="BF127" i="4"/>
  <c r="AM25" i="4"/>
  <c r="AP22" i="4"/>
  <c r="AL51" i="4"/>
  <c r="W120" i="4"/>
  <c r="AB64" i="4"/>
  <c r="BX81" i="4"/>
  <c r="CA32" i="4"/>
  <c r="AO97" i="5"/>
  <c r="BK104" i="4"/>
  <c r="BX41" i="4"/>
  <c r="CP25" i="4"/>
  <c r="BJ32" i="4"/>
  <c r="BP66" i="4"/>
  <c r="BL94" i="4"/>
  <c r="AY138" i="4"/>
  <c r="CH160" i="4"/>
  <c r="CA5" i="4"/>
  <c r="CC163" i="4"/>
  <c r="BP50" i="4"/>
  <c r="BI57" i="4"/>
  <c r="AE118" i="5"/>
  <c r="CK48" i="4"/>
  <c r="CF7" i="4"/>
  <c r="BE124" i="4"/>
  <c r="BP34" i="4"/>
  <c r="AY73" i="4"/>
  <c r="CA42" i="4"/>
  <c r="CC46" i="4"/>
  <c r="CK141" i="4"/>
  <c r="BQ82" i="4"/>
  <c r="BL35" i="4"/>
  <c r="AK10" i="5"/>
  <c r="CF41" i="4"/>
  <c r="AQ84" i="4"/>
  <c r="BD83" i="4"/>
  <c r="BG137" i="4"/>
  <c r="BA83" i="4"/>
  <c r="BX111" i="4"/>
  <c r="BG21" i="4"/>
  <c r="BE109" i="4"/>
  <c r="AM99" i="4"/>
  <c r="CE120" i="4"/>
  <c r="BD151" i="4"/>
  <c r="BE42" i="4"/>
  <c r="AJ9" i="4"/>
  <c r="BY37" i="4"/>
  <c r="BD64" i="4"/>
  <c r="BD10" i="4"/>
  <c r="BG16" i="4"/>
  <c r="AP27" i="4"/>
  <c r="BP21" i="4"/>
  <c r="AZ65" i="4"/>
  <c r="BK105" i="4"/>
  <c r="BZ120" i="4"/>
  <c r="BF56" i="4"/>
  <c r="AM33" i="4"/>
  <c r="AK52" i="5"/>
  <c r="AG117" i="5"/>
  <c r="AO33" i="5"/>
  <c r="M110" i="5"/>
  <c r="U104" i="5"/>
  <c r="BI48" i="5"/>
  <c r="BY139" i="5"/>
  <c r="CO17" i="4"/>
  <c r="BL50" i="5"/>
  <c r="BB105" i="5"/>
  <c r="AB44" i="5"/>
  <c r="CK123" i="5"/>
  <c r="CF33" i="5"/>
  <c r="CO101" i="4"/>
  <c r="AB25" i="5"/>
  <c r="BZ141" i="4"/>
  <c r="CM104" i="5"/>
  <c r="CF108" i="5"/>
  <c r="BE19" i="5"/>
  <c r="P4" i="5"/>
  <c r="BN157" i="4"/>
  <c r="BP114" i="5"/>
  <c r="CE84" i="4"/>
  <c r="CH22" i="4"/>
  <c r="BL120" i="5"/>
  <c r="N31" i="5"/>
  <c r="BJ100" i="5"/>
  <c r="CH143" i="4"/>
  <c r="CH106" i="5"/>
  <c r="K16" i="5"/>
  <c r="CF142" i="4"/>
  <c r="BJ5" i="5"/>
  <c r="CO43" i="4"/>
  <c r="M8" i="5"/>
  <c r="BJ26" i="4"/>
  <c r="CP108" i="5"/>
  <c r="BX80" i="4"/>
  <c r="AH25" i="5"/>
  <c r="AJ30" i="5"/>
  <c r="BO100" i="4"/>
  <c r="CP127" i="4"/>
  <c r="CP160" i="4"/>
  <c r="CK41" i="4"/>
  <c r="AP100" i="5"/>
  <c r="AF106" i="5"/>
  <c r="CI15" i="5"/>
  <c r="W116" i="5"/>
  <c r="AQ100" i="5"/>
  <c r="CO48" i="4"/>
  <c r="CO12" i="4"/>
  <c r="CO126" i="4"/>
  <c r="CI67" i="4"/>
  <c r="BN38" i="5"/>
  <c r="AJ6" i="5"/>
  <c r="BN111" i="5"/>
  <c r="CP95" i="4"/>
  <c r="CN152" i="4"/>
  <c r="CO142" i="4"/>
  <c r="CM51" i="4"/>
  <c r="AM108" i="5"/>
  <c r="AM4" i="5"/>
  <c r="CE9" i="5"/>
  <c r="BQ100" i="5"/>
  <c r="CF6" i="5"/>
  <c r="CO102" i="5"/>
  <c r="CH65" i="4"/>
  <c r="BP127" i="5"/>
  <c r="BY166" i="4"/>
  <c r="CD151" i="4"/>
  <c r="BI111" i="4"/>
  <c r="BY56" i="4"/>
  <c r="BD88" i="4"/>
  <c r="CD121" i="5"/>
  <c r="BY135" i="4"/>
  <c r="CC130" i="4"/>
  <c r="BL67" i="4"/>
  <c r="BY88" i="4"/>
  <c r="BE149" i="4"/>
  <c r="W104" i="5"/>
  <c r="CI136" i="4"/>
  <c r="CE159" i="4"/>
  <c r="BJ19" i="4"/>
  <c r="BX13" i="4"/>
  <c r="BG36" i="4"/>
  <c r="CI105" i="5"/>
  <c r="CJ132" i="4"/>
  <c r="CF143" i="4"/>
  <c r="BE50" i="5"/>
  <c r="BP123" i="5"/>
  <c r="BD105" i="5"/>
  <c r="BQ167" i="4"/>
  <c r="CN105" i="5"/>
  <c r="AL19" i="5"/>
  <c r="CM151" i="4"/>
  <c r="BN25" i="4"/>
  <c r="BE20" i="5"/>
  <c r="AL18" i="5"/>
  <c r="CM17" i="4"/>
  <c r="CN59" i="4"/>
  <c r="CM138" i="4"/>
  <c r="CO148" i="4"/>
  <c r="CI57" i="4"/>
  <c r="AR102" i="5"/>
  <c r="BJ113" i="5"/>
  <c r="CJ106" i="5"/>
  <c r="V98" i="5"/>
  <c r="BZ112" i="5"/>
  <c r="BG17" i="5"/>
  <c r="BB22" i="5"/>
  <c r="BO106" i="5"/>
  <c r="CN107" i="5"/>
  <c r="CM74" i="4"/>
  <c r="CK64" i="4"/>
  <c r="CK150" i="4"/>
  <c r="CK27" i="4"/>
  <c r="CF71" i="4"/>
  <c r="AC40" i="5"/>
  <c r="AO107" i="5"/>
  <c r="AG106" i="5"/>
  <c r="CP32" i="4"/>
  <c r="CI79" i="4"/>
  <c r="CI86" i="4"/>
  <c r="CH95" i="4"/>
  <c r="K21" i="5"/>
  <c r="K114" i="5"/>
  <c r="AF103" i="5"/>
  <c r="BZ17" i="5"/>
  <c r="V16" i="5"/>
  <c r="AM16" i="5"/>
  <c r="CD60" i="4"/>
  <c r="CO116" i="4"/>
  <c r="CE155" i="4"/>
  <c r="CK152" i="4"/>
  <c r="CK56" i="4"/>
  <c r="BN65" i="4"/>
  <c r="BA46" i="4"/>
  <c r="CE17" i="5"/>
  <c r="CD121" i="4"/>
  <c r="CE26" i="4"/>
  <c r="AR116" i="5"/>
  <c r="BZ14" i="5"/>
  <c r="CC99" i="4"/>
  <c r="AC112" i="5"/>
  <c r="AO9" i="5"/>
  <c r="AB13" i="5"/>
  <c r="CC20" i="4"/>
  <c r="AP127" i="5"/>
  <c r="W128" i="5"/>
  <c r="BP17" i="5"/>
  <c r="BA14" i="5"/>
  <c r="BX99" i="5"/>
  <c r="CC9" i="5"/>
  <c r="BY104" i="4"/>
  <c r="M126" i="5"/>
  <c r="BP103" i="5"/>
  <c r="BA25" i="5"/>
  <c r="CN66" i="4"/>
  <c r="CM133" i="4"/>
  <c r="CM33" i="4"/>
  <c r="CO27" i="4"/>
  <c r="Q18" i="5"/>
  <c r="R120" i="5"/>
  <c r="CI107" i="5"/>
  <c r="BQ10" i="5"/>
  <c r="AQ99" i="5"/>
  <c r="AB101" i="5"/>
  <c r="BY110" i="4"/>
  <c r="BX116" i="4"/>
  <c r="CI116" i="5"/>
  <c r="CN43" i="5"/>
  <c r="BG99" i="5"/>
  <c r="BJ103" i="5"/>
  <c r="AB20" i="5"/>
  <c r="AB17" i="5"/>
  <c r="AF49" i="5"/>
  <c r="BD109" i="5"/>
  <c r="CC109" i="5"/>
  <c r="CM53" i="4"/>
  <c r="CI133" i="4"/>
  <c r="CH25" i="4"/>
  <c r="CI12" i="4"/>
  <c r="CI31" i="5"/>
  <c r="CD8" i="4"/>
  <c r="CJ65" i="4"/>
  <c r="BO104" i="4"/>
  <c r="BF19" i="4"/>
  <c r="BI138" i="4"/>
  <c r="CH97" i="5"/>
  <c r="CE42" i="4"/>
  <c r="CI126" i="4"/>
  <c r="BI107" i="4"/>
  <c r="CK69" i="4"/>
  <c r="BD80" i="4"/>
  <c r="CM31" i="5"/>
  <c r="CA151" i="4"/>
  <c r="CH102" i="4"/>
  <c r="BL145" i="4"/>
  <c r="CE134" i="4"/>
  <c r="BD111" i="4"/>
  <c r="CM112" i="5"/>
  <c r="BX145" i="4"/>
  <c r="CF48" i="4"/>
  <c r="CN113" i="5"/>
  <c r="R41" i="5"/>
  <c r="L127" i="5"/>
  <c r="BX17" i="4"/>
  <c r="CE35" i="5"/>
  <c r="CP60" i="4"/>
  <c r="CP99" i="5"/>
  <c r="CC106" i="4"/>
  <c r="BF113" i="5"/>
  <c r="S34" i="5"/>
  <c r="L121" i="5"/>
  <c r="BI33" i="5"/>
  <c r="R110" i="5"/>
  <c r="CJ143" i="4"/>
  <c r="CF111" i="4"/>
  <c r="U102" i="5"/>
  <c r="CE25" i="5"/>
  <c r="CN4" i="5"/>
  <c r="AP5" i="5"/>
  <c r="CC118" i="5"/>
  <c r="AG104" i="5"/>
  <c r="BJ21" i="5"/>
  <c r="BZ114" i="5"/>
  <c r="CO106" i="5"/>
  <c r="BN11" i="5"/>
  <c r="AO31" i="5"/>
  <c r="AE97" i="5"/>
  <c r="CC112" i="4"/>
  <c r="BZ126" i="4"/>
  <c r="BD17" i="5"/>
  <c r="Z30" i="5"/>
  <c r="W9" i="5"/>
  <c r="CJ102" i="5"/>
  <c r="U101" i="5"/>
  <c r="CO21" i="5"/>
  <c r="CC55" i="4"/>
  <c r="BA104" i="5"/>
  <c r="CF22" i="5"/>
  <c r="AK16" i="5"/>
  <c r="CN8" i="4"/>
  <c r="CO124" i="4"/>
  <c r="CP77" i="4"/>
  <c r="CH43" i="4"/>
  <c r="BQ13" i="5"/>
  <c r="BY87" i="4"/>
  <c r="BO28" i="4"/>
  <c r="BN119" i="4"/>
  <c r="BJ48" i="4"/>
  <c r="CF54" i="4"/>
  <c r="BG101" i="5"/>
  <c r="BQ74" i="4"/>
  <c r="BN150" i="4"/>
  <c r="BQ122" i="5"/>
  <c r="CC125" i="5"/>
  <c r="BA49" i="5"/>
  <c r="CH72" i="4"/>
  <c r="BG9" i="5"/>
  <c r="CO12" i="5"/>
  <c r="M9" i="5"/>
  <c r="CH34" i="4"/>
  <c r="BN105" i="5"/>
  <c r="BK13" i="5"/>
  <c r="CN134" i="4"/>
  <c r="CP73" i="4"/>
  <c r="CO42" i="4"/>
  <c r="CP163" i="4"/>
  <c r="CH61" i="4"/>
  <c r="BD27" i="5"/>
  <c r="BG30" i="5"/>
  <c r="V97" i="5"/>
  <c r="L118" i="5"/>
  <c r="M17" i="5"/>
  <c r="V102" i="5"/>
  <c r="BG113" i="5"/>
  <c r="AY24" i="5"/>
  <c r="AQ111" i="5"/>
  <c r="CI103" i="5"/>
  <c r="BZ23" i="5"/>
  <c r="BO14" i="5"/>
  <c r="CJ155" i="4"/>
  <c r="CD152" i="4"/>
  <c r="AF125" i="5"/>
  <c r="BZ37" i="5"/>
  <c r="Z130" i="5"/>
  <c r="BE98" i="5"/>
  <c r="L100" i="5"/>
  <c r="AR11" i="5"/>
  <c r="CJ48" i="4"/>
  <c r="AH16" i="5"/>
  <c r="CN35" i="5"/>
  <c r="BI4" i="5"/>
  <c r="BE8" i="5"/>
  <c r="AP124" i="5"/>
  <c r="AB109" i="5"/>
  <c r="CA40" i="4"/>
  <c r="CO49" i="4"/>
  <c r="CE143" i="4"/>
  <c r="CC168" i="4"/>
  <c r="CE104" i="4"/>
  <c r="BQ73" i="4"/>
  <c r="AR54" i="4"/>
  <c r="AQ106" i="5"/>
  <c r="CA55" i="4"/>
  <c r="BX93" i="4"/>
  <c r="BX156" i="4"/>
  <c r="BJ55" i="4"/>
  <c r="BB109" i="4"/>
  <c r="CO6" i="4"/>
  <c r="BY152" i="4"/>
  <c r="CA154" i="4"/>
  <c r="BX6" i="4"/>
  <c r="BJ74" i="4"/>
  <c r="AZ123" i="4"/>
  <c r="N111" i="5"/>
  <c r="BX54" i="4"/>
  <c r="BO118" i="4"/>
  <c r="BF130" i="4"/>
  <c r="BK32" i="4"/>
  <c r="CD88" i="4"/>
  <c r="BQ157" i="4"/>
  <c r="BI33" i="4"/>
  <c r="CC93" i="4"/>
  <c r="BQ131" i="4"/>
  <c r="BJ120" i="4"/>
  <c r="BI85" i="4"/>
  <c r="CA15" i="5"/>
  <c r="CE83" i="4"/>
  <c r="CJ99" i="4"/>
  <c r="BP25" i="4"/>
  <c r="BE80" i="4"/>
  <c r="BK36" i="4"/>
  <c r="CP122" i="4"/>
  <c r="CA133" i="4"/>
  <c r="BP6" i="4"/>
  <c r="BO119" i="4"/>
  <c r="BL24" i="4"/>
  <c r="N6" i="5"/>
  <c r="CK19" i="4"/>
  <c r="CK114" i="4"/>
  <c r="BN147" i="4"/>
  <c r="BI46" i="4"/>
  <c r="BK160" i="4"/>
  <c r="CE80" i="4"/>
  <c r="BX57" i="4"/>
  <c r="BD38" i="4"/>
  <c r="BB150" i="4"/>
  <c r="AY141" i="4"/>
  <c r="AH152" i="4"/>
  <c r="BG165" i="4"/>
  <c r="BB166" i="4"/>
  <c r="AY25" i="4"/>
  <c r="AG73" i="4"/>
  <c r="BD16" i="4"/>
  <c r="BA119" i="4"/>
  <c r="BB8" i="4"/>
  <c r="AG153" i="4"/>
  <c r="BD93" i="4"/>
  <c r="BB18" i="4"/>
  <c r="AZ125" i="4"/>
  <c r="CH133" i="4"/>
  <c r="BJ82" i="4"/>
  <c r="BF165" i="4"/>
  <c r="AK12" i="4"/>
  <c r="AY135" i="4"/>
  <c r="BF122" i="4"/>
  <c r="BB61" i="4"/>
  <c r="AH6" i="4"/>
  <c r="AY105" i="4"/>
  <c r="BG109" i="4"/>
  <c r="BB127" i="4"/>
  <c r="AF152" i="4"/>
  <c r="CE115" i="4"/>
  <c r="BE10" i="4"/>
  <c r="BD106" i="4"/>
  <c r="AK43" i="4"/>
  <c r="AO161" i="4"/>
  <c r="AM67" i="4"/>
  <c r="U118" i="4"/>
  <c r="AC57" i="4"/>
  <c r="AA119" i="4"/>
  <c r="CJ150" i="4"/>
  <c r="BA163" i="4"/>
  <c r="CD36" i="4"/>
  <c r="CF80" i="4"/>
  <c r="AY152" i="4"/>
  <c r="CC160" i="4"/>
  <c r="BJ13" i="4"/>
  <c r="BZ28" i="4"/>
  <c r="BF152" i="4"/>
  <c r="CP20" i="5"/>
  <c r="BO40" i="4"/>
  <c r="CD13" i="4"/>
  <c r="BI36" i="4"/>
  <c r="CA165" i="4"/>
  <c r="BG37" i="4"/>
  <c r="CI105" i="4"/>
  <c r="CK144" i="4"/>
  <c r="BJ33" i="4"/>
  <c r="CH12" i="4"/>
  <c r="BY80" i="4"/>
  <c r="X21" i="5"/>
  <c r="CA138" i="4"/>
  <c r="CC9" i="4"/>
  <c r="BK7" i="4"/>
  <c r="CA92" i="4"/>
  <c r="CO107" i="5"/>
  <c r="CI24" i="4"/>
  <c r="BJ144" i="4"/>
  <c r="BA107" i="4"/>
  <c r="BY122" i="4"/>
  <c r="BG26" i="4"/>
  <c r="BO145" i="4"/>
  <c r="AY57" i="4"/>
  <c r="BO45" i="4"/>
  <c r="AR90" i="4"/>
  <c r="CC88" i="4"/>
  <c r="BA94" i="4"/>
  <c r="BN141" i="4"/>
  <c r="BA56" i="4"/>
  <c r="CE20" i="4"/>
  <c r="BB75" i="4"/>
  <c r="BQ63" i="4"/>
  <c r="BA76" i="4"/>
  <c r="AZ73" i="4"/>
  <c r="BF33" i="4"/>
  <c r="AP29" i="4"/>
  <c r="AH76" i="4"/>
  <c r="BB148" i="4"/>
  <c r="BO131" i="4"/>
  <c r="BQ83" i="4"/>
  <c r="AY27" i="4"/>
  <c r="AZ124" i="4"/>
  <c r="BO25" i="4"/>
  <c r="BN159" i="4"/>
  <c r="BB65" i="4"/>
  <c r="BD159" i="4"/>
  <c r="AZ88" i="4"/>
  <c r="AZ90" i="4"/>
  <c r="AM91" i="4"/>
  <c r="AK132" i="4"/>
  <c r="AF118" i="4"/>
  <c r="Q94" i="4"/>
  <c r="V96" i="4"/>
  <c r="BX29" i="4"/>
  <c r="BL65" i="4"/>
  <c r="CF124" i="4"/>
  <c r="CA60" i="4"/>
  <c r="BL167" i="4"/>
  <c r="CC41" i="4"/>
  <c r="CA127" i="4"/>
  <c r="BI167" i="4"/>
  <c r="BF89" i="4"/>
  <c r="CC38" i="5"/>
  <c r="BP102" i="4"/>
  <c r="BY145" i="4"/>
  <c r="BQ141" i="4"/>
  <c r="BJ116" i="4"/>
  <c r="BZ114" i="4"/>
  <c r="BO16" i="5"/>
  <c r="BZ92" i="4"/>
  <c r="BZ133" i="4"/>
  <c r="CC71" i="4"/>
  <c r="BJ40" i="4"/>
  <c r="AR111" i="4"/>
  <c r="CA37" i="4"/>
  <c r="BX110" i="4"/>
  <c r="BX19" i="4"/>
  <c r="BL47" i="4"/>
  <c r="BE137" i="4"/>
  <c r="CF52" i="4"/>
  <c r="CD114" i="4"/>
  <c r="BJ49" i="4"/>
  <c r="BB129" i="4"/>
  <c r="AZ104" i="4"/>
  <c r="AJ59" i="4"/>
  <c r="BF31" i="4"/>
  <c r="BA145" i="4"/>
  <c r="AY132" i="4"/>
  <c r="AK68" i="4"/>
  <c r="BI153" i="4"/>
  <c r="AR16" i="4"/>
  <c r="AZ92" i="4"/>
  <c r="AK27" i="4"/>
  <c r="BE54" i="4"/>
  <c r="AQ160" i="4"/>
  <c r="BA71" i="4"/>
  <c r="BP80" i="4"/>
  <c r="BB13" i="4"/>
  <c r="BG107" i="4"/>
  <c r="AQ57" i="4"/>
  <c r="BO72" i="4"/>
  <c r="BG43" i="4"/>
  <c r="BA114" i="4"/>
  <c r="AK120" i="4"/>
  <c r="BI164" i="4"/>
  <c r="BD45" i="4"/>
  <c r="AZ148" i="4"/>
  <c r="AL116" i="4"/>
  <c r="BA41" i="4"/>
  <c r="BI137" i="4"/>
  <c r="BK57" i="4"/>
  <c r="BA38" i="4"/>
  <c r="BD101" i="4"/>
  <c r="AR9" i="4"/>
  <c r="AA102" i="4"/>
  <c r="AH164" i="4"/>
  <c r="AF26" i="5"/>
  <c r="BN165" i="4"/>
  <c r="CK103" i="5"/>
  <c r="BE129" i="5"/>
  <c r="U9" i="5"/>
  <c r="K100" i="5"/>
  <c r="CM111" i="4"/>
  <c r="BX125" i="5"/>
  <c r="AR100" i="5"/>
  <c r="CK112" i="5"/>
  <c r="AL29" i="5"/>
  <c r="AF116" i="5"/>
  <c r="K109" i="5"/>
  <c r="CM150" i="5"/>
  <c r="AF50" i="5"/>
  <c r="CP50" i="4"/>
  <c r="CP97" i="4"/>
  <c r="BX47" i="4"/>
  <c r="BL113" i="5"/>
  <c r="AF101" i="5"/>
  <c r="CN97" i="4"/>
  <c r="CP135" i="4"/>
  <c r="AQ5" i="5"/>
  <c r="AP38" i="4"/>
  <c r="CD143" i="4"/>
  <c r="AC114" i="5"/>
  <c r="AR108" i="5"/>
  <c r="W35" i="5"/>
  <c r="BY7" i="5"/>
  <c r="CN123" i="4"/>
  <c r="BZ40" i="4"/>
  <c r="AH116" i="5"/>
  <c r="CN159" i="4"/>
  <c r="BD34" i="5"/>
  <c r="AL97" i="5"/>
  <c r="AL25" i="5"/>
  <c r="CK83" i="4"/>
  <c r="BX106" i="4"/>
  <c r="AM109" i="5"/>
  <c r="BN94" i="4"/>
  <c r="BJ24" i="5"/>
  <c r="Q17" i="5"/>
  <c r="CA120" i="4"/>
  <c r="CN105" i="4"/>
  <c r="CA97" i="5"/>
  <c r="BX70" i="4"/>
  <c r="AE5" i="5"/>
  <c r="CM48" i="4"/>
  <c r="CP166" i="4"/>
  <c r="BK31" i="5"/>
  <c r="AG119" i="5"/>
  <c r="CM118" i="4"/>
  <c r="CM125" i="4"/>
  <c r="CI90" i="4"/>
  <c r="CF154" i="4"/>
  <c r="BX49" i="5"/>
  <c r="AO12" i="5"/>
  <c r="CM115" i="5"/>
  <c r="CM149" i="4"/>
  <c r="CI70" i="4"/>
  <c r="CH68" i="4"/>
  <c r="CI32" i="4"/>
  <c r="CC18" i="5"/>
  <c r="Q35" i="5"/>
  <c r="W98" i="5"/>
  <c r="W8" i="5"/>
  <c r="BY25" i="5"/>
  <c r="AF123" i="5"/>
  <c r="CE6" i="4"/>
  <c r="L5" i="5"/>
  <c r="CE53" i="4"/>
  <c r="CF138" i="4"/>
  <c r="BD56" i="4"/>
  <c r="BQ31" i="4"/>
  <c r="AR117" i="4"/>
  <c r="AM6" i="5"/>
  <c r="CD80" i="4"/>
  <c r="CK158" i="4"/>
  <c r="CK161" i="4"/>
  <c r="BN18" i="4"/>
  <c r="AQ15" i="4"/>
  <c r="CN39" i="4"/>
  <c r="CD34" i="4"/>
  <c r="CD18" i="4"/>
  <c r="CD141" i="4"/>
  <c r="BQ78" i="4"/>
  <c r="BB155" i="4"/>
  <c r="CI11" i="5"/>
  <c r="BX100" i="4"/>
  <c r="CA19" i="4"/>
  <c r="L28" i="5"/>
  <c r="X29" i="5"/>
  <c r="AE99" i="5"/>
  <c r="CD72" i="4"/>
  <c r="CP23" i="5"/>
  <c r="CO73" i="4"/>
  <c r="AK36" i="5"/>
  <c r="CE117" i="4"/>
  <c r="X105" i="5"/>
  <c r="AG28" i="5"/>
  <c r="CI78" i="4"/>
  <c r="CH76" i="4"/>
  <c r="CK94" i="4"/>
  <c r="CK70" i="4"/>
  <c r="CF131" i="4"/>
  <c r="BL32" i="5"/>
  <c r="CC47" i="5"/>
  <c r="CM42" i="5"/>
  <c r="M24" i="5"/>
  <c r="BL9" i="5"/>
  <c r="AG13" i="5"/>
  <c r="AA122" i="5"/>
  <c r="N114" i="5"/>
  <c r="BF100" i="5"/>
  <c r="AC12" i="5"/>
  <c r="CJ7" i="5"/>
  <c r="AP9" i="5"/>
  <c r="CE156" i="4"/>
  <c r="BZ91" i="4"/>
  <c r="AB99" i="5"/>
  <c r="BF6" i="5"/>
  <c r="BF26" i="5"/>
  <c r="BB5" i="5"/>
  <c r="AL20" i="5"/>
  <c r="K14" i="5"/>
  <c r="CF121" i="4"/>
  <c r="AP110" i="5"/>
  <c r="X108" i="5"/>
  <c r="BO24" i="5"/>
  <c r="CN149" i="4"/>
  <c r="CP130" i="4"/>
  <c r="CO20" i="4"/>
  <c r="CK35" i="4"/>
  <c r="CN6" i="5"/>
  <c r="CA99" i="4"/>
  <c r="CA166" i="4"/>
  <c r="BX25" i="4"/>
  <c r="BK65" i="4"/>
  <c r="AR135" i="4"/>
  <c r="AH10" i="5"/>
  <c r="BY84" i="4"/>
  <c r="S111" i="5"/>
  <c r="L134" i="5"/>
  <c r="AP107" i="5"/>
  <c r="CC139" i="4"/>
  <c r="BN26" i="5"/>
  <c r="CO90" i="4"/>
  <c r="AL112" i="5"/>
  <c r="BY30" i="4"/>
  <c r="BL33" i="5"/>
  <c r="AG107" i="5"/>
  <c r="V15" i="5"/>
  <c r="BZ97" i="5"/>
  <c r="AL106" i="5"/>
  <c r="BF17" i="5"/>
  <c r="BO111" i="4"/>
  <c r="AF122" i="5"/>
  <c r="BF108" i="5"/>
  <c r="U114" i="5"/>
  <c r="CI151" i="4"/>
  <c r="CI66" i="4"/>
  <c r="M108" i="5"/>
  <c r="BI37" i="5"/>
  <c r="P24" i="5"/>
  <c r="BP26" i="5"/>
  <c r="CP148" i="4"/>
  <c r="CN137" i="4"/>
  <c r="CP158" i="4"/>
  <c r="CN30" i="4"/>
  <c r="CJ73" i="4"/>
  <c r="AY44" i="5"/>
  <c r="BO27" i="5"/>
  <c r="AQ32" i="5"/>
  <c r="CN13" i="4"/>
  <c r="CM140" i="4"/>
  <c r="CP164" i="4"/>
  <c r="CN146" i="4"/>
  <c r="W103" i="5"/>
  <c r="CJ12" i="5"/>
  <c r="BF101" i="5"/>
  <c r="AL4" i="5"/>
  <c r="BE11" i="5"/>
  <c r="Q19" i="5"/>
  <c r="CF144" i="4"/>
  <c r="S114" i="5"/>
  <c r="BZ122" i="4"/>
  <c r="CE50" i="4"/>
  <c r="BJ90" i="4"/>
  <c r="BZ107" i="4"/>
  <c r="BG75" i="4"/>
  <c r="BN31" i="5"/>
  <c r="CK49" i="4"/>
  <c r="CD5" i="4"/>
  <c r="BK158" i="4"/>
  <c r="BX97" i="4"/>
  <c r="BF38" i="4"/>
  <c r="Q16" i="5"/>
  <c r="CJ149" i="4"/>
  <c r="CF58" i="4"/>
  <c r="BF93" i="4"/>
  <c r="BQ137" i="4"/>
  <c r="AP145" i="4"/>
  <c r="CO167" i="4"/>
  <c r="CE14" i="4"/>
  <c r="CH50" i="4"/>
  <c r="R27" i="5"/>
  <c r="BY122" i="5"/>
  <c r="P111" i="5"/>
  <c r="CD9" i="4"/>
  <c r="BZ10" i="5"/>
  <c r="AJ13" i="5"/>
  <c r="CO132" i="4"/>
  <c r="CA147" i="4"/>
  <c r="N32" i="5"/>
  <c r="CM102" i="5"/>
  <c r="CO26" i="5"/>
  <c r="AM97" i="5"/>
  <c r="N8" i="5"/>
  <c r="CE71" i="4"/>
  <c r="CA64" i="4"/>
  <c r="AO47" i="5"/>
  <c r="BO17" i="5"/>
  <c r="CP7" i="5"/>
  <c r="CO60" i="4"/>
  <c r="CO104" i="4"/>
  <c r="CM30" i="4"/>
  <c r="K107" i="5"/>
  <c r="AJ109" i="5"/>
  <c r="BF18" i="5"/>
  <c r="AA17" i="5"/>
  <c r="X102" i="5"/>
  <c r="AO103" i="5"/>
  <c r="CA125" i="4"/>
  <c r="BQ111" i="4"/>
  <c r="U5" i="5"/>
  <c r="U27" i="5"/>
  <c r="BF5" i="5"/>
  <c r="M99" i="5"/>
  <c r="BJ23" i="5"/>
  <c r="CD118" i="5"/>
  <c r="BZ98" i="4"/>
  <c r="CM20" i="5"/>
  <c r="BQ26" i="5"/>
  <c r="CO91" i="4"/>
  <c r="CK81" i="4"/>
  <c r="CK72" i="4"/>
  <c r="CH93" i="4"/>
  <c r="CE165" i="4"/>
  <c r="M12" i="5"/>
  <c r="CI167" i="4"/>
  <c r="BO110" i="4"/>
  <c r="CI54" i="4"/>
  <c r="CA129" i="4"/>
  <c r="BK84" i="4"/>
  <c r="BI31" i="5"/>
  <c r="CH18" i="4"/>
  <c r="BL132" i="4"/>
  <c r="CD38" i="5"/>
  <c r="U7" i="5"/>
  <c r="BJ14" i="5"/>
  <c r="CA17" i="4"/>
  <c r="AY106" i="5"/>
  <c r="CM38" i="4"/>
  <c r="L22" i="5"/>
  <c r="CF161" i="4"/>
  <c r="AO43" i="5"/>
  <c r="AZ22" i="5"/>
  <c r="CE113" i="5"/>
  <c r="R17" i="5"/>
  <c r="R105" i="5"/>
  <c r="CH167" i="4"/>
  <c r="CC124" i="4"/>
  <c r="CP103" i="5"/>
  <c r="AM31" i="5"/>
  <c r="BE124" i="5"/>
  <c r="AC100" i="5"/>
  <c r="AA98" i="5"/>
  <c r="CD14" i="5"/>
  <c r="AF107" i="5"/>
  <c r="CE20" i="5"/>
  <c r="AH9" i="5"/>
  <c r="BD30" i="5"/>
  <c r="BA107" i="5"/>
  <c r="Z102" i="5"/>
  <c r="CE69" i="4"/>
  <c r="BX167" i="4"/>
  <c r="BI22" i="5"/>
  <c r="BA122" i="5"/>
  <c r="CJ10" i="5"/>
  <c r="BP24" i="5"/>
  <c r="BY28" i="5"/>
  <c r="BZ11" i="5"/>
  <c r="CD43" i="4"/>
  <c r="R34" i="5"/>
  <c r="AO25" i="5"/>
  <c r="BJ98" i="5"/>
  <c r="CM15" i="4"/>
  <c r="CN119" i="4"/>
  <c r="CP161" i="4"/>
  <c r="CI10" i="4"/>
  <c r="CM148" i="4"/>
  <c r="CA48" i="4"/>
  <c r="BP11" i="4"/>
  <c r="BN96" i="4"/>
  <c r="CK99" i="4"/>
  <c r="BX92" i="4"/>
  <c r="CD8" i="5"/>
  <c r="BN39" i="4"/>
  <c r="BQ72" i="4"/>
  <c r="BP26" i="4"/>
  <c r="CF89" i="4"/>
  <c r="BP8" i="4"/>
  <c r="CN116" i="4"/>
  <c r="CI33" i="4"/>
  <c r="BO121" i="4"/>
  <c r="BN83" i="4"/>
  <c r="CE38" i="4"/>
  <c r="BI109" i="4"/>
  <c r="BG7" i="5"/>
  <c r="CH126" i="4"/>
  <c r="BO80" i="4"/>
  <c r="BG4" i="4"/>
  <c r="BA139" i="4"/>
  <c r="CD120" i="4"/>
  <c r="CK118" i="4"/>
  <c r="AY21" i="4"/>
  <c r="CE114" i="4"/>
  <c r="BJ142" i="4"/>
  <c r="CE62" i="4"/>
  <c r="BG130" i="4"/>
  <c r="L11" i="5"/>
  <c r="CA57" i="4"/>
  <c r="CE124" i="4"/>
  <c r="BJ71" i="4"/>
  <c r="CA142" i="4"/>
  <c r="BE38" i="4"/>
  <c r="CM143" i="4"/>
  <c r="CJ128" i="4"/>
  <c r="BL99" i="4"/>
  <c r="CH156" i="4"/>
  <c r="BZ13" i="4"/>
  <c r="AH18" i="5"/>
  <c r="BX36" i="4"/>
  <c r="CH146" i="4"/>
  <c r="BK20" i="4"/>
  <c r="CA22" i="4"/>
  <c r="AY98" i="5"/>
  <c r="CH7" i="4"/>
  <c r="BQ129" i="4"/>
  <c r="AQ54" i="4"/>
  <c r="CD104" i="4"/>
  <c r="BI126" i="4"/>
  <c r="CC87" i="4"/>
  <c r="AQ103" i="4"/>
  <c r="BQ130" i="4"/>
  <c r="AQ140" i="4"/>
  <c r="BI5" i="4"/>
  <c r="AY162" i="4"/>
  <c r="BY18" i="4"/>
  <c r="BA30" i="4"/>
  <c r="BL166" i="4"/>
  <c r="AY95" i="4"/>
  <c r="BZ168" i="4"/>
  <c r="AR134" i="4"/>
  <c r="AZ132" i="4"/>
  <c r="BG70" i="4"/>
  <c r="AZ82" i="4"/>
  <c r="AF39" i="4"/>
  <c r="BG59" i="4"/>
  <c r="BO99" i="4"/>
  <c r="BO139" i="4"/>
  <c r="AY38" i="4"/>
  <c r="BE31" i="4"/>
  <c r="BN70" i="4"/>
  <c r="BN151" i="4"/>
  <c r="AR25" i="4"/>
  <c r="BJ43" i="4"/>
  <c r="AR96" i="4"/>
  <c r="AP64" i="4"/>
  <c r="AM43" i="4"/>
  <c r="AL30" i="4"/>
  <c r="AE81" i="4"/>
  <c r="P110" i="4"/>
  <c r="U132" i="4"/>
  <c r="V69" i="4"/>
  <c r="BO154" i="4"/>
  <c r="BK125" i="4"/>
  <c r="CI154" i="4"/>
  <c r="CJ5" i="4"/>
  <c r="BI13" i="4"/>
  <c r="CJ27" i="4"/>
  <c r="BE117" i="4"/>
  <c r="BO43" i="4"/>
  <c r="BA102" i="4"/>
  <c r="AC6" i="5"/>
  <c r="CD25" i="4"/>
  <c r="CE92" i="4"/>
  <c r="CH141" i="4"/>
  <c r="BP48" i="4"/>
  <c r="BA21" i="4"/>
  <c r="CJ53" i="4"/>
  <c r="CC6" i="4"/>
  <c r="BK106" i="4"/>
  <c r="BO157" i="4"/>
  <c r="BQ50" i="4"/>
  <c r="CN43" i="4"/>
  <c r="CD35" i="4"/>
  <c r="CH38" i="4"/>
  <c r="CM97" i="4"/>
  <c r="BQ168" i="4"/>
  <c r="AM15" i="5"/>
  <c r="BX78" i="4"/>
  <c r="BZ148" i="4"/>
  <c r="AQ78" i="4"/>
  <c r="BG106" i="4"/>
  <c r="AO121" i="4"/>
  <c r="BK119" i="4"/>
  <c r="CF45" i="4"/>
  <c r="BD50" i="4"/>
  <c r="AO94" i="4"/>
  <c r="BN92" i="4"/>
  <c r="CK7" i="4"/>
  <c r="BE129" i="4"/>
  <c r="AR23" i="4"/>
  <c r="BP104" i="4"/>
  <c r="CJ47" i="4"/>
  <c r="BG53" i="4"/>
  <c r="AR128" i="4"/>
  <c r="BG8" i="4"/>
  <c r="BZ153" i="4"/>
  <c r="CA111" i="4"/>
  <c r="BB5" i="4"/>
  <c r="CD100" i="4"/>
  <c r="BF115" i="4"/>
  <c r="BG34" i="4"/>
  <c r="AK138" i="4"/>
  <c r="CF24" i="4"/>
  <c r="BG19" i="4"/>
  <c r="BG24" i="4"/>
  <c r="CH136" i="4"/>
  <c r="BD130" i="4"/>
  <c r="AZ69" i="4"/>
  <c r="AY67" i="4"/>
  <c r="AK114" i="4"/>
  <c r="AG67" i="4"/>
  <c r="AO54" i="4"/>
  <c r="AE153" i="4"/>
  <c r="R59" i="4"/>
  <c r="CA46" i="4"/>
  <c r="BI97" i="4"/>
  <c r="CC52" i="4"/>
  <c r="BJ75" i="4"/>
  <c r="BF81" i="4"/>
  <c r="CA143" i="4"/>
  <c r="BQ123" i="4"/>
  <c r="BD75" i="4"/>
  <c r="BJ121" i="4"/>
  <c r="P115" i="5"/>
  <c r="CD19" i="4"/>
  <c r="CK55" i="4"/>
  <c r="BJ107" i="4"/>
  <c r="CH13" i="4"/>
  <c r="BF7" i="4"/>
  <c r="L6" i="5"/>
  <c r="BQ113" i="4"/>
  <c r="BO162" i="4"/>
  <c r="BN47" i="4"/>
  <c r="CI27" i="4"/>
  <c r="AQ23" i="5"/>
  <c r="CD50" i="4"/>
  <c r="CK91" i="4"/>
  <c r="BO57" i="4"/>
  <c r="BE33" i="4"/>
  <c r="BK155" i="4"/>
  <c r="BX96" i="4"/>
  <c r="BZ157" i="4"/>
  <c r="BF142" i="4"/>
  <c r="BB59" i="4"/>
  <c r="AY107" i="4"/>
  <c r="CJ118" i="4"/>
  <c r="BE60" i="4"/>
  <c r="AZ159" i="4"/>
  <c r="AY59" i="4"/>
  <c r="BY20" i="4"/>
  <c r="BG141" i="4"/>
  <c r="AZ71" i="4"/>
  <c r="BA129" i="4"/>
  <c r="BQ66" i="4"/>
  <c r="BE130" i="4"/>
  <c r="BA53" i="4"/>
  <c r="AZ106" i="4"/>
  <c r="BO125" i="4"/>
  <c r="BL11" i="4"/>
  <c r="BA25" i="4"/>
  <c r="AJ23" i="4"/>
  <c r="BP36" i="4"/>
  <c r="BG39" i="4"/>
  <c r="AZ155" i="4"/>
  <c r="AE94" i="4"/>
  <c r="BO47" i="4"/>
  <c r="BD72" i="4"/>
  <c r="BA154" i="4"/>
  <c r="AE140" i="4"/>
  <c r="BN103" i="4"/>
  <c r="BD35" i="4"/>
  <c r="BE144" i="4"/>
  <c r="AM137" i="4"/>
  <c r="AP52" i="4"/>
  <c r="AL121" i="4"/>
  <c r="V145" i="4"/>
  <c r="AC38" i="4"/>
  <c r="CO21" i="4"/>
  <c r="CA72" i="4"/>
  <c r="CP48" i="4"/>
  <c r="V78" i="5"/>
  <c r="CA118" i="5"/>
  <c r="BY125" i="4"/>
  <c r="BZ117" i="4"/>
  <c r="AO110" i="5"/>
  <c r="CO8" i="5"/>
  <c r="CD34" i="5"/>
  <c r="X15" i="5"/>
  <c r="BI25" i="5"/>
  <c r="AJ102" i="5"/>
  <c r="CK21" i="5"/>
  <c r="BK100" i="5"/>
  <c r="CM69" i="4"/>
  <c r="CJ14" i="4"/>
  <c r="CC75" i="4"/>
  <c r="CH26" i="5"/>
  <c r="AO117" i="5"/>
  <c r="CP105" i="4"/>
  <c r="CN109" i="4"/>
  <c r="BZ103" i="5"/>
  <c r="CN139" i="4"/>
  <c r="CJ69" i="4"/>
  <c r="AE116" i="5"/>
  <c r="CA18" i="5"/>
  <c r="AF100" i="5"/>
  <c r="N118" i="5"/>
  <c r="BK106" i="5"/>
  <c r="CI113" i="4"/>
  <c r="R117" i="5"/>
  <c r="CK10" i="5"/>
  <c r="BG108" i="5"/>
  <c r="CO136" i="4"/>
  <c r="CN166" i="4"/>
  <c r="CA168" i="4"/>
  <c r="BL40" i="4"/>
  <c r="BJ109" i="5"/>
  <c r="BI73" i="4"/>
  <c r="AQ8" i="5"/>
  <c r="S99" i="5"/>
  <c r="V38" i="5"/>
  <c r="CH45" i="4"/>
  <c r="CK131" i="4"/>
  <c r="CD39" i="4"/>
  <c r="P32" i="5"/>
  <c r="AR7" i="5"/>
  <c r="BE99" i="5"/>
  <c r="P102" i="5"/>
  <c r="CN49" i="4"/>
  <c r="BZ99" i="5"/>
  <c r="CM30" i="5"/>
  <c r="CE72" i="4"/>
  <c r="CC79" i="4"/>
  <c r="AJ27" i="5"/>
  <c r="AO6" i="5"/>
  <c r="AB23" i="5"/>
  <c r="BQ6" i="5"/>
  <c r="AP104" i="5"/>
  <c r="CI4" i="5"/>
  <c r="CD145" i="4"/>
  <c r="CD111" i="5"/>
  <c r="P109" i="5"/>
  <c r="BL100" i="5"/>
  <c r="CO139" i="4"/>
  <c r="CM150" i="4"/>
  <c r="CP119" i="4"/>
  <c r="CJ123" i="4"/>
  <c r="CP64" i="4"/>
  <c r="BY74" i="4"/>
  <c r="BZ165" i="4"/>
  <c r="BY55" i="4"/>
  <c r="BI110" i="4"/>
  <c r="AZ32" i="4"/>
  <c r="BP99" i="5"/>
  <c r="BY139" i="4"/>
  <c r="BO82" i="4"/>
  <c r="BY137" i="4"/>
  <c r="BL79" i="4"/>
  <c r="CI120" i="4"/>
  <c r="CN34" i="4"/>
  <c r="BZ20" i="4"/>
  <c r="BP97" i="4"/>
  <c r="BO117" i="4"/>
  <c r="CI80" i="4"/>
  <c r="BY132" i="4"/>
  <c r="X13" i="5"/>
  <c r="BO105" i="4"/>
  <c r="BN167" i="4"/>
  <c r="CM111" i="5"/>
  <c r="Q39" i="5"/>
  <c r="CO36" i="4"/>
  <c r="CF32" i="4"/>
  <c r="BA4" i="5"/>
  <c r="R10" i="5"/>
  <c r="AK109" i="5"/>
  <c r="BX166" i="4"/>
  <c r="BX101" i="5"/>
  <c r="U107" i="5"/>
  <c r="BX13" i="5"/>
  <c r="AJ10" i="5"/>
  <c r="CE108" i="5"/>
  <c r="CD85" i="4"/>
  <c r="BX103" i="4"/>
  <c r="BO98" i="5"/>
  <c r="AY18" i="5"/>
  <c r="AG8" i="5"/>
  <c r="CM106" i="4"/>
  <c r="CO29" i="4"/>
  <c r="CN168" i="4"/>
  <c r="AL36" i="5"/>
  <c r="CN37" i="5"/>
  <c r="U28" i="5"/>
  <c r="AA25" i="5"/>
  <c r="CN14" i="5"/>
  <c r="CD10" i="5"/>
  <c r="CD98" i="4"/>
  <c r="CA30" i="4"/>
  <c r="AF124" i="5"/>
  <c r="X35" i="5"/>
  <c r="CE16" i="5"/>
  <c r="CN99" i="5"/>
  <c r="AG4" i="5"/>
  <c r="CJ98" i="5"/>
  <c r="BZ51" i="4"/>
  <c r="BL36" i="5"/>
  <c r="Z31" i="5"/>
  <c r="CM24" i="4"/>
  <c r="CN128" i="4"/>
  <c r="CJ18" i="4"/>
  <c r="CK25" i="4"/>
  <c r="CE87" i="4"/>
  <c r="AZ105" i="5"/>
  <c r="CH106" i="4"/>
  <c r="BQ52" i="4"/>
  <c r="BQ60" i="4"/>
  <c r="CA112" i="4"/>
  <c r="BL147" i="4"/>
  <c r="V4" i="5"/>
  <c r="CK78" i="4"/>
  <c r="CF41" i="5"/>
  <c r="BX112" i="5"/>
  <c r="AH24" i="5"/>
  <c r="CK137" i="4"/>
  <c r="BL102" i="5"/>
  <c r="X11" i="5"/>
  <c r="CJ12" i="4"/>
  <c r="CM87" i="4"/>
  <c r="CM37" i="5"/>
  <c r="BO6" i="5"/>
  <c r="CN126" i="4"/>
  <c r="CP114" i="4"/>
  <c r="CN98" i="4"/>
  <c r="CM168" i="4"/>
  <c r="CJ156" i="4"/>
  <c r="AL117" i="5"/>
  <c r="AB42" i="5"/>
  <c r="V26" i="5"/>
  <c r="CC97" i="5"/>
  <c r="CM101" i="5"/>
  <c r="AY13" i="5"/>
  <c r="CC39" i="5"/>
  <c r="CM110" i="5"/>
  <c r="BG103" i="5"/>
  <c r="CN130" i="4"/>
  <c r="CK71" i="4"/>
  <c r="CJ154" i="4"/>
  <c r="CH163" i="4"/>
  <c r="CD11" i="4"/>
  <c r="BO116" i="5"/>
  <c r="BJ18" i="5"/>
  <c r="Z112" i="5"/>
  <c r="CI145" i="4"/>
  <c r="BG16" i="5"/>
  <c r="BN4" i="5"/>
  <c r="CJ153" i="4"/>
  <c r="BX111" i="5"/>
  <c r="CE23" i="5"/>
  <c r="BI13" i="5"/>
  <c r="BB98" i="5"/>
  <c r="AQ18" i="5"/>
  <c r="BE4" i="5"/>
  <c r="CC37" i="4"/>
  <c r="CH4" i="5"/>
  <c r="CE7" i="4"/>
  <c r="CI96" i="4"/>
  <c r="CJ6" i="4"/>
  <c r="BN145" i="4"/>
  <c r="AP106" i="4"/>
  <c r="CM131" i="4"/>
  <c r="CE35" i="4"/>
  <c r="CE61" i="4"/>
  <c r="CC64" i="4"/>
  <c r="BP140" i="4"/>
  <c r="AQ28" i="4"/>
  <c r="BO10" i="5"/>
  <c r="BX75" i="4"/>
  <c r="BZ71" i="4"/>
  <c r="BY11" i="4"/>
  <c r="BL122" i="4"/>
  <c r="AZ6" i="4"/>
  <c r="CM40" i="4"/>
  <c r="BY65" i="4"/>
  <c r="BX72" i="4"/>
  <c r="CP45" i="5"/>
  <c r="BO133" i="5"/>
  <c r="U14" i="5"/>
  <c r="CH25" i="5"/>
  <c r="Q23" i="5"/>
  <c r="CN41" i="4"/>
  <c r="CI93" i="4"/>
  <c r="CJ57" i="4"/>
  <c r="AB122" i="5"/>
  <c r="BL16" i="5"/>
  <c r="L102" i="5"/>
  <c r="R25" i="5"/>
  <c r="AO113" i="5"/>
  <c r="CA131" i="4"/>
  <c r="BQ8" i="4"/>
  <c r="BY41" i="5"/>
  <c r="CH18" i="5"/>
  <c r="CO30" i="4"/>
  <c r="CH7" i="5"/>
  <c r="CJ15" i="5"/>
  <c r="R5" i="5"/>
  <c r="CC115" i="5"/>
  <c r="AJ100" i="5"/>
  <c r="BG111" i="5"/>
  <c r="CN62" i="4"/>
  <c r="CM67" i="4"/>
  <c r="CN16" i="4"/>
  <c r="CK112" i="4"/>
  <c r="CI102" i="4"/>
  <c r="CJ34" i="5"/>
  <c r="K25" i="5"/>
  <c r="AZ23" i="5"/>
  <c r="CO19" i="4"/>
  <c r="CM114" i="4"/>
  <c r="CM43" i="4"/>
  <c r="CI72" i="4"/>
  <c r="S23" i="5"/>
  <c r="AA121" i="5"/>
  <c r="BL103" i="5"/>
  <c r="BK23" i="5"/>
  <c r="AQ21" i="5"/>
  <c r="CE14" i="5"/>
  <c r="BZ61" i="4"/>
  <c r="BZ9" i="5"/>
  <c r="CF76" i="4"/>
  <c r="BK4" i="4"/>
  <c r="BX141" i="4"/>
  <c r="BP59" i="4"/>
  <c r="BE61" i="4"/>
  <c r="CI129" i="4"/>
  <c r="CE119" i="4"/>
  <c r="BI79" i="4"/>
  <c r="BY102" i="5"/>
  <c r="BN109" i="5"/>
  <c r="AZ101" i="5"/>
  <c r="CF15" i="4"/>
  <c r="V103" i="5"/>
  <c r="AP12" i="5"/>
  <c r="CN94" i="4"/>
  <c r="BY162" i="4"/>
  <c r="CA17" i="5"/>
  <c r="BB36" i="5"/>
  <c r="CO10" i="5"/>
  <c r="L17" i="5"/>
  <c r="AF108" i="5"/>
  <c r="CC53" i="4"/>
  <c r="BY95" i="4"/>
  <c r="AZ106" i="5"/>
  <c r="AZ38" i="5"/>
  <c r="CN138" i="4"/>
  <c r="CM160" i="4"/>
  <c r="CP78" i="4"/>
  <c r="CN107" i="4"/>
  <c r="CP14" i="5"/>
  <c r="BO123" i="5"/>
  <c r="BE5" i="5"/>
  <c r="V99" i="5"/>
  <c r="R6" i="5"/>
  <c r="BB11" i="5"/>
  <c r="BX89" i="4"/>
  <c r="BN127" i="4"/>
  <c r="AB38" i="5"/>
  <c r="W123" i="5"/>
  <c r="AM103" i="5"/>
  <c r="BA9" i="5"/>
  <c r="BO15" i="5"/>
  <c r="CJ27" i="5"/>
  <c r="BX109" i="4"/>
  <c r="AK18" i="5"/>
  <c r="AJ29" i="5"/>
  <c r="CO40" i="4"/>
  <c r="CF104" i="5"/>
  <c r="K12" i="5"/>
  <c r="AK13" i="5"/>
  <c r="CC120" i="4"/>
  <c r="CO47" i="4"/>
  <c r="CH77" i="4"/>
  <c r="BL50" i="4"/>
  <c r="CH89" i="4"/>
  <c r="BX121" i="4"/>
  <c r="BD14" i="4"/>
  <c r="CI6" i="5"/>
  <c r="CJ70" i="4"/>
  <c r="BJ136" i="4"/>
  <c r="CD125" i="4"/>
  <c r="BN120" i="4"/>
  <c r="BD109" i="4"/>
  <c r="CM126" i="4"/>
  <c r="CD138" i="4"/>
  <c r="BI44" i="4"/>
  <c r="BX26" i="4"/>
  <c r="BQ86" i="4"/>
  <c r="BE25" i="4"/>
  <c r="L12" i="5"/>
  <c r="CE98" i="4"/>
  <c r="BJ109" i="4"/>
  <c r="BP148" i="4"/>
  <c r="BL82" i="4"/>
  <c r="CI8" i="4"/>
  <c r="BQ138" i="4"/>
  <c r="BI147" i="4"/>
  <c r="CI142" i="4"/>
  <c r="BF91" i="4"/>
  <c r="BN91" i="4"/>
  <c r="AY123" i="4"/>
  <c r="Z32" i="5"/>
  <c r="CF50" i="4"/>
  <c r="CK111" i="4"/>
  <c r="CH11" i="4"/>
  <c r="BO75" i="4"/>
  <c r="AY155" i="4"/>
  <c r="CP68" i="4"/>
  <c r="CF118" i="4"/>
  <c r="BK133" i="4"/>
  <c r="BY5" i="4"/>
  <c r="BO94" i="4"/>
  <c r="CH33" i="5"/>
  <c r="CH37" i="4"/>
  <c r="CE151" i="4"/>
  <c r="BE56" i="4"/>
  <c r="BO20" i="4"/>
  <c r="AJ113" i="5"/>
  <c r="BZ127" i="4"/>
  <c r="BP152" i="4"/>
  <c r="BB54" i="4"/>
  <c r="BJ133" i="4"/>
  <c r="BB28" i="4"/>
  <c r="BO71" i="4"/>
  <c r="CK17" i="4"/>
  <c r="BF126" i="4"/>
  <c r="AP42" i="4"/>
  <c r="CA98" i="4"/>
  <c r="AR26" i="4"/>
  <c r="BG40" i="4"/>
  <c r="AY97" i="4"/>
  <c r="BQ77" i="4"/>
  <c r="AR131" i="4"/>
  <c r="BG61" i="4"/>
  <c r="AP144" i="4"/>
  <c r="BG74" i="4"/>
  <c r="CJ166" i="4"/>
  <c r="CC140" i="4"/>
  <c r="BD120" i="4"/>
  <c r="AP6" i="4"/>
  <c r="BF100" i="4"/>
  <c r="BD69" i="4"/>
  <c r="AR43" i="4"/>
  <c r="AQ58" i="4"/>
  <c r="BF118" i="4"/>
  <c r="BD58" i="4"/>
  <c r="AO11" i="4"/>
  <c r="BE158" i="4"/>
  <c r="AP48" i="4"/>
  <c r="AR19" i="4"/>
  <c r="AQ37" i="4"/>
  <c r="AG10" i="4"/>
  <c r="BA115" i="4"/>
  <c r="AG102" i="4"/>
  <c r="U70" i="4"/>
  <c r="U80" i="4"/>
  <c r="BN42" i="4"/>
  <c r="BB110" i="4"/>
  <c r="BX133" i="4"/>
  <c r="BP95" i="4"/>
  <c r="AY110" i="4"/>
  <c r="BY52" i="4"/>
  <c r="CA109" i="4"/>
  <c r="BL8" i="4"/>
  <c r="BA150" i="4"/>
  <c r="BE24" i="5"/>
  <c r="BX154" i="4"/>
  <c r="BN110" i="4"/>
  <c r="BQ75" i="4"/>
  <c r="BI61" i="4"/>
  <c r="CJ54" i="4"/>
  <c r="CD70" i="4"/>
  <c r="BX138" i="4"/>
  <c r="CF135" i="4"/>
  <c r="BP57" i="4"/>
  <c r="BK24" i="4"/>
  <c r="CJ141" i="4"/>
  <c r="CA8" i="4"/>
  <c r="BY13" i="4"/>
  <c r="CA104" i="4"/>
  <c r="BJ166" i="4"/>
  <c r="BA98" i="5"/>
  <c r="CH105" i="4"/>
  <c r="BP93" i="4"/>
  <c r="BJ37" i="4"/>
  <c r="BD66" i="4"/>
  <c r="AK100" i="4"/>
  <c r="CC165" i="4"/>
  <c r="BI96" i="4"/>
  <c r="AP28" i="4"/>
  <c r="AL71" i="4"/>
  <c r="BJ140" i="4"/>
  <c r="BL91" i="4"/>
  <c r="BB12" i="4"/>
  <c r="AL87" i="4"/>
  <c r="BI60" i="4"/>
  <c r="BJ123" i="4"/>
  <c r="AY129" i="4"/>
  <c r="AL69" i="4"/>
  <c r="AY96" i="4"/>
  <c r="BF163" i="4"/>
  <c r="BE98" i="4"/>
  <c r="AR84" i="4"/>
  <c r="BJ27" i="4"/>
  <c r="AY13" i="4"/>
  <c r="AQ133" i="4"/>
  <c r="AL145" i="4"/>
  <c r="BK114" i="4"/>
  <c r="AY166" i="4"/>
  <c r="AP162" i="4"/>
  <c r="BP89" i="4"/>
  <c r="AR62" i="4"/>
  <c r="BL146" i="4"/>
  <c r="AY65" i="4"/>
  <c r="BO19" i="4"/>
  <c r="AP165" i="4"/>
  <c r="AJ56" i="4"/>
  <c r="AC60" i="4"/>
  <c r="AB73" i="4"/>
  <c r="CE118" i="4"/>
  <c r="BA73" i="4"/>
  <c r="CE137" i="4"/>
  <c r="CE78" i="4"/>
  <c r="AY34" i="4"/>
  <c r="CA54" i="4"/>
  <c r="BI149" i="4"/>
  <c r="CA52" i="4"/>
  <c r="BD119" i="4"/>
  <c r="Z97" i="5"/>
  <c r="CN99" i="4"/>
  <c r="CD44" i="4"/>
  <c r="BK88" i="4"/>
  <c r="CA62" i="4"/>
  <c r="BG17" i="4"/>
  <c r="AG100" i="5"/>
  <c r="CJ13" i="4"/>
  <c r="BI135" i="4"/>
  <c r="CC23" i="4"/>
  <c r="BP83" i="4"/>
  <c r="CO124" i="5"/>
  <c r="BX164" i="4"/>
  <c r="CE113" i="4"/>
  <c r="BK74" i="4"/>
  <c r="BZ27" i="4"/>
  <c r="U25" i="5"/>
  <c r="CC133" i="4"/>
  <c r="CK160" i="4"/>
  <c r="AR42" i="4"/>
  <c r="BP19" i="4"/>
  <c r="AY125" i="4"/>
  <c r="BQ24" i="4"/>
  <c r="BB10" i="4"/>
  <c r="BL72" i="4"/>
  <c r="AP132" i="4"/>
  <c r="BQ25" i="4"/>
  <c r="AY94" i="4"/>
  <c r="BP77" i="4"/>
  <c r="AZ126" i="4"/>
  <c r="BN49" i="4"/>
  <c r="AY52" i="4"/>
  <c r="BP92" i="4"/>
  <c r="BA9" i="4"/>
  <c r="BA141" i="4"/>
  <c r="BD67" i="4"/>
  <c r="AZ95" i="4"/>
  <c r="AH105" i="4"/>
  <c r="BB130" i="4"/>
  <c r="BQ14" i="4"/>
  <c r="BO26" i="4"/>
  <c r="AO149" i="4"/>
  <c r="BB78" i="4"/>
  <c r="BN15" i="4"/>
  <c r="BJ78" i="4"/>
  <c r="AO53" i="4"/>
  <c r="BD144" i="4"/>
  <c r="AQ8" i="4"/>
  <c r="AR130" i="4"/>
  <c r="AF112" i="4"/>
  <c r="AK165" i="4"/>
  <c r="AH48" i="4"/>
  <c r="S144" i="4"/>
  <c r="X74" i="4"/>
  <c r="BP145" i="4"/>
  <c r="BL109" i="4"/>
  <c r="CF130" i="4"/>
  <c r="CI37" i="5"/>
  <c r="R12" i="5"/>
  <c r="CA103" i="5"/>
  <c r="Z9" i="5"/>
  <c r="CC108" i="5"/>
  <c r="BX148" i="4"/>
  <c r="L131" i="5"/>
  <c r="U134" i="5"/>
  <c r="AH36" i="5"/>
  <c r="CH31" i="4"/>
  <c r="BG26" i="5"/>
  <c r="CO149" i="4"/>
  <c r="CJ137" i="4"/>
  <c r="BD20" i="5"/>
  <c r="BO68" i="4"/>
  <c r="AH8" i="5"/>
  <c r="P8" i="5"/>
  <c r="CP91" i="4"/>
  <c r="CN82" i="4"/>
  <c r="CE116" i="4"/>
  <c r="CE112" i="4"/>
  <c r="CI49" i="4"/>
  <c r="BZ41" i="5"/>
  <c r="CO109" i="4"/>
  <c r="BQ102" i="5"/>
  <c r="AZ18" i="5"/>
  <c r="CD13" i="5"/>
  <c r="CC131" i="4"/>
  <c r="AG16" i="5"/>
  <c r="CI101" i="5"/>
  <c r="AM107" i="5"/>
  <c r="BF106" i="5"/>
  <c r="CM159" i="4"/>
  <c r="BX132" i="4"/>
  <c r="CD31" i="4"/>
  <c r="CF9" i="4"/>
  <c r="AM132" i="5"/>
  <c r="CJ79" i="4"/>
  <c r="BP4" i="5"/>
  <c r="BI120" i="5"/>
  <c r="CJ5" i="5"/>
  <c r="CH15" i="5"/>
  <c r="U35" i="5"/>
  <c r="K28" i="5"/>
  <c r="CP121" i="4"/>
  <c r="CN86" i="4"/>
  <c r="BX19" i="5"/>
  <c r="AB106" i="5"/>
  <c r="AF15" i="5"/>
  <c r="BJ9" i="5"/>
  <c r="CC5" i="4"/>
  <c r="BX16" i="4"/>
  <c r="V34" i="5"/>
  <c r="BI27" i="5"/>
  <c r="AL109" i="5"/>
  <c r="N13" i="5"/>
  <c r="CC14" i="5"/>
  <c r="CO13" i="5"/>
  <c r="CE30" i="4"/>
  <c r="AY110" i="5"/>
  <c r="BI125" i="5"/>
  <c r="CO68" i="4"/>
  <c r="CM27" i="4"/>
  <c r="CP66" i="4"/>
  <c r="CN12" i="4"/>
  <c r="CE68" i="4"/>
  <c r="CM109" i="4"/>
  <c r="CJ110" i="4"/>
  <c r="BN139" i="4"/>
  <c r="BP165" i="4"/>
  <c r="CF67" i="4"/>
  <c r="BL83" i="4"/>
  <c r="AQ7" i="5"/>
  <c r="CI137" i="4"/>
  <c r="BQ97" i="4"/>
  <c r="BQ119" i="4"/>
  <c r="BX50" i="4"/>
  <c r="BK16" i="4"/>
  <c r="CM79" i="4"/>
  <c r="CI82" i="4"/>
  <c r="BI89" i="4"/>
  <c r="CI143" i="4"/>
  <c r="BZ105" i="4"/>
  <c r="BG56" i="4"/>
  <c r="CJ9" i="5"/>
  <c r="CH94" i="4"/>
  <c r="BK50" i="4"/>
  <c r="K146" i="5"/>
  <c r="BB68" i="5"/>
  <c r="CM66" i="4"/>
  <c r="BY34" i="5"/>
  <c r="R97" i="5"/>
  <c r="CO58" i="4"/>
  <c r="CK20" i="4"/>
  <c r="BO151" i="4"/>
  <c r="CF34" i="5"/>
  <c r="AB102" i="5"/>
  <c r="AC14" i="5"/>
  <c r="AA9" i="5"/>
  <c r="CA101" i="5"/>
  <c r="BX40" i="4"/>
  <c r="BX98" i="4"/>
  <c r="P31" i="5"/>
  <c r="AJ21" i="5"/>
  <c r="CP38" i="4"/>
  <c r="CH35" i="4"/>
  <c r="CK92" i="4"/>
  <c r="CK59" i="4"/>
  <c r="CH99" i="5"/>
  <c r="BJ105" i="5"/>
  <c r="BE10" i="5"/>
  <c r="CO81" i="4"/>
  <c r="CN164" i="4"/>
  <c r="CP72" i="4"/>
  <c r="CH85" i="4"/>
  <c r="CK147" i="4"/>
  <c r="AA32" i="5"/>
  <c r="M113" i="5"/>
  <c r="BF13" i="5"/>
  <c r="CM100" i="4"/>
  <c r="CO74" i="4"/>
  <c r="CP19" i="4"/>
  <c r="CJ20" i="4"/>
  <c r="AH21" i="5"/>
  <c r="CO18" i="5"/>
  <c r="AQ101" i="5"/>
  <c r="BY110" i="5"/>
  <c r="AP15" i="5"/>
  <c r="M100" i="5"/>
  <c r="CC81" i="4"/>
  <c r="AH4" i="5"/>
  <c r="CC152" i="4"/>
  <c r="BL161" i="4"/>
  <c r="CA97" i="4"/>
  <c r="BP56" i="4"/>
  <c r="BE73" i="4"/>
  <c r="AB98" i="5"/>
  <c r="CD146" i="4"/>
  <c r="K119" i="5"/>
  <c r="AG40" i="5"/>
  <c r="BI20" i="5"/>
  <c r="CA66" i="4"/>
  <c r="BL29" i="5"/>
  <c r="CP93" i="4"/>
  <c r="BK16" i="5"/>
  <c r="CC102" i="4"/>
  <c r="BQ123" i="5"/>
  <c r="AM28" i="5"/>
  <c r="BX98" i="5"/>
  <c r="CC98" i="5"/>
  <c r="BP101" i="5"/>
  <c r="CK105" i="4"/>
  <c r="CE91" i="4"/>
  <c r="BJ26" i="5"/>
  <c r="Z115" i="5"/>
  <c r="BG5" i="5"/>
  <c r="R14" i="5"/>
  <c r="Q28" i="5"/>
  <c r="AC98" i="5"/>
  <c r="AZ4" i="5"/>
  <c r="CJ14" i="5"/>
  <c r="AY32" i="5"/>
  <c r="BN6" i="5"/>
  <c r="Z4" i="5"/>
  <c r="AY10" i="5"/>
  <c r="CE44" i="4"/>
  <c r="CA148" i="4"/>
  <c r="CJ32" i="5"/>
  <c r="K27" i="5"/>
  <c r="BY8" i="5"/>
  <c r="CE106" i="5"/>
  <c r="R103" i="5"/>
  <c r="BX12" i="5"/>
  <c r="CF68" i="4"/>
  <c r="AC4" i="5"/>
  <c r="AK111" i="5"/>
  <c r="BY103" i="5"/>
  <c r="CO26" i="4"/>
  <c r="CN131" i="4"/>
  <c r="CM19" i="4"/>
  <c r="CI140" i="4"/>
  <c r="CC103" i="5"/>
  <c r="BY69" i="4"/>
  <c r="BO78" i="4"/>
  <c r="BY168" i="4"/>
  <c r="BJ168" i="4"/>
  <c r="AP70" i="4"/>
  <c r="CN84" i="4"/>
  <c r="CA7" i="4"/>
  <c r="BQ114" i="4"/>
  <c r="BP122" i="4"/>
  <c r="CI106" i="4"/>
  <c r="CA90" i="4"/>
  <c r="BJ11" i="5"/>
  <c r="BQ106" i="4"/>
  <c r="BP131" i="4"/>
  <c r="BQ42" i="4"/>
  <c r="CC15" i="4"/>
  <c r="BP162" i="4"/>
  <c r="CP33" i="4"/>
  <c r="CI144" i="4"/>
  <c r="BQ22" i="4"/>
  <c r="BY42" i="5"/>
  <c r="P38" i="5"/>
  <c r="AK31" i="5"/>
  <c r="Q26" i="5"/>
  <c r="BY13" i="5"/>
  <c r="AE98" i="5"/>
  <c r="CE148" i="4"/>
  <c r="CF102" i="4"/>
  <c r="W30" i="5"/>
  <c r="BN100" i="5"/>
  <c r="CM119" i="4"/>
  <c r="CP107" i="4"/>
  <c r="CO64" i="4"/>
  <c r="CH55" i="4"/>
  <c r="CI30" i="4"/>
  <c r="S106" i="5"/>
  <c r="M129" i="5"/>
  <c r="BN98" i="5"/>
  <c r="AE6" i="5"/>
  <c r="BZ105" i="5"/>
  <c r="K9" i="5"/>
  <c r="CF106" i="5"/>
  <c r="BE118" i="5"/>
  <c r="CM92" i="4"/>
  <c r="CH103" i="4"/>
  <c r="AH14" i="5"/>
  <c r="U4" i="5"/>
  <c r="CC57" i="4"/>
  <c r="CD26" i="4"/>
  <c r="P97" i="5"/>
  <c r="BN113" i="5"/>
  <c r="CP123" i="4"/>
  <c r="AP37" i="5"/>
  <c r="AG18" i="5"/>
  <c r="CN11" i="5"/>
  <c r="CF64" i="4"/>
  <c r="AY130" i="5"/>
  <c r="M112" i="5"/>
  <c r="AZ6" i="5"/>
  <c r="BF7" i="5"/>
  <c r="AG5" i="5"/>
  <c r="AF21" i="5"/>
  <c r="BZ109" i="4"/>
  <c r="CI39" i="4"/>
  <c r="BY96" i="4"/>
  <c r="CD48" i="4"/>
  <c r="BQ56" i="4"/>
  <c r="BL13" i="4"/>
  <c r="BB45" i="4"/>
  <c r="CD66" i="4"/>
  <c r="BY67" i="4"/>
  <c r="CA29" i="4"/>
  <c r="AL55" i="5"/>
  <c r="CO41" i="5"/>
  <c r="BP102" i="5"/>
  <c r="AC37" i="5"/>
  <c r="CM135" i="4"/>
  <c r="CN158" i="4"/>
  <c r="CI36" i="4"/>
  <c r="CK155" i="4"/>
  <c r="S24" i="5"/>
  <c r="AE13" i="5"/>
  <c r="AM11" i="5"/>
  <c r="CO7" i="5"/>
  <c r="CO159" i="4"/>
  <c r="CM121" i="4"/>
  <c r="CI14" i="4"/>
  <c r="L20" i="5"/>
  <c r="P127" i="5"/>
  <c r="CO120" i="4"/>
  <c r="P10" i="5"/>
  <c r="BK99" i="5"/>
  <c r="AQ17" i="5"/>
  <c r="BF29" i="5"/>
  <c r="AY29" i="5"/>
  <c r="CO14" i="5"/>
  <c r="CO134" i="4"/>
  <c r="CN77" i="4"/>
  <c r="CM102" i="4"/>
  <c r="CK66" i="4"/>
  <c r="CH10" i="4"/>
  <c r="AH35" i="5"/>
  <c r="P100" i="5"/>
  <c r="CO131" i="4"/>
  <c r="CN10" i="4"/>
  <c r="CN56" i="4"/>
  <c r="CO160" i="4"/>
  <c r="CI23" i="4"/>
  <c r="CJ31" i="5"/>
  <c r="U115" i="5"/>
  <c r="M19" i="5"/>
  <c r="BA15" i="5"/>
  <c r="CI17" i="5"/>
  <c r="U11" i="5"/>
  <c r="BY26" i="4"/>
  <c r="CN19" i="4"/>
  <c r="CF6" i="4"/>
  <c r="BI90" i="4"/>
  <c r="CA16" i="4"/>
  <c r="BQ165" i="4"/>
  <c r="BD53" i="4"/>
  <c r="CJ60" i="4"/>
  <c r="CC11" i="4"/>
  <c r="BG28" i="4"/>
  <c r="BN75" i="4"/>
  <c r="BN152" i="4"/>
  <c r="AR37" i="4"/>
  <c r="CE15" i="4"/>
  <c r="CF34" i="4"/>
  <c r="CH63" i="4"/>
  <c r="BQ121" i="4"/>
  <c r="BK21" i="4"/>
  <c r="BA126" i="4"/>
  <c r="CI35" i="4"/>
  <c r="BZ8" i="4"/>
  <c r="CF8" i="4"/>
  <c r="BO85" i="4"/>
  <c r="BA123" i="4"/>
  <c r="CE142" i="4"/>
  <c r="BQ155" i="4"/>
  <c r="AY54" i="4"/>
  <c r="BX105" i="4"/>
  <c r="CA115" i="4"/>
  <c r="BL23" i="4"/>
  <c r="AY158" i="4"/>
  <c r="BY5" i="5"/>
  <c r="BX113" i="4"/>
  <c r="BZ72" i="4"/>
  <c r="BY47" i="4"/>
  <c r="BJ83" i="4"/>
  <c r="AZ144" i="4"/>
  <c r="CK129" i="4"/>
  <c r="CA94" i="4"/>
  <c r="CF155" i="4"/>
  <c r="BO29" i="4"/>
  <c r="BI152" i="4"/>
  <c r="CP94" i="4"/>
  <c r="BZ29" i="4"/>
  <c r="BX134" i="4"/>
  <c r="BY140" i="4"/>
  <c r="BL62" i="4"/>
  <c r="CD108" i="5"/>
  <c r="CK65" i="4"/>
  <c r="CA21" i="4"/>
  <c r="BL42" i="4"/>
  <c r="BE13" i="4"/>
  <c r="AJ66" i="4"/>
  <c r="BL165" i="4"/>
  <c r="BJ76" i="4"/>
  <c r="BB97" i="4"/>
  <c r="AL91" i="4"/>
  <c r="BQ96" i="4"/>
  <c r="BI31" i="4"/>
  <c r="BD97" i="4"/>
  <c r="AM100" i="4"/>
  <c r="BQ101" i="4"/>
  <c r="BK83" i="4"/>
  <c r="AZ40" i="4"/>
  <c r="AJ36" i="4"/>
  <c r="BA156" i="4"/>
  <c r="BL142" i="4"/>
  <c r="BJ6" i="4"/>
  <c r="AQ30" i="4"/>
  <c r="BL39" i="4"/>
  <c r="AZ11" i="4"/>
  <c r="AZ166" i="4"/>
  <c r="AK80" i="4"/>
  <c r="BL130" i="4"/>
  <c r="BA39" i="4"/>
  <c r="BA149" i="4"/>
  <c r="BY22" i="4"/>
  <c r="BA161" i="4"/>
  <c r="BN114" i="4"/>
  <c r="AZ15" i="4"/>
  <c r="AF149" i="4"/>
  <c r="AZ45" i="4"/>
  <c r="AL27" i="4"/>
  <c r="AA55" i="4"/>
  <c r="AF85" i="4"/>
  <c r="BB43" i="4"/>
  <c r="BD7" i="4"/>
  <c r="S108" i="5"/>
  <c r="CJ72" i="4"/>
  <c r="CK119" i="4"/>
  <c r="CI5" i="5"/>
  <c r="CJ21" i="4"/>
  <c r="BN163" i="4"/>
  <c r="CF66" i="4"/>
  <c r="BK56" i="4"/>
  <c r="BE18" i="5"/>
  <c r="CH153" i="4"/>
  <c r="BN73" i="4"/>
  <c r="BO130" i="4"/>
  <c r="BZ7" i="4"/>
  <c r="AK40" i="5"/>
  <c r="CJ26" i="4"/>
  <c r="BQ146" i="4"/>
  <c r="BN118" i="4"/>
  <c r="BJ17" i="4"/>
  <c r="BO153" i="4"/>
  <c r="CK50" i="4"/>
  <c r="CK132" i="4"/>
  <c r="BO34" i="4"/>
  <c r="BQ58" i="4"/>
  <c r="CC19" i="4"/>
  <c r="CM31" i="4"/>
  <c r="BY83" i="4"/>
  <c r="BB23" i="4"/>
  <c r="BG168" i="4"/>
  <c r="AR24" i="4"/>
  <c r="AE5" i="4"/>
  <c r="BP163" i="4"/>
  <c r="BE157" i="4"/>
  <c r="BA85" i="4"/>
  <c r="AH131" i="4"/>
  <c r="AP15" i="4"/>
  <c r="BE166" i="4"/>
  <c r="AY64" i="4"/>
  <c r="AE10" i="4"/>
  <c r="CH58" i="4"/>
  <c r="BF154" i="4"/>
  <c r="AP105" i="4"/>
  <c r="AE85" i="4"/>
  <c r="BL54" i="4"/>
  <c r="BG149" i="4"/>
  <c r="BG77" i="4"/>
  <c r="AJ74" i="4"/>
  <c r="BE86" i="4"/>
  <c r="AP123" i="4"/>
  <c r="AR71" i="4"/>
  <c r="AE11" i="4"/>
  <c r="BD46" i="4"/>
  <c r="AP74" i="4"/>
  <c r="AP45" i="4"/>
  <c r="BF20" i="4"/>
  <c r="BZ149" i="4"/>
  <c r="BE127" i="4"/>
  <c r="AM103" i="4"/>
  <c r="AP125" i="4"/>
  <c r="AK151" i="4"/>
  <c r="AK74" i="4"/>
  <c r="X13" i="4"/>
  <c r="AA94" i="4"/>
  <c r="CK102" i="4"/>
  <c r="BI41" i="4"/>
  <c r="CJ111" i="4"/>
  <c r="CD56" i="4"/>
  <c r="BG93" i="4"/>
  <c r="CH97" i="4"/>
  <c r="CI63" i="4"/>
  <c r="BQ21" i="4"/>
  <c r="AY23" i="4"/>
  <c r="CP29" i="4"/>
  <c r="CD128" i="4"/>
  <c r="CD30" i="4"/>
  <c r="CC84" i="4"/>
  <c r="BP39" i="4"/>
  <c r="AP40" i="4"/>
  <c r="CK97" i="4"/>
  <c r="CD7" i="4"/>
  <c r="BF117" i="4"/>
  <c r="BQ89" i="4"/>
  <c r="BO84" i="4"/>
  <c r="CM97" i="5"/>
  <c r="CC60" i="4"/>
  <c r="CH138" i="4"/>
  <c r="CK95" i="4"/>
  <c r="BP150" i="4"/>
  <c r="AO118" i="5"/>
  <c r="CA45" i="4"/>
  <c r="BO59" i="4"/>
  <c r="AR166" i="4"/>
  <c r="BE142" i="4"/>
  <c r="BB100" i="4"/>
  <c r="CI41" i="4"/>
  <c r="BX143" i="4"/>
  <c r="BF106" i="4"/>
  <c r="AK119" i="4"/>
  <c r="BI118" i="4"/>
  <c r="CD96" i="4"/>
  <c r="BD25" i="4"/>
  <c r="AM146" i="4"/>
  <c r="BK163" i="4"/>
  <c r="CA144" i="4"/>
  <c r="BD86" i="4"/>
  <c r="AK134" i="4"/>
  <c r="BE133" i="4"/>
  <c r="BY86" i="4"/>
  <c r="BQ105" i="4"/>
  <c r="AZ7" i="4"/>
  <c r="BZ10" i="4"/>
  <c r="BF110" i="4"/>
  <c r="BE141" i="4"/>
  <c r="AM125" i="4"/>
  <c r="CA106" i="4"/>
  <c r="BE44" i="4"/>
  <c r="BF54" i="4"/>
  <c r="CC98" i="4"/>
  <c r="AZ108" i="4"/>
  <c r="AZ13" i="4"/>
  <c r="AZ93" i="4"/>
  <c r="AL134" i="4"/>
  <c r="CC92" i="4"/>
  <c r="AP14" i="4"/>
  <c r="AH166" i="4"/>
  <c r="BD136" i="4"/>
  <c r="BO164" i="4"/>
  <c r="AF62" i="5"/>
  <c r="CC136" i="5"/>
  <c r="CD50" i="5"/>
  <c r="CO150" i="4"/>
  <c r="N115" i="5"/>
  <c r="AL150" i="5"/>
  <c r="AL114" i="5"/>
  <c r="Z35" i="5"/>
  <c r="AP33" i="5"/>
  <c r="W28" i="5"/>
  <c r="AP30" i="5"/>
  <c r="X48" i="5"/>
  <c r="CA10" i="5"/>
  <c r="CO143" i="4"/>
  <c r="AK115" i="5"/>
  <c r="CP62" i="4"/>
  <c r="BO97" i="5"/>
  <c r="CN65" i="4"/>
  <c r="CH69" i="4"/>
  <c r="BA13" i="5"/>
  <c r="CD46" i="4"/>
  <c r="BN52" i="4"/>
  <c r="CC167" i="4"/>
  <c r="CJ89" i="4"/>
  <c r="K115" i="5"/>
  <c r="BO103" i="5"/>
  <c r="CM166" i="4"/>
  <c r="BY29" i="4"/>
  <c r="CM6" i="5"/>
  <c r="CO118" i="4"/>
  <c r="U110" i="5"/>
  <c r="BA101" i="5"/>
  <c r="CJ80" i="4"/>
  <c r="CO24" i="4"/>
  <c r="BL148" i="4"/>
  <c r="BX95" i="4"/>
  <c r="AZ113" i="5"/>
  <c r="BZ34" i="4"/>
  <c r="BF98" i="5"/>
  <c r="AR131" i="5"/>
  <c r="CM128" i="4"/>
  <c r="CO52" i="4"/>
  <c r="BE17" i="5"/>
  <c r="AH100" i="5"/>
  <c r="BZ102" i="5"/>
  <c r="L126" i="5"/>
  <c r="S105" i="5"/>
  <c r="CA100" i="5"/>
  <c r="CO103" i="4"/>
  <c r="CM103" i="4"/>
  <c r="CJ134" i="4"/>
  <c r="CH57" i="4"/>
  <c r="N11" i="5"/>
  <c r="BK39" i="5"/>
  <c r="AA19" i="5"/>
  <c r="CO121" i="4"/>
  <c r="CO145" i="4"/>
  <c r="CM21" i="4"/>
  <c r="CH66" i="4"/>
  <c r="AY11" i="5"/>
  <c r="CO101" i="5"/>
  <c r="W14" i="5"/>
  <c r="AR101" i="5"/>
  <c r="BK34" i="5"/>
  <c r="BZ5" i="5"/>
  <c r="CE94" i="4"/>
  <c r="CP18" i="4"/>
  <c r="CF146" i="4"/>
  <c r="BI29" i="4"/>
  <c r="BY41" i="4"/>
  <c r="BP130" i="4"/>
  <c r="BD162" i="4"/>
  <c r="CD26" i="5"/>
  <c r="CD158" i="4"/>
  <c r="BL76" i="4"/>
  <c r="BZ67" i="4"/>
  <c r="BQ10" i="4"/>
  <c r="BF156" i="4"/>
  <c r="CN151" i="4"/>
  <c r="CD113" i="4"/>
  <c r="BJ61" i="4"/>
  <c r="BZ65" i="4"/>
  <c r="BQ153" i="4"/>
  <c r="BG13" i="4"/>
  <c r="CK15" i="4"/>
  <c r="CE47" i="4"/>
  <c r="BE81" i="4"/>
  <c r="BF36" i="5"/>
  <c r="BQ35" i="5"/>
  <c r="CO4" i="4"/>
  <c r="BQ113" i="5"/>
  <c r="BL115" i="5"/>
  <c r="L21" i="5"/>
  <c r="CC132" i="4"/>
  <c r="CE90" i="4"/>
  <c r="AP117" i="5"/>
  <c r="N102" i="5"/>
  <c r="CP16" i="4"/>
  <c r="CM26" i="4"/>
  <c r="CM85" i="4"/>
  <c r="CJ42" i="4"/>
  <c r="CH32" i="4"/>
  <c r="U112" i="5"/>
  <c r="R4" i="5"/>
  <c r="W22" i="5"/>
  <c r="AE100" i="5"/>
  <c r="CA6" i="5"/>
  <c r="BX8" i="5"/>
  <c r="AO18" i="5"/>
  <c r="K20" i="5"/>
  <c r="CO41" i="4"/>
  <c r="CJ92" i="4"/>
  <c r="CJ84" i="4"/>
  <c r="CH33" i="4"/>
  <c r="CD147" i="4"/>
  <c r="CF120" i="4"/>
  <c r="AY26" i="5"/>
  <c r="BA117" i="5"/>
  <c r="CN38" i="4"/>
  <c r="CK80" i="4"/>
  <c r="CJ67" i="4"/>
  <c r="CJ77" i="4"/>
  <c r="CE130" i="4"/>
  <c r="BP115" i="5"/>
  <c r="BB26" i="5"/>
  <c r="CN13" i="5"/>
  <c r="AQ13" i="5"/>
  <c r="BQ5" i="5"/>
  <c r="BQ8" i="5"/>
  <c r="BX27" i="4"/>
  <c r="CD61" i="4"/>
  <c r="CE21" i="4"/>
  <c r="CH52" i="4"/>
  <c r="BN138" i="4"/>
  <c r="BI8" i="4"/>
  <c r="AZ100" i="4"/>
  <c r="CH53" i="4"/>
  <c r="BY68" i="4"/>
  <c r="CP22" i="5"/>
  <c r="AA33" i="5"/>
  <c r="CE100" i="5"/>
  <c r="CE103" i="4"/>
  <c r="BN27" i="5"/>
  <c r="BG97" i="5"/>
  <c r="CO158" i="4"/>
  <c r="BZ30" i="4"/>
  <c r="Q111" i="5"/>
  <c r="AO19" i="5"/>
  <c r="Z10" i="5"/>
  <c r="K97" i="5"/>
  <c r="CN18" i="5"/>
  <c r="CF30" i="4"/>
  <c r="CA65" i="4"/>
  <c r="M117" i="5"/>
  <c r="CJ23" i="5"/>
  <c r="AM9" i="5"/>
  <c r="CP7" i="4"/>
  <c r="CM23" i="4"/>
  <c r="CN140" i="4"/>
  <c r="AH112" i="5"/>
  <c r="X125" i="5"/>
  <c r="S6" i="5"/>
  <c r="AR15" i="5"/>
  <c r="BN117" i="5"/>
  <c r="BI29" i="5"/>
  <c r="BZ134" i="4"/>
  <c r="BZ110" i="4"/>
  <c r="AY16" i="5"/>
  <c r="CC106" i="5"/>
  <c r="CH10" i="5"/>
  <c r="AZ97" i="5"/>
  <c r="AM100" i="5"/>
  <c r="BY109" i="5"/>
  <c r="CA119" i="4"/>
  <c r="CN118" i="5"/>
  <c r="M29" i="5"/>
  <c r="CM108" i="4"/>
  <c r="CJ76" i="4"/>
  <c r="CH20" i="4"/>
  <c r="CJ31" i="4"/>
  <c r="CD41" i="4"/>
  <c r="P13" i="5"/>
  <c r="CI77" i="4"/>
  <c r="BP108" i="4"/>
  <c r="BO49" i="4"/>
  <c r="CA79" i="4"/>
  <c r="BJ102" i="4"/>
  <c r="CM78" i="4"/>
  <c r="CK96" i="4"/>
  <c r="BI45" i="4"/>
  <c r="CI115" i="4"/>
  <c r="BX24" i="4"/>
  <c r="BD51" i="4"/>
  <c r="BO35" i="5"/>
  <c r="CH46" i="4"/>
  <c r="BL149" i="4"/>
  <c r="CC61" i="4"/>
  <c r="BN140" i="4"/>
  <c r="BD143" i="4"/>
  <c r="CP120" i="4"/>
  <c r="CF36" i="4"/>
  <c r="BJ165" i="4"/>
  <c r="AR17" i="5"/>
  <c r="K31" i="5"/>
  <c r="CP167" i="4"/>
  <c r="CK102" i="5"/>
  <c r="CN14" i="4"/>
  <c r="CN7" i="4"/>
  <c r="CH127" i="4"/>
  <c r="BX108" i="4"/>
  <c r="L18" i="5"/>
  <c r="CM117" i="4"/>
  <c r="AZ7" i="5"/>
  <c r="AZ12" i="5"/>
  <c r="BP97" i="5"/>
  <c r="CE101" i="4"/>
  <c r="AG144" i="5"/>
  <c r="BG19" i="5"/>
  <c r="CN17" i="5"/>
  <c r="AP22" i="5"/>
  <c r="AZ98" i="5"/>
  <c r="AL98" i="5"/>
  <c r="AR10" i="5"/>
  <c r="AY14" i="5"/>
  <c r="BB24" i="5"/>
  <c r="CA7" i="5"/>
  <c r="AB18" i="5"/>
  <c r="BN14" i="5"/>
  <c r="P5" i="5"/>
  <c r="BX114" i="4"/>
  <c r="CA51" i="4"/>
  <c r="AQ110" i="5"/>
  <c r="BQ125" i="5"/>
  <c r="AP11" i="5"/>
  <c r="BZ25" i="5"/>
  <c r="AQ26" i="5"/>
  <c r="CM11" i="5"/>
  <c r="CM119" i="5"/>
  <c r="BJ38" i="5"/>
  <c r="AO99" i="5"/>
  <c r="CP26" i="4"/>
  <c r="CN144" i="4"/>
  <c r="CO97" i="4"/>
  <c r="CO137" i="4"/>
  <c r="BO143" i="5"/>
  <c r="BY28" i="4"/>
  <c r="BX128" i="4"/>
  <c r="BQ76" i="4"/>
  <c r="BK102" i="4"/>
  <c r="CD32" i="4"/>
  <c r="CC19" i="5"/>
  <c r="CH151" i="4"/>
  <c r="BQ144" i="4"/>
  <c r="BQ13" i="4"/>
  <c r="CH109" i="5"/>
  <c r="AL48" i="5"/>
  <c r="M13" i="5"/>
  <c r="P29" i="5"/>
  <c r="AE11" i="5"/>
  <c r="BZ20" i="5"/>
  <c r="CC111" i="4"/>
  <c r="CF152" i="4"/>
  <c r="CP26" i="5"/>
  <c r="CE18" i="5"/>
  <c r="CO67" i="4"/>
  <c r="CN42" i="4"/>
  <c r="CP21" i="4"/>
  <c r="CJ86" i="4"/>
  <c r="CE135" i="4"/>
  <c r="CC119" i="5"/>
  <c r="AL113" i="5"/>
  <c r="M16" i="5"/>
  <c r="BL6" i="5"/>
  <c r="S9" i="5"/>
  <c r="BP7" i="5"/>
  <c r="BI9" i="5"/>
  <c r="AF121" i="5"/>
  <c r="CM32" i="4"/>
  <c r="U98" i="5"/>
  <c r="BJ7" i="5"/>
  <c r="AY115" i="5"/>
  <c r="CD67" i="4"/>
  <c r="CC121" i="4"/>
  <c r="P103" i="5"/>
  <c r="AQ109" i="5"/>
  <c r="CM36" i="4"/>
  <c r="CF9" i="5"/>
  <c r="Q20" i="5"/>
  <c r="CF97" i="5"/>
  <c r="L153" i="5"/>
  <c r="AO26" i="5"/>
  <c r="R29" i="5"/>
  <c r="BA23" i="5"/>
  <c r="AR8" i="5"/>
  <c r="CN8" i="5"/>
  <c r="Q25" i="5"/>
  <c r="BQ117" i="4"/>
  <c r="CJ55" i="4"/>
  <c r="CA164" i="4"/>
  <c r="CD91" i="4"/>
  <c r="BQ43" i="4"/>
  <c r="BJ36" i="4"/>
  <c r="AP67" i="4"/>
  <c r="CE102" i="4"/>
  <c r="CA159" i="4"/>
  <c r="BZ158" i="4"/>
  <c r="BJ28" i="4"/>
  <c r="BI165" i="4"/>
  <c r="AZ121" i="4"/>
  <c r="BZ64" i="4"/>
  <c r="BX22" i="4"/>
  <c r="BX123" i="4"/>
  <c r="BI78" i="4"/>
  <c r="BJ152" i="4"/>
  <c r="BA5" i="4"/>
  <c r="BX61" i="4"/>
  <c r="BY63" i="4"/>
  <c r="BD140" i="4"/>
  <c r="BL36" i="4"/>
  <c r="AR33" i="5"/>
  <c r="CJ25" i="4"/>
  <c r="BD71" i="4"/>
  <c r="L43" i="5"/>
  <c r="CK79" i="4"/>
  <c r="BP74" i="4"/>
  <c r="CD76" i="4"/>
  <c r="BI77" i="4"/>
  <c r="N9" i="5"/>
  <c r="CJ167" i="4"/>
  <c r="BP111" i="4"/>
  <c r="BQ17" i="4"/>
  <c r="BY50" i="4"/>
  <c r="R31" i="5"/>
  <c r="BO132" i="4"/>
  <c r="BY142" i="4"/>
  <c r="BQ20" i="4"/>
  <c r="BK80" i="4"/>
  <c r="BZ82" i="4"/>
  <c r="CO125" i="4"/>
  <c r="CK125" i="4"/>
  <c r="BN144" i="4"/>
  <c r="BQ132" i="4"/>
  <c r="CE67" i="4"/>
  <c r="AZ39" i="5"/>
  <c r="BY46" i="4"/>
  <c r="BA95" i="4"/>
  <c r="BD131" i="4"/>
  <c r="AZ164" i="4"/>
  <c r="AH20" i="4"/>
  <c r="AQ91" i="4"/>
  <c r="BE59" i="4"/>
  <c r="AY61" i="4"/>
  <c r="AF68" i="4"/>
  <c r="BA133" i="4"/>
  <c r="BD134" i="4"/>
  <c r="AZ114" i="4"/>
  <c r="AG22" i="4"/>
  <c r="AZ162" i="4"/>
  <c r="BD124" i="4"/>
  <c r="AZ47" i="4"/>
  <c r="AG27" i="4"/>
  <c r="BJ127" i="4"/>
  <c r="BG97" i="4"/>
  <c r="BG158" i="4"/>
  <c r="AL148" i="4"/>
  <c r="BE132" i="4"/>
  <c r="BB83" i="4"/>
  <c r="AZ55" i="4"/>
  <c r="AG119" i="4"/>
  <c r="BF101" i="4"/>
  <c r="BA51" i="4"/>
  <c r="BB108" i="4"/>
  <c r="BL59" i="4"/>
  <c r="CD136" i="4"/>
  <c r="BF10" i="4"/>
  <c r="BA86" i="4"/>
  <c r="AO136" i="4"/>
  <c r="AM129" i="4"/>
  <c r="AL115" i="4"/>
  <c r="V24" i="4"/>
  <c r="Z11" i="4"/>
  <c r="AG105" i="5"/>
  <c r="BO165" i="4"/>
  <c r="BY6" i="5"/>
  <c r="CF90" i="4"/>
  <c r="BP154" i="4"/>
  <c r="AZ13" i="5"/>
  <c r="BY124" i="4"/>
  <c r="BZ25" i="4"/>
  <c r="BN62" i="4"/>
  <c r="BF102" i="4"/>
  <c r="BY20" i="5"/>
  <c r="CE8" i="4"/>
  <c r="BJ56" i="4"/>
  <c r="BY121" i="4"/>
  <c r="BO32" i="4"/>
  <c r="P15" i="5"/>
  <c r="CE4" i="4"/>
  <c r="CJ152" i="4"/>
  <c r="BL66" i="4"/>
  <c r="CI87" i="4"/>
  <c r="BF153" i="4"/>
  <c r="CJ98" i="4"/>
  <c r="CF100" i="4"/>
  <c r="BK103" i="4"/>
  <c r="BX115" i="4"/>
  <c r="BN14" i="4"/>
  <c r="CO100" i="4"/>
  <c r="CI48" i="4"/>
  <c r="BE75" i="4"/>
  <c r="BY128" i="4"/>
  <c r="CA31" i="4"/>
  <c r="BA91" i="4"/>
  <c r="AY39" i="4"/>
  <c r="BP72" i="4"/>
  <c r="BN33" i="4"/>
  <c r="AP122" i="4"/>
  <c r="BG166" i="4"/>
  <c r="BP120" i="4"/>
  <c r="BQ71" i="4"/>
  <c r="AR121" i="4"/>
  <c r="BD163" i="4"/>
  <c r="BN123" i="4"/>
  <c r="BQ110" i="4"/>
  <c r="AZ42" i="4"/>
  <c r="BE23" i="4"/>
  <c r="AY66" i="4"/>
  <c r="AR85" i="4"/>
  <c r="BY101" i="4"/>
  <c r="BB16" i="4"/>
  <c r="BP119" i="4"/>
  <c r="AP167" i="4"/>
  <c r="BZ11" i="4"/>
  <c r="BA125" i="4"/>
  <c r="BP32" i="4"/>
  <c r="BA148" i="4"/>
  <c r="BK148" i="4"/>
  <c r="BD95" i="4"/>
  <c r="AZ133" i="4"/>
  <c r="AJ122" i="4"/>
  <c r="AM36" i="4"/>
  <c r="AF132" i="4"/>
  <c r="AG155" i="4"/>
  <c r="R69" i="4"/>
  <c r="U104" i="4"/>
  <c r="BO76" i="4"/>
  <c r="AY108" i="4"/>
  <c r="BY62" i="4"/>
  <c r="BN27" i="4"/>
  <c r="AY98" i="4"/>
  <c r="BY23" i="4"/>
  <c r="CA35" i="4"/>
  <c r="BI144" i="4"/>
  <c r="AR167" i="4"/>
  <c r="CO84" i="4"/>
  <c r="BX127" i="4"/>
  <c r="BN134" i="4"/>
  <c r="BP76" i="4"/>
  <c r="BJ10" i="4"/>
  <c r="BY51" i="4"/>
  <c r="CE123" i="4"/>
  <c r="BZ58" i="4"/>
  <c r="BY53" i="4"/>
  <c r="BQ7" i="4"/>
  <c r="BL124" i="4"/>
  <c r="BN101" i="5"/>
  <c r="BY61" i="4"/>
  <c r="BX151" i="4"/>
  <c r="BY89" i="4"/>
  <c r="BK156" i="4"/>
  <c r="CO114" i="4"/>
  <c r="CF16" i="4"/>
  <c r="BK17" i="4"/>
  <c r="BL73" i="4"/>
  <c r="AZ37" i="4"/>
  <c r="AK22" i="4"/>
  <c r="BL74" i="4"/>
  <c r="BE53" i="4"/>
  <c r="BA43" i="4"/>
  <c r="AM15" i="4"/>
  <c r="BY134" i="4"/>
  <c r="BI4" i="4"/>
  <c r="AQ68" i="4"/>
  <c r="AK64" i="4"/>
  <c r="BQ34" i="4"/>
  <c r="BG81" i="4"/>
  <c r="BB80" i="4"/>
  <c r="V28" i="5"/>
  <c r="AJ46" i="5"/>
  <c r="W37" i="5"/>
  <c r="BX162" i="4"/>
  <c r="BI32" i="5"/>
  <c r="L141" i="5"/>
  <c r="AJ111" i="5"/>
  <c r="CP29" i="5"/>
  <c r="BJ36" i="5"/>
  <c r="CN24" i="4"/>
  <c r="CD138" i="5"/>
  <c r="CN121" i="4"/>
  <c r="BY19" i="5"/>
  <c r="CP136" i="4"/>
  <c r="AF97" i="5"/>
  <c r="CN72" i="4"/>
  <c r="AC10" i="5"/>
  <c r="CH107" i="4"/>
  <c r="BI97" i="5"/>
  <c r="CJ85" i="4"/>
  <c r="BD84" i="4"/>
  <c r="BB68" i="4"/>
  <c r="AP40" i="5"/>
  <c r="CJ133" i="4"/>
  <c r="CD99" i="5"/>
  <c r="K98" i="5"/>
  <c r="BQ97" i="5"/>
  <c r="AZ124" i="5"/>
  <c r="BF10" i="5"/>
  <c r="CP102" i="5"/>
  <c r="AH6" i="5"/>
  <c r="CO82" i="4"/>
  <c r="CJ66" i="4"/>
  <c r="CI139" i="4"/>
  <c r="BL126" i="4"/>
  <c r="BZ163" i="4"/>
  <c r="AZ28" i="5"/>
  <c r="CM106" i="5"/>
  <c r="CP53" i="4"/>
  <c r="AE29" i="5"/>
  <c r="AZ25" i="5"/>
  <c r="CC47" i="4"/>
  <c r="CN111" i="5"/>
  <c r="AL110" i="5"/>
  <c r="CN103" i="4"/>
  <c r="AL122" i="5"/>
  <c r="AP97" i="5"/>
  <c r="CN163" i="4"/>
  <c r="CM155" i="4"/>
  <c r="CI40" i="4"/>
  <c r="CF106" i="4"/>
  <c r="CC33" i="4"/>
  <c r="CO31" i="5"/>
  <c r="BX100" i="5"/>
  <c r="CN113" i="4"/>
  <c r="CI149" i="4"/>
  <c r="CJ59" i="4"/>
  <c r="CH142" i="4"/>
  <c r="CE141" i="4"/>
  <c r="AP105" i="5"/>
  <c r="BK38" i="5"/>
  <c r="BE22" i="5"/>
  <c r="AB6" i="5"/>
  <c r="S101" i="5"/>
  <c r="BK98" i="5"/>
  <c r="BZ48" i="4"/>
  <c r="CC63" i="4"/>
  <c r="CF129" i="4"/>
  <c r="BD87" i="4"/>
  <c r="BQ118" i="4"/>
  <c r="BJ105" i="4"/>
  <c r="AP127" i="4"/>
  <c r="BY160" i="4"/>
  <c r="CC44" i="4"/>
  <c r="CI164" i="4"/>
  <c r="BN28" i="4"/>
  <c r="BL152" i="4"/>
  <c r="AR86" i="4"/>
  <c r="CJ97" i="4"/>
  <c r="BZ90" i="4"/>
  <c r="CE27" i="4"/>
  <c r="BO129" i="4"/>
  <c r="BK138" i="4"/>
  <c r="AZ165" i="4"/>
  <c r="CF82" i="4"/>
  <c r="BZ95" i="4"/>
  <c r="BZ70" i="4"/>
  <c r="BY22" i="5"/>
  <c r="AC33" i="5"/>
  <c r="CN7" i="5"/>
  <c r="Z116" i="5"/>
  <c r="AR12" i="5"/>
  <c r="CP37" i="4"/>
  <c r="BZ97" i="4"/>
  <c r="BY91" i="4"/>
  <c r="BI98" i="5"/>
  <c r="CF15" i="5"/>
  <c r="CI131" i="4"/>
  <c r="CJ81" i="4"/>
  <c r="BY16" i="5"/>
  <c r="CE52" i="4"/>
  <c r="CC77" i="4"/>
  <c r="BJ22" i="5"/>
  <c r="CJ39" i="5"/>
  <c r="CF8" i="5"/>
  <c r="W18" i="5"/>
  <c r="L106" i="5"/>
  <c r="BE103" i="5"/>
  <c r="AO30" i="5"/>
  <c r="AQ97" i="5"/>
  <c r="AP115" i="5"/>
  <c r="Z15" i="5"/>
  <c r="BJ17" i="5"/>
  <c r="BN9" i="5"/>
  <c r="BY76" i="4"/>
  <c r="BX15" i="4"/>
  <c r="BN5" i="5"/>
  <c r="CD9" i="5"/>
  <c r="U117" i="5"/>
  <c r="AY4" i="5"/>
  <c r="BD11" i="5"/>
  <c r="AQ113" i="5"/>
  <c r="CI112" i="5"/>
  <c r="AJ103" i="5"/>
  <c r="BX9" i="5"/>
  <c r="CD21" i="5"/>
  <c r="CO65" i="4"/>
  <c r="CP20" i="4"/>
  <c r="CP150" i="4"/>
  <c r="CJ50" i="4"/>
  <c r="BZ56" i="4"/>
  <c r="BZ154" i="4"/>
  <c r="BX84" i="4"/>
  <c r="BK90" i="4"/>
  <c r="BE4" i="4"/>
  <c r="AY132" i="5"/>
  <c r="BY14" i="4"/>
  <c r="BY60" i="4"/>
  <c r="CI138" i="5"/>
  <c r="AA130" i="5"/>
  <c r="M114" i="5"/>
  <c r="BB43" i="5"/>
  <c r="R15" i="5"/>
  <c r="CN141" i="4"/>
  <c r="CH75" i="4"/>
  <c r="CK121" i="4"/>
  <c r="BL112" i="5"/>
  <c r="AL7" i="5"/>
  <c r="BX28" i="5"/>
  <c r="AA97" i="5"/>
  <c r="BZ16" i="5"/>
  <c r="BY143" i="4"/>
  <c r="BQ163" i="4"/>
  <c r="AO7" i="5"/>
  <c r="Q114" i="5"/>
  <c r="CM104" i="4"/>
  <c r="CI29" i="4"/>
  <c r="CJ83" i="4"/>
  <c r="AL115" i="5"/>
  <c r="AF9" i="5"/>
  <c r="AP35" i="5"/>
  <c r="BO13" i="5"/>
  <c r="CM107" i="4"/>
  <c r="CO165" i="4"/>
  <c r="CN145" i="4"/>
  <c r="CJ100" i="4"/>
  <c r="CJ158" i="4"/>
  <c r="BQ109" i="5"/>
  <c r="CM5" i="5"/>
  <c r="CD4" i="5"/>
  <c r="CP132" i="4"/>
  <c r="CO119" i="4"/>
  <c r="CO93" i="4"/>
  <c r="CI116" i="4"/>
  <c r="AO112" i="5"/>
  <c r="BB103" i="5"/>
  <c r="BP19" i="5"/>
  <c r="AZ20" i="5"/>
  <c r="CN97" i="5"/>
  <c r="AZ109" i="5"/>
  <c r="BY150" i="4"/>
  <c r="BD112" i="5"/>
  <c r="CE43" i="4"/>
  <c r="BJ57" i="4"/>
  <c r="BZ147" i="4"/>
  <c r="BN86" i="4"/>
  <c r="BE89" i="4"/>
  <c r="CN104" i="4"/>
  <c r="CE97" i="4"/>
  <c r="BI139" i="4"/>
  <c r="BY75" i="4"/>
  <c r="BP23" i="4"/>
  <c r="BG133" i="4"/>
  <c r="CK32" i="4"/>
  <c r="CC74" i="4"/>
  <c r="BE93" i="4"/>
  <c r="BP7" i="4"/>
  <c r="BN113" i="4"/>
  <c r="AQ76" i="4"/>
  <c r="CE85" i="4"/>
  <c r="CF104" i="4"/>
  <c r="CI117" i="4"/>
  <c r="AO4" i="5"/>
  <c r="BJ13" i="5"/>
  <c r="CE128" i="4"/>
  <c r="BQ106" i="5"/>
  <c r="N17" i="5"/>
  <c r="CF5" i="5"/>
  <c r="CD101" i="4"/>
  <c r="BL119" i="5"/>
  <c r="R113" i="5"/>
  <c r="AK103" i="5"/>
  <c r="AL102" i="5"/>
  <c r="AZ15" i="5"/>
  <c r="CJ110" i="5"/>
  <c r="BZ138" i="4"/>
  <c r="BO33" i="5"/>
  <c r="CM24" i="5"/>
  <c r="BE37" i="5"/>
  <c r="CM84" i="4"/>
  <c r="CO153" i="4"/>
  <c r="CO163" i="4"/>
  <c r="CM83" i="4"/>
  <c r="W27" i="5"/>
  <c r="CP107" i="5"/>
  <c r="S14" i="5"/>
  <c r="CM116" i="5"/>
  <c r="AH99" i="5"/>
  <c r="AZ17" i="5"/>
  <c r="BQ29" i="4"/>
  <c r="BB150" i="5"/>
  <c r="CJ108" i="5"/>
  <c r="CD127" i="5"/>
  <c r="AP21" i="5"/>
  <c r="BO4" i="5"/>
  <c r="BG12" i="5"/>
  <c r="BA6" i="5"/>
  <c r="AY37" i="5"/>
  <c r="CH16" i="5"/>
  <c r="AE12" i="5"/>
  <c r="CM41" i="4"/>
  <c r="CI55" i="4"/>
  <c r="CI146" i="4"/>
  <c r="CJ119" i="4"/>
  <c r="CF28" i="5"/>
  <c r="CE82" i="4"/>
  <c r="CJ46" i="4"/>
  <c r="BJ4" i="4"/>
  <c r="CK165" i="4"/>
  <c r="BJ70" i="4"/>
  <c r="BD113" i="5"/>
  <c r="CC89" i="4"/>
  <c r="CK123" i="4"/>
  <c r="BL30" i="4"/>
  <c r="AB111" i="5"/>
  <c r="BN30" i="5"/>
  <c r="CN73" i="4"/>
  <c r="AZ108" i="5"/>
  <c r="CN165" i="4"/>
  <c r="CO53" i="4"/>
  <c r="CJ146" i="4"/>
  <c r="AY144" i="5"/>
  <c r="CK4" i="5"/>
  <c r="CO130" i="4"/>
  <c r="BP6" i="5"/>
  <c r="AL8" i="5"/>
  <c r="BY10" i="5"/>
  <c r="CC151" i="4"/>
  <c r="BI56" i="5"/>
  <c r="U36" i="5"/>
  <c r="M27" i="5"/>
  <c r="AA109" i="5"/>
  <c r="L10" i="5"/>
  <c r="AB115" i="5"/>
  <c r="N99" i="5"/>
  <c r="CI32" i="5"/>
  <c r="BA121" i="5"/>
  <c r="CK8" i="5"/>
  <c r="BP104" i="5"/>
  <c r="P12" i="5"/>
  <c r="AQ105" i="5"/>
  <c r="CA84" i="4"/>
  <c r="BY82" i="4"/>
  <c r="CK31" i="5"/>
  <c r="BI109" i="5"/>
  <c r="BD101" i="5"/>
  <c r="AC11" i="5"/>
  <c r="BK14" i="5"/>
  <c r="W108" i="5"/>
  <c r="AQ42" i="5"/>
  <c r="AY9" i="5"/>
  <c r="BE121" i="5"/>
  <c r="CN46" i="4"/>
  <c r="CN25" i="4"/>
  <c r="CP168" i="4"/>
  <c r="CN79" i="4"/>
  <c r="CD36" i="5"/>
  <c r="BN48" i="4"/>
  <c r="BZ46" i="4"/>
  <c r="BO41" i="4"/>
  <c r="BI121" i="4"/>
  <c r="BX77" i="4"/>
  <c r="P104" i="5"/>
  <c r="CH47" i="4"/>
  <c r="BP20" i="4"/>
  <c r="BQ142" i="4"/>
  <c r="BJ139" i="4"/>
  <c r="BQ159" i="4"/>
  <c r="V19" i="5"/>
  <c r="CD40" i="4"/>
  <c r="CJ74" i="4"/>
  <c r="BO33" i="4"/>
  <c r="BF66" i="4"/>
  <c r="BI106" i="4"/>
  <c r="BO47" i="5"/>
  <c r="CF151" i="4"/>
  <c r="CH49" i="4"/>
  <c r="R28" i="5"/>
  <c r="BP123" i="4"/>
  <c r="X6" i="5"/>
  <c r="CI9" i="4"/>
  <c r="BP156" i="4"/>
  <c r="AA6" i="5"/>
  <c r="CE56" i="4"/>
  <c r="CF117" i="4"/>
  <c r="BO66" i="4"/>
  <c r="BE58" i="4"/>
  <c r="BK107" i="5"/>
  <c r="CE129" i="4"/>
  <c r="BI35" i="4"/>
  <c r="BY43" i="4"/>
  <c r="BP136" i="4"/>
  <c r="CP27" i="5"/>
  <c r="CE34" i="4"/>
  <c r="CH155" i="4"/>
  <c r="BL160" i="4"/>
  <c r="CI26" i="4"/>
  <c r="BE150" i="4"/>
  <c r="CN68" i="4"/>
  <c r="CH80" i="4"/>
  <c r="BK73" i="4"/>
  <c r="CC43" i="4"/>
  <c r="BP91" i="4"/>
  <c r="BK11" i="5"/>
  <c r="BO17" i="4"/>
  <c r="BE47" i="4"/>
  <c r="CD165" i="4"/>
  <c r="CF133" i="4"/>
  <c r="BE34" i="4"/>
  <c r="BE18" i="4"/>
  <c r="BO97" i="4"/>
  <c r="BO141" i="4"/>
  <c r="AY81" i="4"/>
  <c r="BD91" i="4"/>
  <c r="BX99" i="4"/>
  <c r="BX10" i="4"/>
  <c r="AQ65" i="4"/>
  <c r="BE167" i="4"/>
  <c r="BZ160" i="4"/>
  <c r="BO167" i="4"/>
  <c r="AZ111" i="4"/>
  <c r="BF58" i="4"/>
  <c r="BB89" i="4"/>
  <c r="AZ145" i="4"/>
  <c r="BF144" i="4"/>
  <c r="AR65" i="4"/>
  <c r="BN117" i="4"/>
  <c r="AR73" i="4"/>
  <c r="BG128" i="4"/>
  <c r="AQ165" i="4"/>
  <c r="BO50" i="4"/>
  <c r="BB20" i="4"/>
  <c r="BI81" i="4"/>
  <c r="BL64" i="4"/>
  <c r="AR81" i="4"/>
  <c r="AJ115" i="4"/>
  <c r="AK104" i="4"/>
  <c r="AL100" i="4"/>
  <c r="AF46" i="4"/>
  <c r="U165" i="4"/>
  <c r="X135" i="4"/>
  <c r="CH56" i="4"/>
  <c r="CA107" i="4"/>
  <c r="CP156" i="4"/>
  <c r="BK159" i="4"/>
  <c r="CA100" i="4"/>
  <c r="AG98" i="5"/>
  <c r="BJ38" i="4"/>
  <c r="BO136" i="4"/>
  <c r="BK19" i="4"/>
  <c r="BB111" i="4"/>
  <c r="CI107" i="4"/>
  <c r="BZ16" i="4"/>
  <c r="CD73" i="4"/>
  <c r="BN22" i="4"/>
  <c r="BI14" i="4"/>
  <c r="AE20" i="5"/>
  <c r="CJ94" i="4"/>
  <c r="CC115" i="4"/>
  <c r="BK12" i="4"/>
  <c r="BO163" i="4"/>
  <c r="BA140" i="4"/>
  <c r="CE95" i="4"/>
  <c r="CD27" i="4"/>
  <c r="CJ127" i="4"/>
  <c r="BO126" i="4"/>
  <c r="BJ31" i="4"/>
  <c r="CP61" i="4"/>
  <c r="CH70" i="4"/>
  <c r="AP61" i="4"/>
  <c r="BD113" i="4"/>
  <c r="BE92" i="4"/>
  <c r="AP111" i="4"/>
  <c r="CE149" i="4"/>
  <c r="BG164" i="4"/>
  <c r="BD165" i="4"/>
  <c r="AL24" i="4"/>
  <c r="CK100" i="4"/>
  <c r="BG20" i="4"/>
  <c r="BE64" i="4"/>
  <c r="AO60" i="4"/>
  <c r="CK109" i="4"/>
  <c r="BG119" i="4"/>
  <c r="BE136" i="4"/>
  <c r="BL119" i="4"/>
  <c r="BA6" i="4"/>
  <c r="BX137" i="4"/>
  <c r="BE43" i="4"/>
  <c r="BI128" i="4"/>
  <c r="CE105" i="4"/>
  <c r="BE30" i="4"/>
  <c r="AO46" i="4"/>
  <c r="BK52" i="4"/>
  <c r="CE46" i="4"/>
  <c r="BF24" i="4"/>
  <c r="AO101" i="4"/>
  <c r="BQ62" i="4"/>
  <c r="BD98" i="4"/>
  <c r="AZ131" i="4"/>
  <c r="AH58" i="4"/>
  <c r="AF55" i="4"/>
  <c r="AQ38" i="4"/>
  <c r="AG38" i="4"/>
  <c r="P6" i="4"/>
  <c r="BA130" i="4"/>
  <c r="CJ52" i="4"/>
  <c r="BO40" i="5"/>
  <c r="CK38" i="4"/>
  <c r="CF81" i="4"/>
  <c r="BK108" i="5"/>
  <c r="CH62" i="4"/>
  <c r="BO39" i="4"/>
  <c r="BY19" i="4"/>
  <c r="BK47" i="4"/>
  <c r="CN133" i="4"/>
  <c r="CJ62" i="4"/>
  <c r="BL92" i="4"/>
  <c r="CJ108" i="4"/>
  <c r="BZ4" i="4"/>
  <c r="BN25" i="5"/>
  <c r="CH51" i="4"/>
  <c r="BN130" i="4"/>
  <c r="BP115" i="4"/>
  <c r="BK40" i="4"/>
  <c r="BN57" i="4"/>
  <c r="W120" i="5"/>
  <c r="CK162" i="4"/>
  <c r="BP114" i="4"/>
  <c r="BN64" i="4"/>
  <c r="BZ81" i="4"/>
  <c r="AY97" i="5"/>
  <c r="CA11" i="4"/>
  <c r="AR155" i="4"/>
  <c r="BF11" i="4"/>
  <c r="BB37" i="4"/>
  <c r="AH161" i="4"/>
  <c r="BP43" i="4"/>
  <c r="BF75" i="4"/>
  <c r="AY43" i="4"/>
  <c r="AF138" i="4"/>
  <c r="BQ80" i="4"/>
  <c r="BE72" i="4"/>
  <c r="BB63" i="4"/>
  <c r="AG163" i="4"/>
  <c r="BO46" i="4"/>
  <c r="BF57" i="4"/>
  <c r="AZ35" i="4"/>
  <c r="AH69" i="4"/>
  <c r="BL158" i="4"/>
  <c r="BB29" i="4"/>
  <c r="BA88" i="4"/>
  <c r="BQ9" i="4"/>
  <c r="BF29" i="4"/>
  <c r="AZ31" i="4"/>
  <c r="BB95" i="4"/>
  <c r="CK122" i="4"/>
  <c r="BD122" i="4"/>
  <c r="BA24" i="4"/>
  <c r="BA142" i="4"/>
  <c r="BZ62" i="4"/>
  <c r="BN161" i="4"/>
  <c r="BF133" i="4"/>
  <c r="AL58" i="4"/>
  <c r="AR41" i="4"/>
  <c r="AJ153" i="4"/>
  <c r="AJ117" i="4"/>
  <c r="V91" i="4"/>
  <c r="AB149" i="4"/>
  <c r="CF97" i="4"/>
  <c r="BD47" i="4"/>
  <c r="CK110" i="4"/>
  <c r="AQ29" i="5"/>
  <c r="CI119" i="5"/>
  <c r="Q127" i="5"/>
  <c r="AH111" i="5"/>
  <c r="CH43" i="5"/>
  <c r="CJ162" i="4"/>
  <c r="AR6" i="5"/>
  <c r="AZ10" i="5"/>
  <c r="CN35" i="4"/>
  <c r="BZ45" i="4"/>
  <c r="BO159" i="4"/>
  <c r="BD99" i="5"/>
  <c r="AZ122" i="5"/>
  <c r="CN125" i="4"/>
  <c r="AL11" i="5"/>
  <c r="CI97" i="5"/>
  <c r="CK87" i="4"/>
  <c r="CE65" i="4"/>
  <c r="CE41" i="4"/>
  <c r="CI153" i="4"/>
  <c r="CC15" i="5"/>
  <c r="CN42" i="5"/>
  <c r="AZ102" i="5"/>
  <c r="BQ37" i="4"/>
  <c r="AR124" i="4"/>
  <c r="BX8" i="4"/>
  <c r="BZ54" i="4"/>
  <c r="BD129" i="5"/>
  <c r="BB113" i="5"/>
  <c r="CA23" i="5"/>
  <c r="L98" i="5"/>
  <c r="BX31" i="4"/>
  <c r="CF156" i="4"/>
  <c r="AA103" i="5"/>
  <c r="CO78" i="4"/>
  <c r="AY114" i="5"/>
  <c r="Q6" i="5"/>
  <c r="P108" i="5"/>
  <c r="CH26" i="4"/>
  <c r="BY129" i="4"/>
  <c r="BN69" i="4"/>
  <c r="CF84" i="4"/>
  <c r="BX23" i="4"/>
  <c r="CJ144" i="4"/>
  <c r="AQ148" i="4"/>
  <c r="BP68" i="4"/>
  <c r="BO65" i="4"/>
  <c r="AH90" i="4"/>
  <c r="CD83" i="4"/>
  <c r="BZ166" i="4"/>
  <c r="BO52" i="4"/>
  <c r="CD64" i="4"/>
  <c r="AJ43" i="4"/>
  <c r="CD92" i="4"/>
  <c r="BJ42" i="4"/>
  <c r="BO160" i="4"/>
  <c r="BQ133" i="4"/>
  <c r="BJ24" i="4"/>
  <c r="BG151" i="4"/>
  <c r="BE29" i="4"/>
  <c r="AR58" i="4"/>
  <c r="AO154" i="4"/>
  <c r="BP82" i="4"/>
  <c r="BN78" i="4"/>
  <c r="BA109" i="4"/>
  <c r="BA35" i="4"/>
  <c r="AM155" i="4"/>
  <c r="AA121" i="4"/>
  <c r="CC45" i="4"/>
  <c r="CH41" i="4"/>
  <c r="CD127" i="4"/>
  <c r="BJ41" i="5"/>
  <c r="CF140" i="4"/>
  <c r="BP149" i="4"/>
  <c r="BZ23" i="4"/>
  <c r="BJ22" i="4"/>
  <c r="CJ11" i="4"/>
  <c r="CK156" i="4"/>
  <c r="BJ53" i="4"/>
  <c r="CK124" i="4"/>
  <c r="BZ12" i="4"/>
  <c r="AC108" i="5"/>
  <c r="CJ24" i="4"/>
  <c r="BQ134" i="4"/>
  <c r="BQ126" i="4"/>
  <c r="BI75" i="4"/>
  <c r="BP52" i="4"/>
  <c r="L99" i="5"/>
  <c r="CH88" i="4"/>
  <c r="BN158" i="4"/>
  <c r="BO5" i="4"/>
  <c r="BX18" i="4"/>
  <c r="Z8" i="5"/>
  <c r="BY72" i="4"/>
  <c r="BZ60" i="4"/>
  <c r="BG159" i="4"/>
  <c r="AQ97" i="4"/>
  <c r="AF84" i="4"/>
  <c r="BK145" i="4"/>
  <c r="BA52" i="4"/>
  <c r="BB149" i="4"/>
  <c r="AE71" i="4"/>
  <c r="BL95" i="4"/>
  <c r="BF52" i="4"/>
  <c r="AY113" i="4"/>
  <c r="AF45" i="4"/>
  <c r="BJ101" i="4"/>
  <c r="BA18" i="4"/>
  <c r="AR137" i="4"/>
  <c r="AH112" i="4"/>
  <c r="BI88" i="4"/>
  <c r="AY11" i="4"/>
  <c r="AR109" i="4"/>
  <c r="CK51" i="4"/>
  <c r="AZ156" i="4"/>
  <c r="BA143" i="4"/>
  <c r="BB121" i="4"/>
  <c r="CD78" i="4"/>
  <c r="CA118" i="4"/>
  <c r="AY68" i="4"/>
  <c r="BZ59" i="4"/>
  <c r="CA121" i="4"/>
  <c r="AQ73" i="4"/>
  <c r="BX122" i="4"/>
  <c r="BK34" i="4"/>
  <c r="BZ68" i="4"/>
  <c r="BF108" i="4"/>
  <c r="BA16" i="5"/>
  <c r="CJ61" i="4"/>
  <c r="CE106" i="4"/>
  <c r="BG126" i="4"/>
  <c r="BP166" i="4"/>
  <c r="AY7" i="4"/>
  <c r="CM96" i="4"/>
  <c r="CH92" i="4"/>
  <c r="BK30" i="4"/>
  <c r="CE93" i="4"/>
  <c r="BO149" i="4"/>
  <c r="BE104" i="5"/>
  <c r="CJ124" i="4"/>
  <c r="CE36" i="4"/>
  <c r="BI125" i="4"/>
  <c r="BZ66" i="4"/>
  <c r="CH20" i="5"/>
  <c r="CF10" i="4"/>
  <c r="BQ35" i="4"/>
  <c r="AQ82" i="4"/>
  <c r="BL16" i="4"/>
  <c r="AR163" i="4"/>
  <c r="CH166" i="4"/>
  <c r="BA47" i="4"/>
  <c r="BJ159" i="4"/>
  <c r="AQ136" i="4"/>
  <c r="BI83" i="4"/>
  <c r="AY126" i="4"/>
  <c r="BI22" i="4"/>
  <c r="AP62" i="4"/>
  <c r="BL150" i="4"/>
  <c r="AY164" i="4"/>
  <c r="BK11" i="4"/>
  <c r="AR122" i="4"/>
  <c r="BN26" i="4"/>
  <c r="BG50" i="4"/>
  <c r="BB6" i="4"/>
  <c r="AE15" i="4"/>
  <c r="BA93" i="4"/>
  <c r="BK122" i="4"/>
  <c r="BI24" i="4"/>
  <c r="AO110" i="4"/>
  <c r="BA65" i="4"/>
  <c r="BJ68" i="4"/>
  <c r="BL71" i="4"/>
  <c r="AO99" i="4"/>
  <c r="BE99" i="4"/>
  <c r="AP56" i="4"/>
  <c r="AP161" i="4"/>
  <c r="AE103" i="4"/>
  <c r="AK5" i="4"/>
  <c r="BN112" i="4"/>
  <c r="S155" i="4"/>
  <c r="W85" i="4"/>
  <c r="U110" i="4"/>
  <c r="BX136" i="4"/>
  <c r="BE143" i="4"/>
  <c r="CD47" i="4"/>
  <c r="BY49" i="4"/>
  <c r="BF48" i="4"/>
  <c r="CF27" i="4"/>
  <c r="CD20" i="4"/>
  <c r="BO166" i="4"/>
  <c r="AZ61" i="4"/>
  <c r="AG7" i="5"/>
  <c r="BY92" i="4"/>
  <c r="CA130" i="4"/>
  <c r="BY31" i="4"/>
  <c r="BL100" i="4"/>
  <c r="AZ149" i="4"/>
  <c r="CC143" i="4"/>
  <c r="CC69" i="4"/>
  <c r="CH99" i="4"/>
  <c r="BO14" i="4"/>
  <c r="BL103" i="4"/>
  <c r="CM142" i="4"/>
  <c r="CD99" i="4"/>
  <c r="CE40" i="4"/>
  <c r="CF87" i="4"/>
  <c r="BQ30" i="4"/>
  <c r="CN40" i="5"/>
  <c r="CI98" i="4"/>
  <c r="BZ35" i="4"/>
  <c r="BO89" i="4"/>
  <c r="BF92" i="4"/>
  <c r="AK31" i="4"/>
  <c r="BL111" i="4"/>
  <c r="BJ14" i="4"/>
  <c r="BE108" i="4"/>
  <c r="AL117" i="4"/>
  <c r="BN97" i="4"/>
  <c r="BP10" i="4"/>
  <c r="BD150" i="4"/>
  <c r="AL9" i="4"/>
  <c r="BP167" i="4"/>
  <c r="BO102" i="4"/>
  <c r="BD121" i="4"/>
  <c r="AK111" i="4"/>
  <c r="BB116" i="4"/>
  <c r="BL125" i="4"/>
  <c r="BJ5" i="4"/>
  <c r="AP131" i="4"/>
  <c r="BO18" i="4"/>
  <c r="BD21" i="4"/>
  <c r="BG58" i="4"/>
  <c r="AL108" i="4"/>
  <c r="BN102" i="4"/>
  <c r="BE5" i="4"/>
  <c r="BE134" i="4"/>
  <c r="BP17" i="4"/>
  <c r="AQ83" i="4"/>
  <c r="CC108" i="4"/>
  <c r="BJ72" i="4"/>
  <c r="AH118" i="4"/>
  <c r="AZ146" i="4"/>
  <c r="AR113" i="4"/>
  <c r="AA53" i="4"/>
  <c r="AF31" i="4"/>
  <c r="Q80" i="4"/>
  <c r="BL121" i="4"/>
  <c r="AM104" i="5"/>
  <c r="BO128" i="4"/>
  <c r="BI7" i="4"/>
  <c r="CI104" i="5"/>
  <c r="CJ106" i="4"/>
  <c r="BN19" i="4"/>
  <c r="CK75" i="4"/>
  <c r="BN31" i="4"/>
  <c r="CO98" i="4"/>
  <c r="CK134" i="4"/>
  <c r="BP5" i="4"/>
  <c r="BQ162" i="4"/>
  <c r="CF113" i="4"/>
  <c r="BL117" i="4"/>
  <c r="CA82" i="4"/>
  <c r="BX124" i="4"/>
  <c r="BX71" i="4"/>
  <c r="BL68" i="4"/>
  <c r="BG144" i="4"/>
  <c r="CN117" i="5"/>
  <c r="BN156" i="4"/>
  <c r="BO106" i="4"/>
  <c r="BO148" i="4"/>
  <c r="CK120" i="4"/>
  <c r="CJ130" i="4"/>
  <c r="CF167" i="4"/>
  <c r="BF104" i="4"/>
  <c r="BF155" i="4"/>
  <c r="BA55" i="4"/>
  <c r="AF69" i="4"/>
  <c r="BB64" i="4"/>
  <c r="BG104" i="4"/>
  <c r="AY26" i="4"/>
  <c r="AH111" i="4"/>
  <c r="AP158" i="4"/>
  <c r="BF161" i="4"/>
  <c r="AZ16" i="4"/>
  <c r="AH134" i="4"/>
  <c r="AR56" i="4"/>
  <c r="BG84" i="4"/>
  <c r="BA59" i="4"/>
  <c r="AG32" i="4"/>
  <c r="BQ64" i="4"/>
  <c r="BF49" i="4"/>
  <c r="BF138" i="4"/>
  <c r="AM97" i="4"/>
  <c r="BD29" i="4"/>
  <c r="BB66" i="4"/>
  <c r="AZ43" i="4"/>
  <c r="AG137" i="4"/>
  <c r="BJ122" i="4"/>
  <c r="AZ150" i="4"/>
  <c r="CI60" i="4"/>
  <c r="BF107" i="4"/>
  <c r="BA152" i="4"/>
  <c r="CF94" i="4"/>
  <c r="BK116" i="4"/>
  <c r="CE150" i="4"/>
  <c r="BD70" i="4"/>
  <c r="BQ108" i="5"/>
  <c r="CA135" i="4"/>
  <c r="CD123" i="4"/>
  <c r="BJ9" i="4"/>
  <c r="CA69" i="4"/>
  <c r="BG45" i="4"/>
  <c r="CD7" i="5"/>
  <c r="CH131" i="4"/>
  <c r="BN146" i="4"/>
  <c r="BP30" i="4"/>
  <c r="BY73" i="4"/>
  <c r="AL41" i="5"/>
  <c r="BZ42" i="4"/>
  <c r="CK74" i="4"/>
  <c r="BI94" i="4"/>
  <c r="CC62" i="4"/>
  <c r="BZ126" i="5"/>
  <c r="CI51" i="4"/>
  <c r="BX39" i="4"/>
  <c r="BB124" i="4"/>
  <c r="AR108" i="4"/>
  <c r="CE75" i="4"/>
  <c r="BK111" i="4"/>
  <c r="BA153" i="4"/>
  <c r="BX82" i="4"/>
  <c r="BG49" i="4"/>
  <c r="BJ86" i="4"/>
  <c r="BB137" i="4"/>
  <c r="CC150" i="4"/>
  <c r="BE66" i="4"/>
  <c r="BK51" i="4"/>
  <c r="AZ36" i="4"/>
  <c r="CA163" i="4"/>
  <c r="BD152" i="4"/>
  <c r="BB27" i="4"/>
  <c r="BG30" i="4"/>
  <c r="AP60" i="4"/>
  <c r="AE141" i="4"/>
  <c r="BF50" i="4"/>
  <c r="BY111" i="4"/>
  <c r="BX135" i="4"/>
  <c r="BA70" i="4"/>
  <c r="BF95" i="4"/>
  <c r="BX7" i="4"/>
  <c r="BY119" i="4"/>
  <c r="AR139" i="4"/>
  <c r="BI74" i="4"/>
  <c r="AZ76" i="4"/>
  <c r="BA132" i="4"/>
  <c r="AJ126" i="4"/>
  <c r="AL125" i="4"/>
  <c r="AG81" i="4"/>
  <c r="R159" i="4"/>
  <c r="U66" i="4"/>
  <c r="Z34" i="4"/>
  <c r="AP99" i="4"/>
  <c r="BA100" i="4"/>
  <c r="Z46" i="4"/>
  <c r="AA99" i="4"/>
  <c r="R64" i="4"/>
  <c r="AA22" i="4"/>
  <c r="AM83" i="4"/>
  <c r="AH132" i="4"/>
  <c r="X168" i="4"/>
  <c r="AC41" i="4"/>
  <c r="AC33" i="4"/>
  <c r="AA122" i="4"/>
  <c r="M117" i="4"/>
  <c r="S33" i="4"/>
  <c r="AM135" i="4"/>
  <c r="AG46" i="4"/>
  <c r="X136" i="4"/>
  <c r="X150" i="4"/>
  <c r="AB162" i="4"/>
  <c r="AC52" i="4"/>
  <c r="K51" i="4"/>
  <c r="AH127" i="4"/>
  <c r="AP121" i="4"/>
  <c r="AO62" i="4"/>
  <c r="AC136" i="4"/>
  <c r="AM42" i="4"/>
  <c r="S27" i="4"/>
  <c r="W124" i="4"/>
  <c r="P9" i="4"/>
  <c r="AP133" i="4"/>
  <c r="AJ102" i="4"/>
  <c r="W131" i="4"/>
  <c r="Z64" i="4"/>
  <c r="Z118" i="4"/>
  <c r="AK20" i="4"/>
  <c r="L120" i="4"/>
  <c r="L168" i="4"/>
  <c r="AY44" i="4"/>
  <c r="AJ83" i="4"/>
  <c r="X18" i="4"/>
  <c r="Z70" i="4"/>
  <c r="AA146" i="4"/>
  <c r="AF140" i="4"/>
  <c r="L43" i="4"/>
  <c r="K18" i="4"/>
  <c r="AF113" i="4"/>
  <c r="AQ102" i="4"/>
  <c r="AH64" i="4"/>
  <c r="U115" i="4"/>
  <c r="V52" i="4"/>
  <c r="X95" i="4"/>
  <c r="K19" i="4"/>
  <c r="BB38" i="4"/>
  <c r="BB115" i="4"/>
  <c r="BE63" i="4"/>
  <c r="CH124" i="5"/>
  <c r="CF164" i="4"/>
  <c r="N35" i="5"/>
  <c r="W5" i="5"/>
  <c r="CA161" i="4"/>
  <c r="CD139" i="4"/>
  <c r="BE14" i="5"/>
  <c r="BP16" i="5"/>
  <c r="CK14" i="4"/>
  <c r="BZ167" i="4"/>
  <c r="BL96" i="4"/>
  <c r="CD6" i="4"/>
  <c r="L104" i="5"/>
  <c r="CO22" i="4"/>
  <c r="W12" i="5"/>
  <c r="W10" i="5"/>
  <c r="AC25" i="5"/>
  <c r="CJ95" i="4"/>
  <c r="CF61" i="4"/>
  <c r="K105" i="5"/>
  <c r="CP27" i="4"/>
  <c r="CO85" i="4"/>
  <c r="CJ19" i="5"/>
  <c r="BJ119" i="4"/>
  <c r="CD161" i="4"/>
  <c r="BG106" i="5"/>
  <c r="AR34" i="5"/>
  <c r="BI28" i="5"/>
  <c r="CN26" i="4"/>
  <c r="CM146" i="4"/>
  <c r="BI12" i="5"/>
  <c r="BG135" i="4"/>
  <c r="AO5" i="5"/>
  <c r="CO99" i="5"/>
  <c r="CN136" i="4"/>
  <c r="BN11" i="4"/>
  <c r="BQ28" i="5"/>
  <c r="CD49" i="4"/>
  <c r="BJ84" i="4"/>
  <c r="BG10" i="4"/>
  <c r="BX59" i="4"/>
  <c r="CK106" i="4"/>
  <c r="BF168" i="4"/>
  <c r="BA111" i="4"/>
  <c r="AQ13" i="4"/>
  <c r="AY51" i="4"/>
  <c r="AP110" i="4"/>
  <c r="BD141" i="4"/>
  <c r="BJ160" i="4"/>
  <c r="BN34" i="4"/>
  <c r="AZ97" i="4"/>
  <c r="BJ87" i="4"/>
  <c r="BJ62" i="4"/>
  <c r="AY36" i="4"/>
  <c r="BJ51" i="4"/>
  <c r="AY120" i="4"/>
  <c r="CP154" i="4"/>
  <c r="BY130" i="4"/>
  <c r="CC6" i="5"/>
  <c r="BN40" i="4"/>
  <c r="BQ33" i="4"/>
  <c r="BB33" i="4"/>
  <c r="BE20" i="4"/>
  <c r="BI98" i="4"/>
  <c r="BA166" i="4"/>
  <c r="BK25" i="4"/>
  <c r="AH114" i="4"/>
  <c r="R144" i="4"/>
  <c r="BD114" i="4"/>
  <c r="BZ119" i="4"/>
  <c r="BJ97" i="4"/>
  <c r="CK7" i="5"/>
  <c r="BZ74" i="4"/>
  <c r="BX129" i="4"/>
  <c r="BQ102" i="4"/>
  <c r="BG138" i="4"/>
  <c r="CM158" i="4"/>
  <c r="CE73" i="4"/>
  <c r="BK157" i="4"/>
  <c r="BX66" i="4"/>
  <c r="BO77" i="4"/>
  <c r="Z33" i="5"/>
  <c r="BZ121" i="4"/>
  <c r="CJ147" i="4"/>
  <c r="BI26" i="4"/>
  <c r="CF127" i="4"/>
  <c r="BD24" i="4"/>
  <c r="BP12" i="5"/>
  <c r="CE167" i="4"/>
  <c r="BI148" i="4"/>
  <c r="BY34" i="4"/>
  <c r="BO135" i="4"/>
  <c r="M22" i="5"/>
  <c r="CK149" i="4"/>
  <c r="AY150" i="4"/>
  <c r="BN125" i="4"/>
  <c r="BP9" i="4"/>
  <c r="AQ22" i="4"/>
  <c r="AP93" i="4"/>
  <c r="BK82" i="4"/>
  <c r="BI27" i="4"/>
  <c r="AP91" i="4"/>
  <c r="AP10" i="4"/>
  <c r="BK142" i="4"/>
  <c r="BK8" i="4"/>
  <c r="AR11" i="4"/>
  <c r="AP147" i="4"/>
  <c r="BI70" i="4"/>
  <c r="BJ79" i="4"/>
  <c r="AQ79" i="4"/>
  <c r="BF59" i="4"/>
  <c r="AR5" i="4"/>
  <c r="AQ14" i="4"/>
  <c r="BJ44" i="4"/>
  <c r="BB114" i="4"/>
  <c r="BK146" i="4"/>
  <c r="AO163" i="4"/>
  <c r="BI146" i="4"/>
  <c r="CD155" i="4"/>
  <c r="BF82" i="4"/>
  <c r="CD53" i="4"/>
  <c r="BY44" i="4"/>
  <c r="BD118" i="4"/>
  <c r="CC161" i="4"/>
  <c r="CE132" i="4"/>
  <c r="BQ145" i="4"/>
  <c r="AY83" i="4"/>
  <c r="AA102" i="5"/>
  <c r="CC164" i="4"/>
  <c r="CA103" i="4"/>
  <c r="CD81" i="4"/>
  <c r="BO93" i="4"/>
  <c r="AP53" i="4"/>
  <c r="CC36" i="4"/>
  <c r="CF73" i="4"/>
  <c r="BF145" i="4"/>
  <c r="BP125" i="4"/>
  <c r="BL120" i="4"/>
  <c r="CP55" i="4"/>
  <c r="CC16" i="4"/>
  <c r="CD140" i="4"/>
  <c r="CF70" i="4"/>
  <c r="BN164" i="4"/>
  <c r="BZ24" i="5"/>
  <c r="BO37" i="4"/>
  <c r="BF114" i="4"/>
  <c r="BY114" i="4"/>
  <c r="BE32" i="4"/>
  <c r="AK10" i="4"/>
  <c r="BQ148" i="4"/>
  <c r="BQ27" i="4"/>
  <c r="BF150" i="4"/>
  <c r="AL13" i="4"/>
  <c r="BZ76" i="4"/>
  <c r="BN128" i="4"/>
  <c r="BF148" i="4"/>
  <c r="AK77" i="4"/>
  <c r="BN9" i="4"/>
  <c r="BO83" i="4"/>
  <c r="BG143" i="4"/>
  <c r="AL70" i="4"/>
  <c r="BB101" i="4"/>
  <c r="BO147" i="4"/>
  <c r="BN111" i="4"/>
  <c r="AO90" i="4"/>
  <c r="BO115" i="4"/>
  <c r="BG44" i="4"/>
  <c r="BG127" i="4"/>
  <c r="AM65" i="4"/>
  <c r="BP127" i="4"/>
  <c r="BG33" i="4"/>
  <c r="BE123" i="4"/>
  <c r="BY12" i="4"/>
  <c r="BB141" i="4"/>
  <c r="AP50" i="4"/>
  <c r="CH6" i="4"/>
  <c r="AG77" i="4"/>
  <c r="BE163" i="4"/>
  <c r="AP55" i="4"/>
  <c r="AC83" i="4"/>
  <c r="AM46" i="4"/>
  <c r="P62" i="4"/>
  <c r="BJ137" i="4"/>
  <c r="X130" i="5"/>
  <c r="BY54" i="4"/>
  <c r="BL33" i="4"/>
  <c r="K124" i="5"/>
  <c r="BQ107" i="4"/>
  <c r="BQ18" i="4"/>
  <c r="CJ140" i="4"/>
  <c r="CA102" i="4"/>
  <c r="BO5" i="5"/>
  <c r="BO95" i="4"/>
  <c r="BQ136" i="4"/>
  <c r="BQ164" i="4"/>
  <c r="CE59" i="4"/>
  <c r="BP35" i="4"/>
  <c r="BY115" i="4"/>
  <c r="BZ78" i="4"/>
  <c r="BZ26" i="4"/>
  <c r="BJ95" i="4"/>
  <c r="BJ63" i="4"/>
  <c r="CJ142" i="4"/>
  <c r="BP135" i="4"/>
  <c r="BN137" i="4"/>
  <c r="BO30" i="4"/>
  <c r="CK47" i="4"/>
  <c r="CP74" i="4"/>
  <c r="CC100" i="4"/>
  <c r="BF94" i="4"/>
  <c r="BE103" i="4"/>
  <c r="AQ162" i="4"/>
  <c r="AM55" i="4"/>
  <c r="AZ122" i="4"/>
  <c r="BF30" i="4"/>
  <c r="BB118" i="4"/>
  <c r="AH60" i="4"/>
  <c r="BF12" i="4"/>
  <c r="BD115" i="4"/>
  <c r="AY163" i="4"/>
  <c r="AH87" i="4"/>
  <c r="BD167" i="4"/>
  <c r="BD37" i="4"/>
  <c r="AY131" i="4"/>
  <c r="AF146" i="4"/>
  <c r="BO4" i="4"/>
  <c r="BE96" i="4"/>
  <c r="BD142" i="4"/>
  <c r="AM84" i="4"/>
  <c r="BF22" i="4"/>
  <c r="AR133" i="4"/>
  <c r="AP23" i="4"/>
  <c r="AG50" i="4"/>
  <c r="BG101" i="4"/>
  <c r="AQ25" i="4"/>
  <c r="AQ123" i="4"/>
  <c r="BP44" i="4"/>
  <c r="AZ157" i="4"/>
  <c r="BL131" i="4"/>
  <c r="AO16" i="4"/>
  <c r="BA116" i="4"/>
  <c r="BB88" i="4"/>
  <c r="AL119" i="4"/>
  <c r="AC129" i="4"/>
  <c r="AC82" i="4"/>
  <c r="BB57" i="4"/>
  <c r="BY6" i="4"/>
  <c r="Q5" i="5"/>
  <c r="CD124" i="4"/>
  <c r="BQ125" i="4"/>
  <c r="V7" i="5"/>
  <c r="CC82" i="4"/>
  <c r="CF98" i="4"/>
  <c r="BX48" i="4"/>
  <c r="BG108" i="4"/>
  <c r="CN162" i="4"/>
  <c r="CH17" i="4"/>
  <c r="BL48" i="4"/>
  <c r="CD130" i="4"/>
  <c r="BQ135" i="4"/>
  <c r="AY22" i="5"/>
  <c r="CE51" i="4"/>
  <c r="CJ161" i="4"/>
  <c r="BQ40" i="4"/>
  <c r="BG125" i="4"/>
  <c r="BJ50" i="4"/>
  <c r="AE103" i="5"/>
  <c r="CJ109" i="4"/>
  <c r="BL137" i="4"/>
  <c r="CF114" i="4"/>
  <c r="BP133" i="4"/>
  <c r="BQ104" i="5"/>
  <c r="BO36" i="4"/>
  <c r="BE164" i="4"/>
  <c r="AP115" i="4"/>
  <c r="AR14" i="4"/>
  <c r="CJ114" i="4"/>
  <c r="BD166" i="4"/>
  <c r="CD74" i="4"/>
  <c r="CC78" i="4"/>
  <c r="BE12" i="4"/>
  <c r="BF79" i="4"/>
  <c r="CI161" i="4"/>
  <c r="CH125" i="4"/>
  <c r="BF61" i="4"/>
  <c r="BG69" i="4"/>
  <c r="CH134" i="4"/>
  <c r="CI62" i="4"/>
  <c r="BG148" i="4"/>
  <c r="BG6" i="4"/>
  <c r="BB143" i="4"/>
  <c r="BA112" i="4"/>
  <c r="BQ49" i="4"/>
  <c r="AP102" i="4"/>
  <c r="CF157" i="4"/>
  <c r="BK15" i="4"/>
  <c r="BN133" i="4"/>
  <c r="BQ84" i="4"/>
  <c r="BQ91" i="4"/>
  <c r="CO107" i="4"/>
  <c r="BO54" i="4"/>
  <c r="BK77" i="4"/>
  <c r="CI11" i="4"/>
  <c r="BD147" i="4"/>
  <c r="BP40" i="4"/>
  <c r="AZ105" i="4"/>
  <c r="CN83" i="4"/>
  <c r="CC101" i="4"/>
  <c r="CH110" i="4"/>
  <c r="BF25" i="4"/>
  <c r="BP110" i="4"/>
  <c r="AZ137" i="4"/>
  <c r="CP13" i="5"/>
  <c r="CD65" i="4"/>
  <c r="BI158" i="4"/>
  <c r="BY35" i="4"/>
  <c r="BQ99" i="4"/>
  <c r="CH12" i="5"/>
  <c r="CI135" i="4"/>
  <c r="CE32" i="4"/>
  <c r="BE110" i="4"/>
  <c r="BQ51" i="4"/>
  <c r="AO114" i="5"/>
  <c r="BZ128" i="4"/>
  <c r="BZ93" i="4"/>
  <c r="BA128" i="4"/>
  <c r="BJ156" i="4"/>
  <c r="AZ33" i="4"/>
  <c r="CA128" i="4"/>
  <c r="AQ134" i="4"/>
  <c r="BG80" i="4"/>
  <c r="AO18" i="4"/>
  <c r="CK13" i="4"/>
  <c r="BB153" i="4"/>
  <c r="BG29" i="4"/>
  <c r="AQ45" i="4"/>
  <c r="CI73" i="4"/>
  <c r="BB7" i="4"/>
  <c r="BF16" i="4"/>
  <c r="AP104" i="4"/>
  <c r="BG124" i="4"/>
  <c r="BA121" i="4"/>
  <c r="AY29" i="4"/>
  <c r="BN107" i="4"/>
  <c r="AY80" i="4"/>
  <c r="BG89" i="4"/>
  <c r="BD34" i="4"/>
  <c r="AR149" i="4"/>
  <c r="AY165" i="4"/>
  <c r="BF65" i="4"/>
  <c r="BD8" i="4"/>
  <c r="AQ43" i="4"/>
  <c r="BG161" i="4"/>
  <c r="BA32" i="4"/>
  <c r="AZ98" i="4"/>
  <c r="AH117" i="4"/>
  <c r="AJ70" i="4"/>
  <c r="BB34" i="4"/>
  <c r="AJ119" i="4"/>
  <c r="W156" i="4"/>
  <c r="X152" i="4"/>
  <c r="AL79" i="4"/>
  <c r="AO83" i="4"/>
  <c r="AF88" i="4"/>
  <c r="V164" i="4"/>
  <c r="U151" i="4"/>
  <c r="L119" i="4"/>
  <c r="AK90" i="4"/>
  <c r="BG66" i="4"/>
  <c r="BE27" i="4"/>
  <c r="U24" i="4"/>
  <c r="U145" i="4"/>
  <c r="AA39" i="4"/>
  <c r="L136" i="4"/>
  <c r="X116" i="4"/>
  <c r="AM19" i="4"/>
  <c r="AY153" i="4"/>
  <c r="AR39" i="4"/>
  <c r="W30" i="4"/>
  <c r="W50" i="4"/>
  <c r="AA18" i="4"/>
  <c r="N133" i="4"/>
  <c r="BB135" i="4"/>
  <c r="AQ109" i="4"/>
  <c r="AK65" i="4"/>
  <c r="Z15" i="4"/>
  <c r="AB22" i="4"/>
  <c r="M144" i="4"/>
  <c r="P131" i="4"/>
  <c r="N118" i="4"/>
  <c r="AJ157" i="4"/>
  <c r="AG151" i="4"/>
  <c r="S49" i="4"/>
  <c r="V18" i="4"/>
  <c r="V105" i="4"/>
  <c r="AB56" i="4"/>
  <c r="N68" i="4"/>
  <c r="N19" i="4"/>
  <c r="AJ27" i="4"/>
  <c r="AH159" i="4"/>
  <c r="Q147" i="4"/>
  <c r="W27" i="4"/>
  <c r="U121" i="4"/>
  <c r="Z135" i="4"/>
  <c r="K148" i="4"/>
  <c r="AH73" i="4"/>
  <c r="AO124" i="4"/>
  <c r="AR154" i="4"/>
  <c r="AB74" i="4"/>
  <c r="AH19" i="4"/>
  <c r="P38" i="4"/>
  <c r="X100" i="4"/>
  <c r="S99" i="4"/>
  <c r="AR48" i="4"/>
  <c r="BB9" i="4"/>
  <c r="AO58" i="4"/>
  <c r="CP30" i="5"/>
  <c r="BY120" i="5"/>
  <c r="CO117" i="5"/>
  <c r="CP10" i="5"/>
  <c r="BE82" i="4"/>
  <c r="BA34" i="5"/>
  <c r="CF116" i="4"/>
  <c r="AE39" i="5"/>
  <c r="BX131" i="4"/>
  <c r="BP87" i="4"/>
  <c r="CA36" i="4"/>
  <c r="W29" i="5"/>
  <c r="N5" i="5"/>
  <c r="CP84" i="4"/>
  <c r="BZ130" i="4"/>
  <c r="AB126" i="5"/>
  <c r="CE163" i="4"/>
  <c r="Z111" i="5"/>
  <c r="AH124" i="5"/>
  <c r="BP28" i="5"/>
  <c r="CH117" i="4"/>
  <c r="CH148" i="4"/>
  <c r="AQ22" i="5"/>
  <c r="AQ115" i="4"/>
  <c r="BZ162" i="4"/>
  <c r="AJ49" i="5"/>
  <c r="L23" i="5"/>
  <c r="BL17" i="5"/>
  <c r="CM63" i="4"/>
  <c r="CP145" i="4"/>
  <c r="AC115" i="5"/>
  <c r="BQ9" i="5"/>
  <c r="CD125" i="5"/>
  <c r="AC101" i="5"/>
  <c r="BJ63" i="5"/>
  <c r="AL52" i="5"/>
  <c r="BG18" i="5"/>
  <c r="CJ102" i="4"/>
  <c r="CC166" i="4"/>
  <c r="R119" i="5"/>
  <c r="CO25" i="4"/>
  <c r="BP99" i="4"/>
  <c r="CD144" i="4"/>
  <c r="BK161" i="4"/>
  <c r="BF63" i="4"/>
  <c r="CI114" i="4"/>
  <c r="BD12" i="4"/>
  <c r="AF58" i="4"/>
  <c r="CC50" i="4"/>
  <c r="BJ85" i="4"/>
  <c r="BZ118" i="4"/>
  <c r="BD126" i="4"/>
  <c r="BB113" i="4"/>
  <c r="BE168" i="4"/>
  <c r="AP73" i="4"/>
  <c r="AB123" i="4"/>
  <c r="BZ33" i="4"/>
  <c r="BN115" i="4"/>
  <c r="CF112" i="4"/>
  <c r="BN106" i="4"/>
  <c r="BQ4" i="4"/>
  <c r="BG94" i="4"/>
  <c r="AQ121" i="4"/>
  <c r="BG32" i="4"/>
  <c r="AM115" i="4"/>
  <c r="AP47" i="4"/>
  <c r="AO15" i="4"/>
  <c r="Q123" i="4"/>
  <c r="AY28" i="4"/>
  <c r="BJ35" i="4"/>
  <c r="BO22" i="4"/>
  <c r="CJ17" i="5"/>
  <c r="BI163" i="4"/>
  <c r="BN104" i="4"/>
  <c r="BI62" i="4"/>
  <c r="BA60" i="4"/>
  <c r="CF29" i="4"/>
  <c r="BX20" i="4"/>
  <c r="CC125" i="4"/>
  <c r="BQ156" i="4"/>
  <c r="BL136" i="4"/>
  <c r="BD97" i="5"/>
  <c r="CI16" i="4"/>
  <c r="CF33" i="4"/>
  <c r="BD105" i="4"/>
  <c r="BO79" i="4"/>
  <c r="AZ167" i="4"/>
  <c r="CJ160" i="4"/>
  <c r="BZ103" i="4"/>
  <c r="CE76" i="4"/>
  <c r="BN90" i="4"/>
  <c r="BJ89" i="4"/>
  <c r="Q105" i="5"/>
  <c r="CD15" i="4"/>
  <c r="CD167" i="4"/>
  <c r="BG136" i="4"/>
  <c r="BD17" i="4"/>
  <c r="AK113" i="4"/>
  <c r="BQ57" i="4"/>
  <c r="BF105" i="4"/>
  <c r="BG155" i="4"/>
  <c r="AM121" i="4"/>
  <c r="CA108" i="4"/>
  <c r="BE7" i="4"/>
  <c r="BE101" i="4"/>
  <c r="AL20" i="4"/>
  <c r="BZ73" i="4"/>
  <c r="BF55" i="4"/>
  <c r="BG145" i="4"/>
  <c r="BZ5" i="4"/>
  <c r="AZ127" i="4"/>
  <c r="BP142" i="4"/>
  <c r="AY167" i="4"/>
  <c r="CF92" i="4"/>
  <c r="BN109" i="4"/>
  <c r="BD156" i="4"/>
  <c r="AM18" i="4"/>
  <c r="CA61" i="4"/>
  <c r="BJ92" i="4"/>
  <c r="AY33" i="4"/>
  <c r="BZ39" i="4"/>
  <c r="BI136" i="4"/>
  <c r="AK135" i="5"/>
  <c r="BY144" i="4"/>
  <c r="BO134" i="4"/>
  <c r="BK43" i="4"/>
  <c r="CA27" i="4"/>
  <c r="CK16" i="5"/>
  <c r="BP100" i="4"/>
  <c r="BP94" i="4"/>
  <c r="BN93" i="4"/>
  <c r="CI128" i="4"/>
  <c r="BQ104" i="4"/>
  <c r="BY147" i="4"/>
  <c r="BY107" i="4"/>
  <c r="BX142" i="4"/>
  <c r="BL139" i="4"/>
  <c r="BI99" i="4"/>
  <c r="CN28" i="4"/>
  <c r="CA49" i="4"/>
  <c r="BP98" i="4"/>
  <c r="BQ116" i="4"/>
  <c r="BI68" i="4"/>
  <c r="AP14" i="5"/>
  <c r="CD24" i="4"/>
  <c r="BI123" i="4"/>
  <c r="BG102" i="4"/>
  <c r="BB76" i="4"/>
  <c r="AJ7" i="4"/>
  <c r="BF143" i="4"/>
  <c r="BD42" i="4"/>
  <c r="AY136" i="4"/>
  <c r="AH91" i="4"/>
  <c r="BD90" i="4"/>
  <c r="BE11" i="4"/>
  <c r="BB93" i="4"/>
  <c r="AJ84" i="4"/>
  <c r="BD39" i="4"/>
  <c r="BE115" i="4"/>
  <c r="AZ74" i="4"/>
  <c r="AJ65" i="4"/>
  <c r="BZ96" i="4"/>
  <c r="BD127" i="4"/>
  <c r="BG68" i="4"/>
  <c r="AJ76" i="4"/>
  <c r="BE104" i="4"/>
  <c r="AZ115" i="4"/>
  <c r="BA97" i="4"/>
  <c r="AE155" i="4"/>
  <c r="BG91" i="4"/>
  <c r="BA155" i="4"/>
  <c r="BA14" i="4"/>
  <c r="BX73" i="4"/>
  <c r="AZ14" i="4"/>
  <c r="BI119" i="4"/>
  <c r="AQ125" i="4"/>
  <c r="BA136" i="4"/>
  <c r="AO150" i="4"/>
  <c r="AL95" i="4"/>
  <c r="AC157" i="4"/>
  <c r="AA133" i="4"/>
  <c r="AZ18" i="4"/>
  <c r="CA77" i="4"/>
  <c r="AZ24" i="5"/>
  <c r="CC109" i="4"/>
  <c r="BY103" i="4"/>
  <c r="M26" i="5"/>
  <c r="CF21" i="4"/>
  <c r="CK73" i="4"/>
  <c r="BZ112" i="4"/>
  <c r="BE97" i="4"/>
  <c r="CA9" i="5"/>
  <c r="CJ75" i="4"/>
  <c r="BJ20" i="4"/>
  <c r="CF43" i="4"/>
  <c r="BO138" i="4"/>
  <c r="K111" i="5"/>
  <c r="CF153" i="4"/>
  <c r="CI59" i="4"/>
  <c r="BP45" i="4"/>
  <c r="BE37" i="4"/>
  <c r="BJ52" i="4"/>
  <c r="CH109" i="4"/>
  <c r="CI65" i="4"/>
  <c r="BK54" i="4"/>
  <c r="CI103" i="4"/>
  <c r="BX53" i="4"/>
  <c r="CO59" i="4"/>
  <c r="CA134" i="4"/>
  <c r="BL49" i="4"/>
  <c r="BA103" i="4"/>
  <c r="AZ29" i="4"/>
  <c r="AE82" i="4"/>
  <c r="BE161" i="4"/>
  <c r="BB106" i="4"/>
  <c r="CK4" i="4"/>
  <c r="BF159" i="4"/>
  <c r="BG65" i="4"/>
  <c r="AQ104" i="4"/>
  <c r="AR141" i="4"/>
  <c r="CA15" i="4"/>
  <c r="BD135" i="4"/>
  <c r="AZ53" i="4"/>
  <c r="BB15" i="4"/>
  <c r="BP151" i="4"/>
  <c r="BE50" i="4"/>
  <c r="AY142" i="4"/>
  <c r="AQ143" i="4"/>
  <c r="BY7" i="4"/>
  <c r="BB24" i="4"/>
  <c r="AZ77" i="4"/>
  <c r="AR76" i="4"/>
  <c r="BX104" i="4"/>
  <c r="AZ91" i="4"/>
  <c r="AQ114" i="4"/>
  <c r="AQ130" i="4"/>
  <c r="BY33" i="4"/>
  <c r="BK81" i="4"/>
  <c r="BG18" i="4"/>
  <c r="AK88" i="4"/>
  <c r="AM75" i="4"/>
  <c r="AK51" i="4"/>
  <c r="AF91" i="4"/>
  <c r="W155" i="4"/>
  <c r="X45" i="4"/>
  <c r="CF159" i="4"/>
  <c r="BJ45" i="4"/>
  <c r="P7" i="5"/>
  <c r="BP157" i="4"/>
  <c r="CJ164" i="4"/>
  <c r="CN53" i="4"/>
  <c r="BP96" i="4"/>
  <c r="BN88" i="4"/>
  <c r="BQ11" i="4"/>
  <c r="AY45" i="4"/>
  <c r="CD17" i="4"/>
  <c r="CC49" i="4"/>
  <c r="BE79" i="4"/>
  <c r="BN51" i="4"/>
  <c r="BL17" i="4"/>
  <c r="AM8" i="5"/>
  <c r="BY159" i="4"/>
  <c r="CD37" i="4"/>
  <c r="BJ134" i="4"/>
  <c r="BX150" i="4"/>
  <c r="BG154" i="4"/>
  <c r="CH159" i="4"/>
  <c r="CF122" i="4"/>
  <c r="BG27" i="4"/>
  <c r="BO24" i="4"/>
  <c r="BP62" i="4"/>
  <c r="CI16" i="5"/>
  <c r="CI46" i="4"/>
  <c r="AQ135" i="4"/>
  <c r="BK60" i="4"/>
  <c r="BI28" i="4"/>
  <c r="AP5" i="4"/>
  <c r="BB98" i="4"/>
  <c r="BL37" i="4"/>
  <c r="BG146" i="4"/>
  <c r="AY70" i="4"/>
  <c r="AP13" i="4"/>
  <c r="BJ154" i="4"/>
  <c r="BK29" i="4"/>
  <c r="AP51" i="4"/>
  <c r="AR150" i="4"/>
  <c r="BL153" i="4"/>
  <c r="BI38" i="4"/>
  <c r="CE88" i="4"/>
  <c r="AY111" i="4"/>
  <c r="BA29" i="4"/>
  <c r="AY116" i="4"/>
  <c r="BN85" i="4"/>
  <c r="AZ21" i="4"/>
  <c r="BL88" i="4"/>
  <c r="AO57" i="4"/>
  <c r="BP113" i="4"/>
  <c r="BN148" i="4"/>
  <c r="BA87" i="4"/>
  <c r="CD159" i="4"/>
  <c r="BO96" i="4"/>
  <c r="BB161" i="4"/>
  <c r="CE166" i="4"/>
  <c r="BY136" i="4"/>
  <c r="BK96" i="4"/>
  <c r="BB167" i="4"/>
  <c r="CM161" i="4"/>
  <c r="BX62" i="4"/>
  <c r="BX76" i="4"/>
  <c r="CA25" i="4"/>
  <c r="BL6" i="4"/>
  <c r="AY109" i="4"/>
  <c r="CJ115" i="4"/>
  <c r="BZ19" i="4"/>
  <c r="CF5" i="4"/>
  <c r="BO64" i="4"/>
  <c r="BK94" i="4"/>
  <c r="CA11" i="5"/>
  <c r="BY90" i="4"/>
  <c r="BY99" i="4"/>
  <c r="CA105" i="4"/>
  <c r="BI101" i="4"/>
  <c r="R107" i="5"/>
  <c r="CI118" i="4"/>
  <c r="BL156" i="4"/>
  <c r="BJ64" i="4"/>
  <c r="BE35" i="4"/>
  <c r="AK44" i="4"/>
  <c r="BQ87" i="4"/>
  <c r="BJ46" i="4"/>
  <c r="BG63" i="4"/>
  <c r="AM160" i="4"/>
  <c r="BY146" i="4"/>
  <c r="BI141" i="4"/>
  <c r="BG167" i="4"/>
  <c r="AJ52" i="4"/>
  <c r="CA81" i="4"/>
  <c r="BJ167" i="4"/>
  <c r="BE84" i="4"/>
  <c r="AK140" i="4"/>
  <c r="BB44" i="4"/>
  <c r="BJ16" i="4"/>
  <c r="BJ153" i="4"/>
  <c r="AP163" i="4"/>
  <c r="BK123" i="4"/>
  <c r="BE146" i="4"/>
  <c r="BD26" i="4"/>
  <c r="AJ138" i="4"/>
  <c r="BI34" i="4"/>
  <c r="BE135" i="4"/>
  <c r="BD13" i="4"/>
  <c r="CI18" i="4"/>
  <c r="AQ147" i="4"/>
  <c r="BN131" i="4"/>
  <c r="BB36" i="4"/>
  <c r="AH45" i="4"/>
  <c r="AQ40" i="4"/>
  <c r="AP168" i="4"/>
  <c r="AB113" i="4"/>
  <c r="AG14" i="4"/>
  <c r="R115" i="4"/>
  <c r="CJ63" i="4"/>
  <c r="BA10" i="4"/>
  <c r="Z61" i="4"/>
  <c r="BJ65" i="4"/>
  <c r="L155" i="4"/>
  <c r="AH38" i="4"/>
  <c r="AY140" i="4"/>
  <c r="AP160" i="4"/>
  <c r="AB44" i="4"/>
  <c r="AF137" i="4"/>
  <c r="P137" i="4"/>
  <c r="V121" i="4"/>
  <c r="S122" i="4"/>
  <c r="AE156" i="4"/>
  <c r="AQ138" i="4"/>
  <c r="AQ7" i="4"/>
  <c r="AC93" i="4"/>
  <c r="AF24" i="4"/>
  <c r="S152" i="4"/>
  <c r="AB31" i="4"/>
  <c r="R133" i="4"/>
  <c r="AO128" i="4"/>
  <c r="AJ5" i="4"/>
  <c r="AG160" i="4"/>
  <c r="W21" i="4"/>
  <c r="W71" i="4"/>
  <c r="AE97" i="4"/>
  <c r="N147" i="4"/>
  <c r="AR35" i="4"/>
  <c r="AH101" i="4"/>
  <c r="AY18" i="4"/>
  <c r="AE166" i="4"/>
  <c r="R13" i="4"/>
  <c r="W65" i="4"/>
  <c r="V98" i="4"/>
  <c r="AJ139" i="4"/>
  <c r="AL36" i="4"/>
  <c r="AH137" i="4"/>
  <c r="BB104" i="4"/>
  <c r="AG111" i="4"/>
  <c r="R66" i="4"/>
  <c r="Q40" i="4"/>
  <c r="X143" i="4"/>
  <c r="AA56" i="4"/>
  <c r="AP152" i="4"/>
  <c r="AK61" i="4"/>
  <c r="AM47" i="4"/>
  <c r="V166" i="4"/>
  <c r="AC116" i="4"/>
  <c r="AL4" i="4"/>
  <c r="BG33" i="5"/>
  <c r="CN17" i="4"/>
  <c r="CC110" i="4"/>
  <c r="U23" i="5"/>
  <c r="CJ22" i="4"/>
  <c r="W99" i="5"/>
  <c r="BY4" i="4"/>
  <c r="Q106" i="5"/>
  <c r="CA150" i="4"/>
  <c r="BL157" i="4"/>
  <c r="BI115" i="5"/>
  <c r="BB13" i="5"/>
  <c r="AO101" i="5"/>
  <c r="CO76" i="4"/>
  <c r="CA126" i="4"/>
  <c r="AO20" i="5"/>
  <c r="CH90" i="4"/>
  <c r="AY120" i="5"/>
  <c r="AJ12" i="5"/>
  <c r="AH101" i="5"/>
  <c r="CJ91" i="4"/>
  <c r="CJ113" i="5"/>
  <c r="CN26" i="5"/>
  <c r="CJ38" i="4"/>
  <c r="BZ79" i="4"/>
  <c r="CC13" i="5"/>
  <c r="CF102" i="5"/>
  <c r="BN110" i="5"/>
  <c r="CP46" i="4"/>
  <c r="CM144" i="4"/>
  <c r="CE19" i="4"/>
  <c r="CH98" i="4"/>
  <c r="AR114" i="5"/>
  <c r="CA75" i="4"/>
  <c r="AZ31" i="5"/>
  <c r="CF115" i="5"/>
  <c r="AJ22" i="5"/>
  <c r="BI154" i="4"/>
  <c r="BD161" i="4"/>
  <c r="BX74" i="4"/>
  <c r="BK78" i="4"/>
  <c r="BJ23" i="4"/>
  <c r="CF75" i="4"/>
  <c r="BI168" i="4"/>
  <c r="BE100" i="4"/>
  <c r="BJ29" i="4"/>
  <c r="AO67" i="4"/>
  <c r="Q49" i="4"/>
  <c r="BY113" i="4"/>
  <c r="CK117" i="4"/>
  <c r="BZ156" i="4"/>
  <c r="BE151" i="4"/>
  <c r="AY156" i="4"/>
  <c r="AQ164" i="4"/>
  <c r="AJ98" i="4"/>
  <c r="AH44" i="4"/>
  <c r="BY127" i="4"/>
  <c r="AK38" i="5"/>
  <c r="BL38" i="4"/>
  <c r="AZ107" i="4"/>
  <c r="AP37" i="4"/>
  <c r="BF51" i="4"/>
  <c r="BB47" i="4"/>
  <c r="AQ11" i="4"/>
  <c r="BJ18" i="4"/>
  <c r="AZ38" i="4"/>
  <c r="AF26" i="4"/>
  <c r="AC80" i="4"/>
  <c r="AY145" i="4"/>
  <c r="CA44" i="4"/>
  <c r="BK131" i="4"/>
  <c r="BX87" i="4"/>
  <c r="BX120" i="4"/>
  <c r="BJ118" i="4"/>
  <c r="CI160" i="4"/>
  <c r="L33" i="5"/>
  <c r="CI15" i="4"/>
  <c r="BX158" i="4"/>
  <c r="BP70" i="4"/>
  <c r="BL151" i="4"/>
  <c r="BX157" i="4"/>
  <c r="CE15" i="5"/>
  <c r="BY161" i="4"/>
  <c r="BY8" i="4"/>
  <c r="BX112" i="4"/>
  <c r="BI133" i="4"/>
  <c r="BB42" i="4"/>
  <c r="BZ104" i="4"/>
  <c r="BZ52" i="4"/>
  <c r="BQ38" i="4"/>
  <c r="BI100" i="4"/>
  <c r="CD149" i="4"/>
  <c r="BZ164" i="4"/>
  <c r="CC94" i="4"/>
  <c r="BK137" i="4"/>
  <c r="AQ66" i="4"/>
  <c r="AQ124" i="4"/>
  <c r="AJ72" i="4"/>
  <c r="BD139" i="4"/>
  <c r="AP82" i="4"/>
  <c r="BA15" i="4"/>
  <c r="AH116" i="4"/>
  <c r="BE147" i="4"/>
  <c r="AZ116" i="4"/>
  <c r="AY84" i="4"/>
  <c r="AJ137" i="4"/>
  <c r="BG114" i="4"/>
  <c r="BB52" i="4"/>
  <c r="AY128" i="4"/>
  <c r="BL98" i="4"/>
  <c r="CI109" i="4"/>
  <c r="BG42" i="4"/>
  <c r="AQ163" i="4"/>
  <c r="BD94" i="4"/>
  <c r="BE22" i="4"/>
  <c r="AP49" i="4"/>
  <c r="AL82" i="4"/>
  <c r="BF53" i="4"/>
  <c r="CC85" i="4"/>
  <c r="BA99" i="5"/>
  <c r="CE66" i="4"/>
  <c r="BY9" i="4"/>
  <c r="BX104" i="5"/>
  <c r="CC135" i="4"/>
  <c r="CJ56" i="4"/>
  <c r="BX94" i="4"/>
  <c r="BE21" i="4"/>
  <c r="BK8" i="5"/>
  <c r="CI99" i="4"/>
  <c r="BI160" i="4"/>
  <c r="CD150" i="4"/>
  <c r="BX4" i="4"/>
  <c r="V21" i="5"/>
  <c r="CK36" i="4"/>
  <c r="CI53" i="4"/>
  <c r="BN8" i="4"/>
  <c r="BK5" i="4"/>
  <c r="BL138" i="4"/>
  <c r="CP90" i="4"/>
  <c r="CH145" i="4"/>
  <c r="BL52" i="4"/>
  <c r="CK46" i="4"/>
  <c r="CA59" i="4"/>
  <c r="BF104" i="5"/>
  <c r="BY151" i="4"/>
  <c r="BN59" i="4"/>
  <c r="BD52" i="4"/>
  <c r="AY32" i="4"/>
  <c r="AH63" i="4"/>
  <c r="BF87" i="4"/>
  <c r="AP94" i="4"/>
  <c r="AQ89" i="4"/>
  <c r="CC138" i="4"/>
  <c r="BL12" i="4"/>
  <c r="BB79" i="4"/>
  <c r="BA37" i="4"/>
  <c r="AG143" i="4"/>
  <c r="BI80" i="4"/>
  <c r="AY118" i="4"/>
  <c r="BA96" i="4"/>
  <c r="AG66" i="4"/>
  <c r="BF124" i="4"/>
  <c r="BA63" i="4"/>
  <c r="BB40" i="4"/>
  <c r="CF107" i="4"/>
  <c r="AY77" i="4"/>
  <c r="AY37" i="4"/>
  <c r="AQ56" i="4"/>
  <c r="CD57" i="4"/>
  <c r="AP71" i="4"/>
  <c r="AY121" i="4"/>
  <c r="AP114" i="4"/>
  <c r="BK10" i="4"/>
  <c r="BN166" i="4"/>
  <c r="BG38" i="4"/>
  <c r="AJ63" i="4"/>
  <c r="AQ107" i="4"/>
  <c r="AL72" i="4"/>
  <c r="AH99" i="4"/>
  <c r="U91" i="4"/>
  <c r="U27" i="4"/>
  <c r="CD162" i="4"/>
  <c r="BI161" i="4"/>
  <c r="CN47" i="4"/>
  <c r="BQ154" i="4"/>
  <c r="BL144" i="4"/>
  <c r="BZ4" i="5"/>
  <c r="BN116" i="4"/>
  <c r="BX67" i="4"/>
  <c r="BO168" i="4"/>
  <c r="BD4" i="4"/>
  <c r="CK82" i="4"/>
  <c r="CE49" i="4"/>
  <c r="BD33" i="4"/>
  <c r="BO114" i="4"/>
  <c r="BP42" i="4"/>
  <c r="BE117" i="5"/>
  <c r="CA141" i="4"/>
  <c r="CD22" i="4"/>
  <c r="BL112" i="4"/>
  <c r="CA20" i="4"/>
  <c r="BE95" i="4"/>
  <c r="CJ51" i="4"/>
  <c r="CC58" i="4"/>
  <c r="BL86" i="4"/>
  <c r="BQ36" i="4"/>
  <c r="BN10" i="4"/>
  <c r="CO89" i="4"/>
  <c r="CH91" i="4"/>
  <c r="AR15" i="4"/>
  <c r="BJ11" i="4"/>
  <c r="BJ93" i="4"/>
  <c r="AY42" i="4"/>
  <c r="AP36" i="4"/>
  <c r="BL143" i="4"/>
  <c r="BL45" i="4"/>
  <c r="BB120" i="4"/>
  <c r="AP63" i="4"/>
  <c r="BJ155" i="4"/>
  <c r="BL63" i="4"/>
  <c r="AP25" i="4"/>
  <c r="AR165" i="4"/>
  <c r="BI104" i="4"/>
  <c r="BK95" i="4"/>
  <c r="CK104" i="4"/>
  <c r="BA164" i="4"/>
  <c r="AQ126" i="4"/>
  <c r="BA66" i="4"/>
  <c r="CA91" i="4"/>
  <c r="BA64" i="4"/>
  <c r="BJ128" i="4"/>
  <c r="AO8" i="4"/>
  <c r="BY138" i="4"/>
  <c r="BA45" i="4"/>
  <c r="BJ111" i="4"/>
  <c r="AO56" i="4"/>
  <c r="AR44" i="4"/>
  <c r="BD128" i="4"/>
  <c r="BA137" i="4"/>
  <c r="AE142" i="4"/>
  <c r="AM151" i="4"/>
  <c r="AG43" i="4"/>
  <c r="AY87" i="4"/>
  <c r="P57" i="4"/>
  <c r="U36" i="4"/>
  <c r="BY25" i="4"/>
  <c r="BN5" i="4"/>
  <c r="CJ17" i="4"/>
  <c r="BI17" i="4"/>
  <c r="BO74" i="4"/>
  <c r="CE126" i="4"/>
  <c r="BE91" i="4"/>
  <c r="BP38" i="4"/>
  <c r="BJ112" i="4"/>
  <c r="AY139" i="4"/>
  <c r="CC104" i="4"/>
  <c r="BY108" i="4"/>
  <c r="BZ155" i="4"/>
  <c r="BK9" i="4"/>
  <c r="BI151" i="4"/>
  <c r="CN112" i="5"/>
  <c r="CC136" i="4"/>
  <c r="CI168" i="4"/>
  <c r="CI25" i="4"/>
  <c r="BQ95" i="4"/>
  <c r="AP20" i="4"/>
  <c r="CC27" i="4"/>
  <c r="BX33" i="4"/>
  <c r="BZ115" i="4"/>
  <c r="BL29" i="4"/>
  <c r="BK107" i="4"/>
  <c r="CK6" i="4"/>
  <c r="CC129" i="4"/>
  <c r="BN105" i="4"/>
  <c r="BF14" i="4"/>
  <c r="BD28" i="4"/>
  <c r="AJ13" i="4"/>
  <c r="BJ77" i="4"/>
  <c r="BE70" i="4"/>
  <c r="BG57" i="4"/>
  <c r="AL107" i="4"/>
  <c r="BJ148" i="4"/>
  <c r="BG11" i="4"/>
  <c r="BE15" i="4"/>
  <c r="AJ19" i="4"/>
  <c r="BI91" i="4"/>
  <c r="BG132" i="4"/>
  <c r="BG87" i="4"/>
  <c r="BF103" i="4"/>
  <c r="AR80" i="4"/>
  <c r="BK72" i="4"/>
  <c r="AO103" i="4"/>
  <c r="CC17" i="4"/>
  <c r="BK37" i="4"/>
  <c r="BG31" i="4"/>
  <c r="AM120" i="4"/>
  <c r="CC68" i="4"/>
  <c r="BI67" i="4"/>
  <c r="BD13" i="5"/>
  <c r="CJ135" i="4"/>
  <c r="BK136" i="4"/>
  <c r="R114" i="5"/>
  <c r="CJ96" i="4"/>
  <c r="BP106" i="4"/>
  <c r="CE55" i="4"/>
  <c r="BQ26" i="4"/>
  <c r="CJ105" i="4"/>
  <c r="CJ64" i="4"/>
  <c r="BO124" i="4"/>
  <c r="BP121" i="4"/>
  <c r="CF12" i="4"/>
  <c r="BL21" i="4"/>
  <c r="BZ57" i="4"/>
  <c r="BZ84" i="4"/>
  <c r="BN41" i="4"/>
  <c r="BI114" i="4"/>
  <c r="CH111" i="4"/>
  <c r="BF99" i="5"/>
  <c r="BP124" i="4"/>
  <c r="BP117" i="4"/>
  <c r="BO73" i="4"/>
  <c r="CE28" i="4"/>
  <c r="CP28" i="5"/>
  <c r="BY97" i="4"/>
  <c r="BA61" i="4"/>
  <c r="BF99" i="4"/>
  <c r="AR151" i="4"/>
  <c r="AG71" i="4"/>
  <c r="BB163" i="4"/>
  <c r="BG86" i="4"/>
  <c r="BB46" i="4"/>
  <c r="AE75" i="4"/>
  <c r="AR152" i="4"/>
  <c r="BG46" i="4"/>
  <c r="AY112" i="4"/>
  <c r="AF19" i="4"/>
  <c r="AQ156" i="4"/>
  <c r="BE36" i="4"/>
  <c r="AP4" i="4"/>
  <c r="AF97" i="4"/>
  <c r="BP88" i="4"/>
  <c r="BD76" i="4"/>
  <c r="BG52" i="4"/>
  <c r="AL112" i="4"/>
  <c r="BE9" i="4"/>
  <c r="AQ159" i="4"/>
  <c r="AR140" i="4"/>
  <c r="AF115" i="4"/>
  <c r="BE39" i="4"/>
  <c r="AP141" i="4"/>
  <c r="AP32" i="4"/>
  <c r="BP86" i="4"/>
  <c r="AR59" i="4"/>
  <c r="BD65" i="4"/>
  <c r="AP80" i="4"/>
  <c r="AQ142" i="4"/>
  <c r="AK59" i="4"/>
  <c r="AM45" i="4"/>
  <c r="U22" i="4"/>
  <c r="AC58" i="4"/>
  <c r="BE62" i="4"/>
  <c r="AZ152" i="4"/>
  <c r="BB85" i="4"/>
  <c r="R90" i="4"/>
  <c r="AA105" i="4"/>
  <c r="K74" i="4"/>
  <c r="AY8" i="4"/>
  <c r="AY62" i="4"/>
  <c r="AM22" i="4"/>
  <c r="AA37" i="4"/>
  <c r="AA70" i="4"/>
  <c r="K159" i="4"/>
  <c r="P73" i="4"/>
  <c r="M130" i="4"/>
  <c r="AO111" i="4"/>
  <c r="AL18" i="4"/>
  <c r="AJ92" i="4"/>
  <c r="W73" i="4"/>
  <c r="AA69" i="4"/>
  <c r="BF112" i="4"/>
  <c r="P39" i="4"/>
  <c r="M136" i="4"/>
  <c r="AJ81" i="4"/>
  <c r="AH68" i="4"/>
  <c r="AP31" i="4"/>
  <c r="Q91" i="4"/>
  <c r="W32" i="4"/>
  <c r="Z83" i="4"/>
  <c r="S125" i="4"/>
  <c r="CH54" i="4"/>
  <c r="AP86" i="4"/>
  <c r="AK98" i="4"/>
  <c r="Z131" i="4"/>
  <c r="AE8" i="4"/>
  <c r="Q152" i="4"/>
  <c r="X123" i="4"/>
  <c r="Q57" i="4"/>
  <c r="BE76" i="4"/>
  <c r="AO52" i="4"/>
  <c r="AL149" i="4"/>
  <c r="Z28" i="4"/>
  <c r="Z109" i="4"/>
  <c r="S83" i="4"/>
  <c r="S74" i="4"/>
  <c r="M67" i="4"/>
  <c r="AK122" i="4"/>
  <c r="AK30" i="4"/>
  <c r="AF142" i="4"/>
  <c r="U58" i="4"/>
  <c r="U53" i="4"/>
  <c r="AC16" i="4"/>
  <c r="K75" i="4"/>
  <c r="P148" i="4"/>
  <c r="AE61" i="4"/>
  <c r="BZ151" i="4"/>
  <c r="AO113" i="4"/>
  <c r="AB89" i="4"/>
  <c r="AO59" i="4"/>
  <c r="N61" i="4"/>
  <c r="AF155" i="4"/>
  <c r="AR125" i="4"/>
  <c r="AP34" i="4"/>
  <c r="Z104" i="4"/>
  <c r="AF95" i="4"/>
  <c r="Q98" i="4"/>
  <c r="AA138" i="4"/>
  <c r="Q30" i="4"/>
  <c r="AH86" i="4"/>
  <c r="AR57" i="4"/>
  <c r="AO146" i="4"/>
  <c r="Z168" i="4"/>
  <c r="AE13" i="4"/>
  <c r="R93" i="4"/>
  <c r="AA108" i="4"/>
  <c r="P84" i="4"/>
  <c r="AL136" i="4"/>
  <c r="AK24" i="4"/>
  <c r="AG62" i="4"/>
  <c r="U168" i="4"/>
  <c r="X137" i="4"/>
  <c r="AA17" i="4"/>
  <c r="L102" i="4"/>
  <c r="AM168" i="4"/>
  <c r="AE119" i="4"/>
  <c r="AO135" i="4"/>
  <c r="AE49" i="4"/>
  <c r="S80" i="4"/>
  <c r="U124" i="4"/>
  <c r="X93" i="4"/>
  <c r="Z85" i="4"/>
  <c r="AJ155" i="4"/>
  <c r="BJ125" i="4"/>
  <c r="AR63" i="4"/>
  <c r="AG13" i="4"/>
  <c r="AQ110" i="4"/>
  <c r="P155" i="4"/>
  <c r="V8" i="4"/>
  <c r="W98" i="4"/>
  <c r="AP46" i="4"/>
  <c r="AJ39" i="4"/>
  <c r="AJ105" i="4"/>
  <c r="V76" i="4"/>
  <c r="AB23" i="4"/>
  <c r="AK67" i="4"/>
  <c r="L88" i="4"/>
  <c r="L108" i="4"/>
  <c r="AM92" i="4"/>
  <c r="AF111" i="4"/>
  <c r="AJ114" i="4"/>
  <c r="Z111" i="4"/>
  <c r="W75" i="4"/>
  <c r="Q110" i="4"/>
  <c r="M28" i="4"/>
  <c r="AG135" i="4"/>
  <c r="BA160" i="4"/>
  <c r="AL168" i="4"/>
  <c r="X54" i="4"/>
  <c r="X81" i="4"/>
  <c r="W164" i="4"/>
  <c r="M16" i="4"/>
  <c r="AR138" i="4"/>
  <c r="AE138" i="4"/>
  <c r="BA77" i="4"/>
  <c r="AF8" i="4"/>
  <c r="Q6" i="4"/>
  <c r="V33" i="4"/>
  <c r="X125" i="4"/>
  <c r="AZ41" i="4"/>
  <c r="AR52" i="4"/>
  <c r="AL88" i="4"/>
  <c r="AM96" i="4"/>
  <c r="W167" i="4"/>
  <c r="AB142" i="4"/>
  <c r="AQ111" i="4"/>
  <c r="L144" i="4"/>
  <c r="M142" i="4"/>
  <c r="AK142" i="4"/>
  <c r="AE121" i="4"/>
  <c r="P27" i="4"/>
  <c r="U89" i="4"/>
  <c r="W12" i="4"/>
  <c r="AB168" i="4"/>
  <c r="Z56" i="4"/>
  <c r="AE151" i="4"/>
  <c r="AM114" i="4"/>
  <c r="CC14" i="4"/>
  <c r="P108" i="4"/>
  <c r="V148" i="4"/>
  <c r="X144" i="4"/>
  <c r="AB57" i="4"/>
  <c r="S109" i="4"/>
  <c r="Z25" i="5"/>
  <c r="AA5" i="5"/>
  <c r="BO48" i="4"/>
  <c r="BK15" i="5"/>
  <c r="AF112" i="5"/>
  <c r="AZ11" i="5"/>
  <c r="AQ119" i="5"/>
  <c r="AE25" i="5"/>
  <c r="BZ9" i="4"/>
  <c r="CK115" i="4"/>
  <c r="CI71" i="4"/>
  <c r="BO11" i="5"/>
  <c r="BZ24" i="4"/>
  <c r="CI111" i="5"/>
  <c r="CJ124" i="5"/>
  <c r="X17" i="5"/>
  <c r="BO101" i="4"/>
  <c r="AR97" i="5"/>
  <c r="CN167" i="4"/>
  <c r="AO11" i="5"/>
  <c r="CJ168" i="4"/>
  <c r="AB5" i="5"/>
  <c r="BZ125" i="4"/>
  <c r="BY126" i="4"/>
  <c r="BL127" i="4"/>
  <c r="CC145" i="4"/>
  <c r="AF99" i="5"/>
  <c r="BD28" i="5"/>
  <c r="CO16" i="4"/>
  <c r="CN71" i="4"/>
  <c r="CK114" i="5"/>
  <c r="CF47" i="4"/>
  <c r="CD59" i="4"/>
  <c r="CF25" i="5"/>
  <c r="CE38" i="5"/>
  <c r="AE26" i="5"/>
  <c r="CI43" i="4"/>
  <c r="CK11" i="4"/>
  <c r="U116" i="5"/>
  <c r="CF22" i="4"/>
  <c r="BN54" i="4"/>
  <c r="AO17" i="5"/>
  <c r="BG55" i="4"/>
  <c r="AO125" i="4"/>
  <c r="AQ92" i="4"/>
  <c r="BP41" i="4"/>
  <c r="BY45" i="4"/>
  <c r="R16" i="4"/>
  <c r="BL93" i="4"/>
  <c r="CP88" i="4"/>
  <c r="BZ108" i="4"/>
  <c r="AK19" i="4"/>
  <c r="AM85" i="4"/>
  <c r="BK97" i="4"/>
  <c r="BA48" i="4"/>
  <c r="BK97" i="5"/>
  <c r="BQ151" i="4"/>
  <c r="BZ87" i="4"/>
  <c r="BX130" i="4"/>
  <c r="AY146" i="4"/>
  <c r="AQ117" i="4"/>
  <c r="BB69" i="4"/>
  <c r="BN74" i="4"/>
  <c r="BY116" i="4"/>
  <c r="BF139" i="4"/>
  <c r="AZ27" i="4"/>
  <c r="AP92" i="4"/>
  <c r="U67" i="4"/>
  <c r="K116" i="5"/>
  <c r="BK127" i="4"/>
  <c r="BF136" i="4"/>
  <c r="CA63" i="4"/>
  <c r="BN36" i="4"/>
  <c r="BG163" i="4"/>
  <c r="BJ164" i="4"/>
  <c r="CH103" i="5"/>
  <c r="CC54" i="4"/>
  <c r="CI150" i="4"/>
  <c r="BK44" i="4"/>
  <c r="CH164" i="4"/>
  <c r="BF28" i="4"/>
  <c r="BJ6" i="5"/>
  <c r="BO23" i="4"/>
  <c r="BQ46" i="4"/>
  <c r="BP168" i="4"/>
  <c r="CF137" i="4"/>
  <c r="BB120" i="5"/>
  <c r="CC39" i="4"/>
  <c r="CK101" i="4"/>
  <c r="BQ94" i="4"/>
  <c r="CK146" i="4"/>
  <c r="BK53" i="4"/>
  <c r="BZ47" i="4"/>
  <c r="BX160" i="4"/>
  <c r="BF78" i="4"/>
  <c r="AQ23" i="4"/>
  <c r="BB96" i="4"/>
  <c r="CD90" i="4"/>
  <c r="AZ5" i="4"/>
  <c r="BA82" i="4"/>
  <c r="BB132" i="4"/>
  <c r="CJ101" i="4"/>
  <c r="BG157" i="4"/>
  <c r="AY168" i="4"/>
  <c r="AP66" i="4"/>
  <c r="CH5" i="4"/>
  <c r="AZ4" i="4"/>
  <c r="AY79" i="4"/>
  <c r="AZ158" i="4"/>
  <c r="BK46" i="4"/>
  <c r="BI42" i="4"/>
  <c r="AY48" i="4"/>
  <c r="AM62" i="4"/>
  <c r="BL14" i="4"/>
  <c r="BA165" i="4"/>
  <c r="AZ54" i="4"/>
  <c r="AH12" i="4"/>
  <c r="BZ101" i="5"/>
  <c r="BJ99" i="4"/>
  <c r="AZ99" i="5"/>
  <c r="BZ75" i="4"/>
  <c r="BI30" i="4"/>
  <c r="CM16" i="4"/>
  <c r="BP139" i="4"/>
  <c r="BY48" i="4"/>
  <c r="BN160" i="4"/>
  <c r="BG35" i="4"/>
  <c r="CJ121" i="4"/>
  <c r="CE99" i="4"/>
  <c r="BE40" i="4"/>
  <c r="BP60" i="4"/>
  <c r="BO38" i="4"/>
  <c r="CE116" i="5"/>
  <c r="BZ146" i="4"/>
  <c r="CH149" i="4"/>
  <c r="BK100" i="4"/>
  <c r="CC159" i="4"/>
  <c r="BD57" i="4"/>
  <c r="CM90" i="4"/>
  <c r="CF119" i="4"/>
  <c r="BK86" i="4"/>
  <c r="BX60" i="4"/>
  <c r="BN87" i="4"/>
  <c r="AA101" i="5"/>
  <c r="CI165" i="4"/>
  <c r="AY19" i="4"/>
  <c r="BK18" i="4"/>
  <c r="BL113" i="4"/>
  <c r="BA8" i="4"/>
  <c r="AP26" i="4"/>
  <c r="BK87" i="4"/>
  <c r="BI116" i="4"/>
  <c r="BA80" i="4"/>
  <c r="AP156" i="4"/>
  <c r="BL7" i="4"/>
  <c r="BL25" i="4"/>
  <c r="AR64" i="4"/>
  <c r="AP138" i="4"/>
  <c r="BI86" i="4"/>
  <c r="BL97" i="4"/>
  <c r="BN16" i="4"/>
  <c r="BF39" i="4"/>
  <c r="BB25" i="4"/>
  <c r="BB139" i="4"/>
  <c r="BE105" i="4"/>
  <c r="AQ49" i="4"/>
  <c r="BK153" i="4"/>
  <c r="AO92" i="4"/>
  <c r="BD20" i="4"/>
  <c r="AQ26" i="4"/>
  <c r="BI64" i="4"/>
  <c r="AO64" i="4"/>
  <c r="AP21" i="4"/>
  <c r="BF21" i="4"/>
  <c r="AR55" i="4"/>
  <c r="AG63" i="4"/>
  <c r="AL10" i="4"/>
  <c r="AF56" i="4"/>
  <c r="AY133" i="4"/>
  <c r="P120" i="4"/>
  <c r="W146" i="4"/>
  <c r="CF96" i="4"/>
  <c r="BO42" i="4"/>
  <c r="CP45" i="4"/>
  <c r="BL26" i="4"/>
  <c r="BN135" i="4"/>
  <c r="CH48" i="4"/>
  <c r="BI48" i="4"/>
  <c r="BP61" i="4"/>
  <c r="BJ150" i="4"/>
  <c r="BA78" i="4"/>
  <c r="CC31" i="4"/>
  <c r="BZ161" i="4"/>
  <c r="BZ22" i="4"/>
  <c r="BK58" i="4"/>
  <c r="BJ158" i="4"/>
  <c r="CM110" i="4"/>
  <c r="CF126" i="4"/>
  <c r="CI69" i="4"/>
  <c r="BG105" i="4"/>
  <c r="BQ160" i="4"/>
  <c r="BA151" i="4"/>
  <c r="CC73" i="4"/>
  <c r="BY66" i="4"/>
  <c r="CD12" i="4"/>
  <c r="BQ41" i="4"/>
  <c r="BJ135" i="4"/>
  <c r="CP115" i="4"/>
  <c r="CD112" i="4"/>
  <c r="BO61" i="4"/>
  <c r="BD49" i="4"/>
  <c r="BD85" i="4"/>
  <c r="AK42" i="4"/>
  <c r="BJ163" i="4"/>
  <c r="BG25" i="4"/>
  <c r="BG23" i="4"/>
  <c r="AJ33" i="4"/>
  <c r="BP90" i="4"/>
  <c r="BE165" i="4"/>
  <c r="BD100" i="4"/>
  <c r="AM126" i="4"/>
  <c r="BN76" i="4"/>
  <c r="BD89" i="4"/>
  <c r="BD44" i="4"/>
  <c r="BK147" i="4"/>
  <c r="AZ138" i="4"/>
  <c r="BJ41" i="4"/>
  <c r="AO35" i="4"/>
  <c r="BL5" i="4"/>
  <c r="BN72" i="4"/>
  <c r="BF160" i="4"/>
  <c r="AL86" i="4"/>
  <c r="BI87" i="4"/>
  <c r="BO27" i="4"/>
  <c r="BF47" i="4"/>
  <c r="AJ121" i="4"/>
  <c r="BE120" i="4"/>
  <c r="CD33" i="4"/>
  <c r="CD118" i="4"/>
  <c r="BD168" i="4"/>
  <c r="AG164" i="4"/>
  <c r="AP7" i="4"/>
  <c r="AC148" i="4"/>
  <c r="BB144" i="4"/>
  <c r="S73" i="4"/>
  <c r="BL101" i="4"/>
  <c r="CC86" i="4"/>
  <c r="CK60" i="4"/>
  <c r="BO8" i="4"/>
  <c r="BN43" i="4"/>
  <c r="CK130" i="4"/>
  <c r="BN55" i="4"/>
  <c r="BI124" i="4"/>
  <c r="BN20" i="4"/>
  <c r="AB14" i="5"/>
  <c r="CK135" i="4"/>
  <c r="CH9" i="4"/>
  <c r="BN12" i="4"/>
  <c r="BK93" i="4"/>
  <c r="BL56" i="4"/>
  <c r="BJ12" i="5"/>
  <c r="BY71" i="4"/>
  <c r="BZ116" i="4"/>
  <c r="BX147" i="4"/>
  <c r="BJ141" i="4"/>
  <c r="AQ11" i="5"/>
  <c r="CJ148" i="4"/>
  <c r="BN44" i="4"/>
  <c r="BO7" i="4"/>
  <c r="BL60" i="4"/>
  <c r="BO112" i="4"/>
  <c r="CE11" i="4"/>
  <c r="BY141" i="4"/>
  <c r="BE148" i="4"/>
  <c r="BA79" i="4"/>
  <c r="AY5" i="4"/>
  <c r="AH80" i="4"/>
  <c r="BG62" i="4"/>
  <c r="BB154" i="4"/>
  <c r="AY144" i="4"/>
  <c r="AE167" i="4"/>
  <c r="BE152" i="4"/>
  <c r="BA22" i="4"/>
  <c r="BB39" i="4"/>
  <c r="AF36" i="4"/>
  <c r="BF70" i="4"/>
  <c r="BB164" i="4"/>
  <c r="BA162" i="4"/>
  <c r="BP118" i="4"/>
  <c r="BO152" i="4"/>
  <c r="BE138" i="4"/>
  <c r="AJ146" i="4"/>
  <c r="AZ30" i="4"/>
  <c r="BD11" i="4"/>
  <c r="BB134" i="4"/>
  <c r="AG104" i="4"/>
  <c r="CD112" i="5"/>
  <c r="BN68" i="4"/>
  <c r="BY100" i="5"/>
  <c r="CC30" i="4"/>
  <c r="BN162" i="4"/>
  <c r="BF105" i="5"/>
  <c r="CI68" i="4"/>
  <c r="CF85" i="4"/>
  <c r="BO53" i="4"/>
  <c r="BD117" i="4"/>
  <c r="CI28" i="4"/>
  <c r="CE122" i="4"/>
  <c r="BJ162" i="4"/>
  <c r="BY17" i="4"/>
  <c r="BN60" i="4"/>
  <c r="AF29" i="5"/>
  <c r="CC70" i="4"/>
  <c r="CK10" i="4"/>
  <c r="BQ15" i="4"/>
  <c r="BD36" i="4"/>
  <c r="BI127" i="4"/>
  <c r="AP4" i="5"/>
  <c r="CI138" i="4"/>
  <c r="BI25" i="4"/>
  <c r="CF147" i="4"/>
  <c r="BQ45" i="4"/>
  <c r="BJ39" i="5"/>
  <c r="BN82" i="4"/>
  <c r="BE116" i="4"/>
  <c r="AZ50" i="4"/>
  <c r="CH161" i="4"/>
  <c r="BK69" i="4"/>
  <c r="BF74" i="4"/>
  <c r="CA26" i="4"/>
  <c r="BX64" i="4"/>
  <c r="AY69" i="4"/>
  <c r="BD31" i="4"/>
  <c r="CD63" i="4"/>
  <c r="BX126" i="4"/>
  <c r="BD19" i="4"/>
  <c r="BD77" i="4"/>
  <c r="CC156" i="4"/>
  <c r="CA93" i="4"/>
  <c r="BB128" i="4"/>
  <c r="BG48" i="4"/>
  <c r="AY14" i="4"/>
  <c r="AP129" i="4"/>
  <c r="BI56" i="4"/>
  <c r="BA113" i="4"/>
  <c r="BX101" i="4"/>
  <c r="BD164" i="4"/>
  <c r="BL163" i="4"/>
  <c r="BB74" i="4"/>
  <c r="BY98" i="4"/>
  <c r="BD145" i="4"/>
  <c r="BJ80" i="4"/>
  <c r="BI43" i="4"/>
  <c r="AZ57" i="4"/>
  <c r="AM4" i="4"/>
  <c r="AK96" i="4"/>
  <c r="AJ88" i="4"/>
  <c r="AE98" i="4"/>
  <c r="W165" i="4"/>
  <c r="W5" i="4"/>
  <c r="BD68" i="4"/>
  <c r="AQ137" i="4"/>
  <c r="BB102" i="4"/>
  <c r="Z5" i="4"/>
  <c r="AC11" i="4"/>
  <c r="L42" i="4"/>
  <c r="AL147" i="4"/>
  <c r="AK41" i="4"/>
  <c r="AF79" i="4"/>
  <c r="U90" i="4"/>
  <c r="U87" i="4"/>
  <c r="AB33" i="4"/>
  <c r="K128" i="4"/>
  <c r="M160" i="4"/>
  <c r="AL40" i="4"/>
  <c r="AM105" i="4"/>
  <c r="AH92" i="4"/>
  <c r="W136" i="4"/>
  <c r="V133" i="4"/>
  <c r="AA47" i="4"/>
  <c r="M116" i="4"/>
  <c r="L152" i="4"/>
  <c r="AF127" i="4"/>
  <c r="AQ168" i="4"/>
  <c r="AB163" i="4"/>
  <c r="M154" i="4"/>
  <c r="S34" i="4"/>
  <c r="X53" i="4"/>
  <c r="AE79" i="4"/>
  <c r="AQ34" i="4"/>
  <c r="AJ103" i="4"/>
  <c r="AM104" i="4"/>
  <c r="X86" i="4"/>
  <c r="AB40" i="4"/>
  <c r="AJ10" i="4"/>
  <c r="L149" i="4"/>
  <c r="N139" i="4"/>
  <c r="AY130" i="4"/>
  <c r="AK123" i="4"/>
  <c r="AK118" i="4"/>
  <c r="V44" i="4"/>
  <c r="AB29" i="4"/>
  <c r="AG152" i="4"/>
  <c r="L36" i="4"/>
  <c r="N40" i="4"/>
  <c r="AH103" i="4"/>
  <c r="BE71" i="4"/>
  <c r="AH59" i="4"/>
  <c r="P13" i="4"/>
  <c r="S20" i="4"/>
  <c r="X84" i="4"/>
  <c r="R7" i="4"/>
  <c r="W77" i="4"/>
  <c r="AR148" i="4"/>
  <c r="AQ94" i="4"/>
  <c r="AO44" i="4"/>
  <c r="P120" i="5"/>
  <c r="CJ21" i="5"/>
  <c r="CP6" i="4"/>
  <c r="CN103" i="5"/>
  <c r="AO108" i="5"/>
  <c r="AY21" i="5"/>
  <c r="AZ116" i="5"/>
  <c r="AB97" i="5"/>
  <c r="BI132" i="4"/>
  <c r="AE36" i="5"/>
  <c r="BO16" i="4"/>
  <c r="CD105" i="4"/>
  <c r="CF121" i="5"/>
  <c r="L110" i="5"/>
  <c r="BF115" i="5"/>
  <c r="CN111" i="4"/>
  <c r="BD9" i="4"/>
  <c r="BI103" i="5"/>
  <c r="CP131" i="4"/>
  <c r="BE112" i="5"/>
  <c r="CC116" i="4"/>
  <c r="CC83" i="4"/>
  <c r="BZ6" i="4"/>
  <c r="CF39" i="4"/>
  <c r="BI84" i="4"/>
  <c r="N27" i="5"/>
  <c r="CN22" i="5"/>
  <c r="AK4" i="5"/>
  <c r="CJ43" i="4"/>
  <c r="CN106" i="5"/>
  <c r="BN129" i="4"/>
  <c r="BI50" i="4"/>
  <c r="M125" i="5"/>
  <c r="CK25" i="5"/>
  <c r="BF19" i="5"/>
  <c r="CD12" i="5"/>
  <c r="CA114" i="5"/>
  <c r="BD54" i="4"/>
  <c r="BY133" i="4"/>
  <c r="BX85" i="4"/>
  <c r="BJ131" i="4"/>
  <c r="CM152" i="4"/>
  <c r="BN23" i="4"/>
  <c r="CK116" i="4"/>
  <c r="AQ70" i="4"/>
  <c r="AQ53" i="4"/>
  <c r="BE14" i="4"/>
  <c r="CF103" i="4"/>
  <c r="BL57" i="4"/>
  <c r="CC34" i="4"/>
  <c r="BJ12" i="4"/>
  <c r="BI10" i="4"/>
  <c r="BK14" i="4"/>
  <c r="BL133" i="4"/>
  <c r="BP75" i="4"/>
  <c r="BO31" i="4"/>
  <c r="BD148" i="4"/>
  <c r="CI159" i="4"/>
  <c r="BP14" i="4"/>
  <c r="BK151" i="4"/>
  <c r="BO146" i="4"/>
  <c r="BE94" i="4"/>
  <c r="BA13" i="4"/>
  <c r="AZ19" i="4"/>
  <c r="BL155" i="4"/>
  <c r="AL142" i="4"/>
  <c r="AM130" i="4"/>
  <c r="BQ93" i="4"/>
  <c r="CA68" i="4"/>
  <c r="CA117" i="4"/>
  <c r="AY85" i="4"/>
  <c r="BX118" i="4"/>
  <c r="BJ94" i="4"/>
  <c r="CA96" i="4"/>
  <c r="BF45" i="4"/>
  <c r="AE10" i="5"/>
  <c r="CH150" i="4"/>
  <c r="CC42" i="4"/>
  <c r="BL115" i="4"/>
  <c r="BQ143" i="4"/>
  <c r="AZ78" i="4"/>
  <c r="CO28" i="5"/>
  <c r="CJ78" i="4"/>
  <c r="BJ126" i="4"/>
  <c r="CC66" i="4"/>
  <c r="BQ92" i="4"/>
  <c r="BA30" i="5"/>
  <c r="BP144" i="4"/>
  <c r="CD166" i="4"/>
  <c r="BL123" i="4"/>
  <c r="CA50" i="4"/>
  <c r="AQ114" i="5"/>
  <c r="CE39" i="4"/>
  <c r="BP159" i="4"/>
  <c r="AZ139" i="4"/>
  <c r="BO116" i="4"/>
  <c r="AY90" i="4"/>
  <c r="BL18" i="4"/>
  <c r="AY15" i="4"/>
  <c r="BL43" i="4"/>
  <c r="AR158" i="4"/>
  <c r="BJ146" i="4"/>
  <c r="AZ119" i="4"/>
  <c r="BI16" i="4"/>
  <c r="AO45" i="4"/>
  <c r="BK154" i="4"/>
  <c r="BB159" i="4"/>
  <c r="BL80" i="4"/>
  <c r="AO50" i="4"/>
  <c r="CF165" i="4"/>
  <c r="BG150" i="4"/>
  <c r="AP18" i="4"/>
  <c r="AF25" i="4"/>
  <c r="BB92" i="4"/>
  <c r="BL114" i="4"/>
  <c r="BI65" i="4"/>
  <c r="AO132" i="4"/>
  <c r="CK45" i="4"/>
  <c r="BN80" i="4"/>
  <c r="CE11" i="5"/>
  <c r="BI145" i="4"/>
  <c r="BP141" i="4"/>
  <c r="CN81" i="4"/>
  <c r="BK41" i="4"/>
  <c r="BO69" i="4"/>
  <c r="BL55" i="4"/>
  <c r="AY104" i="4"/>
  <c r="CF158" i="4"/>
  <c r="BY109" i="4"/>
  <c r="BX88" i="4"/>
  <c r="BQ47" i="4"/>
  <c r="BJ108" i="4"/>
  <c r="BA19" i="5"/>
  <c r="CI119" i="4"/>
  <c r="CD89" i="4"/>
  <c r="BE68" i="4"/>
  <c r="BN95" i="4"/>
  <c r="AY49" i="4"/>
  <c r="CK24" i="4"/>
  <c r="CA4" i="4"/>
  <c r="CE136" i="4"/>
  <c r="BO91" i="4"/>
  <c r="BI115" i="4"/>
  <c r="M4" i="5"/>
  <c r="CD79" i="4"/>
  <c r="CA18" i="4"/>
  <c r="BG117" i="4"/>
  <c r="BG115" i="4"/>
  <c r="AM11" i="4"/>
  <c r="BP16" i="4"/>
  <c r="BE77" i="4"/>
  <c r="BD30" i="4"/>
  <c r="AL56" i="4"/>
  <c r="BN100" i="4"/>
  <c r="BE24" i="4"/>
  <c r="BE74" i="4"/>
  <c r="AM26" i="4"/>
  <c r="BQ68" i="4"/>
  <c r="BE140" i="4"/>
  <c r="BF147" i="4"/>
  <c r="BP46" i="4"/>
  <c r="AR146" i="4"/>
  <c r="BP146" i="4"/>
  <c r="AY47" i="4"/>
  <c r="BO120" i="4"/>
  <c r="BQ48" i="4"/>
  <c r="BE45" i="4"/>
  <c r="AJ111" i="4"/>
  <c r="BO44" i="4"/>
  <c r="BQ54" i="4"/>
  <c r="BF32" i="4"/>
  <c r="AL126" i="4"/>
  <c r="BD112" i="4"/>
  <c r="AZ72" i="4"/>
  <c r="AP120" i="4"/>
  <c r="BK101" i="4"/>
  <c r="AE35" i="4"/>
  <c r="AQ60" i="4"/>
  <c r="AA103" i="4"/>
  <c r="M109" i="4"/>
  <c r="R82" i="4"/>
  <c r="BN4" i="4"/>
  <c r="BG122" i="4"/>
  <c r="CA152" i="4"/>
  <c r="BQ69" i="4"/>
  <c r="CE13" i="4"/>
  <c r="CI130" i="4"/>
  <c r="BN168" i="4"/>
  <c r="BK165" i="4"/>
  <c r="BY81" i="4"/>
  <c r="AC24" i="5"/>
  <c r="CI37" i="4"/>
  <c r="BP33" i="4"/>
  <c r="BO140" i="4"/>
  <c r="BI6" i="4"/>
  <c r="BO108" i="4"/>
  <c r="CJ136" i="4"/>
  <c r="CA10" i="4"/>
  <c r="BY102" i="4"/>
  <c r="CA23" i="4"/>
  <c r="BK108" i="4"/>
  <c r="CK37" i="5"/>
  <c r="CJ10" i="4"/>
  <c r="BP49" i="4"/>
  <c r="BN81" i="4"/>
  <c r="BL77" i="4"/>
  <c r="BP63" i="4"/>
  <c r="CI89" i="4"/>
  <c r="CA6" i="4"/>
  <c r="BF36" i="4"/>
  <c r="AQ139" i="4"/>
  <c r="BA98" i="4"/>
  <c r="AF103" i="4"/>
  <c r="BG162" i="4"/>
  <c r="AQ64" i="4"/>
  <c r="BA27" i="4"/>
  <c r="AF117" i="4"/>
  <c r="BD92" i="4"/>
  <c r="AY106" i="4"/>
  <c r="AY86" i="4"/>
  <c r="AF76" i="4"/>
  <c r="BD155" i="4"/>
  <c r="AY17" i="4"/>
  <c r="AQ75" i="4"/>
  <c r="CF49" i="4"/>
  <c r="BP18" i="4"/>
  <c r="BF96" i="4"/>
  <c r="AL31" i="4"/>
  <c r="AZ143" i="4"/>
  <c r="BG118" i="4"/>
  <c r="AR119" i="4"/>
  <c r="AE63" i="4"/>
  <c r="AQ47" i="4"/>
  <c r="BE26" i="4"/>
  <c r="AR8" i="4"/>
  <c r="AE112" i="4"/>
  <c r="BB70" i="4"/>
  <c r="BL78" i="4"/>
  <c r="BJ88" i="4"/>
  <c r="AO27" i="4"/>
  <c r="BA110" i="4"/>
  <c r="AK157" i="4"/>
  <c r="V157" i="4"/>
  <c r="AC56" i="4"/>
  <c r="AA40" i="4"/>
  <c r="BK129" i="4"/>
  <c r="BE48" i="4"/>
  <c r="CH128" i="4"/>
  <c r="BI157" i="4"/>
  <c r="BB41" i="4"/>
  <c r="CI61" i="4"/>
  <c r="BI21" i="4"/>
  <c r="CF37" i="4"/>
  <c r="BE156" i="4"/>
  <c r="BL105" i="5"/>
  <c r="CA136" i="4"/>
  <c r="CH113" i="4"/>
  <c r="BL41" i="4"/>
  <c r="CC97" i="4"/>
  <c r="BG120" i="4"/>
  <c r="BY107" i="5"/>
  <c r="CI31" i="4"/>
  <c r="BO11" i="4"/>
  <c r="BP137" i="4"/>
  <c r="BY155" i="4"/>
  <c r="CI10" i="5"/>
  <c r="BZ150" i="4"/>
  <c r="CI100" i="4"/>
  <c r="BJ129" i="4"/>
  <c r="CC162" i="4"/>
  <c r="CI122" i="5"/>
  <c r="CK23" i="4"/>
  <c r="CI122" i="4"/>
  <c r="AR105" i="4"/>
  <c r="AQ4" i="4"/>
  <c r="AR107" i="4"/>
  <c r="BP71" i="4"/>
  <c r="AR114" i="4"/>
  <c r="CC122" i="4"/>
  <c r="BG22" i="4"/>
  <c r="BQ81" i="4"/>
  <c r="AZ20" i="4"/>
  <c r="CH101" i="4"/>
  <c r="BN136" i="4"/>
  <c r="BN126" i="4"/>
  <c r="AY134" i="4"/>
  <c r="CJ103" i="4"/>
  <c r="BQ23" i="4"/>
  <c r="BE154" i="4"/>
  <c r="BE106" i="4"/>
  <c r="BA42" i="4"/>
  <c r="AG18" i="4"/>
  <c r="BE8" i="4"/>
  <c r="CJ4" i="4"/>
  <c r="CE17" i="4"/>
  <c r="BF120" i="4"/>
  <c r="CJ145" i="4"/>
  <c r="CJ35" i="4"/>
  <c r="CP30" i="4"/>
  <c r="BO113" i="4"/>
  <c r="CC35" i="4"/>
  <c r="AL15" i="5"/>
  <c r="BQ128" i="4"/>
  <c r="BP126" i="4"/>
  <c r="BO60" i="4"/>
  <c r="BA31" i="4"/>
  <c r="CD55" i="4"/>
  <c r="CD164" i="4"/>
  <c r="CI75" i="4"/>
  <c r="BQ115" i="4"/>
  <c r="BJ34" i="4"/>
  <c r="BE38" i="5"/>
  <c r="BO127" i="4"/>
  <c r="CD116" i="4"/>
  <c r="BI113" i="4"/>
  <c r="CA95" i="4"/>
  <c r="BG113" i="4"/>
  <c r="CD4" i="4"/>
  <c r="CE23" i="4"/>
  <c r="BD116" i="4"/>
  <c r="BQ61" i="4"/>
  <c r="BK135" i="4"/>
  <c r="Z12" i="5"/>
  <c r="CK113" i="4"/>
  <c r="AQ63" i="4"/>
  <c r="BI140" i="4"/>
  <c r="BK48" i="4"/>
  <c r="AO115" i="4"/>
  <c r="AP124" i="4"/>
  <c r="BF166" i="4"/>
  <c r="BE51" i="4"/>
  <c r="BB157" i="4"/>
  <c r="BA104" i="4"/>
  <c r="BI129" i="4"/>
  <c r="BF134" i="4"/>
  <c r="BA75" i="4"/>
  <c r="BB71" i="4"/>
  <c r="BF18" i="4"/>
  <c r="BG112" i="4"/>
  <c r="BY106" i="4"/>
  <c r="AZ26" i="4"/>
  <c r="AP107" i="4"/>
  <c r="AQ155" i="4"/>
  <c r="CC67" i="4"/>
  <c r="AY124" i="4"/>
  <c r="BG152" i="4"/>
  <c r="AO36" i="4"/>
  <c r="CA146" i="4"/>
  <c r="AP8" i="4"/>
  <c r="BD133" i="4"/>
  <c r="AO104" i="4"/>
  <c r="AP83" i="4"/>
  <c r="BE16" i="4"/>
  <c r="BA12" i="4"/>
  <c r="AG123" i="4"/>
  <c r="AJ140" i="4"/>
  <c r="BD62" i="4"/>
  <c r="AH42" i="4"/>
  <c r="S54" i="4"/>
  <c r="Q87" i="4"/>
  <c r="BD74" i="4"/>
  <c r="BI143" i="4"/>
  <c r="AM69" i="4"/>
  <c r="R92" i="4"/>
  <c r="AH72" i="4"/>
  <c r="R42" i="4"/>
  <c r="AM76" i="4"/>
  <c r="AH107" i="4"/>
  <c r="AK126" i="4"/>
  <c r="P37" i="4"/>
  <c r="U166" i="4"/>
  <c r="AB122" i="4"/>
  <c r="S139" i="4"/>
  <c r="AH56" i="4"/>
  <c r="AL97" i="4"/>
  <c r="BQ103" i="4"/>
  <c r="AL128" i="4"/>
  <c r="P145" i="4"/>
  <c r="P46" i="4"/>
  <c r="AC167" i="4"/>
  <c r="Q75" i="4"/>
  <c r="AC104" i="4"/>
  <c r="BB162" i="4"/>
  <c r="AJ132" i="4"/>
  <c r="Z148" i="4"/>
  <c r="AC130" i="4"/>
  <c r="AF15" i="4"/>
  <c r="R124" i="4"/>
  <c r="P156" i="4"/>
  <c r="AJ48" i="4"/>
  <c r="AJ82" i="4"/>
  <c r="AF121" i="4"/>
  <c r="Q63" i="4"/>
  <c r="W145" i="4"/>
  <c r="Z101" i="4"/>
  <c r="AH149" i="4"/>
  <c r="P23" i="4"/>
  <c r="AJ147" i="4"/>
  <c r="AE55" i="4"/>
  <c r="AE99" i="4"/>
  <c r="R63" i="4"/>
  <c r="X55" i="4"/>
  <c r="Z73" i="4"/>
  <c r="AB115" i="4"/>
  <c r="N4" i="4"/>
  <c r="AE122" i="4"/>
  <c r="AO153" i="4"/>
  <c r="AC42" i="4"/>
  <c r="AG124" i="4"/>
  <c r="AL33" i="4"/>
  <c r="U107" i="4"/>
  <c r="R46" i="4"/>
  <c r="L112" i="4"/>
  <c r="BD63" i="4"/>
  <c r="AP137" i="4"/>
  <c r="BI104" i="5"/>
  <c r="CN112" i="4"/>
  <c r="AK97" i="5"/>
  <c r="BB104" i="5"/>
  <c r="CA28" i="4"/>
  <c r="BD100" i="5"/>
  <c r="S13" i="5"/>
  <c r="CM82" i="4"/>
  <c r="BK61" i="4"/>
  <c r="BO56" i="4"/>
  <c r="BP116" i="4"/>
  <c r="W126" i="5"/>
  <c r="CN27" i="5"/>
  <c r="BE12" i="5"/>
  <c r="AB11" i="5"/>
  <c r="CM25" i="4"/>
  <c r="BK23" i="4"/>
  <c r="BJ8" i="5"/>
  <c r="CN80" i="4"/>
  <c r="K6" i="5"/>
  <c r="CF91" i="4"/>
  <c r="K45" i="5"/>
  <c r="CC158" i="4"/>
  <c r="BP143" i="4"/>
  <c r="BA105" i="4"/>
  <c r="CP10" i="4"/>
  <c r="BG13" i="5"/>
  <c r="CA120" i="5"/>
  <c r="CM129" i="5"/>
  <c r="BK18" i="5"/>
  <c r="CE77" i="4"/>
  <c r="BG109" i="5"/>
  <c r="CC114" i="5"/>
  <c r="AK29" i="5"/>
  <c r="BZ98" i="5"/>
  <c r="BL97" i="5"/>
  <c r="S4" i="5"/>
  <c r="AQ27" i="5"/>
  <c r="CD132" i="4"/>
  <c r="CD111" i="4"/>
  <c r="AY16" i="4"/>
  <c r="CD129" i="4"/>
  <c r="BI59" i="4"/>
  <c r="BE87" i="4"/>
  <c r="BE19" i="4"/>
  <c r="BF68" i="4"/>
  <c r="AR33" i="4"/>
  <c r="BI142" i="4"/>
  <c r="BB87" i="4"/>
  <c r="CC72" i="4"/>
  <c r="BI11" i="4"/>
  <c r="AQ42" i="4"/>
  <c r="AZ160" i="4"/>
  <c r="AQ101" i="4"/>
  <c r="BJ145" i="4"/>
  <c r="AL12" i="5"/>
  <c r="CN157" i="4"/>
  <c r="BJ66" i="4"/>
  <c r="AM7" i="5"/>
  <c r="BI134" i="4"/>
  <c r="BQ79" i="4"/>
  <c r="AZ79" i="4"/>
  <c r="BB81" i="4"/>
  <c r="BQ88" i="4"/>
  <c r="AZ109" i="4"/>
  <c r="AE43" i="4"/>
  <c r="AH126" i="4"/>
  <c r="CC148" i="4"/>
  <c r="CA53" i="4"/>
  <c r="CC96" i="4"/>
  <c r="BG64" i="4"/>
  <c r="CD54" i="4"/>
  <c r="CI17" i="4"/>
  <c r="BN56" i="4"/>
  <c r="AZ134" i="4"/>
  <c r="CP92" i="4"/>
  <c r="CE107" i="4"/>
  <c r="CD69" i="4"/>
  <c r="CC153" i="4"/>
  <c r="BQ149" i="4"/>
  <c r="BA33" i="4"/>
  <c r="CH15" i="4"/>
  <c r="CF40" i="4"/>
  <c r="BD23" i="4"/>
  <c r="BP129" i="4"/>
  <c r="BN6" i="4"/>
  <c r="AL6" i="5"/>
  <c r="CF132" i="4"/>
  <c r="CC8" i="4"/>
  <c r="CJ131" i="4"/>
  <c r="BP85" i="4"/>
  <c r="AG109" i="5"/>
  <c r="BZ38" i="4"/>
  <c r="BJ149" i="4"/>
  <c r="CC28" i="4"/>
  <c r="BE52" i="4"/>
  <c r="AY22" i="4"/>
  <c r="BX107" i="4"/>
  <c r="BO70" i="4"/>
  <c r="BD61" i="4"/>
  <c r="AK163" i="4"/>
  <c r="CH86" i="4"/>
  <c r="BY120" i="4"/>
  <c r="BG12" i="4"/>
  <c r="AJ54" i="4"/>
  <c r="CH4" i="4"/>
  <c r="CA13" i="4"/>
  <c r="BF62" i="4"/>
  <c r="AJ124" i="4"/>
  <c r="BA159" i="4"/>
  <c r="BP53" i="4"/>
  <c r="BQ98" i="4"/>
  <c r="BB138" i="4"/>
  <c r="BN154" i="4"/>
  <c r="BE85" i="4"/>
  <c r="BD27" i="4"/>
  <c r="AJ159" i="4"/>
  <c r="BQ127" i="4"/>
  <c r="BL154" i="4"/>
  <c r="BZ14" i="4"/>
  <c r="CA158" i="4"/>
  <c r="BE162" i="4"/>
  <c r="BX37" i="4"/>
  <c r="CA157" i="4"/>
  <c r="BK132" i="4"/>
  <c r="CA56" i="4"/>
  <c r="CC20" i="5"/>
  <c r="CJ116" i="4"/>
  <c r="BP73" i="4"/>
  <c r="BO13" i="4"/>
  <c r="BK143" i="4"/>
  <c r="BO161" i="4"/>
  <c r="CN22" i="4"/>
  <c r="CA12" i="4"/>
  <c r="CA39" i="4"/>
  <c r="BX42" i="4"/>
  <c r="BJ98" i="4"/>
  <c r="AR20" i="5"/>
  <c r="BP153" i="4"/>
  <c r="BY131" i="4"/>
  <c r="BP4" i="4"/>
  <c r="BK164" i="4"/>
  <c r="CA33" i="4"/>
  <c r="CK148" i="4"/>
  <c r="CA86" i="4"/>
  <c r="BE113" i="4"/>
  <c r="AZ87" i="4"/>
  <c r="BB136" i="4"/>
  <c r="AM72" i="4"/>
  <c r="BD6" i="4"/>
  <c r="AZ128" i="4"/>
  <c r="AY119" i="4"/>
  <c r="AH85" i="4"/>
  <c r="BE139" i="4"/>
  <c r="AQ51" i="4"/>
  <c r="BA158" i="4"/>
  <c r="AG88" i="4"/>
  <c r="BF6" i="4"/>
  <c r="BA81" i="4"/>
  <c r="BB53" i="4"/>
  <c r="BL141" i="4"/>
  <c r="BZ17" i="4"/>
  <c r="BF80" i="4"/>
  <c r="AM44" i="4"/>
  <c r="BF67" i="4"/>
  <c r="BF97" i="4"/>
  <c r="AZ103" i="4"/>
  <c r="AG25" i="4"/>
  <c r="BD55" i="4"/>
  <c r="BE131" i="4"/>
  <c r="BA118" i="4"/>
  <c r="AH102" i="4"/>
  <c r="AZ163" i="4"/>
  <c r="BJ96" i="4"/>
  <c r="BJ114" i="4"/>
  <c r="AO13" i="4"/>
  <c r="BB107" i="4"/>
  <c r="AK55" i="4"/>
  <c r="AC131" i="4"/>
  <c r="AB157" i="4"/>
  <c r="AG48" i="4"/>
  <c r="BK66" i="4"/>
  <c r="BG131" i="4"/>
  <c r="BN53" i="4"/>
  <c r="BL51" i="4"/>
  <c r="BE122" i="4"/>
  <c r="CH60" i="4"/>
  <c r="BK63" i="4"/>
  <c r="CJ107" i="4"/>
  <c r="BG78" i="4"/>
  <c r="AJ25" i="5"/>
  <c r="BX43" i="4"/>
  <c r="CK159" i="4"/>
  <c r="BJ81" i="4"/>
  <c r="CD71" i="4"/>
  <c r="BF84" i="4"/>
  <c r="CH116" i="4"/>
  <c r="CJ45" i="4"/>
  <c r="BP138" i="4"/>
  <c r="BN79" i="4"/>
  <c r="CC26" i="4"/>
  <c r="BK118" i="5"/>
  <c r="CE37" i="4"/>
  <c r="CJ139" i="4"/>
  <c r="BL61" i="4"/>
  <c r="CH79" i="4"/>
  <c r="BN35" i="5"/>
  <c r="BN99" i="4"/>
  <c r="CE10" i="4"/>
  <c r="AZ85" i="4"/>
  <c r="BB55" i="4"/>
  <c r="AZ84" i="4"/>
  <c r="BP27" i="4"/>
  <c r="BA7" i="4"/>
  <c r="CK139" i="4"/>
  <c r="BY42" i="4"/>
  <c r="CF115" i="4"/>
  <c r="AR89" i="4"/>
  <c r="AP76" i="4"/>
  <c r="BA58" i="4"/>
  <c r="CE48" i="4"/>
  <c r="BB125" i="4"/>
  <c r="AQ48" i="4"/>
  <c r="AY56" i="4"/>
  <c r="BD103" i="4"/>
  <c r="BE90" i="4"/>
  <c r="AY100" i="4"/>
  <c r="AL162" i="4"/>
  <c r="BE128" i="4"/>
  <c r="BB4" i="4"/>
  <c r="AR78" i="4"/>
  <c r="BI55" i="4"/>
  <c r="BD132" i="4"/>
  <c r="BB17" i="4"/>
  <c r="AQ145" i="4"/>
  <c r="BJ8" i="4"/>
  <c r="BK126" i="4"/>
  <c r="BE102" i="4"/>
  <c r="BF26" i="4"/>
  <c r="AL124" i="4"/>
  <c r="AK89" i="4"/>
  <c r="AF43" i="4"/>
  <c r="X97" i="4"/>
  <c r="AB132" i="4"/>
  <c r="AB42" i="4"/>
  <c r="BN38" i="4"/>
  <c r="CE111" i="4"/>
  <c r="BP132" i="4"/>
  <c r="BN21" i="4"/>
  <c r="BN98" i="4"/>
  <c r="CM13" i="4"/>
  <c r="BF135" i="4"/>
  <c r="BQ44" i="4"/>
  <c r="AY9" i="4"/>
  <c r="CK101" i="5"/>
  <c r="CJ34" i="4"/>
  <c r="CF88" i="4"/>
  <c r="BG76" i="4"/>
  <c r="BN108" i="4"/>
  <c r="AY63" i="4"/>
  <c r="AM5" i="5"/>
  <c r="CD28" i="4"/>
  <c r="BL58" i="4"/>
  <c r="CA70" i="4"/>
  <c r="BQ122" i="4"/>
  <c r="BP18" i="5"/>
  <c r="CI52" i="4"/>
  <c r="CF93" i="4"/>
  <c r="BE28" i="4"/>
  <c r="BO10" i="4"/>
  <c r="AC31" i="5"/>
  <c r="CE162" i="4"/>
  <c r="CH123" i="4"/>
  <c r="AQ95" i="4"/>
  <c r="BK118" i="4"/>
  <c r="AR40" i="4"/>
  <c r="CM7" i="4"/>
  <c r="BB35" i="4"/>
  <c r="BI156" i="4"/>
  <c r="AR4" i="4"/>
  <c r="BO155" i="4"/>
  <c r="AY149" i="4"/>
  <c r="BL9" i="4"/>
  <c r="AP108" i="4"/>
  <c r="BP12" i="4"/>
  <c r="AR20" i="4"/>
  <c r="BJ73" i="4"/>
  <c r="AR82" i="4"/>
  <c r="BI93" i="4"/>
  <c r="AY143" i="4"/>
  <c r="AY159" i="4"/>
  <c r="AH140" i="4"/>
  <c r="AZ136" i="4"/>
  <c r="BI12" i="4"/>
  <c r="BK112" i="4"/>
  <c r="AP148" i="4"/>
  <c r="CO15" i="4"/>
  <c r="BO158" i="4"/>
  <c r="CD133" i="4"/>
  <c r="BG9" i="4"/>
  <c r="BK67" i="4"/>
  <c r="BZ44" i="4"/>
  <c r="CJ49" i="4"/>
  <c r="BK110" i="4"/>
  <c r="BI39" i="4"/>
  <c r="BB152" i="4"/>
  <c r="BY117" i="4"/>
  <c r="BZ85" i="4"/>
  <c r="BZ111" i="4"/>
  <c r="BL85" i="4"/>
  <c r="BK113" i="4"/>
  <c r="BP108" i="5"/>
  <c r="CE16" i="4"/>
  <c r="CE131" i="4"/>
  <c r="CI157" i="4"/>
  <c r="BN124" i="4"/>
  <c r="AZ101" i="4"/>
  <c r="CF11" i="4"/>
  <c r="BZ131" i="4"/>
  <c r="BZ106" i="4"/>
  <c r="BI15" i="4"/>
  <c r="BK89" i="4"/>
  <c r="CI108" i="4"/>
  <c r="CD93" i="4"/>
  <c r="BL105" i="4"/>
  <c r="BF27" i="4"/>
  <c r="BF35" i="4"/>
  <c r="AL5" i="4"/>
  <c r="BL34" i="4"/>
  <c r="BD160" i="4"/>
  <c r="BD107" i="4"/>
  <c r="AK97" i="4"/>
  <c r="BI58" i="4"/>
  <c r="BF167" i="4"/>
  <c r="BF17" i="4"/>
  <c r="AM17" i="4"/>
  <c r="BL75" i="4"/>
  <c r="BF157" i="4"/>
  <c r="BG90" i="4"/>
  <c r="CA114" i="4"/>
  <c r="BB165" i="4"/>
  <c r="BL129" i="4"/>
  <c r="AO61" i="4"/>
  <c r="BP24" i="4"/>
  <c r="BL107" i="4"/>
  <c r="BF146" i="4"/>
  <c r="AK124" i="4"/>
  <c r="BO62" i="4"/>
  <c r="BI69" i="4"/>
  <c r="BD125" i="4"/>
  <c r="AK28" i="4"/>
  <c r="BG73" i="4"/>
  <c r="BQ124" i="4"/>
  <c r="BQ100" i="4"/>
  <c r="BA4" i="4"/>
  <c r="AF162" i="4"/>
  <c r="AP146" i="4"/>
  <c r="Z108" i="4"/>
  <c r="AM90" i="4"/>
  <c r="AP126" i="4"/>
  <c r="AR123" i="4"/>
  <c r="BK26" i="4"/>
  <c r="AL154" i="4"/>
  <c r="M163" i="4"/>
  <c r="P11" i="4"/>
  <c r="N21" i="4"/>
  <c r="AE162" i="4"/>
  <c r="AQ10" i="4"/>
  <c r="AB141" i="4"/>
  <c r="AZ8" i="4"/>
  <c r="R60" i="4"/>
  <c r="U38" i="4"/>
  <c r="AC23" i="4"/>
  <c r="P97" i="4"/>
  <c r="AG120" i="4"/>
  <c r="AR127" i="4"/>
  <c r="AB71" i="4"/>
  <c r="AL135" i="4"/>
  <c r="BK76" i="4"/>
  <c r="U46" i="4"/>
  <c r="W88" i="4"/>
  <c r="K146" i="4"/>
  <c r="AO49" i="4"/>
  <c r="AJ60" i="4"/>
  <c r="W117" i="4"/>
  <c r="Z127" i="4"/>
  <c r="Z129" i="4"/>
  <c r="AE118" i="4"/>
  <c r="M45" i="4"/>
  <c r="AF92" i="4"/>
  <c r="AY91" i="4"/>
  <c r="AF166" i="4"/>
  <c r="R32" i="4"/>
  <c r="Q86" i="4"/>
  <c r="X77" i="4"/>
  <c r="R45" i="4"/>
  <c r="Q130" i="4"/>
  <c r="AG126" i="4"/>
  <c r="AR162" i="4"/>
  <c r="AF86" i="4"/>
  <c r="S156" i="4"/>
  <c r="R109" i="4"/>
  <c r="W81" i="4"/>
  <c r="R38" i="5"/>
  <c r="CN120" i="4"/>
  <c r="CI44" i="4"/>
  <c r="AP98" i="5"/>
  <c r="AO23" i="5"/>
  <c r="CI13" i="5"/>
  <c r="BP100" i="5"/>
  <c r="CO63" i="4"/>
  <c r="BA127" i="4"/>
  <c r="BX102" i="4"/>
  <c r="BE29" i="5"/>
  <c r="BP124" i="5"/>
  <c r="AC17" i="5"/>
  <c r="BK101" i="5"/>
  <c r="X31" i="5"/>
  <c r="CK31" i="4"/>
  <c r="AB36" i="5"/>
  <c r="AE111" i="5"/>
  <c r="CI158" i="4"/>
  <c r="AK24" i="5"/>
  <c r="R22" i="5"/>
  <c r="AK130" i="5"/>
  <c r="CK8" i="4"/>
  <c r="BK141" i="4"/>
  <c r="BZ137" i="4"/>
  <c r="CO157" i="4"/>
  <c r="BO92" i="4"/>
  <c r="BD8" i="5"/>
  <c r="CD19" i="5"/>
  <c r="Q10" i="5"/>
  <c r="BJ124" i="4"/>
  <c r="BI43" i="5"/>
  <c r="W100" i="5"/>
  <c r="CP51" i="4"/>
  <c r="AK20" i="5"/>
  <c r="X8" i="5"/>
  <c r="CH16" i="4"/>
  <c r="CA78" i="4"/>
  <c r="BJ151" i="4"/>
  <c r="M98" i="5"/>
  <c r="BZ37" i="4"/>
  <c r="BL168" i="4"/>
  <c r="AP8" i="5"/>
  <c r="BF140" i="4"/>
  <c r="BE118" i="4"/>
  <c r="AP116" i="4"/>
  <c r="AG99" i="4"/>
  <c r="CI141" i="4"/>
  <c r="BZ143" i="4"/>
  <c r="CD45" i="4"/>
  <c r="CF14" i="4"/>
  <c r="AP12" i="4"/>
  <c r="AY157" i="4"/>
  <c r="AJ46" i="4"/>
  <c r="AP150" i="4"/>
  <c r="CC155" i="4"/>
  <c r="CC18" i="4"/>
  <c r="CE168" i="4"/>
  <c r="CK30" i="4"/>
  <c r="AY99" i="4"/>
  <c r="AK136" i="4"/>
  <c r="AP100" i="4"/>
  <c r="AM39" i="4"/>
  <c r="BG47" i="4"/>
  <c r="BD102" i="4"/>
  <c r="BE112" i="4"/>
  <c r="AE143" i="4"/>
  <c r="BN30" i="4"/>
  <c r="BY16" i="4"/>
  <c r="BL81" i="4"/>
  <c r="AY35" i="4"/>
  <c r="BX32" i="4"/>
  <c r="BX91" i="4"/>
  <c r="BI108" i="4"/>
  <c r="CK52" i="4"/>
  <c r="CI4" i="4"/>
  <c r="BX34" i="4"/>
  <c r="BP84" i="4"/>
  <c r="BO35" i="4"/>
  <c r="CK28" i="4"/>
  <c r="BX52" i="4"/>
  <c r="CF38" i="4"/>
  <c r="BZ152" i="4"/>
  <c r="BZ21" i="4"/>
  <c r="BL90" i="4"/>
  <c r="BJ147" i="4"/>
  <c r="CN10" i="5"/>
  <c r="BY158" i="4"/>
  <c r="BP65" i="4"/>
  <c r="BP29" i="4"/>
  <c r="BL46" i="4"/>
  <c r="M11" i="5"/>
  <c r="CE22" i="4"/>
  <c r="BE126" i="4"/>
  <c r="BJ15" i="4"/>
  <c r="AR53" i="4"/>
  <c r="AK158" i="4"/>
  <c r="BG85" i="4"/>
  <c r="BF98" i="4"/>
  <c r="AR61" i="4"/>
  <c r="AJ20" i="4"/>
  <c r="BF137" i="4"/>
  <c r="BF83" i="4"/>
  <c r="AY103" i="4"/>
  <c r="AM77" i="4"/>
  <c r="BD18" i="4"/>
  <c r="BE41" i="4"/>
  <c r="AY12" i="4"/>
  <c r="AK38" i="4"/>
  <c r="CJ68" i="4"/>
  <c r="BF42" i="4"/>
  <c r="BF41" i="4"/>
  <c r="AL60" i="4"/>
  <c r="BG100" i="4"/>
  <c r="AY60" i="4"/>
  <c r="AP33" i="4"/>
  <c r="AH29" i="4"/>
  <c r="BP37" i="4"/>
  <c r="BE67" i="4"/>
  <c r="CA73" i="4"/>
  <c r="BI37" i="4"/>
  <c r="BD137" i="4"/>
  <c r="BO142" i="4"/>
  <c r="BL89" i="4"/>
  <c r="CJ88" i="4"/>
  <c r="BG98" i="4"/>
  <c r="R99" i="5"/>
  <c r="BZ89" i="4"/>
  <c r="CK26" i="4"/>
  <c r="BI159" i="4"/>
  <c r="CD117" i="4"/>
  <c r="BG92" i="4"/>
  <c r="CM10" i="4"/>
  <c r="CI38" i="4"/>
  <c r="BN61" i="4"/>
  <c r="BP67" i="4"/>
  <c r="CF72" i="4"/>
  <c r="BX27" i="5"/>
  <c r="CD163" i="4"/>
  <c r="CH14" i="4"/>
  <c r="BK168" i="4"/>
  <c r="CI163" i="4"/>
  <c r="BL66" i="5"/>
  <c r="BX63" i="4"/>
  <c r="CJ90" i="4"/>
  <c r="BD104" i="4"/>
  <c r="BB122" i="4"/>
  <c r="AY101" i="4"/>
  <c r="CF134" i="4"/>
  <c r="AQ20" i="4"/>
  <c r="AQ116" i="4"/>
  <c r="AP72" i="4"/>
  <c r="CD106" i="4"/>
  <c r="BA62" i="4"/>
  <c r="BA57" i="4"/>
  <c r="AY122" i="4"/>
  <c r="CC76" i="4"/>
  <c r="AY137" i="4"/>
  <c r="AZ113" i="4"/>
  <c r="AY55" i="4"/>
  <c r="BO98" i="4"/>
  <c r="BE145" i="4"/>
  <c r="AZ141" i="4"/>
  <c r="AK50" i="4"/>
  <c r="BI82" i="4"/>
  <c r="AY40" i="4"/>
  <c r="AY161" i="4"/>
  <c r="AH129" i="4"/>
  <c r="BK71" i="4"/>
  <c r="AQ85" i="4"/>
  <c r="AP44" i="4"/>
  <c r="AG28" i="4"/>
  <c r="BN63" i="4"/>
  <c r="BE121" i="4"/>
  <c r="BF129" i="4"/>
  <c r="AL80" i="4"/>
  <c r="AR32" i="4"/>
  <c r="AJ97" i="4"/>
  <c r="U61" i="4"/>
  <c r="AB90" i="4"/>
  <c r="AA113" i="4"/>
  <c r="CA123" i="4"/>
  <c r="AR27" i="4"/>
  <c r="BY70" i="4"/>
  <c r="BN37" i="4"/>
  <c r="CF26" i="4"/>
  <c r="BQ32" i="4"/>
  <c r="BJ103" i="4"/>
  <c r="BX153" i="4"/>
  <c r="BD78" i="4"/>
  <c r="BK5" i="5"/>
  <c r="CH130" i="4"/>
  <c r="CD51" i="4"/>
  <c r="BD138" i="4"/>
  <c r="BQ140" i="4"/>
  <c r="BB77" i="4"/>
  <c r="CJ117" i="4"/>
  <c r="CF110" i="4"/>
  <c r="BK167" i="4"/>
  <c r="BY10" i="4"/>
  <c r="BN155" i="4"/>
  <c r="BI26" i="5"/>
  <c r="CJ165" i="4"/>
  <c r="CC142" i="4"/>
  <c r="BK109" i="4"/>
  <c r="BP55" i="4"/>
  <c r="U99" i="5"/>
  <c r="CE153" i="4"/>
  <c r="BK149" i="4"/>
  <c r="AZ70" i="4"/>
  <c r="BJ130" i="4"/>
  <c r="AY6" i="4"/>
  <c r="BQ55" i="4"/>
  <c r="AY147" i="4"/>
  <c r="BK13" i="4"/>
  <c r="AY82" i="4"/>
  <c r="CE140" i="4"/>
  <c r="BB31" i="4"/>
  <c r="BI66" i="4"/>
  <c r="AP113" i="4"/>
  <c r="CF28" i="4"/>
  <c r="AZ56" i="4"/>
  <c r="BK27" i="4"/>
  <c r="AP135" i="4"/>
  <c r="BJ117" i="4"/>
  <c r="BA68" i="4"/>
  <c r="BB73" i="4"/>
  <c r="AG34" i="4"/>
  <c r="BA19" i="4"/>
  <c r="BK35" i="4"/>
  <c r="BI32" i="4"/>
  <c r="AR145" i="4"/>
  <c r="BB131" i="4"/>
  <c r="BL32" i="4"/>
  <c r="BI92" i="4"/>
  <c r="AO166" i="4"/>
  <c r="BD40" i="4"/>
  <c r="BA106" i="4"/>
  <c r="BB30" i="4"/>
  <c r="AF101" i="4"/>
  <c r="AK161" i="4"/>
  <c r="BE119" i="4"/>
  <c r="BD41" i="4"/>
  <c r="U43" i="4"/>
  <c r="W37" i="4"/>
  <c r="BX125" i="4"/>
  <c r="BF141" i="4"/>
  <c r="CE121" i="4"/>
  <c r="BN13" i="4"/>
  <c r="AZ52" i="4"/>
  <c r="CC134" i="4"/>
  <c r="CE108" i="4"/>
  <c r="BP78" i="4"/>
  <c r="AY24" i="4"/>
  <c r="CN122" i="4"/>
  <c r="CA41" i="4"/>
  <c r="BZ32" i="4"/>
  <c r="BZ123" i="4"/>
  <c r="BL164" i="4"/>
  <c r="AZ102" i="4"/>
  <c r="BX161" i="4"/>
  <c r="CF65" i="4"/>
  <c r="CH144" i="4"/>
  <c r="BP109" i="4"/>
  <c r="BJ106" i="4"/>
  <c r="M14" i="5"/>
  <c r="BY94" i="4"/>
  <c r="BZ31" i="4"/>
  <c r="BY40" i="4"/>
  <c r="BJ21" i="4"/>
  <c r="CC17" i="5"/>
  <c r="CI76" i="4"/>
  <c r="BO133" i="4"/>
  <c r="BN24" i="4"/>
  <c r="BG14" i="4"/>
  <c r="AL26" i="4"/>
  <c r="CA38" i="4"/>
  <c r="BK68" i="4"/>
  <c r="BG72" i="4"/>
  <c r="AJ148" i="4"/>
  <c r="CK63" i="4"/>
  <c r="BI9" i="4"/>
  <c r="BF9" i="4"/>
  <c r="AK112" i="4"/>
  <c r="CI104" i="4"/>
  <c r="BK31" i="4"/>
  <c r="BG79" i="4"/>
  <c r="AK103" i="4"/>
  <c r="BB117" i="4"/>
  <c r="BK121" i="4"/>
  <c r="BJ47" i="4"/>
  <c r="AO106" i="4"/>
  <c r="BJ113" i="4"/>
  <c r="BE88" i="4"/>
  <c r="BG123" i="4"/>
  <c r="AM56" i="4"/>
  <c r="BL27" i="4"/>
  <c r="BP79" i="4"/>
  <c r="CK67" i="4"/>
  <c r="BO15" i="4"/>
  <c r="BK39" i="4"/>
  <c r="CD148" i="4"/>
  <c r="BO156" i="4"/>
  <c r="BJ143" i="4"/>
  <c r="BQ53" i="4"/>
  <c r="X117" i="5"/>
  <c r="CD153" i="4"/>
  <c r="CK138" i="4"/>
  <c r="BQ147" i="4"/>
  <c r="BG134" i="4"/>
  <c r="BK99" i="4"/>
  <c r="AK110" i="5"/>
  <c r="BX144" i="4"/>
  <c r="BN89" i="4"/>
  <c r="BP112" i="4"/>
  <c r="BI49" i="4"/>
  <c r="BN116" i="5"/>
  <c r="CK153" i="4"/>
  <c r="BP28" i="4"/>
  <c r="BO144" i="4"/>
  <c r="BK38" i="4"/>
  <c r="BN149" i="4"/>
  <c r="CE89" i="4"/>
  <c r="BX79" i="4"/>
  <c r="BG41" i="4"/>
  <c r="AP95" i="4"/>
  <c r="AZ44" i="4"/>
  <c r="AE168" i="4"/>
  <c r="BF73" i="4"/>
  <c r="AQ128" i="4"/>
  <c r="BA40" i="4"/>
  <c r="AG15" i="4"/>
  <c r="BF119" i="4"/>
  <c r="AY46" i="4"/>
  <c r="AQ18" i="4"/>
  <c r="AE88" i="4"/>
  <c r="BG111" i="4"/>
  <c r="AY75" i="4"/>
  <c r="AQ5" i="4"/>
  <c r="BK42" i="4"/>
  <c r="BO12" i="4"/>
  <c r="BD96" i="4"/>
  <c r="AK160" i="4"/>
  <c r="BB82" i="4"/>
  <c r="BF23" i="4"/>
  <c r="AQ71" i="4"/>
  <c r="AF168" i="4"/>
  <c r="AP75" i="4"/>
  <c r="BG99" i="4"/>
  <c r="AQ129" i="4"/>
  <c r="AF160" i="4"/>
  <c r="AP88" i="4"/>
  <c r="BD43" i="4"/>
  <c r="BF5" i="4"/>
  <c r="AO47" i="4"/>
  <c r="AR72" i="4"/>
  <c r="AJ62" i="4"/>
  <c r="X20" i="4"/>
  <c r="Z161" i="4"/>
  <c r="AA128" i="4"/>
  <c r="AR22" i="4"/>
  <c r="BL106" i="4"/>
  <c r="Z96" i="4"/>
  <c r="Z38" i="4"/>
  <c r="N23" i="4"/>
  <c r="M68" i="4"/>
  <c r="AP117" i="4"/>
  <c r="AK72" i="4"/>
  <c r="W138" i="4"/>
  <c r="AB129" i="4"/>
  <c r="AB117" i="4"/>
  <c r="P63" i="4"/>
  <c r="N48" i="4"/>
  <c r="N69" i="4"/>
  <c r="AO86" i="4"/>
  <c r="AM158" i="4"/>
  <c r="W153" i="4"/>
  <c r="AB165" i="4"/>
  <c r="Z144" i="4"/>
  <c r="AP41" i="4"/>
  <c r="N130" i="4"/>
  <c r="M157" i="4"/>
  <c r="AJ112" i="4"/>
  <c r="BJ157" i="4"/>
  <c r="S151" i="4"/>
  <c r="V97" i="4"/>
  <c r="V61" i="4"/>
  <c r="Z59" i="4"/>
  <c r="N36" i="4"/>
  <c r="CK39" i="4"/>
  <c r="AR120" i="4"/>
  <c r="Z94" i="4"/>
  <c r="AG54" i="4"/>
  <c r="AJ75" i="4"/>
  <c r="X162" i="4"/>
  <c r="R110" i="4"/>
  <c r="K62" i="4"/>
  <c r="BF132" i="4"/>
  <c r="AO152" i="4"/>
  <c r="Z10" i="4"/>
  <c r="AG129" i="4"/>
  <c r="AG60" i="4"/>
  <c r="Q42" i="4"/>
  <c r="Q77" i="4"/>
  <c r="K80" i="4"/>
  <c r="AL48" i="4"/>
  <c r="AG116" i="4"/>
  <c r="S37" i="4"/>
  <c r="X149" i="4"/>
  <c r="V9" i="4"/>
  <c r="AB106" i="4"/>
  <c r="N104" i="4"/>
  <c r="AF98" i="4"/>
  <c r="BA124" i="4"/>
  <c r="BD59" i="4"/>
  <c r="AJ80" i="4"/>
  <c r="AO81" i="4"/>
  <c r="K9" i="4"/>
  <c r="L95" i="4"/>
  <c r="AF139" i="4"/>
  <c r="AP85" i="4"/>
  <c r="AA83" i="4"/>
  <c r="AP98" i="4"/>
  <c r="S15" i="4"/>
  <c r="X145" i="4"/>
  <c r="W130" i="4"/>
  <c r="N34" i="4"/>
  <c r="AG149" i="4"/>
  <c r="AR50" i="4"/>
  <c r="Z27" i="4"/>
  <c r="AM53" i="4"/>
  <c r="AP39" i="4"/>
  <c r="X42" i="4"/>
  <c r="W99" i="4"/>
  <c r="K89" i="4"/>
  <c r="AM64" i="4"/>
  <c r="AE9" i="4"/>
  <c r="X15" i="4"/>
  <c r="Z41" i="4"/>
  <c r="AB17" i="4"/>
  <c r="AC106" i="4"/>
  <c r="N141" i="4"/>
  <c r="AE96" i="4"/>
  <c r="AP78" i="4"/>
  <c r="AH157" i="4"/>
  <c r="R156" i="4"/>
  <c r="R96" i="4"/>
  <c r="U100" i="4"/>
  <c r="N74" i="4"/>
  <c r="P141" i="4"/>
  <c r="AE36" i="4"/>
  <c r="AZ67" i="4"/>
  <c r="AB147" i="4"/>
  <c r="M135" i="4"/>
  <c r="Q106" i="4"/>
  <c r="U17" i="4"/>
  <c r="K10" i="4"/>
  <c r="P117" i="4"/>
  <c r="AQ27" i="4"/>
  <c r="AM148" i="4"/>
  <c r="V132" i="4"/>
  <c r="AB158" i="4"/>
  <c r="AC118" i="4"/>
  <c r="AH160" i="4"/>
  <c r="K5" i="4"/>
  <c r="N73" i="4"/>
  <c r="BB60" i="4"/>
  <c r="BE107" i="4"/>
  <c r="AJ85" i="4"/>
  <c r="S96" i="4"/>
  <c r="W4" i="4"/>
  <c r="S84" i="4"/>
  <c r="AF40" i="4"/>
  <c r="BD22" i="4"/>
  <c r="AG20" i="4"/>
  <c r="Q43" i="4"/>
  <c r="R72" i="4"/>
  <c r="V4" i="4"/>
  <c r="P60" i="4"/>
  <c r="W142" i="4"/>
  <c r="AE23" i="4"/>
  <c r="AR98" i="4"/>
  <c r="AF102" i="4"/>
  <c r="S44" i="4"/>
  <c r="R155" i="4"/>
  <c r="U117" i="4"/>
  <c r="R167" i="4"/>
  <c r="U142" i="4"/>
  <c r="AQ69" i="4"/>
  <c r="AM74" i="4"/>
  <c r="X156" i="4"/>
  <c r="AA157" i="4"/>
  <c r="AA92" i="4"/>
  <c r="AZ25" i="4"/>
  <c r="K118" i="4"/>
  <c r="AM48" i="4"/>
  <c r="AH95" i="4"/>
  <c r="AG12" i="4"/>
  <c r="Q135" i="4"/>
  <c r="U140" i="4"/>
  <c r="AC95" i="4"/>
  <c r="V123" i="4"/>
  <c r="L162" i="4"/>
  <c r="AL19" i="4"/>
  <c r="AF34" i="4"/>
  <c r="BL116" i="4"/>
  <c r="Q125" i="4"/>
  <c r="U8" i="4"/>
  <c r="AC54" i="4"/>
  <c r="U47" i="4"/>
  <c r="N115" i="4"/>
  <c r="L53" i="4"/>
  <c r="N152" i="4"/>
  <c r="AO5" i="4"/>
  <c r="S153" i="4"/>
  <c r="R139" i="4"/>
  <c r="AO24" i="4"/>
  <c r="BP69" i="4"/>
  <c r="V163" i="4"/>
  <c r="AC151" i="4"/>
  <c r="AC59" i="4"/>
  <c r="K104" i="4"/>
  <c r="AO95" i="4"/>
  <c r="BE46" i="4"/>
  <c r="Q157" i="4"/>
  <c r="AC40" i="4"/>
  <c r="V109" i="4"/>
  <c r="N33" i="4"/>
  <c r="AK137" i="4"/>
  <c r="AK52" i="4"/>
  <c r="AB112" i="4"/>
  <c r="R105" i="4"/>
  <c r="S119" i="4"/>
  <c r="Q167" i="4"/>
  <c r="AO96" i="4"/>
  <c r="AE16" i="4"/>
  <c r="Z145" i="4"/>
  <c r="S75" i="4"/>
  <c r="AC108" i="4"/>
  <c r="L84" i="4"/>
  <c r="AR17" i="4"/>
  <c r="AG109" i="4"/>
  <c r="AB86" i="4"/>
  <c r="S18" i="4"/>
  <c r="X157" i="4"/>
  <c r="AK45" i="4"/>
  <c r="AH148" i="4"/>
  <c r="AA16" i="4"/>
  <c r="R166" i="4"/>
  <c r="AB121" i="4"/>
  <c r="S68" i="4"/>
  <c r="BA92" i="4"/>
  <c r="BN71" i="4"/>
  <c r="AJ57" i="4"/>
  <c r="AB133" i="4"/>
  <c r="N143" i="4"/>
  <c r="AJ26" i="4"/>
  <c r="AJ131" i="4"/>
  <c r="Z136" i="4"/>
  <c r="V87" i="4"/>
  <c r="AO38" i="4"/>
  <c r="Q155" i="4"/>
  <c r="AK135" i="4"/>
  <c r="AJ125" i="4"/>
  <c r="AA29" i="4"/>
  <c r="V159" i="4"/>
  <c r="AM139" i="4"/>
  <c r="S85" i="4"/>
  <c r="AE32" i="4"/>
  <c r="AQ29" i="4"/>
  <c r="V104" i="4"/>
  <c r="BG54" i="4"/>
  <c r="AA160" i="4"/>
  <c r="AM154" i="4"/>
  <c r="AL144" i="4"/>
  <c r="AA154" i="4"/>
  <c r="AO17" i="4"/>
  <c r="AH154" i="4"/>
  <c r="S69" i="4"/>
  <c r="AJ25" i="4"/>
  <c r="AK167" i="4"/>
  <c r="AB35" i="4"/>
  <c r="AK58" i="4"/>
  <c r="AF33" i="4"/>
  <c r="R75" i="4"/>
  <c r="BE17" i="4"/>
  <c r="AO131" i="4"/>
  <c r="AL67" i="4"/>
  <c r="Z151" i="4"/>
  <c r="Z150" i="4"/>
  <c r="Q154" i="4"/>
  <c r="Q119" i="4"/>
  <c r="L73" i="4"/>
  <c r="AJ17" i="4"/>
  <c r="AJ144" i="4"/>
  <c r="CF56" i="4"/>
  <c r="BD81" i="4"/>
  <c r="AG94" i="4"/>
  <c r="AE31" i="4"/>
  <c r="N154" i="4"/>
  <c r="N138" i="4"/>
  <c r="AH22" i="4"/>
  <c r="BA120" i="4"/>
  <c r="AA5" i="4"/>
  <c r="AG56" i="4"/>
  <c r="AM79" i="4"/>
  <c r="W44" i="4"/>
  <c r="R77" i="4"/>
  <c r="M34" i="4"/>
  <c r="BJ104" i="4"/>
  <c r="AR157" i="4"/>
  <c r="AA84" i="4"/>
  <c r="AF96" i="4"/>
  <c r="AH28" i="4"/>
  <c r="U69" i="4"/>
  <c r="S10" i="4"/>
  <c r="N51" i="4"/>
  <c r="AL81" i="4"/>
  <c r="AH61" i="4"/>
  <c r="R157" i="4"/>
  <c r="W36" i="4"/>
  <c r="W159" i="4"/>
  <c r="AA129" i="4"/>
  <c r="M29" i="4"/>
  <c r="AH106" i="4"/>
  <c r="AO80" i="4"/>
  <c r="Z51" i="4"/>
  <c r="N163" i="4"/>
  <c r="P153" i="4"/>
  <c r="V150" i="4"/>
  <c r="M39" i="4"/>
  <c r="P98" i="4"/>
  <c r="AH13" i="4"/>
  <c r="AP139" i="4"/>
  <c r="Z146" i="4"/>
  <c r="M55" i="4"/>
  <c r="P12" i="4"/>
  <c r="V31" i="4"/>
  <c r="AB11" i="4"/>
  <c r="R129" i="4"/>
  <c r="AZ112" i="4"/>
  <c r="AK93" i="4"/>
  <c r="X58" i="4"/>
  <c r="AC152" i="4"/>
  <c r="AC72" i="4"/>
  <c r="AF54" i="4"/>
  <c r="M95" i="4"/>
  <c r="N7" i="4"/>
  <c r="AJ44" i="4"/>
  <c r="AQ120" i="4"/>
  <c r="BI54" i="4"/>
  <c r="BB91" i="4"/>
  <c r="AE157" i="4"/>
  <c r="AF153" i="4"/>
  <c r="M97" i="4"/>
  <c r="L72" i="4"/>
  <c r="BK45" i="4"/>
  <c r="AR36" i="4"/>
  <c r="AC162" i="4"/>
  <c r="AH82" i="4"/>
  <c r="AE154" i="4"/>
  <c r="U92" i="4"/>
  <c r="P166" i="4"/>
  <c r="N157" i="4"/>
  <c r="BG83" i="4"/>
  <c r="AK16" i="4"/>
  <c r="AC24" i="4"/>
  <c r="AG75" i="4"/>
  <c r="AE37" i="4"/>
  <c r="Q85" i="4"/>
  <c r="Q126" i="4"/>
  <c r="L32" i="4"/>
  <c r="AJ168" i="4"/>
  <c r="AF89" i="4"/>
  <c r="S126" i="4"/>
  <c r="W102" i="4"/>
  <c r="U120" i="4"/>
  <c r="Z47" i="4"/>
  <c r="L50" i="4"/>
  <c r="AF32" i="4"/>
  <c r="AO55" i="4"/>
  <c r="AA73" i="4"/>
  <c r="M132" i="4"/>
  <c r="P32" i="4"/>
  <c r="V28" i="4"/>
  <c r="AC124" i="4"/>
  <c r="R4" i="4"/>
  <c r="AG92" i="4"/>
  <c r="AO158" i="4"/>
  <c r="AA15" i="4"/>
  <c r="AR103" i="4"/>
  <c r="R43" i="4"/>
  <c r="X66" i="4"/>
  <c r="AC97" i="4"/>
  <c r="N22" i="4"/>
  <c r="AQ61" i="4"/>
  <c r="AL110" i="4"/>
  <c r="U167" i="4"/>
  <c r="AA75" i="4"/>
  <c r="AB127" i="4"/>
  <c r="AF72" i="4"/>
  <c r="N123" i="4"/>
  <c r="AC43" i="4"/>
  <c r="AF94" i="4"/>
  <c r="BA101" i="4"/>
  <c r="AG134" i="4"/>
  <c r="U109" i="4"/>
  <c r="U114" i="4"/>
  <c r="W55" i="4"/>
  <c r="L34" i="4"/>
  <c r="AO14" i="4"/>
  <c r="L113" i="4"/>
  <c r="M122" i="4"/>
  <c r="R107" i="4"/>
  <c r="BL108" i="4"/>
  <c r="AQ96" i="4"/>
  <c r="AP151" i="4"/>
  <c r="Z128" i="4"/>
  <c r="W47" i="4"/>
  <c r="M120" i="4"/>
  <c r="AO145" i="4"/>
  <c r="AK115" i="4"/>
  <c r="W28" i="4"/>
  <c r="AB114" i="4"/>
  <c r="AB102" i="4"/>
  <c r="AG105" i="4"/>
  <c r="K144" i="4"/>
  <c r="N70" i="4"/>
  <c r="AP65" i="4"/>
  <c r="AM143" i="4"/>
  <c r="V79" i="4"/>
  <c r="AC123" i="4"/>
  <c r="Z113" i="4"/>
  <c r="AE12" i="4"/>
  <c r="K15" i="4"/>
  <c r="AM23" i="4"/>
  <c r="AE87" i="4"/>
  <c r="AO71" i="4"/>
  <c r="AG70" i="4"/>
  <c r="P25" i="4"/>
  <c r="U37" i="4"/>
  <c r="U131" i="4"/>
  <c r="AB140" i="4"/>
  <c r="AQ118" i="4"/>
  <c r="AL131" i="4"/>
  <c r="V153" i="4"/>
  <c r="AB107" i="4"/>
  <c r="AB96" i="4"/>
  <c r="S40" i="4"/>
  <c r="K8" i="4"/>
  <c r="M118" i="4"/>
  <c r="AR93" i="4"/>
  <c r="AM136" i="4"/>
  <c r="X9" i="4"/>
  <c r="AC64" i="4"/>
  <c r="AA149" i="4"/>
  <c r="AR164" i="4"/>
  <c r="N93" i="4"/>
  <c r="L118" i="4"/>
  <c r="AL6" i="4"/>
  <c r="BD158" i="4"/>
  <c r="Q118" i="4"/>
  <c r="X28" i="4"/>
  <c r="X130" i="4"/>
  <c r="AA64" i="4"/>
  <c r="N137" i="4"/>
  <c r="BQ6" i="4"/>
  <c r="BB158" i="4"/>
  <c r="AJ96" i="4"/>
  <c r="AA74" i="4"/>
  <c r="AC8" i="4"/>
  <c r="P67" i="4"/>
  <c r="V35" i="4"/>
  <c r="S39" i="4"/>
  <c r="L145" i="4"/>
  <c r="AC12" i="4"/>
  <c r="K142" i="4"/>
  <c r="L130" i="4"/>
  <c r="AL11" i="4"/>
  <c r="AF120" i="4"/>
  <c r="M112" i="4"/>
  <c r="X10" i="4"/>
  <c r="AE38" i="4"/>
  <c r="Q107" i="4"/>
  <c r="AJ160" i="4"/>
  <c r="AF9" i="4"/>
  <c r="Q79" i="4"/>
  <c r="W15" i="4"/>
  <c r="V134" i="4"/>
  <c r="AC96" i="4"/>
  <c r="S45" i="4"/>
  <c r="Z159" i="4"/>
  <c r="AJ42" i="4"/>
  <c r="BK33" i="4"/>
  <c r="R151" i="4"/>
  <c r="X117" i="4"/>
  <c r="V165" i="4"/>
  <c r="Z124" i="4"/>
  <c r="P80" i="4"/>
  <c r="BD153" i="4"/>
  <c r="AR115" i="4"/>
  <c r="AM20" i="4"/>
  <c r="AB99" i="4"/>
  <c r="AA132" i="4"/>
  <c r="P17" i="4"/>
  <c r="Q8" i="4"/>
  <c r="M140" i="4"/>
  <c r="AL35" i="4"/>
  <c r="AH100" i="4"/>
  <c r="U135" i="4"/>
  <c r="W45" i="4"/>
  <c r="AA150" i="4"/>
  <c r="AA87" i="4"/>
  <c r="M56" i="4"/>
  <c r="K108" i="4"/>
  <c r="AL141" i="4"/>
  <c r="AF52" i="4"/>
  <c r="Q139" i="4"/>
  <c r="X110" i="4"/>
  <c r="X121" i="4"/>
  <c r="AA28" i="4"/>
  <c r="M105" i="4"/>
  <c r="AG40" i="4"/>
  <c r="AQ127" i="4"/>
  <c r="AO79" i="4"/>
  <c r="AC168" i="4"/>
  <c r="AH32" i="4"/>
  <c r="S114" i="4"/>
  <c r="AE76" i="4"/>
  <c r="P96" i="4"/>
  <c r="AP69" i="4"/>
  <c r="AJ110" i="4"/>
  <c r="AJ12" i="4"/>
  <c r="BE114" i="4"/>
  <c r="BG129" i="4"/>
  <c r="Z44" i="4"/>
  <c r="AA45" i="4"/>
  <c r="R87" i="4"/>
  <c r="AE18" i="4"/>
  <c r="AP159" i="4"/>
  <c r="AJ89" i="4"/>
  <c r="U76" i="4"/>
  <c r="AA68" i="4"/>
  <c r="AC7" i="4"/>
  <c r="AH37" i="4"/>
  <c r="N11" i="4"/>
  <c r="U158" i="4"/>
  <c r="AM147" i="4"/>
  <c r="AF29" i="4"/>
  <c r="U112" i="4"/>
  <c r="AB24" i="4"/>
  <c r="AA110" i="4"/>
  <c r="AB28" i="4"/>
  <c r="N52" i="4"/>
  <c r="AM162" i="4"/>
  <c r="BG51" i="4"/>
  <c r="AO33" i="4"/>
  <c r="AE158" i="4"/>
  <c r="AM38" i="4"/>
  <c r="Q18" i="4"/>
  <c r="W87" i="4"/>
  <c r="U138" i="4"/>
  <c r="AR10" i="4"/>
  <c r="AM164" i="4"/>
  <c r="V122" i="4"/>
  <c r="AA167" i="4"/>
  <c r="AA117" i="4"/>
  <c r="AL106" i="4"/>
  <c r="K136" i="4"/>
  <c r="K123" i="4"/>
  <c r="BB147" i="4"/>
  <c r="AL85" i="4"/>
  <c r="X78" i="4"/>
  <c r="AA165" i="4"/>
  <c r="Z84" i="4"/>
  <c r="AK62" i="4"/>
  <c r="N37" i="4"/>
  <c r="K91" i="4"/>
  <c r="Q127" i="4"/>
  <c r="Z147" i="4"/>
  <c r="U32" i="4"/>
  <c r="AG117" i="4"/>
  <c r="X98" i="4"/>
  <c r="K98" i="4"/>
  <c r="AA96" i="4"/>
  <c r="N85" i="4"/>
  <c r="CV109" i="5"/>
  <c r="S110" i="4"/>
  <c r="N60" i="4"/>
  <c r="M165" i="4"/>
  <c r="C219" i="6"/>
  <c r="AB116" i="4"/>
  <c r="CV9" i="5"/>
  <c r="L110" i="4"/>
  <c r="AE21" i="4"/>
  <c r="AA168" i="4"/>
  <c r="R67" i="4"/>
  <c r="Q141" i="4"/>
  <c r="X67" i="4"/>
  <c r="P164" i="4"/>
  <c r="V15" i="4"/>
  <c r="K76" i="4"/>
  <c r="Z6" i="4"/>
  <c r="X12" i="4"/>
  <c r="W22" i="4"/>
  <c r="R44" i="4"/>
  <c r="N120" i="4"/>
  <c r="AG128" i="4"/>
  <c r="AM37" i="4"/>
  <c r="AB65" i="4"/>
  <c r="S158" i="4"/>
  <c r="AA54" i="4"/>
  <c r="L146" i="4"/>
  <c r="K25" i="4"/>
  <c r="CV166" i="5"/>
  <c r="M5" i="4"/>
  <c r="S146" i="4"/>
  <c r="CV127" i="5"/>
  <c r="CV73" i="5"/>
  <c r="CV80" i="5"/>
  <c r="CV159" i="5"/>
  <c r="CV98" i="5"/>
  <c r="C221" i="6"/>
  <c r="X153" i="4"/>
  <c r="AA104" i="4"/>
  <c r="BQ109" i="4"/>
  <c r="Z105" i="4"/>
  <c r="S129" i="4"/>
  <c r="U123" i="4"/>
  <c r="Q20" i="4"/>
  <c r="L76" i="4"/>
  <c r="CV68" i="5"/>
  <c r="M74" i="4"/>
  <c r="L56" i="4"/>
  <c r="K92" i="4"/>
  <c r="CV88" i="5"/>
  <c r="M44" i="4"/>
  <c r="U23" i="4"/>
  <c r="AK91" i="4"/>
  <c r="U94" i="4"/>
  <c r="K45" i="4"/>
  <c r="K43" i="4"/>
  <c r="K97" i="4"/>
  <c r="M10" i="4"/>
  <c r="Q102" i="4"/>
  <c r="CV99" i="5"/>
  <c r="P88" i="4"/>
  <c r="S107" i="4"/>
  <c r="AP166" i="4"/>
  <c r="BA11" i="4"/>
  <c r="R76" i="4"/>
  <c r="AA166" i="4"/>
  <c r="U163" i="4"/>
  <c r="M139" i="4"/>
  <c r="K112" i="4"/>
  <c r="Z119" i="4"/>
  <c r="CV141" i="5"/>
  <c r="CV129" i="5"/>
  <c r="CV57" i="5"/>
  <c r="Q143" i="4"/>
  <c r="S6" i="4"/>
  <c r="AR88" i="4"/>
  <c r="AA88" i="4"/>
  <c r="AF10" i="4"/>
  <c r="L83" i="4"/>
  <c r="W109" i="4"/>
  <c r="AJ11" i="4"/>
  <c r="S93" i="4"/>
  <c r="AC51" i="4"/>
  <c r="U125" i="4"/>
  <c r="K154" i="4"/>
  <c r="CV8" i="5"/>
  <c r="N159" i="4"/>
  <c r="P48" i="4"/>
  <c r="K59" i="4"/>
  <c r="K56" i="4"/>
  <c r="CV4" i="5"/>
  <c r="CV106" i="5"/>
  <c r="L100" i="4"/>
  <c r="U60" i="4"/>
  <c r="N82" i="4"/>
  <c r="Z153" i="4"/>
  <c r="CV114" i="6"/>
  <c r="CV136" i="6"/>
  <c r="CV52" i="6"/>
  <c r="CV133" i="6"/>
  <c r="CV104" i="6"/>
  <c r="CV66" i="6"/>
  <c r="CV121" i="6"/>
  <c r="CV46" i="6"/>
  <c r="CV9" i="6"/>
  <c r="CV62" i="6"/>
  <c r="CV101" i="6"/>
  <c r="CV131" i="6"/>
  <c r="CV106" i="6"/>
  <c r="CV138" i="6"/>
  <c r="CV59" i="6"/>
  <c r="CV158" i="6"/>
  <c r="CV165" i="6"/>
  <c r="CV57" i="6"/>
  <c r="CV41" i="6"/>
  <c r="CV125" i="6"/>
  <c r="CV68" i="6"/>
  <c r="CV90" i="6"/>
  <c r="CV13" i="6"/>
  <c r="CV67" i="6"/>
  <c r="CV113" i="6"/>
  <c r="Z69" i="4"/>
  <c r="AJ86" i="4"/>
  <c r="M76" i="4"/>
  <c r="N94" i="4"/>
  <c r="CV132" i="5"/>
  <c r="W116" i="4"/>
  <c r="P150" i="4"/>
  <c r="AE134" i="4"/>
  <c r="Q129" i="4"/>
  <c r="M22" i="4"/>
  <c r="AZ75" i="4"/>
  <c r="AA123" i="4"/>
  <c r="W106" i="4"/>
  <c r="AK53" i="4"/>
  <c r="AM94" i="4"/>
  <c r="AO134" i="4"/>
  <c r="V63" i="4"/>
  <c r="BF123" i="4"/>
  <c r="M17" i="4"/>
  <c r="AJ99" i="4"/>
  <c r="AK25" i="4"/>
  <c r="AK79" i="4"/>
  <c r="W132" i="4"/>
  <c r="AP81" i="4"/>
  <c r="K166" i="4"/>
  <c r="AE129" i="4"/>
  <c r="BF131" i="4"/>
  <c r="AA10" i="4"/>
  <c r="S147" i="4"/>
  <c r="Z122" i="4"/>
  <c r="K125" i="4"/>
  <c r="AM41" i="4"/>
  <c r="AA137" i="4"/>
  <c r="W56" i="4"/>
  <c r="AG6" i="4"/>
  <c r="R123" i="4"/>
  <c r="N24" i="4"/>
  <c r="AL57" i="4"/>
  <c r="AB72" i="4"/>
  <c r="U157" i="4"/>
  <c r="AE20" i="4"/>
  <c r="P74" i="4"/>
  <c r="BX46" i="4"/>
  <c r="BB105" i="4"/>
  <c r="R122" i="4"/>
  <c r="AA21" i="4"/>
  <c r="W74" i="4"/>
  <c r="K21" i="4"/>
  <c r="AL159" i="4"/>
  <c r="BQ150" i="4"/>
  <c r="AG39" i="4"/>
  <c r="V128" i="4"/>
  <c r="M33" i="4"/>
  <c r="AG156" i="4"/>
  <c r="AG158" i="4"/>
  <c r="U96" i="4"/>
  <c r="AO114" i="4"/>
  <c r="Z152" i="4"/>
  <c r="M78" i="4"/>
  <c r="AF13" i="4"/>
  <c r="AF83" i="4"/>
  <c r="U12" i="4"/>
  <c r="AL137" i="4"/>
  <c r="Z71" i="4"/>
  <c r="K86" i="4"/>
  <c r="AL129" i="4"/>
  <c r="AR34" i="4"/>
  <c r="P43" i="4"/>
  <c r="AC156" i="4"/>
  <c r="Z29" i="4"/>
  <c r="BF113" i="4"/>
  <c r="AZ49" i="4"/>
  <c r="U54" i="4"/>
  <c r="AB41" i="4"/>
  <c r="U106" i="4"/>
  <c r="L61" i="4"/>
  <c r="AY148" i="4"/>
  <c r="AO120" i="4"/>
  <c r="W86" i="4"/>
  <c r="AC89" i="4"/>
  <c r="X122" i="4"/>
  <c r="K131" i="4"/>
  <c r="AR30" i="4"/>
  <c r="AJ136" i="4"/>
  <c r="AJ41" i="4"/>
  <c r="V16" i="4"/>
  <c r="AB92" i="4"/>
  <c r="AH10" i="4"/>
  <c r="N160" i="4"/>
  <c r="N126" i="4"/>
  <c r="AM111" i="4"/>
  <c r="CF17" i="4"/>
  <c r="CC128" i="4"/>
  <c r="BG15" i="4"/>
  <c r="V135" i="4"/>
  <c r="AB19" i="4"/>
  <c r="AB48" i="4"/>
  <c r="N86" i="4"/>
  <c r="AO168" i="4"/>
  <c r="AK146" i="4"/>
  <c r="U63" i="4"/>
  <c r="AB39" i="4"/>
  <c r="AB161" i="4"/>
  <c r="AM16" i="4"/>
  <c r="N27" i="4"/>
  <c r="L96" i="4"/>
  <c r="AO118" i="4"/>
  <c r="AL34" i="4"/>
  <c r="U16" i="4"/>
  <c r="AA131" i="4"/>
  <c r="AC128" i="4"/>
  <c r="AE30" i="4"/>
  <c r="N75" i="4"/>
  <c r="N35" i="4"/>
  <c r="AH49" i="4"/>
  <c r="AP17" i="4"/>
  <c r="AK141" i="4"/>
  <c r="V68" i="4"/>
  <c r="W115" i="4"/>
  <c r="W141" i="4"/>
  <c r="M114" i="4"/>
  <c r="AZ62" i="4"/>
  <c r="AK92" i="4"/>
  <c r="AA127" i="4"/>
  <c r="AB18" i="4"/>
  <c r="AE146" i="4"/>
  <c r="R84" i="4"/>
  <c r="P90" i="4"/>
  <c r="M23" i="4"/>
  <c r="AY78" i="4"/>
  <c r="AL98" i="4"/>
  <c r="V40" i="4"/>
  <c r="Z37" i="4"/>
  <c r="AE50" i="4"/>
  <c r="Q14" i="4"/>
  <c r="M18" i="4"/>
  <c r="M143" i="4"/>
  <c r="AL39" i="4"/>
  <c r="AH109" i="4"/>
  <c r="Q83" i="4"/>
  <c r="W148" i="4"/>
  <c r="U55" i="4"/>
  <c r="Z155" i="4"/>
  <c r="V89" i="4"/>
  <c r="AF37" i="4"/>
  <c r="AY72" i="4"/>
  <c r="AR156" i="4"/>
  <c r="BK140" i="4"/>
  <c r="BB67" i="4"/>
  <c r="S78" i="4"/>
  <c r="AC111" i="4"/>
  <c r="AB50" i="4"/>
  <c r="L81" i="4"/>
  <c r="AQ90" i="4"/>
  <c r="AL132" i="4"/>
  <c r="X72" i="4"/>
  <c r="AC138" i="4"/>
  <c r="AA97" i="4"/>
  <c r="AH23" i="4"/>
  <c r="M162" i="4"/>
  <c r="M66" i="4"/>
  <c r="AO69" i="4"/>
  <c r="AK106" i="4"/>
  <c r="X104" i="4"/>
  <c r="AC21" i="4"/>
  <c r="AC160" i="4"/>
  <c r="AF154" i="4"/>
  <c r="N109" i="4"/>
  <c r="AY93" i="4"/>
  <c r="AH5" i="4"/>
  <c r="AZ63" i="4"/>
  <c r="AF161" i="4"/>
  <c r="Q13" i="4"/>
  <c r="W11" i="4"/>
  <c r="X101" i="4"/>
  <c r="AO105" i="4"/>
  <c r="BB84" i="4"/>
  <c r="AJ107" i="4"/>
  <c r="Z43" i="4"/>
  <c r="Z164" i="4"/>
  <c r="AH120" i="4"/>
  <c r="S112" i="4"/>
  <c r="P139" i="4"/>
  <c r="K47" i="4"/>
  <c r="AR99" i="4"/>
  <c r="AJ161" i="4"/>
  <c r="U7" i="4"/>
  <c r="AB68" i="4"/>
  <c r="AA31" i="4"/>
  <c r="Q41" i="4"/>
  <c r="M63" i="4"/>
  <c r="K130" i="4"/>
  <c r="AM112" i="4"/>
  <c r="BY148" i="4"/>
  <c r="P78" i="4"/>
  <c r="U150" i="4"/>
  <c r="W110" i="4"/>
  <c r="AC132" i="4"/>
  <c r="Q32" i="4"/>
  <c r="AH81" i="4"/>
  <c r="AO73" i="4"/>
  <c r="AK40" i="4"/>
  <c r="AC61" i="4"/>
  <c r="AG110" i="4"/>
  <c r="P53" i="4"/>
  <c r="W61" i="4"/>
  <c r="Q65" i="4"/>
  <c r="N121" i="4"/>
  <c r="N54" i="4"/>
  <c r="Q93" i="4"/>
  <c r="M148" i="4"/>
  <c r="AO159" i="4"/>
  <c r="AG65" i="4"/>
  <c r="S145" i="4"/>
  <c r="W60" i="4"/>
  <c r="L166" i="4"/>
  <c r="S66" i="4"/>
  <c r="AL83" i="4"/>
  <c r="AG55" i="4"/>
  <c r="Q131" i="4"/>
  <c r="V37" i="4"/>
  <c r="W160" i="4"/>
  <c r="AA106" i="4"/>
  <c r="AH156" i="4"/>
  <c r="AH18" i="4"/>
  <c r="AM58" i="4"/>
  <c r="AG87" i="4"/>
  <c r="R145" i="4"/>
  <c r="X89" i="4"/>
  <c r="W114" i="4"/>
  <c r="AA89" i="4"/>
  <c r="S56" i="4"/>
  <c r="BL102" i="4"/>
  <c r="AQ150" i="4"/>
  <c r="AM159" i="4"/>
  <c r="AC122" i="4"/>
  <c r="AB152" i="4"/>
  <c r="Q158" i="4"/>
  <c r="Q15" i="4"/>
  <c r="M8" i="4"/>
  <c r="AM132" i="4"/>
  <c r="AE163" i="4"/>
  <c r="X90" i="4"/>
  <c r="Z162" i="4"/>
  <c r="AB125" i="4"/>
  <c r="AC139" i="4"/>
  <c r="N77" i="4"/>
  <c r="P116" i="4"/>
  <c r="AL32" i="4"/>
  <c r="AF80" i="4"/>
  <c r="U25" i="4"/>
  <c r="V100" i="4"/>
  <c r="AB62" i="4"/>
  <c r="AB79" i="4"/>
  <c r="L62" i="4"/>
  <c r="AG19" i="4"/>
  <c r="AQ21" i="4"/>
  <c r="AR31" i="4"/>
  <c r="Z158" i="4"/>
  <c r="AH50" i="4"/>
  <c r="Q148" i="4"/>
  <c r="V59" i="4"/>
  <c r="S90" i="4"/>
  <c r="AQ113" i="4"/>
  <c r="AM93" i="4"/>
  <c r="AM88" i="4"/>
  <c r="W48" i="4"/>
  <c r="AC13" i="4"/>
  <c r="AF11" i="4"/>
  <c r="M86" i="4"/>
  <c r="N91" i="4"/>
  <c r="Z141" i="4"/>
  <c r="L25" i="4"/>
  <c r="R99" i="4"/>
  <c r="P133" i="4"/>
  <c r="CK21" i="4"/>
  <c r="AL130" i="4"/>
  <c r="AR97" i="4"/>
  <c r="R126" i="4"/>
  <c r="S138" i="4"/>
  <c r="AL102" i="4"/>
  <c r="BG116" i="4"/>
  <c r="AO88" i="4"/>
  <c r="AH150" i="4"/>
  <c r="AR102" i="4"/>
  <c r="S77" i="4"/>
  <c r="W112" i="4"/>
  <c r="W105" i="4"/>
  <c r="AF145" i="4"/>
  <c r="BA16" i="4"/>
  <c r="AP143" i="4"/>
  <c r="AB145" i="4"/>
  <c r="AK139" i="4"/>
  <c r="S22" i="4"/>
  <c r="V64" i="4"/>
  <c r="Q72" i="4"/>
  <c r="AO19" i="4"/>
  <c r="AL74" i="4"/>
  <c r="AG165" i="4"/>
  <c r="W10" i="4"/>
  <c r="AC34" i="4"/>
  <c r="AH33" i="4"/>
  <c r="K57" i="4"/>
  <c r="N107" i="4"/>
  <c r="AL118" i="4"/>
  <c r="AZ64" i="4"/>
  <c r="AL164" i="4"/>
  <c r="U113" i="4"/>
  <c r="U126" i="4"/>
  <c r="AC69" i="4"/>
  <c r="K38" i="4"/>
  <c r="Q145" i="4"/>
  <c r="AG106" i="4"/>
  <c r="AZ81" i="4"/>
  <c r="AJ79" i="4"/>
  <c r="U33" i="4"/>
  <c r="W161" i="4"/>
  <c r="V143" i="4"/>
  <c r="N30" i="4"/>
  <c r="AP90" i="4"/>
  <c r="AO43" i="4"/>
  <c r="AK153" i="4"/>
  <c r="Z116" i="4"/>
  <c r="AC153" i="4"/>
  <c r="M123" i="4"/>
  <c r="Q128" i="4"/>
  <c r="L126" i="4"/>
  <c r="AJ113" i="4"/>
  <c r="AF105" i="4"/>
  <c r="AH123" i="4"/>
  <c r="AL163" i="4"/>
  <c r="AZ66" i="4"/>
  <c r="AZ39" i="4"/>
  <c r="U5" i="4"/>
  <c r="AA159" i="4"/>
  <c r="R73" i="4"/>
  <c r="AK101" i="4"/>
  <c r="BL159" i="4"/>
  <c r="R71" i="4"/>
  <c r="W53" i="4"/>
  <c r="U52" i="4"/>
  <c r="Z102" i="4"/>
  <c r="S23" i="4"/>
  <c r="V74" i="4"/>
  <c r="AK70" i="4"/>
  <c r="BD32" i="4"/>
  <c r="AP11" i="4"/>
  <c r="U101" i="4"/>
  <c r="U73" i="4"/>
  <c r="AC107" i="4"/>
  <c r="K54" i="4"/>
  <c r="BB86" i="4"/>
  <c r="AR95" i="4"/>
  <c r="AJ118" i="4"/>
  <c r="AB111" i="4"/>
  <c r="AB146" i="4"/>
  <c r="Q73" i="4"/>
  <c r="S24" i="4"/>
  <c r="N47" i="4"/>
  <c r="AM63" i="4"/>
  <c r="AG45" i="4"/>
  <c r="S149" i="4"/>
  <c r="X11" i="4"/>
  <c r="W140" i="4"/>
  <c r="AC121" i="4"/>
  <c r="K63" i="4"/>
  <c r="K14" i="4"/>
  <c r="AK83" i="4"/>
  <c r="AG64" i="4"/>
  <c r="Q132" i="4"/>
  <c r="W89" i="4"/>
  <c r="V101" i="4"/>
  <c r="AC47" i="4"/>
  <c r="L93" i="4"/>
  <c r="AG138" i="4"/>
  <c r="AY58" i="4"/>
  <c r="X31" i="4"/>
  <c r="AG145" i="4"/>
  <c r="AC53" i="4"/>
  <c r="M32" i="4"/>
  <c r="Q166" i="4"/>
  <c r="N129" i="4"/>
  <c r="CV92" i="5"/>
  <c r="CV7" i="5"/>
  <c r="CV6" i="5"/>
  <c r="AG157" i="4"/>
  <c r="AA78" i="4"/>
  <c r="C212" i="6"/>
  <c r="L45" i="4"/>
  <c r="C211" i="6"/>
  <c r="K111" i="4"/>
  <c r="AC17" i="4"/>
  <c r="X6" i="4"/>
  <c r="AH141" i="4"/>
  <c r="P99" i="4"/>
  <c r="M138" i="4"/>
  <c r="W46" i="4"/>
  <c r="N114" i="4"/>
  <c r="CV41" i="5"/>
  <c r="L116" i="4"/>
  <c r="N158" i="4"/>
  <c r="M71" i="4"/>
  <c r="N13" i="4"/>
  <c r="CV19" i="5"/>
  <c r="V27" i="4"/>
  <c r="AQ105" i="4"/>
  <c r="W17" i="4"/>
  <c r="AE86" i="4"/>
  <c r="Z19" i="4"/>
  <c r="L139" i="4"/>
  <c r="CV87" i="5"/>
  <c r="Q137" i="4"/>
  <c r="P79" i="4"/>
  <c r="L94" i="4"/>
  <c r="CV79" i="5"/>
  <c r="CV28" i="5"/>
  <c r="CV138" i="5"/>
  <c r="S127" i="4"/>
  <c r="AJ93" i="4"/>
  <c r="AY53" i="4"/>
  <c r="V32" i="4"/>
  <c r="AB69" i="4"/>
  <c r="X27" i="4"/>
  <c r="K41" i="4"/>
  <c r="N100" i="4"/>
  <c r="BB160" i="4"/>
  <c r="CV139" i="5"/>
  <c r="CV27" i="5"/>
  <c r="CV136" i="5"/>
  <c r="W67" i="4"/>
  <c r="U116" i="4"/>
  <c r="CV96" i="5"/>
  <c r="CV115" i="5"/>
  <c r="M124" i="4"/>
  <c r="V93" i="4"/>
  <c r="AQ67" i="4"/>
  <c r="AB55" i="4"/>
  <c r="N92" i="4"/>
  <c r="R57" i="4"/>
  <c r="S111" i="4"/>
  <c r="CV101" i="5"/>
  <c r="CV20" i="5"/>
  <c r="AG24" i="4"/>
  <c r="X35" i="4"/>
  <c r="AK133" i="4"/>
  <c r="BD79" i="4"/>
  <c r="AA162" i="4"/>
  <c r="V39" i="4"/>
  <c r="S103" i="4"/>
  <c r="X21" i="4"/>
  <c r="N5" i="4"/>
  <c r="K12" i="4"/>
  <c r="S63" i="4"/>
  <c r="CV11" i="5"/>
  <c r="CV168" i="5"/>
  <c r="S165" i="4"/>
  <c r="M42" i="4"/>
  <c r="W8" i="4"/>
  <c r="P34" i="4"/>
  <c r="M64" i="4"/>
  <c r="N63" i="4"/>
  <c r="AA46" i="4"/>
  <c r="AR49" i="4"/>
  <c r="BG160" i="4"/>
  <c r="U49" i="4"/>
  <c r="N136" i="4"/>
  <c r="S95" i="4"/>
  <c r="CV53" i="5"/>
  <c r="R36" i="4"/>
  <c r="Q50" i="4"/>
  <c r="P91" i="4"/>
  <c r="K72" i="4"/>
  <c r="N151" i="4"/>
  <c r="CV48" i="5"/>
  <c r="AP142" i="4"/>
  <c r="X22" i="4"/>
  <c r="U65" i="4"/>
  <c r="N116" i="4"/>
  <c r="CV109" i="6"/>
  <c r="CV53" i="6"/>
  <c r="CV128" i="6"/>
  <c r="CV86" i="6"/>
  <c r="CV78" i="6"/>
  <c r="CV37" i="6"/>
  <c r="CV137" i="6"/>
  <c r="CV117" i="6"/>
  <c r="CV27" i="6"/>
  <c r="CV155" i="6"/>
  <c r="CV159" i="6"/>
  <c r="CV4" i="6"/>
  <c r="CV35" i="6"/>
  <c r="CV11" i="6"/>
  <c r="CV151" i="6"/>
  <c r="CV64" i="6"/>
  <c r="AF44" i="4"/>
  <c r="L59" i="4"/>
  <c r="AY30" i="4"/>
  <c r="CV100" i="5"/>
  <c r="S51" i="4"/>
  <c r="AM14" i="4"/>
  <c r="P165" i="4"/>
  <c r="BA167" i="4"/>
  <c r="AQ161" i="4"/>
  <c r="M52" i="4"/>
  <c r="AL123" i="4"/>
  <c r="Z160" i="4"/>
  <c r="L86" i="4"/>
  <c r="AL99" i="4"/>
  <c r="AH16" i="4"/>
  <c r="W25" i="4"/>
  <c r="S150" i="4"/>
  <c r="AB8" i="4"/>
  <c r="M87" i="4"/>
  <c r="AF129" i="4"/>
  <c r="AH78" i="4"/>
  <c r="X80" i="4"/>
  <c r="S57" i="4"/>
  <c r="AC137" i="4"/>
  <c r="L9" i="4"/>
  <c r="BB50" i="4"/>
  <c r="AO165" i="4"/>
  <c r="Q165" i="4"/>
  <c r="AB13" i="4"/>
  <c r="AO97" i="4"/>
  <c r="BL162" i="4"/>
  <c r="AH39" i="4"/>
  <c r="X46" i="4"/>
  <c r="AA58" i="4"/>
  <c r="AB77" i="4"/>
  <c r="L150" i="4"/>
  <c r="BF90" i="4"/>
  <c r="AG90" i="4"/>
  <c r="U51" i="4"/>
  <c r="AC32" i="4"/>
  <c r="AA86" i="4"/>
  <c r="L115" i="4"/>
  <c r="AK54" i="4"/>
  <c r="AO126" i="4"/>
  <c r="AG122" i="4"/>
  <c r="U28" i="4"/>
  <c r="X106" i="4"/>
  <c r="AH130" i="4"/>
  <c r="AG58" i="4"/>
  <c r="BO88" i="4"/>
  <c r="V99" i="4"/>
  <c r="AL152" i="4"/>
  <c r="L21" i="4"/>
  <c r="AO109" i="4"/>
  <c r="AR67" i="4"/>
  <c r="V149" i="4"/>
  <c r="AC110" i="4"/>
  <c r="AA142" i="4"/>
  <c r="U21" i="4"/>
  <c r="AO82" i="4"/>
  <c r="AK9" i="4"/>
  <c r="Q4" i="4"/>
  <c r="AC154" i="4"/>
  <c r="W51" i="4"/>
  <c r="P123" i="4"/>
  <c r="AL73" i="4"/>
  <c r="AH151" i="4"/>
  <c r="AJ21" i="4"/>
  <c r="U10" i="4"/>
  <c r="K35" i="4"/>
  <c r="AO6" i="4"/>
  <c r="AM131" i="4"/>
  <c r="AH94" i="4"/>
  <c r="Z79" i="4"/>
  <c r="P16" i="4"/>
  <c r="V26" i="4"/>
  <c r="BA50" i="4"/>
  <c r="AL78" i="4"/>
  <c r="AA4" i="4"/>
  <c r="X138" i="4"/>
  <c r="Q146" i="4"/>
  <c r="X115" i="4"/>
  <c r="AJ51" i="4"/>
  <c r="AE95" i="4"/>
  <c r="AE66" i="4"/>
  <c r="Q54" i="4"/>
  <c r="W79" i="4"/>
  <c r="Z18" i="4"/>
  <c r="AB93" i="4"/>
  <c r="N17" i="4"/>
  <c r="AH147" i="4"/>
  <c r="AO84" i="4"/>
  <c r="BI71" i="4"/>
  <c r="AK110" i="4"/>
  <c r="X120" i="4"/>
  <c r="V12" i="4"/>
  <c r="P24" i="4"/>
  <c r="P103" i="4"/>
  <c r="AM110" i="4"/>
  <c r="AE42" i="4"/>
  <c r="P121" i="4"/>
  <c r="U152" i="4"/>
  <c r="X32" i="4"/>
  <c r="AB160" i="4"/>
  <c r="N41" i="4"/>
  <c r="K164" i="4"/>
  <c r="AK116" i="4"/>
  <c r="AE159" i="4"/>
  <c r="P21" i="4"/>
  <c r="U129" i="4"/>
  <c r="W166" i="4"/>
  <c r="AC14" i="4"/>
  <c r="N87" i="4"/>
  <c r="AE152" i="4"/>
  <c r="AO68" i="4"/>
  <c r="AO85" i="4"/>
  <c r="Z112" i="4"/>
  <c r="AH88" i="4"/>
  <c r="S100" i="4"/>
  <c r="X29" i="4"/>
  <c r="P47" i="4"/>
  <c r="AO40" i="4"/>
  <c r="AL127" i="4"/>
  <c r="W93" i="4"/>
  <c r="AC105" i="4"/>
  <c r="AB60" i="4"/>
  <c r="AG44" i="4"/>
  <c r="K117" i="4"/>
  <c r="AC142" i="4"/>
  <c r="AQ108" i="4"/>
  <c r="AF156" i="4"/>
  <c r="V137" i="4"/>
  <c r="AA151" i="4"/>
  <c r="Z63" i="4"/>
  <c r="AE65" i="4"/>
  <c r="L137" i="4"/>
  <c r="AL151" i="4"/>
  <c r="BI166" i="4"/>
  <c r="AP30" i="4"/>
  <c r="AF163" i="4"/>
  <c r="AQ77" i="4"/>
  <c r="P56" i="4"/>
  <c r="W52" i="4"/>
  <c r="U137" i="4"/>
  <c r="AR91" i="4"/>
  <c r="AK152" i="4"/>
  <c r="AM144" i="4"/>
  <c r="AR129" i="4"/>
  <c r="AF159" i="4"/>
  <c r="Q156" i="4"/>
  <c r="X70" i="4"/>
  <c r="K95" i="4"/>
  <c r="P114" i="4"/>
  <c r="AK130" i="4"/>
  <c r="AE108" i="4"/>
  <c r="R10" i="4"/>
  <c r="W84" i="4"/>
  <c r="W68" i="4"/>
  <c r="AB12" i="4"/>
  <c r="N18" i="4"/>
  <c r="K153" i="4"/>
  <c r="AK76" i="4"/>
  <c r="AH34" i="4"/>
  <c r="S30" i="4"/>
  <c r="V75" i="4"/>
  <c r="W157" i="4"/>
  <c r="AB9" i="4"/>
  <c r="AB66" i="4"/>
  <c r="AG130" i="4"/>
  <c r="AP96" i="4"/>
  <c r="AK7" i="4"/>
  <c r="Z57" i="4"/>
  <c r="AE51" i="4"/>
  <c r="S162" i="4"/>
  <c r="U26" i="4"/>
  <c r="Q35" i="4"/>
  <c r="BA23" i="4"/>
  <c r="AF78" i="4"/>
  <c r="X8" i="4"/>
  <c r="AC88" i="4"/>
  <c r="Z14" i="4"/>
  <c r="AE24" i="4"/>
  <c r="M50" i="4"/>
  <c r="Q37" i="4"/>
  <c r="AK46" i="4"/>
  <c r="AE46" i="4"/>
  <c r="W83" i="4"/>
  <c r="Z13" i="4"/>
  <c r="AB15" i="4"/>
  <c r="AC113" i="4"/>
  <c r="N97" i="4"/>
  <c r="AH119" i="4"/>
  <c r="BG147" i="4"/>
  <c r="AZ58" i="4"/>
  <c r="AA38" i="4"/>
  <c r="AM95" i="4"/>
  <c r="S50" i="4"/>
  <c r="U119" i="4"/>
  <c r="U14" i="4"/>
  <c r="AR132" i="4"/>
  <c r="AM140" i="4"/>
  <c r="AL42" i="4"/>
  <c r="W57" i="4"/>
  <c r="AA98" i="4"/>
  <c r="AJ163" i="4"/>
  <c r="L109" i="4"/>
  <c r="K133" i="4"/>
  <c r="K115" i="4"/>
  <c r="L124" i="4"/>
  <c r="P61" i="4"/>
  <c r="U133" i="4"/>
  <c r="AO156" i="4"/>
  <c r="AG146" i="4"/>
  <c r="X7" i="4"/>
  <c r="S102" i="4"/>
  <c r="R33" i="4"/>
  <c r="AK75" i="4"/>
  <c r="BY36" i="4"/>
  <c r="AP68" i="4"/>
  <c r="AG29" i="4"/>
  <c r="AQ151" i="4"/>
  <c r="R108" i="4"/>
  <c r="W72" i="4"/>
  <c r="Z72" i="4"/>
  <c r="AK99" i="4"/>
  <c r="BF43" i="4"/>
  <c r="AO31" i="4"/>
  <c r="AE133" i="4"/>
  <c r="AR69" i="4"/>
  <c r="Q81" i="4"/>
  <c r="V22" i="4"/>
  <c r="V30" i="4"/>
  <c r="AO157" i="4"/>
  <c r="AM138" i="4"/>
  <c r="AM51" i="4"/>
  <c r="U11" i="4"/>
  <c r="Z52" i="4"/>
  <c r="AE161" i="4"/>
  <c r="K105" i="4"/>
  <c r="K147" i="4"/>
  <c r="AJ133" i="4"/>
  <c r="BF60" i="4"/>
  <c r="AQ39" i="4"/>
  <c r="V158" i="4"/>
  <c r="X69" i="4"/>
  <c r="Z89" i="4"/>
  <c r="K145" i="4"/>
  <c r="U18" i="4"/>
  <c r="AM163" i="4"/>
  <c r="AZ153" i="4"/>
  <c r="AM82" i="4"/>
  <c r="W38" i="4"/>
  <c r="U164" i="4"/>
  <c r="Z137" i="4"/>
  <c r="M152" i="4"/>
  <c r="AP157" i="4"/>
  <c r="AQ152" i="4"/>
  <c r="AJ49" i="4"/>
  <c r="AC63" i="4"/>
  <c r="AC100" i="4"/>
  <c r="L10" i="4"/>
  <c r="R138" i="4"/>
  <c r="N6" i="4"/>
  <c r="AM49" i="4"/>
  <c r="AF144" i="4"/>
  <c r="AG23" i="4"/>
  <c r="Q84" i="4"/>
  <c r="U34" i="4"/>
  <c r="AA112" i="4"/>
  <c r="AF133" i="4"/>
  <c r="N12" i="4"/>
  <c r="P143" i="4"/>
  <c r="Q100" i="4"/>
  <c r="S163" i="4"/>
  <c r="K109" i="4"/>
  <c r="BJ7" i="4"/>
  <c r="AF134" i="4"/>
  <c r="R22" i="4"/>
  <c r="AG142" i="4"/>
  <c r="L151" i="4"/>
  <c r="AY88" i="4"/>
  <c r="AQ119" i="4"/>
  <c r="AL62" i="4"/>
  <c r="Z77" i="4"/>
  <c r="AC20" i="4"/>
  <c r="Q47" i="4"/>
  <c r="Q136" i="4"/>
  <c r="M98" i="4"/>
  <c r="AP149" i="4"/>
  <c r="AZ135" i="4"/>
  <c r="AK84" i="4"/>
  <c r="AC55" i="4"/>
  <c r="Z130" i="4"/>
  <c r="L143" i="4"/>
  <c r="P68" i="4"/>
  <c r="K30" i="4"/>
  <c r="AM134" i="4"/>
  <c r="AG72" i="4"/>
  <c r="AG93" i="4"/>
  <c r="S17" i="4"/>
  <c r="U85" i="4"/>
  <c r="AB137" i="4"/>
  <c r="U146" i="4"/>
  <c r="AF71" i="4"/>
  <c r="BB72" i="4"/>
  <c r="AO138" i="4"/>
  <c r="AC71" i="4"/>
  <c r="AE131" i="4"/>
  <c r="P119" i="4"/>
  <c r="AA81" i="4"/>
  <c r="P127" i="4"/>
  <c r="AE104" i="4"/>
  <c r="AO93" i="4"/>
  <c r="BB145" i="4"/>
  <c r="AC85" i="4"/>
  <c r="AF122" i="4"/>
  <c r="P146" i="4"/>
  <c r="V56" i="4"/>
  <c r="Q138" i="4"/>
  <c r="AJ45" i="4"/>
  <c r="AJ151" i="4"/>
  <c r="AE147" i="4"/>
  <c r="X126" i="4"/>
  <c r="X107" i="4"/>
  <c r="AC84" i="4"/>
  <c r="M21" i="4"/>
  <c r="L85" i="4"/>
  <c r="AH40" i="4"/>
  <c r="BA84" i="4"/>
  <c r="AE93" i="4"/>
  <c r="BL70" i="4"/>
  <c r="AH104" i="4"/>
  <c r="AG101" i="4"/>
  <c r="P93" i="4"/>
  <c r="L87" i="4"/>
  <c r="AE123" i="4"/>
  <c r="BE159" i="4"/>
  <c r="AR28" i="4"/>
  <c r="AA72" i="4"/>
  <c r="AJ165" i="4"/>
  <c r="Q117" i="4"/>
  <c r="X159" i="4"/>
  <c r="U86" i="4"/>
  <c r="AF106" i="4"/>
  <c r="AR6" i="4"/>
  <c r="AO123" i="4"/>
  <c r="AA35" i="4"/>
  <c r="AF16" i="4"/>
  <c r="P31" i="4"/>
  <c r="BL135" i="4"/>
  <c r="P26" i="4"/>
  <c r="AO42" i="4"/>
  <c r="AM10" i="4"/>
  <c r="AE59" i="4"/>
  <c r="W76" i="4"/>
  <c r="X52" i="4"/>
  <c r="AE29" i="4"/>
  <c r="M110" i="4"/>
  <c r="L16" i="4"/>
  <c r="AH36" i="4"/>
  <c r="AZ22" i="4"/>
  <c r="AJ100" i="4"/>
  <c r="W152" i="4"/>
  <c r="V126" i="4"/>
  <c r="X33" i="4"/>
  <c r="N53" i="4"/>
  <c r="AK78" i="4"/>
  <c r="AH96" i="4"/>
  <c r="AQ16" i="4"/>
  <c r="AF99" i="4"/>
  <c r="R146" i="4"/>
  <c r="W82" i="4"/>
  <c r="X158" i="4"/>
  <c r="AF126" i="4"/>
  <c r="BB21" i="4"/>
  <c r="AK166" i="4"/>
  <c r="BY24" i="4"/>
  <c r="Z78" i="4"/>
  <c r="W133" i="4"/>
  <c r="M145" i="4"/>
  <c r="V82" i="4"/>
  <c r="P49" i="4"/>
  <c r="P118" i="4"/>
  <c r="S94" i="4"/>
  <c r="CV131" i="5"/>
  <c r="P5" i="4"/>
  <c r="P159" i="4"/>
  <c r="CV146" i="5"/>
  <c r="N45" i="4"/>
  <c r="AP57" i="4"/>
  <c r="AJ28" i="4"/>
  <c r="U95" i="4"/>
  <c r="Z139" i="4"/>
  <c r="AB105" i="4"/>
  <c r="M167" i="4"/>
  <c r="N149" i="4"/>
  <c r="K114" i="4"/>
  <c r="CV110" i="5"/>
  <c r="CV65" i="5"/>
  <c r="CV130" i="5"/>
  <c r="AA59" i="4"/>
  <c r="AB151" i="4"/>
  <c r="CV107" i="5"/>
  <c r="S82" i="4"/>
  <c r="X38" i="4"/>
  <c r="BN121" i="4"/>
  <c r="R54" i="4"/>
  <c r="AC135" i="4"/>
  <c r="P83" i="4"/>
  <c r="X43" i="4"/>
  <c r="CV122" i="5"/>
  <c r="N162" i="4"/>
  <c r="AC49" i="4"/>
  <c r="V167" i="4"/>
  <c r="CV5" i="5"/>
  <c r="R23" i="4"/>
  <c r="CV46" i="5"/>
  <c r="AC117" i="4"/>
  <c r="R101" i="4"/>
  <c r="BI155" i="4"/>
  <c r="AM116" i="4"/>
  <c r="AF90" i="4"/>
  <c r="V72" i="4"/>
  <c r="P102" i="4"/>
  <c r="AA91" i="4"/>
  <c r="S91" i="4"/>
  <c r="M156" i="4"/>
  <c r="CV155" i="5"/>
  <c r="W134" i="4"/>
  <c r="CV10" i="5"/>
  <c r="N155" i="4"/>
  <c r="M168" i="4"/>
  <c r="N124" i="4"/>
  <c r="AE165" i="4"/>
  <c r="AZ89" i="4"/>
  <c r="U4" i="4"/>
  <c r="AB91" i="4"/>
  <c r="W94" i="4"/>
  <c r="N78" i="4"/>
  <c r="P113" i="4"/>
  <c r="AA153" i="4"/>
  <c r="CV123" i="5"/>
  <c r="CV152" i="5"/>
  <c r="CV117" i="5"/>
  <c r="CV112" i="5"/>
  <c r="V38" i="4"/>
  <c r="AE89" i="4"/>
  <c r="Z126" i="4"/>
  <c r="Q82" i="4"/>
  <c r="AA36" i="4"/>
  <c r="L89" i="4"/>
  <c r="CV95" i="5"/>
  <c r="CV144" i="5"/>
  <c r="AE117" i="4"/>
  <c r="M4" i="4"/>
  <c r="CV97" i="5"/>
  <c r="CV62" i="5"/>
  <c r="CV69" i="5"/>
  <c r="Z40" i="4"/>
  <c r="AQ32" i="4"/>
  <c r="R111" i="4"/>
  <c r="AH162" i="4"/>
  <c r="AC67" i="4"/>
  <c r="AF28" i="4"/>
  <c r="AC37" i="4"/>
  <c r="R168" i="4"/>
  <c r="W139" i="4"/>
  <c r="K50" i="4"/>
  <c r="CV154" i="5"/>
  <c r="M147" i="4"/>
  <c r="R17" i="4"/>
  <c r="L20" i="4"/>
  <c r="N119" i="4"/>
  <c r="M125" i="4"/>
  <c r="X79" i="4"/>
  <c r="AH35" i="4"/>
  <c r="Z163" i="4"/>
  <c r="CV71" i="5"/>
  <c r="CV22" i="6"/>
  <c r="CV156" i="6"/>
  <c r="CV163" i="6"/>
  <c r="CV132" i="6"/>
  <c r="CV21" i="6"/>
  <c r="CV98" i="6"/>
  <c r="CV50" i="6"/>
  <c r="CV130" i="6"/>
  <c r="CV71" i="6"/>
  <c r="CV93" i="6"/>
  <c r="CV164" i="6"/>
  <c r="CV32" i="6"/>
  <c r="CV142" i="6"/>
  <c r="CV162" i="6"/>
  <c r="CV161" i="6"/>
  <c r="CV140" i="6"/>
  <c r="CV40" i="6"/>
  <c r="CV153" i="6"/>
  <c r="CV95" i="6"/>
  <c r="CV23" i="6"/>
  <c r="Z103" i="4"/>
  <c r="N156" i="4"/>
  <c r="CV51" i="5"/>
  <c r="BB156" i="4"/>
  <c r="X83" i="4"/>
  <c r="N128" i="4"/>
  <c r="P126" i="4"/>
  <c r="Z25" i="4"/>
  <c r="AM89" i="4"/>
  <c r="M115" i="4"/>
  <c r="W121" i="4"/>
  <c r="V162" i="4"/>
  <c r="L164" i="4"/>
  <c r="AO140" i="4"/>
  <c r="AZ94" i="4"/>
  <c r="V161" i="4"/>
  <c r="Z66" i="4"/>
  <c r="AC86" i="4"/>
  <c r="M38" i="4"/>
  <c r="AQ24" i="4"/>
  <c r="AR77" i="4"/>
  <c r="W127" i="4"/>
  <c r="Z132" i="4"/>
  <c r="V156" i="4"/>
  <c r="W100" i="4"/>
  <c r="AL65" i="4"/>
  <c r="AK94" i="4"/>
  <c r="AO9" i="4"/>
  <c r="W101" i="4"/>
  <c r="Q61" i="4"/>
  <c r="AZ60" i="4"/>
  <c r="AO72" i="4"/>
  <c r="R81" i="4"/>
  <c r="Z95" i="4"/>
  <c r="R135" i="4"/>
  <c r="L57" i="4"/>
  <c r="AP87" i="4"/>
  <c r="AL15" i="4"/>
  <c r="P149" i="4"/>
  <c r="Z140" i="4"/>
  <c r="P94" i="4"/>
  <c r="Z91" i="4"/>
  <c r="AG89" i="4"/>
  <c r="AF130" i="4"/>
  <c r="AC155" i="4"/>
  <c r="P20" i="4"/>
  <c r="AB36" i="4"/>
  <c r="Q22" i="4"/>
  <c r="BI40" i="4"/>
  <c r="BG110" i="4"/>
  <c r="V114" i="4"/>
  <c r="AB5" i="4"/>
  <c r="K157" i="4"/>
  <c r="AJ141" i="4"/>
  <c r="AK125" i="4"/>
  <c r="AK150" i="4"/>
  <c r="Z157" i="4"/>
  <c r="K81" i="4"/>
  <c r="N168" i="4"/>
  <c r="AJ106" i="4"/>
  <c r="AL12" i="4"/>
  <c r="AG108" i="4"/>
  <c r="U45" i="4"/>
  <c r="L66" i="4"/>
  <c r="L123" i="4"/>
  <c r="BB140" i="4"/>
  <c r="AF87" i="4"/>
  <c r="V154" i="4"/>
  <c r="P58" i="4"/>
  <c r="P75" i="4"/>
  <c r="AF93" i="4"/>
  <c r="AL146" i="4"/>
  <c r="AA63" i="4"/>
  <c r="S105" i="4"/>
  <c r="AE7" i="4"/>
  <c r="L28" i="4"/>
  <c r="AG133" i="4"/>
  <c r="AL41" i="4"/>
  <c r="AB6" i="4"/>
  <c r="R85" i="4"/>
  <c r="AH71" i="4"/>
  <c r="L79" i="4"/>
  <c r="AG49" i="4"/>
  <c r="BA147" i="4"/>
  <c r="AG59" i="4"/>
  <c r="Q69" i="4"/>
  <c r="S87" i="4"/>
  <c r="W49" i="4"/>
  <c r="M26" i="4"/>
  <c r="S116" i="4"/>
  <c r="AO20" i="4"/>
  <c r="AK8" i="4"/>
  <c r="BG96" i="4"/>
  <c r="AL25" i="4"/>
  <c r="X119" i="4"/>
  <c r="U155" i="4"/>
  <c r="R150" i="4"/>
  <c r="AQ149" i="4"/>
  <c r="AE107" i="4"/>
  <c r="AY20" i="4"/>
  <c r="AH79" i="4"/>
  <c r="R18" i="4"/>
  <c r="V60" i="4"/>
  <c r="U143" i="4"/>
  <c r="L160" i="4"/>
  <c r="AJ143" i="4"/>
  <c r="AG52" i="4"/>
  <c r="AO26" i="4"/>
  <c r="AH144" i="4"/>
  <c r="P168" i="4"/>
  <c r="U105" i="4"/>
  <c r="U42" i="4"/>
  <c r="AA85" i="4"/>
  <c r="BB22" i="4"/>
  <c r="AJ90" i="4"/>
  <c r="AJ37" i="4"/>
  <c r="X47" i="4"/>
  <c r="AA32" i="4"/>
  <c r="AR106" i="4"/>
  <c r="L11" i="4"/>
  <c r="N76" i="4"/>
  <c r="AM40" i="4"/>
  <c r="AF164" i="4"/>
  <c r="R116" i="4"/>
  <c r="X103" i="4"/>
  <c r="X87" i="4"/>
  <c r="AA67" i="4"/>
  <c r="R121" i="4"/>
  <c r="AC159" i="4"/>
  <c r="AM101" i="4"/>
  <c r="BK130" i="4"/>
  <c r="R50" i="4"/>
  <c r="V62" i="4"/>
  <c r="X16" i="4"/>
  <c r="AB78" i="4"/>
  <c r="N144" i="4"/>
  <c r="BB146" i="4"/>
  <c r="AO74" i="4"/>
  <c r="AL167" i="4"/>
  <c r="AC87" i="4"/>
  <c r="AB14" i="4"/>
  <c r="S25" i="4"/>
  <c r="R20" i="4"/>
  <c r="N32" i="4"/>
  <c r="AK56" i="4"/>
  <c r="AM152" i="4"/>
  <c r="AE57" i="4"/>
  <c r="AO76" i="4"/>
  <c r="AE73" i="4"/>
  <c r="X105" i="4"/>
  <c r="S35" i="4"/>
  <c r="Q71" i="4"/>
  <c r="AL90" i="4"/>
  <c r="AF77" i="4"/>
  <c r="AO70" i="4"/>
  <c r="AH8" i="4"/>
  <c r="P10" i="4"/>
  <c r="U30" i="4"/>
  <c r="X154" i="4"/>
  <c r="AA116" i="4"/>
  <c r="AK121" i="4"/>
  <c r="BO122" i="4"/>
  <c r="AO39" i="4"/>
  <c r="AE22" i="4"/>
  <c r="AZ28" i="4"/>
  <c r="S9" i="4"/>
  <c r="V120" i="4"/>
  <c r="AA93" i="4"/>
  <c r="AO119" i="4"/>
  <c r="AK109" i="4"/>
  <c r="AM7" i="4"/>
  <c r="V117" i="4"/>
  <c r="AA49" i="4"/>
  <c r="AL101" i="4"/>
  <c r="N101" i="4"/>
  <c r="L49" i="4"/>
  <c r="AL111" i="4"/>
  <c r="BI76" i="4"/>
  <c r="Q62" i="4"/>
  <c r="X166" i="4"/>
  <c r="W42" i="4"/>
  <c r="AA158" i="4"/>
  <c r="L105" i="4"/>
  <c r="W128" i="4"/>
  <c r="AJ101" i="4"/>
  <c r="BF40" i="4"/>
  <c r="AQ36" i="4"/>
  <c r="V54" i="4"/>
  <c r="V151" i="4"/>
  <c r="AB38" i="4"/>
  <c r="M85" i="4"/>
  <c r="AQ33" i="4"/>
  <c r="AO63" i="4"/>
  <c r="AM98" i="4"/>
  <c r="AA135" i="4"/>
  <c r="AA152" i="4"/>
  <c r="P8" i="4"/>
  <c r="Q99" i="4"/>
  <c r="L17" i="4"/>
  <c r="AK34" i="4"/>
  <c r="AK14" i="4"/>
  <c r="AH67" i="4"/>
  <c r="U159" i="4"/>
  <c r="X155" i="4"/>
  <c r="AA7" i="4"/>
  <c r="K163" i="4"/>
  <c r="P7" i="4"/>
  <c r="P140" i="4"/>
  <c r="Q9" i="4"/>
  <c r="N31" i="4"/>
  <c r="N55" i="4"/>
  <c r="AQ167" i="4"/>
  <c r="AL21" i="4"/>
  <c r="Q164" i="4"/>
  <c r="AH108" i="4"/>
  <c r="M37" i="4"/>
  <c r="BF109" i="4"/>
  <c r="BB48" i="4"/>
  <c r="AJ87" i="4"/>
  <c r="AB27" i="4"/>
  <c r="AA147" i="4"/>
  <c r="R120" i="4"/>
  <c r="R132" i="4"/>
  <c r="K168" i="4"/>
  <c r="AQ44" i="4"/>
  <c r="AR74" i="4"/>
  <c r="AM142" i="4"/>
  <c r="Z117" i="4"/>
  <c r="AA11" i="4"/>
  <c r="R163" i="4"/>
  <c r="S28" i="4"/>
  <c r="M129" i="4"/>
  <c r="AK15" i="4"/>
  <c r="AH17" i="4"/>
  <c r="AH84" i="4"/>
  <c r="P142" i="4"/>
  <c r="V127" i="4"/>
  <c r="AC166" i="4"/>
  <c r="AB46" i="4"/>
  <c r="AE6" i="4"/>
  <c r="AZ24" i="4"/>
  <c r="AP101" i="4"/>
  <c r="AC19" i="4"/>
  <c r="AE126" i="4"/>
  <c r="R25" i="4"/>
  <c r="AM150" i="4"/>
  <c r="S61" i="4"/>
  <c r="AG147" i="4"/>
  <c r="AQ81" i="4"/>
  <c r="BA36" i="4"/>
  <c r="AA145" i="4"/>
  <c r="AH98" i="4"/>
  <c r="R119" i="4"/>
  <c r="AB32" i="4"/>
  <c r="R80" i="4"/>
  <c r="AO4" i="4"/>
  <c r="AK71" i="4"/>
  <c r="AH93" i="4"/>
  <c r="X51" i="4"/>
  <c r="X163" i="4"/>
  <c r="AE102" i="4"/>
  <c r="M104" i="4"/>
  <c r="K110" i="4"/>
  <c r="AG76" i="4"/>
  <c r="BB32" i="4"/>
  <c r="AE84" i="4"/>
  <c r="Q96" i="4"/>
  <c r="P44" i="4"/>
  <c r="X129" i="4"/>
  <c r="P129" i="4"/>
  <c r="R58" i="4"/>
  <c r="CV18" i="5"/>
  <c r="N49" i="4"/>
  <c r="S4" i="4"/>
  <c r="BP147" i="4"/>
  <c r="AR126" i="4"/>
  <c r="BL31" i="4"/>
  <c r="AC102" i="4"/>
  <c r="Z67" i="4"/>
  <c r="S12" i="4"/>
  <c r="AP84" i="4"/>
  <c r="AJ30" i="4"/>
  <c r="AE45" i="4"/>
  <c r="W6" i="4"/>
  <c r="V129" i="4"/>
  <c r="AG68" i="4"/>
  <c r="M82" i="4"/>
  <c r="L35" i="4"/>
  <c r="AO129" i="4"/>
  <c r="AM50" i="4"/>
  <c r="AF38" i="4"/>
  <c r="V42" i="4"/>
  <c r="X34" i="4"/>
  <c r="AG113" i="4"/>
  <c r="M6" i="4"/>
  <c r="M90" i="4"/>
  <c r="AH128" i="4"/>
  <c r="BA20" i="4"/>
  <c r="AB159" i="4"/>
  <c r="P95" i="4"/>
  <c r="S101" i="4"/>
  <c r="X108" i="4"/>
  <c r="N108" i="4"/>
  <c r="AZ118" i="4"/>
  <c r="AL133" i="4"/>
  <c r="AK156" i="4"/>
  <c r="X147" i="4"/>
  <c r="AA125" i="4"/>
  <c r="AR47" i="4"/>
  <c r="M83" i="4"/>
  <c r="M77" i="4"/>
  <c r="AP103" i="4"/>
  <c r="AM80" i="4"/>
  <c r="AL143" i="4"/>
  <c r="X59" i="4"/>
  <c r="AC103" i="4"/>
  <c r="AL23" i="4"/>
  <c r="L69" i="4"/>
  <c r="N132" i="4"/>
  <c r="AL38" i="4"/>
  <c r="AG78" i="4"/>
  <c r="AL46" i="4"/>
  <c r="Q161" i="4"/>
  <c r="Q12" i="4"/>
  <c r="AA27" i="4"/>
  <c r="P124" i="4"/>
  <c r="AC68" i="4"/>
  <c r="BF64" i="4"/>
  <c r="AZ168" i="4"/>
  <c r="Z120" i="4"/>
  <c r="BG82" i="4"/>
  <c r="AG132" i="4"/>
  <c r="P109" i="4"/>
  <c r="AC44" i="4"/>
  <c r="N88" i="4"/>
  <c r="AY102" i="4"/>
  <c r="AP24" i="4"/>
  <c r="AK87" i="4"/>
  <c r="AA77" i="4"/>
  <c r="Z60" i="4"/>
  <c r="L33" i="4"/>
  <c r="R24" i="4"/>
  <c r="K161" i="4"/>
  <c r="AZ48" i="4"/>
  <c r="AR100" i="4"/>
  <c r="AL16" i="4"/>
  <c r="AB30" i="4"/>
  <c r="AC50" i="4"/>
  <c r="N80" i="4"/>
  <c r="S133" i="4"/>
  <c r="L133" i="4"/>
  <c r="AM119" i="4"/>
  <c r="AG61" i="4"/>
  <c r="AG141" i="4"/>
  <c r="Q150" i="4"/>
  <c r="X41" i="4"/>
  <c r="AC75" i="4"/>
  <c r="V49" i="4"/>
  <c r="AE53" i="4"/>
  <c r="AO22" i="4"/>
  <c r="AO100" i="4"/>
  <c r="AB94" i="4"/>
  <c r="AG26" i="4"/>
  <c r="R153" i="4"/>
  <c r="U74" i="4"/>
  <c r="Q159" i="4"/>
  <c r="BY105" i="4"/>
  <c r="AO141" i="4"/>
  <c r="AM87" i="4"/>
  <c r="Z115" i="4"/>
  <c r="AC29" i="4"/>
  <c r="R62" i="4"/>
  <c r="V136" i="4"/>
  <c r="R154" i="4"/>
  <c r="AP140" i="4"/>
  <c r="AO91" i="4"/>
  <c r="AC45" i="4"/>
  <c r="U64" i="4"/>
  <c r="AG35" i="4"/>
  <c r="Q7" i="4"/>
  <c r="X82" i="4"/>
  <c r="CV25" i="5"/>
  <c r="M153" i="4"/>
  <c r="CV91" i="5"/>
  <c r="CV75" i="5"/>
  <c r="CV24" i="5"/>
  <c r="CV102" i="5"/>
  <c r="C217" i="6"/>
  <c r="R148" i="4"/>
  <c r="AK154" i="4"/>
  <c r="AJ145" i="4"/>
  <c r="AY151" i="4"/>
  <c r="U9" i="4"/>
  <c r="R48" i="4"/>
  <c r="K61" i="4"/>
  <c r="R53" i="4"/>
  <c r="R40" i="4"/>
  <c r="K11" i="4"/>
  <c r="P72" i="4"/>
  <c r="CV83" i="5"/>
  <c r="L58" i="4"/>
  <c r="K162" i="4"/>
  <c r="K137" i="4"/>
  <c r="AA62" i="4"/>
  <c r="AK85" i="4"/>
  <c r="AH113" i="4"/>
  <c r="V102" i="4"/>
  <c r="K67" i="4"/>
  <c r="K149" i="4"/>
  <c r="K6" i="4"/>
  <c r="N67" i="4"/>
  <c r="L103" i="4"/>
  <c r="M127" i="4"/>
  <c r="K90" i="4"/>
  <c r="M27" i="4"/>
  <c r="M20" i="4"/>
  <c r="W162" i="4"/>
  <c r="S72" i="4"/>
  <c r="AG30" i="4"/>
  <c r="AL76" i="4"/>
  <c r="AB95" i="4"/>
  <c r="R65" i="4"/>
  <c r="Z75" i="4"/>
  <c r="L24" i="4"/>
  <c r="CV56" i="5"/>
  <c r="CV13" i="5"/>
  <c r="N26" i="4"/>
  <c r="K83" i="4"/>
  <c r="CV72" i="5"/>
  <c r="CV60" i="5"/>
  <c r="Q64" i="4"/>
  <c r="L64" i="4"/>
  <c r="AQ122" i="4"/>
  <c r="BL104" i="4"/>
  <c r="AG80" i="4"/>
  <c r="V19" i="4"/>
  <c r="R160" i="4"/>
  <c r="V86" i="4"/>
  <c r="P40" i="4"/>
  <c r="L31" i="4"/>
  <c r="CV63" i="5"/>
  <c r="L37" i="4"/>
  <c r="CV50" i="5"/>
  <c r="P33" i="4"/>
  <c r="AA139" i="4"/>
  <c r="AL92" i="4"/>
  <c r="Q144" i="4"/>
  <c r="AB70" i="4"/>
  <c r="V25" i="4"/>
  <c r="L114" i="4"/>
  <c r="CV114" i="5"/>
  <c r="K113" i="4"/>
  <c r="K122" i="4"/>
  <c r="L165" i="4"/>
  <c r="L107" i="4"/>
  <c r="CV36" i="5"/>
  <c r="CV103" i="5"/>
  <c r="AY50" i="4"/>
  <c r="AE109" i="4"/>
  <c r="K167" i="4"/>
  <c r="CV119" i="5"/>
  <c r="K48" i="4"/>
  <c r="AC25" i="4"/>
  <c r="W40" i="4"/>
  <c r="AO148" i="4"/>
  <c r="Z33" i="4"/>
  <c r="L71" i="4"/>
  <c r="N89" i="4"/>
  <c r="N56" i="4"/>
  <c r="CV126" i="5"/>
  <c r="S21" i="4"/>
  <c r="Q114" i="4"/>
  <c r="S140" i="4"/>
  <c r="C224" i="6"/>
  <c r="AR13" i="4"/>
  <c r="Q17" i="4"/>
  <c r="L154" i="4"/>
  <c r="CV20" i="6"/>
  <c r="CV76" i="6"/>
  <c r="CV99" i="6"/>
  <c r="CV139" i="6"/>
  <c r="CV143" i="6"/>
  <c r="CV129" i="6"/>
  <c r="CV145" i="6"/>
  <c r="CV105" i="6"/>
  <c r="CV28" i="6"/>
  <c r="CV148" i="6"/>
  <c r="CV61" i="6"/>
  <c r="CV126" i="6"/>
  <c r="CV108" i="6"/>
  <c r="CV96" i="6"/>
  <c r="CV73" i="6"/>
  <c r="CV85" i="6"/>
  <c r="CV168" i="6"/>
  <c r="CV135" i="6"/>
  <c r="CV49" i="6"/>
  <c r="CV122" i="6"/>
  <c r="CV149" i="6"/>
  <c r="K158" i="4"/>
  <c r="AA95" i="4"/>
  <c r="W119" i="4"/>
  <c r="R102" i="4"/>
  <c r="AA50" i="4"/>
  <c r="CV15" i="5"/>
  <c r="C226" i="6"/>
  <c r="X44" i="4"/>
  <c r="V168" i="4"/>
  <c r="AM52" i="4"/>
  <c r="W135" i="4"/>
  <c r="Z121" i="4"/>
  <c r="S41" i="4"/>
  <c r="AL63" i="4"/>
  <c r="AJ38" i="4"/>
  <c r="R128" i="4"/>
  <c r="AB118" i="4"/>
  <c r="P138" i="4"/>
  <c r="AB82" i="4"/>
  <c r="AJ127" i="4"/>
  <c r="AJ67" i="4"/>
  <c r="R30" i="4"/>
  <c r="Z4" i="4"/>
  <c r="M31" i="4"/>
  <c r="V17" i="4"/>
  <c r="AZ99" i="4"/>
  <c r="AK13" i="4"/>
  <c r="AA30" i="4"/>
  <c r="S118" i="4"/>
  <c r="Q97" i="4"/>
  <c r="AM59" i="4"/>
  <c r="AJ32" i="4"/>
  <c r="AB104" i="4"/>
  <c r="W19" i="4"/>
  <c r="AG100" i="4"/>
  <c r="M11" i="4"/>
  <c r="AM32" i="4"/>
  <c r="AM24" i="4"/>
  <c r="AB166" i="4"/>
  <c r="X94" i="4"/>
  <c r="AE48" i="4"/>
  <c r="L159" i="4"/>
  <c r="BP103" i="4"/>
  <c r="AY117" i="4"/>
  <c r="S167" i="4"/>
  <c r="AM124" i="4"/>
  <c r="V57" i="4"/>
  <c r="M80" i="4"/>
  <c r="BA134" i="4"/>
  <c r="BE111" i="4"/>
  <c r="V78" i="4"/>
  <c r="U93" i="4"/>
  <c r="R161" i="4"/>
  <c r="BB94" i="4"/>
  <c r="AE39" i="4"/>
  <c r="Z12" i="4"/>
  <c r="S19" i="4"/>
  <c r="N150" i="4"/>
  <c r="K44" i="4"/>
  <c r="AQ80" i="4"/>
  <c r="AE101" i="4"/>
  <c r="Z166" i="4"/>
  <c r="R162" i="4"/>
  <c r="AO32" i="4"/>
  <c r="L75" i="4"/>
  <c r="AM6" i="4"/>
  <c r="AA144" i="4"/>
  <c r="U122" i="4"/>
  <c r="AC94" i="4"/>
  <c r="W151" i="4"/>
  <c r="BF15" i="4"/>
  <c r="BA122" i="4"/>
  <c r="W90" i="4"/>
  <c r="AF143" i="4"/>
  <c r="U84" i="4"/>
  <c r="K79" i="4"/>
  <c r="AY71" i="4"/>
  <c r="AO139" i="4"/>
  <c r="V85" i="4"/>
  <c r="AE52" i="4"/>
  <c r="U88" i="4"/>
  <c r="K99" i="4"/>
  <c r="BF128" i="4"/>
  <c r="AO144" i="4"/>
  <c r="Z142" i="4"/>
  <c r="AF17" i="4"/>
  <c r="AF116" i="4"/>
  <c r="Q48" i="4"/>
  <c r="P28" i="4"/>
  <c r="K22" i="4"/>
  <c r="AJ50" i="4"/>
  <c r="AG121" i="4"/>
  <c r="BQ152" i="4"/>
  <c r="AJ120" i="4"/>
  <c r="W122" i="4"/>
  <c r="AH14" i="4"/>
  <c r="M119" i="4"/>
  <c r="AF57" i="4"/>
  <c r="AP16" i="4"/>
  <c r="AK23" i="4"/>
  <c r="AB130" i="4"/>
  <c r="AG5" i="4"/>
  <c r="Q162" i="4"/>
  <c r="U19" i="4"/>
  <c r="P101" i="4"/>
  <c r="BL140" i="4"/>
  <c r="AP118" i="4"/>
  <c r="AK18" i="4"/>
  <c r="AB45" i="4"/>
  <c r="AA90" i="4"/>
  <c r="P160" i="4"/>
  <c r="R141" i="4"/>
  <c r="N29" i="4"/>
  <c r="AK66" i="4"/>
  <c r="AL49" i="4"/>
  <c r="AH52" i="4"/>
  <c r="X99" i="4"/>
  <c r="V14" i="4"/>
  <c r="AB126" i="4"/>
  <c r="N79" i="4"/>
  <c r="AJ18" i="4"/>
  <c r="BE83" i="4"/>
  <c r="AO23" i="4"/>
  <c r="AE137" i="4"/>
  <c r="AJ78" i="4"/>
  <c r="S157" i="4"/>
  <c r="V131" i="4"/>
  <c r="V21" i="4"/>
  <c r="AG114" i="4"/>
  <c r="AY31" i="4"/>
  <c r="AZ154" i="4"/>
  <c r="Z154" i="4"/>
  <c r="AJ116" i="4"/>
  <c r="R103" i="4"/>
  <c r="V160" i="4"/>
  <c r="Q142" i="4"/>
  <c r="BB56" i="4"/>
  <c r="AL43" i="4"/>
  <c r="AG136" i="4"/>
  <c r="U48" i="4"/>
  <c r="Z48" i="4"/>
  <c r="AE78" i="4"/>
  <c r="M134" i="4"/>
  <c r="K52" i="4"/>
  <c r="AJ135" i="4"/>
  <c r="BJ132" i="4"/>
  <c r="AE64" i="4"/>
  <c r="BF85" i="4"/>
  <c r="AJ53" i="4"/>
  <c r="V106" i="4"/>
  <c r="AE47" i="4"/>
  <c r="K46" i="4"/>
  <c r="BL22" i="4"/>
  <c r="AQ100" i="4"/>
  <c r="AM5" i="4"/>
  <c r="AA136" i="4"/>
  <c r="AA101" i="4"/>
  <c r="P14" i="4"/>
  <c r="U56" i="4"/>
  <c r="P112" i="4"/>
  <c r="BF158" i="4"/>
  <c r="AR75" i="4"/>
  <c r="AJ55" i="4"/>
  <c r="AA19" i="4"/>
  <c r="AC140" i="4"/>
  <c r="P122" i="4"/>
  <c r="S14" i="4"/>
  <c r="L92" i="4"/>
  <c r="AJ61" i="4"/>
  <c r="AJ35" i="4"/>
  <c r="AE128" i="4"/>
  <c r="Q89" i="4"/>
  <c r="X161" i="4"/>
  <c r="Z68" i="4"/>
  <c r="AM13" i="4"/>
  <c r="AH30" i="4"/>
  <c r="AZ51" i="4"/>
  <c r="AR45" i="4"/>
  <c r="AB120" i="4"/>
  <c r="AL158" i="4"/>
  <c r="Q28" i="4"/>
  <c r="W96" i="4"/>
  <c r="R117" i="4"/>
  <c r="AE54" i="4"/>
  <c r="AR29" i="4"/>
  <c r="AO98" i="4"/>
  <c r="AA100" i="4"/>
  <c r="AH66" i="4"/>
  <c r="R114" i="4"/>
  <c r="AE110" i="4"/>
  <c r="S128" i="4"/>
  <c r="AP19" i="4"/>
  <c r="AL89" i="4"/>
  <c r="AF124" i="4"/>
  <c r="W70" i="4"/>
  <c r="W107" i="4"/>
  <c r="AF48" i="4"/>
  <c r="K37" i="4"/>
  <c r="L48" i="4"/>
  <c r="AG118" i="4"/>
  <c r="BE49" i="4"/>
  <c r="AG103" i="4"/>
  <c r="P19" i="4"/>
  <c r="R8" i="4"/>
  <c r="W154" i="4"/>
  <c r="Q58" i="4"/>
  <c r="V58" i="4"/>
  <c r="N122" i="4"/>
  <c r="M58" i="4"/>
  <c r="P144" i="4"/>
  <c r="AZ34" i="4"/>
  <c r="BG95" i="4"/>
  <c r="AM117" i="4"/>
  <c r="Z58" i="4"/>
  <c r="Z53" i="4"/>
  <c r="V147" i="4"/>
  <c r="AO28" i="4"/>
  <c r="AL94" i="4"/>
  <c r="AJ4" i="4"/>
  <c r="W144" i="4"/>
  <c r="AC144" i="4"/>
  <c r="AE150" i="4"/>
  <c r="M12" i="4"/>
  <c r="L12" i="4"/>
  <c r="AR136" i="4"/>
  <c r="AJ14" i="4"/>
  <c r="AE68" i="4"/>
  <c r="X37" i="4"/>
  <c r="W26" i="4"/>
  <c r="AG131" i="4"/>
  <c r="M106" i="4"/>
  <c r="N14" i="4"/>
  <c r="AE132" i="4"/>
  <c r="BA69" i="4"/>
  <c r="AH167" i="4"/>
  <c r="R78" i="4"/>
  <c r="R19" i="4"/>
  <c r="U6" i="4"/>
  <c r="M141" i="4"/>
  <c r="AR68" i="4"/>
  <c r="AP128" i="4"/>
  <c r="AL68" i="4"/>
  <c r="Z97" i="4"/>
  <c r="Z50" i="4"/>
  <c r="N165" i="4"/>
  <c r="S11" i="4"/>
  <c r="K127" i="4"/>
  <c r="AY154" i="4"/>
  <c r="AK95" i="4"/>
  <c r="AM78" i="4"/>
  <c r="V34" i="4"/>
  <c r="Z80" i="4"/>
  <c r="BA117" i="4"/>
  <c r="L132" i="4"/>
  <c r="K155" i="4"/>
  <c r="AM113" i="4"/>
  <c r="AF136" i="4"/>
  <c r="AO116" i="4"/>
  <c r="Q59" i="4"/>
  <c r="U147" i="4"/>
  <c r="AA61" i="4"/>
  <c r="P115" i="4"/>
  <c r="AL96" i="4"/>
  <c r="BO123" i="4"/>
  <c r="AZ147" i="4"/>
  <c r="AC4" i="4"/>
  <c r="AE77" i="4"/>
  <c r="AK82" i="4"/>
  <c r="U97" i="4"/>
  <c r="R51" i="4"/>
  <c r="M158" i="4"/>
  <c r="CV140" i="5"/>
  <c r="P81" i="4"/>
  <c r="Q90" i="4"/>
  <c r="BQ158" i="4"/>
  <c r="AP54" i="4"/>
  <c r="AZ46" i="4"/>
  <c r="X14" i="4"/>
  <c r="W118" i="4"/>
  <c r="U79" i="4"/>
  <c r="AJ104" i="4"/>
  <c r="AF66" i="4"/>
  <c r="AF60" i="4"/>
  <c r="R89" i="4"/>
  <c r="V146" i="4"/>
  <c r="Z82" i="4"/>
  <c r="X61" i="4"/>
  <c r="L98" i="4"/>
  <c r="AJ6" i="4"/>
  <c r="AE105" i="4"/>
  <c r="BA90" i="4"/>
  <c r="R158" i="4"/>
  <c r="V67" i="4"/>
  <c r="Z156" i="4"/>
  <c r="R113" i="4"/>
  <c r="M89" i="4"/>
  <c r="BG88" i="4"/>
  <c r="AM8" i="4"/>
  <c r="AC92" i="4"/>
  <c r="AH153" i="4"/>
  <c r="AG47" i="4"/>
  <c r="R5" i="4"/>
  <c r="Q104" i="4"/>
  <c r="AK108" i="4"/>
  <c r="AL93" i="4"/>
  <c r="AG57" i="4"/>
  <c r="X164" i="4"/>
  <c r="U82" i="4"/>
  <c r="AB156" i="4"/>
  <c r="K121" i="4"/>
  <c r="AP134" i="4"/>
  <c r="AK48" i="4"/>
  <c r="AK32" i="4"/>
  <c r="AG82" i="4"/>
  <c r="V65" i="4"/>
  <c r="U62" i="4"/>
  <c r="AB26" i="4"/>
  <c r="K165" i="4"/>
  <c r="R52" i="4"/>
  <c r="AH83" i="4"/>
  <c r="AO65" i="4"/>
  <c r="Z106" i="4"/>
  <c r="AR12" i="4"/>
  <c r="Q109" i="4"/>
  <c r="V41" i="4"/>
  <c r="V20" i="4"/>
  <c r="N25" i="4"/>
  <c r="AQ154" i="4"/>
  <c r="AK49" i="4"/>
  <c r="BI103" i="4"/>
  <c r="BB51" i="4"/>
  <c r="AZ120" i="4"/>
  <c r="AA25" i="4"/>
  <c r="AC48" i="4"/>
  <c r="K135" i="4"/>
  <c r="AR104" i="4"/>
  <c r="AL55" i="4"/>
  <c r="AG17" i="4"/>
  <c r="V71" i="4"/>
  <c r="X5" i="4"/>
  <c r="AF131" i="4"/>
  <c r="M40" i="4"/>
  <c r="L157" i="4"/>
  <c r="AL138" i="4"/>
  <c r="AK37" i="4"/>
  <c r="AH138" i="4"/>
  <c r="U71" i="4"/>
  <c r="U111" i="4"/>
  <c r="AC26" i="4"/>
  <c r="K119" i="4"/>
  <c r="K94" i="4"/>
  <c r="AF12" i="4"/>
  <c r="AO143" i="4"/>
  <c r="Z167" i="4"/>
  <c r="L65" i="4"/>
  <c r="P92" i="4"/>
  <c r="W39" i="4"/>
  <c r="K120" i="4"/>
  <c r="AY127" i="4"/>
  <c r="AJ158" i="4"/>
  <c r="AJ24" i="4"/>
  <c r="V112" i="4"/>
  <c r="AB108" i="4"/>
  <c r="AO10" i="4"/>
  <c r="L13" i="4"/>
  <c r="N127" i="4"/>
  <c r="AZ161" i="4"/>
  <c r="AJ167" i="4"/>
  <c r="AJ129" i="4"/>
  <c r="V125" i="4"/>
  <c r="AA115" i="4"/>
  <c r="AM108" i="4"/>
  <c r="L41" i="4"/>
  <c r="M92" i="4"/>
  <c r="AB136" i="4"/>
  <c r="AR159" i="4"/>
  <c r="V140" i="4"/>
  <c r="AO78" i="4"/>
  <c r="AB138" i="4"/>
  <c r="K139" i="4"/>
  <c r="CV142" i="5"/>
  <c r="AF157" i="4"/>
  <c r="S115" i="4"/>
  <c r="L106" i="4"/>
  <c r="CV85" i="5"/>
  <c r="CV135" i="5"/>
  <c r="CV134" i="5"/>
  <c r="CV31" i="5"/>
  <c r="W137" i="4"/>
  <c r="AM61" i="4"/>
  <c r="AO160" i="4"/>
  <c r="Z49" i="4"/>
  <c r="S52" i="4"/>
  <c r="AH51" i="4"/>
  <c r="M24" i="4"/>
  <c r="L47" i="4"/>
  <c r="CV145" i="5"/>
  <c r="S42" i="4"/>
  <c r="S32" i="4"/>
  <c r="CV82" i="5"/>
  <c r="CV55" i="5"/>
  <c r="CV42" i="5"/>
  <c r="S46" i="4"/>
  <c r="L8" i="4"/>
  <c r="N98" i="4"/>
  <c r="BA146" i="4"/>
  <c r="AA57" i="4"/>
  <c r="Q108" i="4"/>
  <c r="S97" i="4"/>
  <c r="S143" i="4"/>
  <c r="K143" i="4"/>
  <c r="U59" i="4"/>
  <c r="CV30" i="5"/>
  <c r="V111" i="4"/>
  <c r="V73" i="4"/>
  <c r="Q78" i="4"/>
  <c r="CV40" i="5"/>
  <c r="CV150" i="5"/>
  <c r="CV43" i="5"/>
  <c r="R49" i="4"/>
  <c r="AL150" i="4"/>
  <c r="V23" i="4"/>
  <c r="AH121" i="4"/>
  <c r="W13" i="4"/>
  <c r="L158" i="4"/>
  <c r="CV124" i="5"/>
  <c r="K58" i="4"/>
  <c r="L46" i="4"/>
  <c r="AF62" i="4"/>
  <c r="CV165" i="5"/>
  <c r="CV64" i="5"/>
  <c r="C213" i="6"/>
  <c r="CV160" i="5"/>
  <c r="AA120" i="4"/>
  <c r="AL140" i="4"/>
  <c r="AB54" i="4"/>
  <c r="Q31" i="4"/>
  <c r="AB131" i="4"/>
  <c r="M72" i="4"/>
  <c r="CV94" i="5"/>
  <c r="CV47" i="5"/>
  <c r="M101" i="4"/>
  <c r="K93" i="4"/>
  <c r="CV78" i="5"/>
  <c r="V53" i="4"/>
  <c r="AB144" i="4"/>
  <c r="AR153" i="4"/>
  <c r="N125" i="4"/>
  <c r="V36" i="4"/>
  <c r="S142" i="4"/>
  <c r="Q95" i="4"/>
  <c r="CV61" i="5"/>
  <c r="X24" i="4"/>
  <c r="R112" i="4"/>
  <c r="S86" i="4"/>
  <c r="CV148" i="5"/>
  <c r="CV59" i="5"/>
  <c r="CV118" i="5"/>
  <c r="AP112" i="4"/>
  <c r="AA82" i="4"/>
  <c r="N65" i="4"/>
  <c r="P66" i="4"/>
  <c r="AL64" i="4"/>
  <c r="U130" i="4"/>
  <c r="AF107" i="4"/>
  <c r="Z125" i="4"/>
  <c r="N153" i="4"/>
  <c r="P128" i="4"/>
  <c r="N112" i="4"/>
  <c r="CV12" i="5"/>
  <c r="CV157" i="5"/>
  <c r="N38" i="4"/>
  <c r="M161" i="4"/>
  <c r="K24" i="4"/>
  <c r="AB81" i="4"/>
  <c r="AG127" i="4"/>
  <c r="N20" i="4"/>
  <c r="CV6" i="6"/>
  <c r="CV147" i="6"/>
  <c r="CV56" i="6"/>
  <c r="CV150" i="6"/>
  <c r="CV43" i="6"/>
  <c r="CV55" i="6"/>
  <c r="CV42" i="6"/>
  <c r="CV119" i="6"/>
  <c r="CV15" i="6"/>
  <c r="CV123" i="6"/>
  <c r="CV77" i="6"/>
  <c r="CV72" i="6"/>
  <c r="CV60" i="6"/>
  <c r="CV51" i="6"/>
  <c r="CV141" i="6"/>
  <c r="CV12" i="6"/>
  <c r="CV166" i="6"/>
  <c r="CV18" i="6"/>
  <c r="CV152" i="6"/>
  <c r="CV39" i="6"/>
  <c r="CV84" i="6"/>
  <c r="BA72" i="4"/>
  <c r="K140" i="4"/>
  <c r="M96" i="4"/>
  <c r="Z107" i="4"/>
  <c r="AC35" i="4"/>
  <c r="CV161" i="5"/>
  <c r="M149" i="4"/>
  <c r="K84" i="4"/>
  <c r="V43" i="4"/>
  <c r="Q51" i="4"/>
  <c r="U148" i="4"/>
  <c r="N8" i="4"/>
  <c r="S121" i="4"/>
  <c r="M84" i="4"/>
  <c r="Z65" i="4"/>
  <c r="M81" i="4"/>
  <c r="S36" i="4"/>
  <c r="U108" i="4"/>
  <c r="AO30" i="4"/>
  <c r="AA79" i="4"/>
  <c r="BD146" i="4"/>
  <c r="AB98" i="4"/>
  <c r="W18" i="4"/>
  <c r="X26" i="4"/>
  <c r="AM21" i="4"/>
  <c r="AG125" i="4"/>
  <c r="AB58" i="4"/>
  <c r="X91" i="4"/>
  <c r="N28" i="4"/>
  <c r="L23" i="4"/>
  <c r="AG140" i="4"/>
  <c r="AG4" i="4"/>
  <c r="AA8" i="4"/>
  <c r="V138" i="4"/>
  <c r="L68" i="4"/>
  <c r="L97" i="4"/>
  <c r="AQ72" i="4"/>
  <c r="AA43" i="4"/>
  <c r="U128" i="4"/>
  <c r="M25" i="4"/>
  <c r="Z76" i="4"/>
  <c r="BI120" i="4"/>
  <c r="AH155" i="4"/>
  <c r="U99" i="4"/>
  <c r="AF18" i="4"/>
  <c r="Z165" i="4"/>
  <c r="K66" i="4"/>
  <c r="BG103" i="4"/>
  <c r="AE100" i="4"/>
  <c r="U134" i="4"/>
  <c r="AG69" i="4"/>
  <c r="AA80" i="4"/>
  <c r="K17" i="4"/>
  <c r="AL66" i="4"/>
  <c r="AK155" i="4"/>
  <c r="S65" i="4"/>
  <c r="X85" i="4"/>
  <c r="U50" i="4"/>
  <c r="Q112" i="4"/>
  <c r="BB126" i="4"/>
  <c r="AM31" i="4"/>
  <c r="AF4" i="4"/>
  <c r="K87" i="4"/>
  <c r="X88" i="4"/>
  <c r="AL139" i="4"/>
  <c r="Z74" i="4"/>
  <c r="V92" i="4"/>
  <c r="AO108" i="4"/>
  <c r="U44" i="4"/>
  <c r="K32" i="4"/>
  <c r="AM28" i="4"/>
  <c r="AC65" i="4"/>
  <c r="W126" i="4"/>
  <c r="AM27" i="4"/>
  <c r="R98" i="4"/>
  <c r="AE160" i="4"/>
  <c r="BP13" i="4"/>
  <c r="U20" i="4"/>
  <c r="AE67" i="4"/>
  <c r="AB87" i="4"/>
  <c r="K4" i="4"/>
  <c r="AO167" i="4"/>
  <c r="AK6" i="4"/>
  <c r="P64" i="4"/>
  <c r="AA161" i="4"/>
  <c r="R61" i="4"/>
  <c r="R100" i="4"/>
  <c r="AY41" i="4"/>
  <c r="AL22" i="4"/>
  <c r="K151" i="4"/>
  <c r="AA51" i="4"/>
  <c r="Q121" i="4"/>
  <c r="P51" i="4"/>
  <c r="AQ112" i="4"/>
  <c r="AJ8" i="4"/>
  <c r="W123" i="4"/>
  <c r="Z35" i="4"/>
  <c r="Z123" i="4"/>
  <c r="AH54" i="4"/>
  <c r="L131" i="4"/>
  <c r="N42" i="4"/>
  <c r="AK36" i="4"/>
  <c r="BE65" i="4"/>
  <c r="BK91" i="4"/>
  <c r="AJ40" i="4"/>
  <c r="AF135" i="4"/>
  <c r="AA107" i="4"/>
  <c r="K28" i="4"/>
  <c r="AO142" i="4"/>
  <c r="AM127" i="4"/>
  <c r="AL28" i="4"/>
  <c r="U103" i="4"/>
  <c r="Z143" i="4"/>
  <c r="AL166" i="4"/>
  <c r="K85" i="4"/>
  <c r="K20" i="4"/>
  <c r="AO151" i="4"/>
  <c r="AM141" i="4"/>
  <c r="AM54" i="4"/>
  <c r="V70" i="4"/>
  <c r="AB153" i="4"/>
  <c r="AG91" i="4"/>
  <c r="K16" i="4"/>
  <c r="N84" i="4"/>
  <c r="AG36" i="4"/>
  <c r="BF71" i="4"/>
  <c r="AF110" i="4"/>
  <c r="Q10" i="4"/>
  <c r="R39" i="4"/>
  <c r="X148" i="4"/>
  <c r="R143" i="4"/>
  <c r="BB19" i="4"/>
  <c r="AQ62" i="4"/>
  <c r="AJ94" i="4"/>
  <c r="AC18" i="4"/>
  <c r="AB167" i="4"/>
  <c r="P125" i="4"/>
  <c r="P152" i="4"/>
  <c r="N102" i="4"/>
  <c r="AY92" i="4"/>
  <c r="AR142" i="4"/>
  <c r="AJ123" i="4"/>
  <c r="AB75" i="4"/>
  <c r="AB80" i="4"/>
  <c r="M7" i="4"/>
  <c r="S8" i="4"/>
  <c r="L74" i="4"/>
  <c r="AK29" i="4"/>
  <c r="AH62" i="4"/>
  <c r="AG86" i="4"/>
  <c r="P77" i="4"/>
  <c r="W66" i="4"/>
  <c r="AC62" i="4"/>
  <c r="X36" i="4"/>
  <c r="K107" i="4"/>
  <c r="AF158" i="4"/>
  <c r="AZ68" i="4"/>
  <c r="BA144" i="4"/>
  <c r="BE155" i="4"/>
  <c r="AJ34" i="4"/>
  <c r="AF21" i="4"/>
  <c r="AC27" i="4"/>
  <c r="K101" i="4"/>
  <c r="AP77" i="4"/>
  <c r="AM71" i="4"/>
  <c r="AM66" i="4"/>
  <c r="X30" i="4"/>
  <c r="AC90" i="4"/>
  <c r="AF5" i="4"/>
  <c r="N59" i="4"/>
  <c r="N145" i="4"/>
  <c r="AO34" i="4"/>
  <c r="AM81" i="4"/>
  <c r="AG159" i="4"/>
  <c r="X112" i="4"/>
  <c r="AA52" i="4"/>
  <c r="AF6" i="4"/>
  <c r="L15" i="4"/>
  <c r="L104" i="4"/>
  <c r="AE70" i="4"/>
  <c r="BB26" i="4"/>
  <c r="AG11" i="4"/>
  <c r="Q45" i="4"/>
  <c r="R15" i="4"/>
  <c r="W31" i="4"/>
  <c r="R35" i="4"/>
  <c r="BA67" i="4"/>
  <c r="AQ153" i="4"/>
  <c r="AL59" i="4"/>
  <c r="Z24" i="4"/>
  <c r="AC101" i="4"/>
  <c r="M155" i="4"/>
  <c r="S123" i="4"/>
  <c r="L91" i="4"/>
  <c r="AQ157" i="4"/>
  <c r="AO122" i="4"/>
  <c r="AK168" i="4"/>
  <c r="Z54" i="4"/>
  <c r="AC10" i="4"/>
  <c r="N134" i="4"/>
  <c r="Q34" i="4"/>
  <c r="N46" i="4"/>
  <c r="AL103" i="4"/>
  <c r="AH41" i="4"/>
  <c r="BG121" i="4"/>
  <c r="P136" i="4"/>
  <c r="X133" i="4"/>
  <c r="AA130" i="4"/>
  <c r="W129" i="4"/>
  <c r="N135" i="4"/>
  <c r="AE83" i="4"/>
  <c r="AO75" i="4"/>
  <c r="AA34" i="4"/>
  <c r="AH4" i="4"/>
  <c r="AK105" i="4"/>
  <c r="U39" i="4"/>
  <c r="Q21" i="4"/>
  <c r="M91" i="4"/>
  <c r="CV116" i="5"/>
  <c r="S55" i="4"/>
  <c r="M88" i="4"/>
  <c r="BB90" i="4"/>
  <c r="BG67" i="4"/>
  <c r="BX159" i="4"/>
  <c r="V119" i="4"/>
  <c r="V51" i="4"/>
  <c r="X134" i="4"/>
  <c r="AK147" i="4"/>
  <c r="AG16" i="4"/>
  <c r="AF35" i="4"/>
  <c r="S48" i="4"/>
  <c r="U98" i="4"/>
  <c r="AB16" i="4"/>
  <c r="AB103" i="4"/>
  <c r="K100" i="4"/>
  <c r="AL47" i="4"/>
  <c r="AF74" i="4"/>
  <c r="AF147" i="4"/>
  <c r="S89" i="4"/>
  <c r="V152" i="4"/>
  <c r="AB85" i="4"/>
  <c r="U141" i="4"/>
  <c r="K106" i="4"/>
  <c r="BK28" i="4"/>
  <c r="AQ55" i="4"/>
  <c r="AB150" i="4"/>
  <c r="AE127" i="4"/>
  <c r="AF41" i="4"/>
  <c r="U40" i="4"/>
  <c r="R6" i="4"/>
  <c r="AL37" i="4"/>
  <c r="AL104" i="4"/>
  <c r="AH43" i="4"/>
  <c r="U77" i="4"/>
  <c r="X111" i="4"/>
  <c r="AB7" i="4"/>
  <c r="L138" i="4"/>
  <c r="K141" i="4"/>
  <c r="AK107" i="4"/>
  <c r="AK164" i="4"/>
  <c r="AF65" i="4"/>
  <c r="U102" i="4"/>
  <c r="X68" i="4"/>
  <c r="AC74" i="4"/>
  <c r="L60" i="4"/>
  <c r="Z39" i="4"/>
  <c r="AG107" i="4"/>
  <c r="BA138" i="4"/>
  <c r="Z138" i="4"/>
  <c r="BQ59" i="4"/>
  <c r="P157" i="4"/>
  <c r="V90" i="4"/>
  <c r="AA66" i="4"/>
  <c r="R149" i="4"/>
  <c r="AQ9" i="4"/>
  <c r="AL61" i="4"/>
  <c r="W103" i="4"/>
  <c r="AA76" i="4"/>
  <c r="AA26" i="4"/>
  <c r="AE80" i="4"/>
  <c r="K69" i="4"/>
  <c r="M15" i="4"/>
  <c r="CV93" i="5"/>
  <c r="M9" i="4"/>
  <c r="CV121" i="5"/>
  <c r="BD129" i="4"/>
  <c r="AR118" i="4"/>
  <c r="AR7" i="4"/>
  <c r="M159" i="4"/>
  <c r="S120" i="4"/>
  <c r="N110" i="4"/>
  <c r="AG42" i="4"/>
  <c r="AP58" i="4"/>
  <c r="AA109" i="4"/>
  <c r="L163" i="4"/>
  <c r="Q68" i="4"/>
  <c r="X40" i="4"/>
  <c r="M75" i="4"/>
  <c r="R106" i="4"/>
  <c r="AH135" i="4"/>
  <c r="AR70" i="4"/>
  <c r="AC39" i="4"/>
  <c r="N16" i="4"/>
  <c r="Q52" i="4"/>
  <c r="W78" i="4"/>
  <c r="AE130" i="4"/>
  <c r="R118" i="4"/>
  <c r="AO51" i="4"/>
  <c r="AK17" i="4"/>
  <c r="W163" i="4"/>
  <c r="AA12" i="4"/>
  <c r="AA111" i="4"/>
  <c r="AH65" i="4"/>
  <c r="N71" i="4"/>
  <c r="AK86" i="4"/>
  <c r="BI18" i="4"/>
  <c r="AF141" i="4"/>
  <c r="P100" i="4"/>
  <c r="P70" i="4"/>
  <c r="AC79" i="4"/>
  <c r="R47" i="4"/>
  <c r="AA155" i="4"/>
  <c r="AF7" i="4"/>
  <c r="BE55" i="4"/>
  <c r="AE40" i="4"/>
  <c r="P36" i="4"/>
  <c r="P30" i="4"/>
  <c r="W23" i="4"/>
  <c r="R95" i="4"/>
  <c r="U72" i="4"/>
  <c r="AQ12" i="4"/>
  <c r="AJ142" i="4"/>
  <c r="U68" i="4"/>
  <c r="AC120" i="4"/>
  <c r="AC161" i="4"/>
  <c r="R28" i="4"/>
  <c r="L129" i="4"/>
  <c r="N15" i="4"/>
  <c r="AJ77" i="4"/>
  <c r="AF67" i="4"/>
  <c r="BI20" i="4"/>
  <c r="BZ86" i="4"/>
  <c r="BA17" i="4"/>
  <c r="Q122" i="4"/>
  <c r="U75" i="4"/>
  <c r="S160" i="4"/>
  <c r="AL160" i="4"/>
  <c r="AE62" i="4"/>
  <c r="AR60" i="4"/>
  <c r="R94" i="4"/>
  <c r="X165" i="4"/>
  <c r="Z32" i="4"/>
  <c r="S71" i="4"/>
  <c r="L39" i="4"/>
  <c r="AM57" i="4"/>
  <c r="AF63" i="4"/>
  <c r="AM156" i="4"/>
  <c r="P158" i="4"/>
  <c r="S29" i="4"/>
  <c r="AC28" i="4"/>
  <c r="R56" i="4"/>
  <c r="AE139" i="4"/>
  <c r="BA49" i="4"/>
  <c r="AJ128" i="4"/>
  <c r="AB53" i="4"/>
  <c r="AE113" i="4"/>
  <c r="AH110" i="4"/>
  <c r="Q168" i="4"/>
  <c r="R70" i="4"/>
  <c r="AL53" i="4"/>
  <c r="AK127" i="4"/>
  <c r="AG162" i="4"/>
  <c r="V10" i="4"/>
  <c r="X139" i="4"/>
  <c r="AC119" i="4"/>
  <c r="N39" i="4"/>
  <c r="P162" i="4"/>
  <c r="AM68" i="4"/>
  <c r="AH146" i="4"/>
  <c r="AF42" i="4"/>
  <c r="S59" i="4"/>
  <c r="V113" i="4"/>
  <c r="AA44" i="4"/>
  <c r="AG53" i="4"/>
  <c r="M43" i="4"/>
  <c r="AH165" i="4"/>
  <c r="AG144" i="4"/>
  <c r="S43" i="4"/>
  <c r="AB52" i="4"/>
  <c r="AB101" i="4"/>
  <c r="AH55" i="4"/>
  <c r="CV133" i="5"/>
  <c r="M46" i="4"/>
  <c r="K150" i="4"/>
  <c r="Z9" i="4"/>
  <c r="Q36" i="4"/>
  <c r="Q160" i="4"/>
  <c r="CV90" i="5"/>
  <c r="CV21" i="5"/>
  <c r="CV16" i="5"/>
  <c r="X131" i="4"/>
  <c r="AZ110" i="4"/>
  <c r="U162" i="4"/>
  <c r="AE149" i="4"/>
  <c r="AB21" i="4"/>
  <c r="M150" i="4"/>
  <c r="CV34" i="5"/>
  <c r="M19" i="4"/>
  <c r="S161" i="4"/>
  <c r="M35" i="4"/>
  <c r="CV45" i="5"/>
  <c r="CV163" i="5"/>
  <c r="CV167" i="5"/>
  <c r="R27" i="4"/>
  <c r="M113" i="4"/>
  <c r="AB49" i="4"/>
  <c r="AB128" i="4"/>
  <c r="V155" i="4"/>
  <c r="AB135" i="4"/>
  <c r="R83" i="4"/>
  <c r="K134" i="4"/>
  <c r="P89" i="4"/>
  <c r="L63" i="4"/>
  <c r="CV84" i="5"/>
  <c r="L153" i="4"/>
  <c r="K26" i="4"/>
  <c r="N62" i="4"/>
  <c r="C215" i="6"/>
  <c r="C216" i="6"/>
  <c r="N43" i="4"/>
  <c r="S81" i="4"/>
  <c r="BD82" i="4"/>
  <c r="R55" i="4"/>
  <c r="AC15" i="4"/>
  <c r="R127" i="4"/>
  <c r="S7" i="4"/>
  <c r="CV70" i="5"/>
  <c r="AK131" i="4"/>
  <c r="W149" i="4"/>
  <c r="Q5" i="4"/>
  <c r="CV158" i="5"/>
  <c r="Q56" i="4"/>
  <c r="V95" i="4"/>
  <c r="N117" i="4"/>
  <c r="AM102" i="4"/>
  <c r="AK57" i="4"/>
  <c r="W58" i="4"/>
  <c r="AE58" i="4"/>
  <c r="X75" i="4"/>
  <c r="AC147" i="4"/>
  <c r="CV147" i="5"/>
  <c r="Z30" i="4"/>
  <c r="M137" i="4"/>
  <c r="R38" i="4"/>
  <c r="CV33" i="5"/>
  <c r="AL105" i="4"/>
  <c r="AO130" i="4"/>
  <c r="AF59" i="4"/>
  <c r="Z114" i="4"/>
  <c r="P87" i="4"/>
  <c r="Z110" i="4"/>
  <c r="N140" i="4"/>
  <c r="CV58" i="5"/>
  <c r="L7" i="4"/>
  <c r="N81" i="4"/>
  <c r="L147" i="4"/>
  <c r="L14" i="4"/>
  <c r="K39" i="4"/>
  <c r="L52" i="4"/>
  <c r="AM107" i="4"/>
  <c r="S164" i="4"/>
  <c r="CV14" i="5"/>
  <c r="AL17" i="4"/>
  <c r="AR46" i="4"/>
  <c r="S148" i="4"/>
  <c r="Z149" i="4"/>
  <c r="X132" i="4"/>
  <c r="W168" i="4"/>
  <c r="M51" i="4"/>
  <c r="V77" i="4"/>
  <c r="CV39" i="5"/>
  <c r="AJ31" i="4"/>
  <c r="CV162" i="5"/>
  <c r="R136" i="4"/>
  <c r="Q101" i="4"/>
  <c r="AJ16" i="4"/>
  <c r="P76" i="4"/>
  <c r="W97" i="4"/>
  <c r="CV76" i="5"/>
  <c r="CV63" i="6"/>
  <c r="CV33" i="6"/>
  <c r="CV82" i="6"/>
  <c r="CV19" i="6"/>
  <c r="CV88" i="6"/>
  <c r="CV83" i="6"/>
  <c r="CV44" i="6"/>
  <c r="CV30" i="6"/>
  <c r="CV94" i="6"/>
  <c r="CV118" i="6"/>
  <c r="CV75" i="6"/>
  <c r="CV134" i="6"/>
  <c r="CV146" i="6"/>
  <c r="CV36" i="6"/>
  <c r="CV89" i="6"/>
  <c r="CV103" i="6"/>
  <c r="CV80" i="6"/>
  <c r="CV81" i="6"/>
  <c r="CV24" i="6"/>
  <c r="CV10" i="6"/>
  <c r="CV107" i="6"/>
  <c r="Q26" i="4"/>
  <c r="Q134" i="4"/>
  <c r="CV89" i="5"/>
  <c r="N146" i="4"/>
  <c r="R79" i="4"/>
  <c r="P111" i="4"/>
  <c r="AG161" i="4"/>
  <c r="CV29" i="5"/>
  <c r="AK159" i="4"/>
  <c r="K49" i="4"/>
  <c r="CV151" i="5"/>
  <c r="CV52" i="5"/>
  <c r="W150" i="4"/>
  <c r="Z20" i="4"/>
  <c r="K23" i="4"/>
  <c r="AA41" i="4"/>
  <c r="R125" i="4"/>
  <c r="M121" i="4"/>
  <c r="Q149" i="4"/>
  <c r="R34" i="4"/>
  <c r="AA13" i="4"/>
  <c r="AF47" i="4"/>
  <c r="P151" i="4"/>
  <c r="Z88" i="4"/>
  <c r="U31" i="4"/>
  <c r="AQ87" i="4"/>
  <c r="AJ156" i="4"/>
  <c r="V13" i="4"/>
  <c r="BK166" i="4"/>
  <c r="Q39" i="4"/>
  <c r="M166" i="4"/>
  <c r="AJ109" i="4"/>
  <c r="AF61" i="4"/>
  <c r="V141" i="4"/>
  <c r="AO89" i="4"/>
  <c r="P86" i="4"/>
  <c r="AG7" i="4"/>
  <c r="AE69" i="4"/>
  <c r="V80" i="4"/>
  <c r="AF150" i="4"/>
  <c r="AB100" i="4"/>
  <c r="K82" i="4"/>
  <c r="BA44" i="4"/>
  <c r="AL156" i="4"/>
  <c r="P105" i="4"/>
  <c r="AB84" i="4"/>
  <c r="R31" i="4"/>
  <c r="K27" i="4"/>
  <c r="AQ132" i="4"/>
  <c r="AM70" i="4"/>
  <c r="P54" i="4"/>
  <c r="AB154" i="4"/>
  <c r="Q113" i="4"/>
  <c r="M62" i="4"/>
  <c r="AG166" i="4"/>
  <c r="AG33" i="4"/>
  <c r="AF75" i="4"/>
  <c r="X127" i="4"/>
  <c r="AF73" i="4"/>
  <c r="L38" i="4"/>
  <c r="BA26" i="4"/>
  <c r="AQ35" i="4"/>
  <c r="W35" i="4"/>
  <c r="K116" i="4"/>
  <c r="AF109" i="4"/>
  <c r="AJ47" i="4"/>
  <c r="W20" i="4"/>
  <c r="AE72" i="4"/>
  <c r="Z87" i="4"/>
  <c r="N164" i="4"/>
  <c r="AH124" i="4"/>
  <c r="AJ134" i="4"/>
  <c r="X118" i="4"/>
  <c r="AE17" i="4"/>
  <c r="AC150" i="4"/>
  <c r="L161" i="4"/>
  <c r="AK35" i="4"/>
  <c r="AQ17" i="4"/>
  <c r="AO137" i="4"/>
  <c r="U156" i="4"/>
  <c r="U81" i="4"/>
  <c r="M57" i="4"/>
  <c r="BN143" i="4"/>
  <c r="AH158" i="4"/>
  <c r="AH26" i="4"/>
  <c r="Q88" i="4"/>
  <c r="K160" i="4"/>
  <c r="N64" i="4"/>
  <c r="BD110" i="4"/>
  <c r="AH47" i="4"/>
  <c r="AC98" i="4"/>
  <c r="Q70" i="4"/>
  <c r="K156" i="4"/>
  <c r="L90" i="4"/>
  <c r="AJ91" i="4"/>
  <c r="AF82" i="4"/>
  <c r="Q76" i="4"/>
  <c r="X4" i="4"/>
  <c r="V66" i="4"/>
  <c r="AC46" i="4"/>
  <c r="M13" i="4"/>
  <c r="AH21" i="4"/>
  <c r="AZ23" i="4"/>
  <c r="AP155" i="4"/>
  <c r="BK49" i="4"/>
  <c r="AM123" i="4"/>
  <c r="W16" i="4"/>
  <c r="V88" i="4"/>
  <c r="AE111" i="4"/>
  <c r="AL14" i="4"/>
  <c r="AL109" i="4"/>
  <c r="AE145" i="4"/>
  <c r="U161" i="4"/>
  <c r="V115" i="4"/>
  <c r="AA164" i="4"/>
  <c r="BG140" i="4"/>
  <c r="R165" i="4"/>
  <c r="AM106" i="4"/>
  <c r="AG37" i="4"/>
  <c r="AF22" i="4"/>
  <c r="P154" i="4"/>
  <c r="X63" i="4"/>
  <c r="AA143" i="4"/>
  <c r="Z81" i="4"/>
  <c r="N111" i="4"/>
  <c r="AF50" i="4"/>
  <c r="AR79" i="4"/>
  <c r="AB148" i="4"/>
  <c r="AL165" i="4"/>
  <c r="AP109" i="4"/>
  <c r="V7" i="4"/>
  <c r="U41" i="4"/>
  <c r="AO117" i="4"/>
  <c r="AK47" i="4"/>
  <c r="AH125" i="4"/>
  <c r="X124" i="4"/>
  <c r="W95" i="4"/>
  <c r="AE25" i="4"/>
  <c r="L29" i="4"/>
  <c r="M164" i="4"/>
  <c r="AQ74" i="4"/>
  <c r="AJ64" i="4"/>
  <c r="AE116" i="4"/>
  <c r="W91" i="4"/>
  <c r="V108" i="4"/>
  <c r="AE92" i="4"/>
  <c r="N103" i="4"/>
  <c r="M128" i="4"/>
  <c r="AE115" i="4"/>
  <c r="AY74" i="4"/>
  <c r="AC141" i="4"/>
  <c r="L148" i="4"/>
  <c r="R97" i="4"/>
  <c r="U160" i="4"/>
  <c r="N105" i="4"/>
  <c r="P82" i="4"/>
  <c r="AR110" i="4"/>
  <c r="AJ166" i="4"/>
  <c r="BB99" i="4"/>
  <c r="BF164" i="4"/>
  <c r="AE148" i="4"/>
  <c r="V83" i="4"/>
  <c r="V118" i="4"/>
  <c r="Z100" i="4"/>
  <c r="AM35" i="4"/>
  <c r="AH115" i="4"/>
  <c r="AH9" i="4"/>
  <c r="Q133" i="4"/>
  <c r="X96" i="4"/>
  <c r="AC99" i="4"/>
  <c r="AC22" i="4"/>
  <c r="M69" i="4"/>
  <c r="AM60" i="4"/>
  <c r="AF165" i="4"/>
  <c r="AF108" i="4"/>
  <c r="Q120" i="4"/>
  <c r="U139" i="4"/>
  <c r="AC6" i="4"/>
  <c r="X65" i="4"/>
  <c r="L99" i="4"/>
  <c r="AF81" i="4"/>
  <c r="AQ106" i="4"/>
  <c r="Z42" i="4"/>
  <c r="AE34" i="4"/>
  <c r="AK33" i="4"/>
  <c r="X128" i="4"/>
  <c r="S60" i="4"/>
  <c r="BB49" i="4"/>
  <c r="AJ69" i="4"/>
  <c r="AE33" i="4"/>
  <c r="X113" i="4"/>
  <c r="X49" i="4"/>
  <c r="AE90" i="4"/>
  <c r="N99" i="4"/>
  <c r="N167" i="4"/>
  <c r="AM34" i="4"/>
  <c r="AM86" i="4"/>
  <c r="AE136" i="4"/>
  <c r="X73" i="4"/>
  <c r="X160" i="4"/>
  <c r="AB164" i="4"/>
  <c r="M53" i="4"/>
  <c r="L82" i="4"/>
  <c r="AH163" i="4"/>
  <c r="AO12" i="4"/>
  <c r="AA33" i="4"/>
  <c r="K124" i="4"/>
  <c r="Q74" i="4"/>
  <c r="U57" i="4"/>
  <c r="AQ146" i="4"/>
  <c r="Q16" i="4"/>
  <c r="AP59" i="4"/>
  <c r="AM157" i="4"/>
  <c r="X57" i="4"/>
  <c r="AB67" i="4"/>
  <c r="AC164" i="4"/>
  <c r="AJ68" i="4"/>
  <c r="N66" i="4"/>
  <c r="L70" i="4"/>
  <c r="CV128" i="5"/>
  <c r="K132" i="4"/>
  <c r="CV125" i="5"/>
  <c r="BK75" i="4"/>
  <c r="AP35" i="4"/>
  <c r="AQ131" i="4"/>
  <c r="R9" i="4"/>
  <c r="S47" i="4"/>
  <c r="K68" i="4"/>
  <c r="AG9" i="4"/>
  <c r="AQ52" i="4"/>
  <c r="AE164" i="4"/>
  <c r="P41" i="4"/>
  <c r="P71" i="4"/>
  <c r="X167" i="4"/>
  <c r="L135" i="4"/>
  <c r="Q140" i="4"/>
  <c r="AG115" i="4"/>
  <c r="AO21" i="4"/>
  <c r="Z45" i="4"/>
  <c r="L142" i="4"/>
  <c r="P29" i="4"/>
  <c r="V103" i="4"/>
  <c r="L111" i="4"/>
  <c r="S79" i="4"/>
  <c r="AO164" i="4"/>
  <c r="AM30" i="4"/>
  <c r="U13" i="4"/>
  <c r="AC30" i="4"/>
  <c r="AA163" i="4"/>
  <c r="AH53" i="4"/>
  <c r="M99" i="4"/>
  <c r="AJ15" i="4"/>
  <c r="AE27" i="4"/>
  <c r="AM118" i="4"/>
  <c r="S159" i="4"/>
  <c r="R26" i="4"/>
  <c r="AB88" i="4"/>
  <c r="R37" i="4"/>
  <c r="AB109" i="4"/>
  <c r="AL153" i="4"/>
  <c r="BJ25" i="4"/>
  <c r="AG98" i="4"/>
  <c r="S58" i="4"/>
  <c r="Q92" i="4"/>
  <c r="AB139" i="4"/>
  <c r="R21" i="4"/>
  <c r="V45" i="4"/>
  <c r="AP9" i="4"/>
  <c r="AL29" i="4"/>
  <c r="V11" i="4"/>
  <c r="Z98" i="4"/>
  <c r="AE91" i="4"/>
  <c r="Q38" i="4"/>
  <c r="L18" i="4"/>
  <c r="L6" i="4"/>
  <c r="AK144" i="4"/>
  <c r="AH136" i="4"/>
  <c r="S108" i="4"/>
  <c r="V110" i="4"/>
  <c r="V144" i="4"/>
  <c r="AC114" i="4"/>
  <c r="N113" i="4"/>
  <c r="M59" i="4"/>
  <c r="CV105" i="5"/>
  <c r="CV26" i="5"/>
  <c r="CV86" i="5"/>
  <c r="BD149" i="4"/>
  <c r="AR18" i="4"/>
  <c r="AB43" i="4"/>
  <c r="AG41" i="4"/>
  <c r="N96" i="4"/>
  <c r="K102" i="4"/>
  <c r="AY89" i="4"/>
  <c r="AJ58" i="4"/>
  <c r="Z8" i="4"/>
  <c r="AE26" i="4"/>
  <c r="AF148" i="4"/>
  <c r="Q103" i="4"/>
  <c r="S131" i="4"/>
  <c r="M47" i="4"/>
  <c r="AQ46" i="4"/>
  <c r="AL120" i="4"/>
  <c r="Z21" i="4"/>
  <c r="AA65" i="4"/>
  <c r="AH122" i="4"/>
  <c r="Q124" i="4"/>
  <c r="S168" i="4"/>
  <c r="K31" i="4"/>
  <c r="AK145" i="4"/>
  <c r="AE28" i="4"/>
  <c r="P106" i="4"/>
  <c r="W59" i="4"/>
  <c r="X48" i="4"/>
  <c r="AC70" i="4"/>
  <c r="AA24" i="4"/>
  <c r="AE60" i="4"/>
  <c r="AQ86" i="4"/>
  <c r="AB51" i="4"/>
  <c r="AM145" i="4"/>
  <c r="AZ10" i="4"/>
  <c r="U78" i="4"/>
  <c r="V6" i="4"/>
  <c r="N44" i="4"/>
  <c r="AF123" i="4"/>
  <c r="AO77" i="4"/>
  <c r="AB134" i="4"/>
  <c r="AG150" i="4"/>
  <c r="AP153" i="4"/>
  <c r="W62" i="4"/>
  <c r="S141" i="4"/>
  <c r="L141" i="4"/>
  <c r="AJ154" i="4"/>
  <c r="AG31" i="4"/>
  <c r="X140" i="4"/>
  <c r="Z23" i="4"/>
  <c r="Z16" i="4"/>
  <c r="Z26" i="4"/>
  <c r="M100" i="4"/>
  <c r="AJ164" i="4"/>
  <c r="AF51" i="4"/>
  <c r="AQ41" i="4"/>
  <c r="BD99" i="4"/>
  <c r="BZ55" i="4"/>
  <c r="AP89" i="4"/>
  <c r="K55" i="4"/>
  <c r="S130" i="4"/>
  <c r="M41" i="4"/>
  <c r="AH46" i="4"/>
  <c r="AR112" i="4"/>
  <c r="AB97" i="4"/>
  <c r="L156" i="4"/>
  <c r="S64" i="4"/>
  <c r="X142" i="4"/>
  <c r="AG95" i="4"/>
  <c r="R152" i="4"/>
  <c r="AE124" i="4"/>
  <c r="AR87" i="4"/>
  <c r="AC134" i="4"/>
  <c r="BB58" i="4"/>
  <c r="R147" i="4"/>
  <c r="X109" i="4"/>
  <c r="AB10" i="4"/>
  <c r="P163" i="4"/>
  <c r="AO37" i="4"/>
  <c r="AL54" i="4"/>
  <c r="W41" i="4"/>
  <c r="AA114" i="4"/>
  <c r="AA71" i="4"/>
  <c r="AE44" i="4"/>
  <c r="K152" i="4"/>
  <c r="AG112" i="4"/>
  <c r="BD73" i="4"/>
  <c r="AG139" i="4"/>
  <c r="R29" i="4"/>
  <c r="P132" i="4"/>
  <c r="V48" i="4"/>
  <c r="Q23" i="4"/>
  <c r="X50" i="4"/>
  <c r="AF167" i="4"/>
  <c r="AR66" i="4"/>
  <c r="AG84" i="4"/>
  <c r="S106" i="4"/>
  <c r="S62" i="4"/>
  <c r="V29" i="4"/>
  <c r="S67" i="4"/>
  <c r="P134" i="4"/>
  <c r="AJ95" i="4"/>
  <c r="X76" i="4"/>
  <c r="L134" i="4"/>
  <c r="M103" i="4"/>
  <c r="CV32" i="5"/>
  <c r="R14" i="4"/>
  <c r="N57" i="4"/>
  <c r="Q111" i="4"/>
  <c r="AH31" i="4"/>
  <c r="Z36" i="4"/>
  <c r="W9" i="4"/>
  <c r="AM165" i="4"/>
  <c r="K33" i="4"/>
  <c r="CV153" i="5"/>
  <c r="CV156" i="5"/>
  <c r="R164" i="4"/>
  <c r="K73" i="4"/>
  <c r="P135" i="4"/>
  <c r="AC149" i="4"/>
  <c r="M108" i="4"/>
  <c r="AF119" i="4"/>
  <c r="AK117" i="4"/>
  <c r="BD15" i="4"/>
  <c r="AA6" i="4"/>
  <c r="L122" i="4"/>
  <c r="L128" i="4"/>
  <c r="AK26" i="4"/>
  <c r="X102" i="4"/>
  <c r="X64" i="4"/>
  <c r="AC5" i="4"/>
  <c r="M107" i="4"/>
  <c r="R12" i="4"/>
  <c r="AK60" i="4"/>
  <c r="W158" i="4"/>
  <c r="V107" i="4"/>
  <c r="Z7" i="4"/>
  <c r="N9" i="4"/>
  <c r="AZ59" i="4"/>
  <c r="AO29" i="4"/>
  <c r="AR143" i="4"/>
  <c r="Z92" i="4"/>
  <c r="W125" i="4"/>
  <c r="L67" i="4"/>
  <c r="AJ108" i="4"/>
  <c r="AM122" i="4"/>
  <c r="AF49" i="4"/>
  <c r="U29" i="4"/>
  <c r="M94" i="4"/>
  <c r="M70" i="4"/>
  <c r="AK128" i="4"/>
  <c r="AH74" i="4"/>
  <c r="AG97" i="4"/>
  <c r="V47" i="4"/>
  <c r="N10" i="4"/>
  <c r="N72" i="4"/>
  <c r="AR144" i="4"/>
  <c r="AH168" i="4"/>
  <c r="X141" i="4"/>
  <c r="Q46" i="4"/>
  <c r="R86" i="4"/>
  <c r="AH97" i="4"/>
  <c r="BA99" i="4"/>
  <c r="AP79" i="4"/>
  <c r="AK73" i="4"/>
  <c r="P42" i="4"/>
  <c r="AO87" i="4"/>
  <c r="AQ59" i="4"/>
  <c r="Q151" i="4"/>
  <c r="AA134" i="4"/>
  <c r="W147" i="4"/>
  <c r="N58" i="4"/>
  <c r="AO127" i="4"/>
  <c r="AR38" i="4"/>
  <c r="Q53" i="4"/>
  <c r="Z31" i="4"/>
  <c r="X25" i="4"/>
  <c r="K40" i="4"/>
  <c r="AM166" i="4"/>
  <c r="AG96" i="4"/>
  <c r="AA156" i="4"/>
  <c r="P22" i="4"/>
  <c r="AC165" i="4"/>
  <c r="P167" i="4"/>
  <c r="AR160" i="4"/>
  <c r="AC81" i="4"/>
  <c r="AB155" i="4"/>
  <c r="Q27" i="4"/>
  <c r="M60" i="4"/>
  <c r="K13" i="4"/>
  <c r="AO133" i="4"/>
  <c r="AC125" i="4"/>
  <c r="AA9" i="4"/>
  <c r="P18" i="4"/>
  <c r="AZ96" i="4"/>
  <c r="AL7" i="4"/>
  <c r="AH143" i="4"/>
  <c r="AR168" i="4"/>
  <c r="AH25" i="4"/>
  <c r="R74" i="4"/>
  <c r="S31" i="4"/>
  <c r="V124" i="4"/>
  <c r="AA14" i="4"/>
  <c r="AO155" i="4"/>
  <c r="AO112" i="4"/>
  <c r="CD142" i="4"/>
  <c r="BD5" i="4"/>
  <c r="AH27" i="4"/>
  <c r="P130" i="4"/>
  <c r="V116" i="4"/>
  <c r="P55" i="4"/>
  <c r="AE114" i="4"/>
  <c r="AZ80" i="4"/>
  <c r="AE135" i="4"/>
  <c r="S38" i="4"/>
  <c r="S16" i="4"/>
  <c r="U154" i="4"/>
  <c r="Q60" i="4"/>
  <c r="W14" i="4"/>
  <c r="AF125" i="4"/>
  <c r="BA54" i="4"/>
  <c r="AG167" i="4"/>
  <c r="S88" i="4"/>
  <c r="Q19" i="4"/>
  <c r="W69" i="4"/>
  <c r="N83" i="4"/>
  <c r="S134" i="4"/>
  <c r="BB168" i="4"/>
  <c r="AL8" i="4"/>
  <c r="X60" i="4"/>
  <c r="AA148" i="4"/>
  <c r="Z90" i="4"/>
  <c r="AO102" i="4"/>
  <c r="M14" i="4"/>
  <c r="AL114" i="4"/>
  <c r="AG51" i="4"/>
  <c r="CF55" i="4"/>
  <c r="R142" i="4"/>
  <c r="U15" i="4"/>
  <c r="AB61" i="4"/>
  <c r="W64" i="4"/>
  <c r="K34" i="4"/>
  <c r="AK63" i="4"/>
  <c r="AF64" i="4"/>
  <c r="AZ142" i="4"/>
  <c r="S76" i="4"/>
  <c r="W104" i="4"/>
  <c r="AC73" i="4"/>
  <c r="Q29" i="4"/>
  <c r="AM153" i="4"/>
  <c r="AZ129" i="4"/>
  <c r="AL161" i="4"/>
  <c r="AC145" i="4"/>
  <c r="AF14" i="4"/>
  <c r="AE125" i="4"/>
  <c r="Q105" i="4"/>
  <c r="P50" i="4"/>
  <c r="L22" i="4"/>
  <c r="AM12" i="4"/>
  <c r="AE144" i="4"/>
  <c r="BK150" i="4"/>
  <c r="BB142" i="4"/>
  <c r="AF23" i="4"/>
  <c r="S136" i="4"/>
  <c r="R88" i="4"/>
  <c r="K29" i="4"/>
  <c r="AH145" i="4"/>
  <c r="AP136" i="4"/>
  <c r="AG83" i="4"/>
  <c r="P52" i="4"/>
  <c r="Q11" i="4"/>
  <c r="W24" i="4"/>
  <c r="L4" i="4"/>
  <c r="Q66" i="4"/>
  <c r="AF104" i="4"/>
  <c r="BA131" i="4"/>
  <c r="AE4" i="4"/>
  <c r="P107" i="4"/>
  <c r="Q25" i="4"/>
  <c r="V142" i="4"/>
  <c r="M49" i="4"/>
  <c r="S53" i="4"/>
  <c r="AO25" i="4"/>
  <c r="AJ71" i="4"/>
  <c r="V94" i="4"/>
  <c r="Z17" i="4"/>
  <c r="AB59" i="4"/>
  <c r="AJ150" i="4"/>
  <c r="L30" i="4"/>
  <c r="AK102" i="4"/>
  <c r="AH75" i="4"/>
  <c r="BB133" i="4"/>
  <c r="R91" i="4"/>
  <c r="X39" i="4"/>
  <c r="Z99" i="4"/>
  <c r="S13" i="4"/>
  <c r="AY76" i="4"/>
  <c r="AJ152" i="4"/>
  <c r="AG148" i="4"/>
  <c r="AJ73" i="4"/>
  <c r="S92" i="4"/>
  <c r="S26" i="4"/>
  <c r="Z134" i="4"/>
  <c r="R68" i="4"/>
  <c r="AA48" i="4"/>
  <c r="AR83" i="4"/>
  <c r="AK149" i="4"/>
  <c r="AC112" i="4"/>
  <c r="AA126" i="4"/>
  <c r="AG8" i="4"/>
  <c r="P15" i="4"/>
  <c r="R11" i="4"/>
  <c r="L55" i="4"/>
  <c r="AL45" i="4"/>
  <c r="AE106" i="4"/>
  <c r="P45" i="4"/>
  <c r="W34" i="4"/>
  <c r="X17" i="4"/>
  <c r="AC9" i="4"/>
  <c r="K53" i="4"/>
  <c r="P85" i="4"/>
  <c r="CV67" i="5"/>
  <c r="CV81" i="5"/>
  <c r="CV54" i="5"/>
  <c r="BJ91" i="4"/>
  <c r="AR21" i="4"/>
  <c r="AM73" i="4"/>
  <c r="AH11" i="4"/>
  <c r="L19" i="4"/>
  <c r="M131" i="4"/>
  <c r="BD108" i="4"/>
  <c r="AM29" i="4"/>
  <c r="AB4" i="4"/>
  <c r="AE56" i="4"/>
  <c r="AF128" i="4"/>
  <c r="Q24" i="4"/>
  <c r="S117" i="4"/>
  <c r="L127" i="4"/>
  <c r="AR94" i="4"/>
  <c r="AJ22" i="4"/>
  <c r="AA60" i="4"/>
  <c r="AE19" i="4"/>
  <c r="AG154" i="4"/>
  <c r="S70" i="4"/>
  <c r="Q116" i="4"/>
  <c r="M133" i="4"/>
  <c r="AL113" i="4"/>
  <c r="AE74" i="4"/>
  <c r="P65" i="4"/>
  <c r="U127" i="4"/>
  <c r="V139" i="4"/>
  <c r="AC163" i="4"/>
  <c r="K65" i="4"/>
  <c r="AG85" i="4"/>
  <c r="AO66" i="4"/>
  <c r="AB34" i="4"/>
  <c r="AR51" i="4"/>
  <c r="Q55" i="4"/>
  <c r="W92" i="4"/>
  <c r="AA118" i="4"/>
  <c r="L40" i="4"/>
  <c r="AE14" i="4"/>
  <c r="AO147" i="4"/>
  <c r="AC127" i="4"/>
  <c r="AM128" i="4"/>
  <c r="AY10" i="4"/>
  <c r="U83" i="4"/>
  <c r="X19" i="4"/>
  <c r="N148" i="4"/>
  <c r="AK4" i="4"/>
  <c r="AG74" i="4"/>
  <c r="X151" i="4"/>
  <c r="AC66" i="4"/>
  <c r="AB143" i="4"/>
  <c r="AC146" i="4"/>
  <c r="K60" i="4"/>
  <c r="AJ162" i="4"/>
  <c r="AH89" i="4"/>
  <c r="AP119" i="4"/>
  <c r="AH24" i="4"/>
  <c r="S154" i="4"/>
  <c r="W7" i="4"/>
  <c r="W108" i="4"/>
  <c r="AF27" i="4"/>
  <c r="AA141" i="4"/>
  <c r="R130" i="4"/>
  <c r="CV74" i="5"/>
  <c r="N166" i="4"/>
  <c r="BF88" i="4"/>
  <c r="AQ93" i="4"/>
  <c r="AG168" i="4"/>
  <c r="AA20" i="4"/>
  <c r="U35" i="4"/>
  <c r="M111" i="4"/>
  <c r="AQ166" i="4"/>
  <c r="AL75" i="4"/>
  <c r="V46" i="4"/>
  <c r="Z62" i="4"/>
  <c r="Z55" i="4"/>
  <c r="AH142" i="4"/>
  <c r="L125" i="4"/>
  <c r="K42" i="4"/>
  <c r="AO7" i="4"/>
  <c r="AJ149" i="4"/>
  <c r="W143" i="4"/>
  <c r="Z133" i="4"/>
  <c r="AC77" i="4"/>
  <c r="AE41" i="4"/>
  <c r="M79" i="4"/>
  <c r="AM161" i="4"/>
  <c r="BO21" i="4"/>
  <c r="AO41" i="4"/>
  <c r="AH133" i="4"/>
  <c r="BB151" i="4"/>
  <c r="S113" i="4"/>
  <c r="U136" i="4"/>
  <c r="X71" i="4"/>
  <c r="BA74" i="4"/>
  <c r="AM149" i="4"/>
  <c r="V130" i="4"/>
  <c r="AB76" i="4"/>
  <c r="AB83" i="4"/>
  <c r="AZ130" i="4"/>
  <c r="K70" i="4"/>
  <c r="M30" i="4"/>
  <c r="AQ144" i="4"/>
  <c r="AM167" i="4"/>
  <c r="W80" i="4"/>
  <c r="AC158" i="4"/>
  <c r="AB25" i="4"/>
  <c r="AK143" i="4"/>
  <c r="K64" i="4"/>
  <c r="M93" i="4"/>
  <c r="AM133" i="4"/>
  <c r="BD48" i="4"/>
  <c r="AP43" i="4"/>
  <c r="W33" i="4"/>
  <c r="W54" i="4"/>
  <c r="AC31" i="4"/>
  <c r="L5" i="4"/>
  <c r="BF151" i="4"/>
  <c r="AO48" i="4"/>
  <c r="AL50" i="4"/>
  <c r="BF111" i="4"/>
  <c r="CA9" i="4"/>
  <c r="Z86" i="4"/>
  <c r="AC126" i="4"/>
  <c r="K7" i="4"/>
  <c r="M102" i="4"/>
  <c r="AY160" i="4"/>
  <c r="AK39" i="4"/>
  <c r="AB20" i="4"/>
  <c r="AC76" i="4"/>
  <c r="AF30" i="4"/>
  <c r="Q33" i="4"/>
  <c r="Q153" i="4"/>
  <c r="K88" i="4"/>
  <c r="BA157" i="4"/>
  <c r="AK69" i="4"/>
  <c r="X23" i="4"/>
  <c r="AC36" i="4"/>
  <c r="AA23" i="4"/>
  <c r="Q44" i="4"/>
  <c r="N161" i="4"/>
  <c r="N142" i="4"/>
  <c r="AK129" i="4"/>
  <c r="AH139" i="4"/>
  <c r="S132" i="4"/>
  <c r="V50" i="4"/>
  <c r="V81" i="4"/>
  <c r="AC78" i="4"/>
  <c r="P35" i="4"/>
  <c r="AH57" i="4"/>
  <c r="AO162" i="4"/>
  <c r="AC143" i="4"/>
  <c r="AJ130" i="4"/>
  <c r="AP130" i="4"/>
  <c r="V5" i="4"/>
  <c r="U153" i="4"/>
  <c r="M61" i="4"/>
  <c r="CA101" i="4"/>
  <c r="AR161" i="4"/>
  <c r="AC109" i="4"/>
  <c r="AG79" i="4"/>
  <c r="AL52" i="4"/>
  <c r="V55" i="4"/>
  <c r="P161" i="4"/>
  <c r="L44" i="4"/>
  <c r="AA124" i="4"/>
  <c r="AE120" i="4"/>
  <c r="Z93" i="4"/>
  <c r="Q115" i="4"/>
  <c r="R134" i="4"/>
  <c r="L101" i="4"/>
  <c r="CV111" i="5"/>
  <c r="AC115" i="4"/>
  <c r="N90" i="4"/>
  <c r="AH70" i="4"/>
  <c r="AC91" i="4"/>
  <c r="AB124" i="4"/>
  <c r="K36" i="4"/>
  <c r="CV113" i="5"/>
  <c r="K126" i="4"/>
  <c r="AO107" i="4"/>
  <c r="AL157" i="4"/>
  <c r="AH77" i="4"/>
  <c r="X114" i="4"/>
  <c r="K77" i="4"/>
  <c r="L140" i="4"/>
  <c r="K96" i="4"/>
  <c r="N106" i="4"/>
  <c r="R137" i="4"/>
  <c r="L117" i="4"/>
  <c r="L77" i="4"/>
  <c r="L54" i="4"/>
  <c r="CV37" i="5"/>
  <c r="R104" i="4"/>
  <c r="AA42" i="4"/>
  <c r="K71" i="4"/>
  <c r="W111" i="4"/>
  <c r="M65" i="4"/>
  <c r="M36" i="4"/>
  <c r="C220" i="6"/>
  <c r="Z22" i="4"/>
  <c r="AC133" i="4"/>
  <c r="CV38" i="5"/>
  <c r="R41" i="4"/>
  <c r="CV167" i="6"/>
  <c r="CV110" i="6"/>
  <c r="CV54" i="6"/>
  <c r="CV100" i="6"/>
  <c r="CV34" i="6"/>
  <c r="CV17" i="6"/>
  <c r="L27" i="4"/>
  <c r="M146" i="4"/>
  <c r="CV164" i="5"/>
  <c r="L78" i="4"/>
  <c r="CV137" i="5"/>
  <c r="P147" i="4"/>
  <c r="AL77" i="4"/>
  <c r="AF53" i="4"/>
  <c r="S124" i="4"/>
  <c r="X92" i="4"/>
  <c r="S137" i="4"/>
  <c r="CV108" i="5"/>
  <c r="AK148" i="4"/>
  <c r="CV115" i="6"/>
  <c r="CV31" i="6"/>
  <c r="CV127" i="6"/>
  <c r="CV102" i="6"/>
  <c r="CV157" i="6"/>
  <c r="CV47" i="6"/>
  <c r="CV124" i="6"/>
  <c r="CV74" i="6"/>
  <c r="CV87" i="6"/>
  <c r="S104" i="4"/>
  <c r="CV91" i="6"/>
  <c r="AL84" i="4"/>
  <c r="AA140" i="4"/>
  <c r="Q67" i="4"/>
  <c r="CV77" i="5"/>
  <c r="AB63" i="4"/>
  <c r="R131" i="4"/>
  <c r="L80" i="4"/>
  <c r="AB37" i="4"/>
  <c r="L121" i="4"/>
  <c r="N131" i="4"/>
  <c r="U144" i="4"/>
  <c r="CV116" i="6"/>
  <c r="CV160" i="6"/>
  <c r="CV144" i="6"/>
  <c r="CV45" i="6"/>
  <c r="CV58" i="6"/>
  <c r="AF70" i="4"/>
  <c r="AB119" i="4"/>
  <c r="CV5" i="6"/>
  <c r="AM9" i="4"/>
  <c r="S135" i="4"/>
  <c r="AZ9" i="4"/>
  <c r="X56" i="4"/>
  <c r="S5" i="4"/>
  <c r="M48" i="4"/>
  <c r="CV143" i="5"/>
  <c r="CV66" i="5"/>
  <c r="M126" i="4"/>
  <c r="CV22" i="5"/>
  <c r="W29" i="4"/>
  <c r="CV92" i="6"/>
  <c r="CV7" i="6"/>
  <c r="CV16" i="6"/>
  <c r="CV97" i="6"/>
  <c r="CV65" i="6"/>
  <c r="CV112" i="6"/>
  <c r="CV120" i="6"/>
  <c r="CV26" i="6"/>
  <c r="CV23" i="5"/>
  <c r="X62" i="4"/>
  <c r="CV14" i="6"/>
  <c r="AK21" i="4"/>
  <c r="CV17" i="5"/>
  <c r="X146" i="4"/>
  <c r="P69" i="4"/>
  <c r="M54" i="4"/>
  <c r="K138" i="4"/>
  <c r="CV44" i="5"/>
  <c r="U149" i="4"/>
  <c r="CV104" i="5"/>
  <c r="CV120" i="5"/>
  <c r="AB47" i="4"/>
  <c r="CV29" i="6"/>
  <c r="CV69" i="6"/>
  <c r="M151" i="4"/>
  <c r="P59" i="4"/>
  <c r="V84" i="4"/>
  <c r="K103" i="4"/>
  <c r="P4" i="4"/>
  <c r="R140" i="4"/>
  <c r="L51" i="4"/>
  <c r="W63" i="4"/>
  <c r="Q163" i="4"/>
  <c r="AF20" i="4"/>
  <c r="S166" i="4"/>
  <c r="K78" i="4"/>
  <c r="CV48" i="6"/>
  <c r="P104" i="4"/>
  <c r="CV25" i="6"/>
  <c r="S98" i="4"/>
  <c r="K129" i="4"/>
  <c r="N95" i="4"/>
  <c r="W43" i="4"/>
  <c r="CV149" i="5"/>
  <c r="AL155" i="4"/>
  <c r="M73" i="4"/>
  <c r="W113" i="4"/>
  <c r="CV49" i="5"/>
  <c r="CV35" i="5"/>
  <c r="N50" i="4"/>
  <c r="CV38" i="6"/>
  <c r="CV79" i="6"/>
  <c r="CV8" i="6"/>
  <c r="CV111" i="6"/>
  <c r="CV154" i="6"/>
  <c r="L26" i="4"/>
  <c r="L167" i="4"/>
  <c r="CV70" i="6"/>
  <c r="BQ184" i="6" l="1" a="1"/>
  <c r="BQ184" i="6" s="1"/>
  <c r="BQ187" i="6"/>
  <c r="BQ193" i="6" s="1"/>
  <c r="BQ176" i="6"/>
  <c r="BQ182" i="6" s="1"/>
  <c r="BQ188" i="6" a="1"/>
  <c r="BQ188" i="6" s="1"/>
  <c r="BQ195" i="6" a="1"/>
  <c r="BQ195" i="6" s="1"/>
  <c r="BQ177" i="6" a="1"/>
  <c r="BQ177" i="6" s="1"/>
  <c r="X182" i="6"/>
  <c r="S203" i="6"/>
  <c r="BN182" i="6"/>
  <c r="AA182" i="6"/>
  <c r="BE203" i="6"/>
  <c r="Z182" i="6"/>
  <c r="CO182" i="6"/>
  <c r="A222" i="6"/>
  <c r="C214" i="6"/>
  <c r="D222" i="6"/>
  <c r="C225" i="6"/>
  <c r="C227" i="6"/>
  <c r="C222" i="6"/>
  <c r="A223" i="6" l="1"/>
  <c r="A224" i="6" l="1"/>
  <c r="A225" i="6" l="1"/>
  <c r="A226" i="6" l="1"/>
  <c r="A227" i="6" l="1"/>
  <c r="A228" i="6" l="1"/>
</calcChain>
</file>

<file path=xl/sharedStrings.xml><?xml version="1.0" encoding="utf-8"?>
<sst xmlns="http://schemas.openxmlformats.org/spreadsheetml/2006/main" count="3339" uniqueCount="409">
  <si>
    <t>Sujet</t>
  </si>
  <si>
    <t>C_0001_74_F_JM.xlsx.mat</t>
  </si>
  <si>
    <t>C_0002_121_F_SJ.xlsx.mat</t>
  </si>
  <si>
    <t>C_0004_97_M_JG.xlsx.mat</t>
  </si>
  <si>
    <t>C_0005_70_F_JS.xlsx.mat</t>
  </si>
  <si>
    <t>C_0006_110_F_ND.xlsx.mat</t>
  </si>
  <si>
    <t>C_0007_83_F_FE.xlsx.mat</t>
  </si>
  <si>
    <t>C_0008_81_F_MM.xlsx.mat</t>
  </si>
  <si>
    <t>C_0009_114_M_HM.xlsx.mat</t>
  </si>
  <si>
    <t>C_0010_133_M_KS.xlsx.mat</t>
  </si>
  <si>
    <t>C_0011_126_M_AB.xlsx.mat</t>
  </si>
  <si>
    <t>C_0012_147_F_LL.xlsx.mat</t>
  </si>
  <si>
    <t>C_0013_103_M_DR.xlsx.mat</t>
  </si>
  <si>
    <t>C_0014_60_M_EM.xlsx.mat</t>
  </si>
  <si>
    <t>C_0015_45_M_NL.xlsx.mat</t>
  </si>
  <si>
    <t>C_0016_99_M_LL.xlsx.mat</t>
  </si>
  <si>
    <t>C_0017_66_F_LL.xlsx.mat</t>
  </si>
  <si>
    <t>C_0018_32_M_NL.xlsx.mat</t>
  </si>
  <si>
    <t>C_0019_96_M_BS.xlsx.mat</t>
  </si>
  <si>
    <t>C_0020_63_M_RS.xlsx.mat</t>
  </si>
  <si>
    <t>C_0021_115_F_LB.xlsx.mat</t>
  </si>
  <si>
    <t>C_0022_71_M_PB.xlsx.mat</t>
  </si>
  <si>
    <t>C_0023_121_F_RB.xlsx.mat</t>
  </si>
  <si>
    <t>C_0024_89_M_TB.xlsx.mat</t>
  </si>
  <si>
    <t>C_0025_71_M_CS.xlsx.mat</t>
  </si>
  <si>
    <t>C_0026_75_M_EC.xlsx.mat</t>
  </si>
  <si>
    <t>C_0027_105_F_IM.xlsx.mat</t>
  </si>
  <si>
    <t>C_0028_47_M_FC.xlsx.mat</t>
  </si>
  <si>
    <t>C_0029_82_M_TC.xlsx.mat</t>
  </si>
  <si>
    <t>C_0030_102_M_OL.xlsx.mat</t>
  </si>
  <si>
    <t>C_0031_53_M_VL.xlsx.mat</t>
  </si>
  <si>
    <t>C_0032_138_F_LR.xlsx.mat</t>
  </si>
  <si>
    <t>C_0033_114_F_MR.xlsx.mat</t>
  </si>
  <si>
    <t>C_0034_52_F_RL.xlsx.mat</t>
  </si>
  <si>
    <t>C_0036_111_F_AP.xlsx.mat</t>
  </si>
  <si>
    <t>C_0037_62_F_RJ.xlsx.mat</t>
  </si>
  <si>
    <t>C_0038_106_M_AH.xlsx.mat</t>
  </si>
  <si>
    <t>C_0039_61_M_MH.xlsx.mat</t>
  </si>
  <si>
    <t>C_0040_46_F_HT.xlsx.mat</t>
  </si>
  <si>
    <t>C_0041_73_F_LI.xlsx.mat</t>
  </si>
  <si>
    <t>C_0042_38_M_CL.xlsx.mat</t>
  </si>
  <si>
    <t>C_0043_116_F_ML.xlsx.mat</t>
  </si>
  <si>
    <t>C_0044_49_M_AL.xlsx.mat</t>
  </si>
  <si>
    <t>C_0045_111_M_AC.xlsx.mat</t>
  </si>
  <si>
    <t>C_0046_131_F_MM.xlsx.mat</t>
  </si>
  <si>
    <t>C_0047_91_F_LL.xlsx.mat</t>
  </si>
  <si>
    <t>C_0048_113_M_BL.xlsx.mat</t>
  </si>
  <si>
    <t>C_0049_44_F_LC.xlsx.mat</t>
  </si>
  <si>
    <t>C_0050_58_F_CH.xlsx.mat</t>
  </si>
  <si>
    <t>C_0051_61_M_MC.xlsx.mat</t>
  </si>
  <si>
    <t>C_0052_145_M_RG.xlsx.mat</t>
  </si>
  <si>
    <t>C_0053_75_F_MS.xlsx.mat</t>
  </si>
  <si>
    <t>C_0054_116_M_KM.xlsx.mat</t>
  </si>
  <si>
    <t>C_0055_44_F_LE.xlsx.mat</t>
  </si>
  <si>
    <t>C_0056_131_F_SL.xlsx.mat</t>
  </si>
  <si>
    <t>C_0057_77_M_MG.xlsx.mat</t>
  </si>
  <si>
    <t>C_0058_109_F_FG.xlsx.mat</t>
  </si>
  <si>
    <t>C_0059_114_M_AC.xlsx.mat</t>
  </si>
  <si>
    <t>C_0060_115_M_NT.xlsx.mat</t>
  </si>
  <si>
    <t>C_0061_55_M_GA.xlsx.mat</t>
  </si>
  <si>
    <t>C_0062_156_F_LP.xlsx.mat</t>
  </si>
  <si>
    <t>C_0063_118_M_MP.xlsx.mat</t>
  </si>
  <si>
    <t>C_0064_118_F_LP.xlsx.mat</t>
  </si>
  <si>
    <t>C_0065_54_M_MU.xlsx.mat</t>
  </si>
  <si>
    <t>C_0066_144_F_SV.xlsx.mat</t>
  </si>
  <si>
    <t>C_0067_122_M_PV.xlsx.mat</t>
  </si>
  <si>
    <t>C_0068_64_M_FV.xlsx.mat</t>
  </si>
  <si>
    <t>C_0069_133_F_IK.xlsx.mat</t>
  </si>
  <si>
    <t>C_0070_92_F_LP.xlsx.mat</t>
  </si>
  <si>
    <t>C_0071_66_F_PM.xlsx.mat</t>
  </si>
  <si>
    <t>C_0072_74_M_JJ.xlsx.mat</t>
  </si>
  <si>
    <t>C_0075_102_F_MD.xlsx.mat</t>
  </si>
  <si>
    <t>C_0076_77_M_ED.xlsx.mat</t>
  </si>
  <si>
    <t>C_0077_136_F_AL.xlsx.mat</t>
  </si>
  <si>
    <t>C_0078_66_M_GP.xlsx.mat</t>
  </si>
  <si>
    <t>C_0079_34_F_EV.xlsx.mat</t>
  </si>
  <si>
    <t>C_0080_104_F_PC.xlsx.mat</t>
  </si>
  <si>
    <t>C_0082_67_M_AC.xlsx.mat</t>
  </si>
  <si>
    <t>C_0083_36_M_TC.xlsx.mat</t>
  </si>
  <si>
    <t>C_0084_126_M_EF.xlsx.mat</t>
  </si>
  <si>
    <t>C_0085_103_M_BM.xlsx.mat</t>
  </si>
  <si>
    <t>C_0089_46_F_BS.xlsx.mat</t>
  </si>
  <si>
    <t>C_0090_114_F_PE.xlsx.mat</t>
  </si>
  <si>
    <t>C_0091_74_M_PA.xlsx.mat</t>
  </si>
  <si>
    <t>C_0092_108_M_CN.xlsx.mat</t>
  </si>
  <si>
    <t>C_0093_85_M_CG.xlsx.mat</t>
  </si>
  <si>
    <t>C_0096_88_F_CA.xlsx.mat</t>
  </si>
  <si>
    <t>C_0098_76_F_GM.xlsx.mat</t>
  </si>
  <si>
    <t>C_0100_83_M_FL.xlsx.mat</t>
  </si>
  <si>
    <t>C_0101_114_F_JL.xlsx.mat</t>
  </si>
  <si>
    <t>C_0102_67_M_JL.xlsx.mat</t>
  </si>
  <si>
    <t>C_0103_129_M_AF.xlsx.mat</t>
  </si>
  <si>
    <t>C_0104_53_M_AS.xlsx.mat</t>
  </si>
  <si>
    <t>C_0105_80_F_RS.xlsx.mat</t>
  </si>
  <si>
    <t>P_0003_63_M_NJ.xlsx.mat</t>
  </si>
  <si>
    <t>P_0004_87_M_LK.xlsx.mat</t>
  </si>
  <si>
    <t>P_0005_70_M_TJ.xlsx.mat</t>
  </si>
  <si>
    <t>P_0009_87_M_LR.xlsx.mat</t>
  </si>
  <si>
    <t>P_0010_150_M_AJ.xlsx.mat</t>
  </si>
  <si>
    <t>P_0011_73_M_JT.xlsx.mat</t>
  </si>
  <si>
    <t>P_0012_102_M_MP.xlsx.mat</t>
  </si>
  <si>
    <t>P_0013_79_M_HJ.xlsx.mat</t>
  </si>
  <si>
    <t>P_0014_142_M_EJ.xlsx.mat</t>
  </si>
  <si>
    <t>P_0015_40_M_NK.xlsx.mat</t>
  </si>
  <si>
    <t>P_0016_32_F_PS.xlsx.mat</t>
  </si>
  <si>
    <t>P_0017_41_M_AA.xlsx.mat</t>
  </si>
  <si>
    <t>P_0019_55_F_BM.xlsx.mat</t>
  </si>
  <si>
    <t>P_0020_55_M_YS.xlsx.mat</t>
  </si>
  <si>
    <t>P_0022_69_M_RR.xlsx.mat</t>
  </si>
  <si>
    <t>P_0023_100_M_GM.xlsx.mat</t>
  </si>
  <si>
    <t>P_0024_46_F_GS.xlsx.mat</t>
  </si>
  <si>
    <t>P_0025_125_M_MC.xlsx.mat</t>
  </si>
  <si>
    <t>P_0026_43_M_AG.xlsx.mat</t>
  </si>
  <si>
    <t>P_0027_55_F_AY.xlsx.mat</t>
  </si>
  <si>
    <t>P_0028_64_M_ST.xlsx.mat</t>
  </si>
  <si>
    <t>P_0029_72_M_BK.xlsx.mat</t>
  </si>
  <si>
    <t>P_0031_103_M_NM.xlsx.mat</t>
  </si>
  <si>
    <t>P_0032_123_M_JA.xlsx.mat</t>
  </si>
  <si>
    <t>P_0033_65_M_LJ.xlsx.mat</t>
  </si>
  <si>
    <t>P_0034_65_M_JC.xlsx.mat</t>
  </si>
  <si>
    <t>P_0035_102_M_NE.xlsx.mat</t>
  </si>
  <si>
    <t>P_0036_112_M_DY.xlsx.mat</t>
  </si>
  <si>
    <t>P_0037_64_M_PG.xlsx.mat</t>
  </si>
  <si>
    <t>P_0038_123_F_LG.xlsx.mat</t>
  </si>
  <si>
    <t>P_0039_63_M_TS.xlsx.mat</t>
  </si>
  <si>
    <t>P_0042_136_M_EB.xlsx.mat</t>
  </si>
  <si>
    <t>P_0042_87_M_EC.xlsx.mat</t>
  </si>
  <si>
    <t>P_0043_51_M_JB.xlsx.mat</t>
  </si>
  <si>
    <t>P_0044_118_M_WL.xlsx.mat</t>
  </si>
  <si>
    <t>P_0045_118_M_VL.xlsx.mat</t>
  </si>
  <si>
    <t>P_0046_102_M_JM.xlsx.mat</t>
  </si>
  <si>
    <t>P_0048_144_M_JM.xlsx.mat</t>
  </si>
  <si>
    <t>P_0049_128_M_AH.xlsx.mat</t>
  </si>
  <si>
    <t>P_0050_113_F_MB.xlsx.mat</t>
  </si>
  <si>
    <t>P_0051_152_M_LT.xlsx.mat</t>
  </si>
  <si>
    <t>P_0052_151_M_EB.xlsx.mat</t>
  </si>
  <si>
    <t>P_0053_74_M_MD.xlsx.mat</t>
  </si>
  <si>
    <t>P_0055_129_M_GS.xlsx.mat</t>
  </si>
  <si>
    <t>P_0057_67_M_KN.xlsx.mat</t>
  </si>
  <si>
    <t>P_0058_76_M_EF.xlsx.mat</t>
  </si>
  <si>
    <t>P_0059_73_M_TM.xlsx.mat</t>
  </si>
  <si>
    <t>P_0060_93_M_DK.xlsx.mat</t>
  </si>
  <si>
    <t>P_0061_66_M_AD.xlsx.mat</t>
  </si>
  <si>
    <t>P_0062_157_M_AF.xlsx.mat</t>
  </si>
  <si>
    <t>P_0063_82_M_KE.xlsx.mat</t>
  </si>
  <si>
    <t>P_0064_79_M_ES.xlsx.mat</t>
  </si>
  <si>
    <t>P_0066_99_F_MC.xlsx.mat</t>
  </si>
  <si>
    <t>P_0067_73_M_SB.xlsx.mat</t>
  </si>
  <si>
    <t>P_0069_49_M_EZ.xlsx.mat</t>
  </si>
  <si>
    <t>P_0070_134_M_LL.xlsx.mat</t>
  </si>
  <si>
    <t>P_0071_103_M_AD.xlsx.mat</t>
  </si>
  <si>
    <t>P_0073_69_M_TM.xlsx.mat</t>
  </si>
  <si>
    <t>P_0074_121_M_AF.xlsx.mat</t>
  </si>
  <si>
    <t>P_0076_60_M_TL.xlsx.mat</t>
  </si>
  <si>
    <t>P_0077_95_M_AB.xlsx.mat</t>
  </si>
  <si>
    <t>P_0080_113_M_MJ.xlsx.mat</t>
  </si>
  <si>
    <t>P_0083_102_M_NL.xlsx.mat</t>
  </si>
  <si>
    <t>P_0086_84_M_IN.xlsx.mat</t>
  </si>
  <si>
    <t>P_0090_114_M_NB.xlsx.mat</t>
  </si>
  <si>
    <t>P_0091_73_M_MP.xlsx.mat</t>
  </si>
  <si>
    <t>P_0092_157_F_LC.xlsx.mat</t>
  </si>
  <si>
    <t>P_0094_77_M_VD.xlsx.mat</t>
  </si>
  <si>
    <t>P_0095_82_M_MD.xlsx.mat</t>
  </si>
  <si>
    <t>P_0099_88_M_RM.xlsx.mat</t>
  </si>
  <si>
    <t>P_0100_144_M_MM.xlsx.mat</t>
  </si>
  <si>
    <t>P_0111_100_M_NN.xlsx.mat</t>
  </si>
  <si>
    <t>Genre</t>
  </si>
  <si>
    <t>F</t>
  </si>
  <si>
    <t>M</t>
  </si>
  <si>
    <t>Case</t>
  </si>
  <si>
    <t>TTT_Visage1</t>
  </si>
  <si>
    <t>TTT_Visage2</t>
  </si>
  <si>
    <t>TTT_Visage3</t>
  </si>
  <si>
    <t>TTT_Visage4</t>
  </si>
  <si>
    <t>TPE_Visage1</t>
  </si>
  <si>
    <t>TPE_Visage2</t>
  </si>
  <si>
    <t>TPE_Visage3</t>
  </si>
  <si>
    <t>TPE_Visage4</t>
  </si>
  <si>
    <t>TFE_Visage1</t>
  </si>
  <si>
    <t>TFE_Visage2</t>
  </si>
  <si>
    <t>TFE_Visage3</t>
  </si>
  <si>
    <t>TFE_Visage4</t>
  </si>
  <si>
    <t>NbFE_Visage1</t>
  </si>
  <si>
    <t>NbFE_Visage2</t>
  </si>
  <si>
    <t>NbFE_Visage3</t>
  </si>
  <si>
    <t>NbFE_Visage4</t>
  </si>
  <si>
    <t>TP_Tete_Visage1</t>
  </si>
  <si>
    <t>TP_Tete_Visage2</t>
  </si>
  <si>
    <t>TP_Tete_Visage3</t>
  </si>
  <si>
    <t>TP_Tete_Visage4</t>
  </si>
  <si>
    <t>TF_Tete_Visage1</t>
  </si>
  <si>
    <t>TF_Tete_Visage2</t>
  </si>
  <si>
    <t>TF_Tete_Visage3</t>
  </si>
  <si>
    <t>TF_Tete_Visage4</t>
  </si>
  <si>
    <t>NBF_Tete_Visage1</t>
  </si>
  <si>
    <t>NBF_Tete_Visage2</t>
  </si>
  <si>
    <t>NBF_Tete_Visage3</t>
  </si>
  <si>
    <t>NBF_Tete_Visage4</t>
  </si>
  <si>
    <t>NBEZ_Tete_Visage1</t>
  </si>
  <si>
    <t>NBEZ_Tete_Visage2</t>
  </si>
  <si>
    <t>NBEZ_Tete_Visage3</t>
  </si>
  <si>
    <t>NBEZ_Tete_Visage4</t>
  </si>
  <si>
    <t>Lat_Tete_Visage1</t>
  </si>
  <si>
    <t>Lat_Tete_Visage2</t>
  </si>
  <si>
    <t>Lat_Tete_Visage3</t>
  </si>
  <si>
    <t>Lat_Tete_Visage4</t>
  </si>
  <si>
    <t>TP_Yeux_Visage1</t>
  </si>
  <si>
    <t>TP_Yeux_Visage2</t>
  </si>
  <si>
    <t>TP_Yeux_Visage3</t>
  </si>
  <si>
    <t>TP_Yeux_Visage4</t>
  </si>
  <si>
    <t>TF_Yeux_Visage1</t>
  </si>
  <si>
    <t>TF_Yeux_Visage2</t>
  </si>
  <si>
    <t>TF_Yeux_Visage3</t>
  </si>
  <si>
    <t>TF_Yeux_Visage4</t>
  </si>
  <si>
    <t>NBF_Yeux_Visage1</t>
  </si>
  <si>
    <t>NBF_Yeux_Visage2</t>
  </si>
  <si>
    <t>NBF_Yeux_Visage3</t>
  </si>
  <si>
    <t>NBF_Yeux_Visage4</t>
  </si>
  <si>
    <t>NBEZ_Yeux_Visage1</t>
  </si>
  <si>
    <t>NBEZ_Yeux_Visage2</t>
  </si>
  <si>
    <t>NBEZ_Yeux_Visage3</t>
  </si>
  <si>
    <t>NBEZ_Yeux_Visage4</t>
  </si>
  <si>
    <t>Lat_Yeux_Visage1</t>
  </si>
  <si>
    <t>Lat_Yeux_Visage2</t>
  </si>
  <si>
    <t>Lat_Yeux_Visage3</t>
  </si>
  <si>
    <t>Lat_Yeux_Visage4</t>
  </si>
  <si>
    <t>TP_Bouche_Visage1</t>
  </si>
  <si>
    <t>TP_Bouche_Visage2</t>
  </si>
  <si>
    <t>TP_Bouche_Visage3</t>
  </si>
  <si>
    <t>TP_Bouche_Visage4</t>
  </si>
  <si>
    <t>TF_Bouche_Visage1</t>
  </si>
  <si>
    <t>TF_Bouche_Visage2</t>
  </si>
  <si>
    <t>TF_Bouche_Visage3</t>
  </si>
  <si>
    <t>TF_Bouche_Visage4</t>
  </si>
  <si>
    <t>NBF_Bouche_Visage1</t>
  </si>
  <si>
    <t>NBF_Bouche_Visage2</t>
  </si>
  <si>
    <t>NBF_Bouche_Visage3</t>
  </si>
  <si>
    <t>NBF_Bouche_Visage4</t>
  </si>
  <si>
    <t>NBEZ_Bouche_Visage1</t>
  </si>
  <si>
    <t>NBEZ_Bouche_Visage2</t>
  </si>
  <si>
    <t>NBEZ_Bouche_Visage3</t>
  </si>
  <si>
    <t>NBEZ_Bouche_Visage4</t>
  </si>
  <si>
    <t>Lat_Bouche_Visage1</t>
  </si>
  <si>
    <t>Lat_Bouche_Visage2</t>
  </si>
  <si>
    <t>Lat_Bouche_Visage3</t>
  </si>
  <si>
    <t>Lat_Bouche_Visage4</t>
  </si>
  <si>
    <t>Informations sujets</t>
  </si>
  <si>
    <t>Temps Passé Ecran</t>
  </si>
  <si>
    <t>Temps Fixation Ecran</t>
  </si>
  <si>
    <t>Nombre de Fixation Ecran</t>
  </si>
  <si>
    <t xml:space="preserve">Temps Passé Tête </t>
  </si>
  <si>
    <t>Temps Fixation Tête</t>
  </si>
  <si>
    <t>Nombre de Fixation Tête</t>
  </si>
  <si>
    <t>Nombre Entrées ds Zone Tête</t>
  </si>
  <si>
    <t>Latence Tête</t>
  </si>
  <si>
    <t xml:space="preserve">Temps Passé Yeux </t>
  </si>
  <si>
    <t>Temps Fixation Yeux</t>
  </si>
  <si>
    <t>Nombre Fixations Yeux</t>
  </si>
  <si>
    <t>Nombre Entrée ds Zone Yeux</t>
  </si>
  <si>
    <t xml:space="preserve">Latence Yeux </t>
  </si>
  <si>
    <t>Temps Passé Bouche</t>
  </si>
  <si>
    <t>Temps Fixation Bouche</t>
  </si>
  <si>
    <t>Nombre Fixations Bouche</t>
  </si>
  <si>
    <t>Nombre Entrée ds Zone Bouche</t>
  </si>
  <si>
    <t>Latence Bouche</t>
  </si>
  <si>
    <t>Age (ans)</t>
  </si>
  <si>
    <t>Temps Total Traccké (TTT)</t>
  </si>
  <si>
    <t>Supprimer les 1000 (valeurs abérantes) et les 0 pour TTT (pas d'acquisition) ; classer dans ordre croissant l'age (pour axe absice age)  ; attention aux cellules vides Excel pour calculer moyenne (en remplece les cellules par une chaine de caratères : Non Valide)</t>
  </si>
  <si>
    <t>Pondérer par rapport à TTT tous la parmètres cumulés (tout sauf latence à ne pas pondérer)</t>
  </si>
  <si>
    <t>Visage 1</t>
  </si>
  <si>
    <t>Visage 2</t>
  </si>
  <si>
    <t>Visage 3</t>
  </si>
  <si>
    <t>Visage 4</t>
  </si>
  <si>
    <t>TTT</t>
  </si>
  <si>
    <t>Ecran</t>
  </si>
  <si>
    <t>Tête</t>
  </si>
  <si>
    <t>Yeux</t>
  </si>
  <si>
    <t>Zones</t>
  </si>
  <si>
    <t>Bouche</t>
  </si>
  <si>
    <t>STIMS</t>
  </si>
  <si>
    <t>TP</t>
  </si>
  <si>
    <t>TF</t>
  </si>
  <si>
    <t>NBF</t>
  </si>
  <si>
    <t>NBEZ</t>
  </si>
  <si>
    <t>Latence</t>
  </si>
  <si>
    <t>Paramètres</t>
  </si>
  <si>
    <t>G</t>
  </si>
  <si>
    <t>H</t>
  </si>
  <si>
    <t>I</t>
  </si>
  <si>
    <t>K</t>
  </si>
  <si>
    <t>L</t>
  </si>
  <si>
    <t>N</t>
  </si>
  <si>
    <t>Q</t>
  </si>
  <si>
    <t>R</t>
  </si>
  <si>
    <t>S</t>
  </si>
  <si>
    <t>U</t>
  </si>
  <si>
    <t>V</t>
  </si>
  <si>
    <t>W</t>
  </si>
  <si>
    <t>X</t>
  </si>
  <si>
    <t>no</t>
  </si>
  <si>
    <t>No</t>
  </si>
  <si>
    <t>Z</t>
  </si>
  <si>
    <t>AA</t>
  </si>
  <si>
    <t>AB</t>
  </si>
  <si>
    <t>AC</t>
  </si>
  <si>
    <t>AE</t>
  </si>
  <si>
    <t>AF</t>
  </si>
  <si>
    <t>AG</t>
  </si>
  <si>
    <t>AH</t>
  </si>
  <si>
    <t>AJ</t>
  </si>
  <si>
    <t>AK</t>
  </si>
  <si>
    <t>AL</t>
  </si>
  <si>
    <t>AM</t>
  </si>
  <si>
    <t>AO</t>
  </si>
  <si>
    <t>AP</t>
  </si>
  <si>
    <t>AQ</t>
  </si>
  <si>
    <t>AR</t>
  </si>
  <si>
    <t>AT</t>
  </si>
  <si>
    <t>AU</t>
  </si>
  <si>
    <t>AV</t>
  </si>
  <si>
    <t>AW</t>
  </si>
  <si>
    <t>AZ</t>
  </si>
  <si>
    <t>BA</t>
  </si>
  <si>
    <t>BB</t>
  </si>
  <si>
    <t>BE</t>
  </si>
  <si>
    <t>BF</t>
  </si>
  <si>
    <t>BG</t>
  </si>
  <si>
    <t>BJ</t>
  </si>
  <si>
    <t>BK</t>
  </si>
  <si>
    <t>BL</t>
  </si>
  <si>
    <t>BO</t>
  </si>
  <si>
    <t>BP</t>
  </si>
  <si>
    <t>BQ</t>
  </si>
  <si>
    <t>BT</t>
  </si>
  <si>
    <t>BU</t>
  </si>
  <si>
    <t>BV</t>
  </si>
  <si>
    <t>BY</t>
  </si>
  <si>
    <t>BZ</t>
  </si>
  <si>
    <t>CA</t>
  </si>
  <si>
    <t>CD</t>
  </si>
  <si>
    <t>CE</t>
  </si>
  <si>
    <t>CF</t>
  </si>
  <si>
    <t>CI</t>
  </si>
  <si>
    <t>CJ</t>
  </si>
  <si>
    <t>CK</t>
  </si>
  <si>
    <t>CN</t>
  </si>
  <si>
    <t>CO</t>
  </si>
  <si>
    <t>CP</t>
  </si>
  <si>
    <t>CS</t>
  </si>
  <si>
    <t>CT</t>
  </si>
  <si>
    <t>CU</t>
  </si>
  <si>
    <t>Choix Visage</t>
  </si>
  <si>
    <t>Tete</t>
  </si>
  <si>
    <t>Vecteur PLOT</t>
  </si>
  <si>
    <t>AGE</t>
  </si>
  <si>
    <t>Choix Zone</t>
  </si>
  <si>
    <t>Choix Param</t>
  </si>
  <si>
    <t>Colonne Data</t>
  </si>
  <si>
    <t>Tout age inclus</t>
  </si>
  <si>
    <t>Moyenne DT</t>
  </si>
  <si>
    <t>STD DT</t>
  </si>
  <si>
    <t>Moyenne TSA</t>
  </si>
  <si>
    <t>STD TSA</t>
  </si>
  <si>
    <t>Seuil P-Value</t>
  </si>
  <si>
    <t>T-Test (p-Value)</t>
  </si>
  <si>
    <t>2-7 ans</t>
  </si>
  <si>
    <t>7-13 ans</t>
  </si>
  <si>
    <t>Distance entre Moyennes %</t>
  </si>
  <si>
    <t>TPE</t>
  </si>
  <si>
    <t>TFE</t>
  </si>
  <si>
    <t>NBFE</t>
  </si>
  <si>
    <t>AY</t>
  </si>
  <si>
    <t>BD</t>
  </si>
  <si>
    <t>BI</t>
  </si>
  <si>
    <t>BN</t>
  </si>
  <si>
    <t>BS</t>
  </si>
  <si>
    <t>BX</t>
  </si>
  <si>
    <t>CC</t>
  </si>
  <si>
    <t>CM</t>
  </si>
  <si>
    <t>CH</t>
  </si>
  <si>
    <t>CR</t>
  </si>
  <si>
    <t>TPT</t>
  </si>
  <si>
    <t>TFT</t>
  </si>
  <si>
    <t>NBFT</t>
  </si>
  <si>
    <t>LatT</t>
  </si>
  <si>
    <t>TPY</t>
  </si>
  <si>
    <t>TFY</t>
  </si>
  <si>
    <t>NBFY</t>
  </si>
  <si>
    <t>LatY</t>
  </si>
  <si>
    <t>TPB</t>
  </si>
  <si>
    <t>TFB</t>
  </si>
  <si>
    <t>NBFB</t>
  </si>
  <si>
    <t>LatB</t>
  </si>
  <si>
    <t>NBEZT</t>
  </si>
  <si>
    <t>NBEZY</t>
  </si>
  <si>
    <t>NBEZB</t>
  </si>
  <si>
    <t>P-Value</t>
  </si>
  <si>
    <t>ALL</t>
  </si>
  <si>
    <t>7-13ans</t>
  </si>
  <si>
    <t>Ligne</t>
  </si>
  <si>
    <t>Colo</t>
  </si>
  <si>
    <t>Visage</t>
  </si>
  <si>
    <t>Data PLOT</t>
  </si>
  <si>
    <t>DT</t>
  </si>
  <si>
    <t>TSA</t>
  </si>
  <si>
    <t xml:space="preserve">Parmètre </t>
  </si>
  <si>
    <t>Indicateur (%)</t>
  </si>
  <si>
    <t>Temps Total Tracké</t>
  </si>
  <si>
    <t>Temps Total Tracké (TTT)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</si>
</sst>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  <xf numFmtId="0" fontId="4" fillId="5" borderId="7" applyNumberFormat="0" applyFont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</cellStyleXfs>
  <cellXfs count="91">
    <xf numFmtId="0" fontId="0" fillId="0" borderId="0" xfId="0"/>
    <xf numFmtId="0" fontId="2" fillId="0" borderId="3" xfId="2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" fillId="14" borderId="3" xfId="2" applyFont="1" applyFill="1" applyBorder="1" applyAlignment="1">
      <alignment horizontal="center"/>
    </xf>
    <xf numFmtId="0" fontId="1" fillId="14" borderId="4" xfId="2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1" fillId="19" borderId="3" xfId="2" applyFont="1" applyFill="1" applyBorder="1" applyAlignment="1">
      <alignment horizontal="center"/>
    </xf>
    <xf numFmtId="0" fontId="1" fillId="19" borderId="4" xfId="2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3" xfId="0" applyNumberFormat="1" applyFont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2" fillId="2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6" xfId="2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8" fillId="13" borderId="9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2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3" fillId="7" borderId="4" xfId="5" applyBorder="1" applyAlignment="1">
      <alignment horizontal="center"/>
    </xf>
    <xf numFmtId="0" fontId="3" fillId="7" borderId="5" xfId="5" applyBorder="1" applyAlignment="1">
      <alignment horizontal="center"/>
    </xf>
    <xf numFmtId="0" fontId="3" fillId="7" borderId="6" xfId="5" applyBorder="1" applyAlignment="1">
      <alignment horizontal="center"/>
    </xf>
    <xf numFmtId="0" fontId="1" fillId="2" borderId="1" xfId="1" applyAlignment="1">
      <alignment horizontal="center"/>
    </xf>
    <xf numFmtId="0" fontId="5" fillId="5" borderId="7" xfId="3" applyFont="1" applyAlignment="1">
      <alignment horizontal="center"/>
    </xf>
    <xf numFmtId="0" fontId="3" fillId="6" borderId="4" xfId="4" applyBorder="1" applyAlignment="1">
      <alignment horizontal="center"/>
    </xf>
    <xf numFmtId="0" fontId="3" fillId="6" borderId="5" xfId="4" applyBorder="1" applyAlignment="1">
      <alignment horizontal="center"/>
    </xf>
    <xf numFmtId="0" fontId="3" fillId="6" borderId="6" xfId="4" applyBorder="1" applyAlignment="1">
      <alignment horizontal="center"/>
    </xf>
    <xf numFmtId="0" fontId="3" fillId="8" borderId="4" xfId="6" applyBorder="1" applyAlignment="1">
      <alignment horizontal="center"/>
    </xf>
    <xf numFmtId="0" fontId="3" fillId="8" borderId="5" xfId="6" applyBorder="1" applyAlignment="1">
      <alignment horizontal="center"/>
    </xf>
    <xf numFmtId="0" fontId="3" fillId="8" borderId="6" xfId="6" applyBorder="1" applyAlignment="1">
      <alignment horizontal="center"/>
    </xf>
    <xf numFmtId="0" fontId="3" fillId="9" borderId="4" xfId="7" applyBorder="1" applyAlignment="1">
      <alignment horizontal="center"/>
    </xf>
    <xf numFmtId="0" fontId="3" fillId="9" borderId="5" xfId="7" applyBorder="1" applyAlignment="1">
      <alignment horizontal="center"/>
    </xf>
    <xf numFmtId="0" fontId="3" fillId="9" borderId="6" xfId="7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14" borderId="4" xfId="4" applyFont="1" applyFill="1" applyBorder="1" applyAlignment="1">
      <alignment horizontal="center"/>
    </xf>
    <xf numFmtId="0" fontId="7" fillId="14" borderId="5" xfId="4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" fillId="14" borderId="4" xfId="2" applyFont="1" applyFill="1" applyBorder="1" applyAlignment="1">
      <alignment horizontal="center"/>
    </xf>
    <xf numFmtId="0" fontId="1" fillId="14" borderId="6" xfId="2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1" fillId="2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5" borderId="3" xfId="0" applyFont="1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</cellXfs>
  <cellStyles count="8">
    <cellStyle name="Accent1" xfId="4" builtinId="29"/>
    <cellStyle name="Accent3" xfId="5" builtinId="37"/>
    <cellStyle name="Accent4" xfId="6" builtinId="41"/>
    <cellStyle name="Accent5" xfId="7" builtinId="45"/>
    <cellStyle name="Normal" xfId="0" builtinId="0"/>
    <cellStyle name="Note" xfId="3" builtinId="10"/>
    <cellStyle name="Total" xfId="2" builtinId="25"/>
    <cellStyle name="Vérification" xfId="1" builtinId="2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Groupe DT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DT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Graphique_interactif_Param!$CW$4:$CW$96</c:f>
              <c:numCache>
                <c:formatCode>General</c:formatCode>
                <c:ptCount val="93"/>
                <c:pt idx="0">
                  <c:v>2.6666666666666665</c:v>
                </c:pt>
                <c:pt idx="1">
                  <c:v>2.8333333333333335</c:v>
                </c:pt>
                <c:pt idx="2">
                  <c:v>3</c:v>
                </c:pt>
                <c:pt idx="3">
                  <c:v>3.1666666666666665</c:v>
                </c:pt>
                <c:pt idx="4">
                  <c:v>3.6666666666666665</c:v>
                </c:pt>
                <c:pt idx="5">
                  <c:v>3.6666666666666665</c:v>
                </c:pt>
                <c:pt idx="6">
                  <c:v>3.75</c:v>
                </c:pt>
                <c:pt idx="7">
                  <c:v>3.8333333333333335</c:v>
                </c:pt>
                <c:pt idx="8">
                  <c:v>3.8333333333333335</c:v>
                </c:pt>
                <c:pt idx="9">
                  <c:v>3.9166666666666665</c:v>
                </c:pt>
                <c:pt idx="10">
                  <c:v>4.083333333333333</c:v>
                </c:pt>
                <c:pt idx="11">
                  <c:v>4.333333333333333</c:v>
                </c:pt>
                <c:pt idx="12">
                  <c:v>4.416666666666667</c:v>
                </c:pt>
                <c:pt idx="13">
                  <c:v>4.416666666666667</c:v>
                </c:pt>
                <c:pt idx="14">
                  <c:v>4.5</c:v>
                </c:pt>
                <c:pt idx="15">
                  <c:v>4.583333333333333</c:v>
                </c:pt>
                <c:pt idx="16">
                  <c:v>4.833333333333333</c:v>
                </c:pt>
                <c:pt idx="17">
                  <c:v>5</c:v>
                </c:pt>
                <c:pt idx="18">
                  <c:v>5.083333333333333</c:v>
                </c:pt>
                <c:pt idx="19">
                  <c:v>5.083333333333333</c:v>
                </c:pt>
                <c:pt idx="20">
                  <c:v>5.166666666666667</c:v>
                </c:pt>
                <c:pt idx="21">
                  <c:v>5.25</c:v>
                </c:pt>
                <c:pt idx="22">
                  <c:v>5.333333333333333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5.583333333333333</c:v>
                </c:pt>
                <c:pt idx="27">
                  <c:v>5.583333333333333</c:v>
                </c:pt>
                <c:pt idx="28">
                  <c:v>5.833333333333333</c:v>
                </c:pt>
                <c:pt idx="29">
                  <c:v>5.916666666666667</c:v>
                </c:pt>
                <c:pt idx="30">
                  <c:v>5.916666666666667</c:v>
                </c:pt>
                <c:pt idx="31">
                  <c:v>6.083333333333333</c:v>
                </c:pt>
                <c:pt idx="32">
                  <c:v>6.166666666666667</c:v>
                </c:pt>
                <c:pt idx="33">
                  <c:v>6.166666666666667</c:v>
                </c:pt>
                <c:pt idx="34">
                  <c:v>6.166666666666667</c:v>
                </c:pt>
                <c:pt idx="35">
                  <c:v>6.25</c:v>
                </c:pt>
                <c:pt idx="36">
                  <c:v>6.25</c:v>
                </c:pt>
                <c:pt idx="37">
                  <c:v>6.333333333333333</c:v>
                </c:pt>
                <c:pt idx="38">
                  <c:v>6.416666666666667</c:v>
                </c:pt>
                <c:pt idx="39">
                  <c:v>6.416666666666667</c:v>
                </c:pt>
                <c:pt idx="40">
                  <c:v>6.666666666666667</c:v>
                </c:pt>
                <c:pt idx="41">
                  <c:v>6.75</c:v>
                </c:pt>
                <c:pt idx="42">
                  <c:v>6.833333333333333</c:v>
                </c:pt>
                <c:pt idx="43">
                  <c:v>6.916666666666667</c:v>
                </c:pt>
                <c:pt idx="44">
                  <c:v>6.916666666666667</c:v>
                </c:pt>
                <c:pt idx="45">
                  <c:v>7.083333333333333</c:v>
                </c:pt>
                <c:pt idx="46">
                  <c:v>7.333333333333333</c:v>
                </c:pt>
                <c:pt idx="47">
                  <c:v>7.416666666666667</c:v>
                </c:pt>
                <c:pt idx="48">
                  <c:v>7.583333333333333</c:v>
                </c:pt>
                <c:pt idx="49">
                  <c:v>7.666666666666667</c:v>
                </c:pt>
                <c:pt idx="50">
                  <c:v>8</c:v>
                </c:pt>
                <c:pt idx="51">
                  <c:v>8.0833333333333339</c:v>
                </c:pt>
                <c:pt idx="52">
                  <c:v>8.25</c:v>
                </c:pt>
                <c:pt idx="53">
                  <c:v>8.5</c:v>
                </c:pt>
                <c:pt idx="54">
                  <c:v>8.5</c:v>
                </c:pt>
                <c:pt idx="55">
                  <c:v>8.5833333333333339</c:v>
                </c:pt>
                <c:pt idx="56">
                  <c:v>8.5833333333333339</c:v>
                </c:pt>
                <c:pt idx="57">
                  <c:v>8.6666666666666661</c:v>
                </c:pt>
                <c:pt idx="58">
                  <c:v>8.75</c:v>
                </c:pt>
                <c:pt idx="59">
                  <c:v>8.8333333333333339</c:v>
                </c:pt>
                <c:pt idx="60">
                  <c:v>9</c:v>
                </c:pt>
                <c:pt idx="61">
                  <c:v>9.0833333333333339</c:v>
                </c:pt>
                <c:pt idx="62">
                  <c:v>9.1666666666666661</c:v>
                </c:pt>
                <c:pt idx="63">
                  <c:v>9.25</c:v>
                </c:pt>
                <c:pt idx="64">
                  <c:v>9.25</c:v>
                </c:pt>
                <c:pt idx="65">
                  <c:v>9.4166666666666661</c:v>
                </c:pt>
                <c:pt idx="66">
                  <c:v>9.5</c:v>
                </c:pt>
                <c:pt idx="67">
                  <c:v>9.5</c:v>
                </c:pt>
                <c:pt idx="68">
                  <c:v>9.5</c:v>
                </c:pt>
                <c:pt idx="69">
                  <c:v>9.5</c:v>
                </c:pt>
                <c:pt idx="70">
                  <c:v>9.5</c:v>
                </c:pt>
                <c:pt idx="71">
                  <c:v>9.5833333333333339</c:v>
                </c:pt>
                <c:pt idx="72">
                  <c:v>9.5833333333333339</c:v>
                </c:pt>
                <c:pt idx="73">
                  <c:v>9.6666666666666661</c:v>
                </c:pt>
                <c:pt idx="74">
                  <c:v>9.6666666666666661</c:v>
                </c:pt>
                <c:pt idx="75">
                  <c:v>9.8333333333333339</c:v>
                </c:pt>
                <c:pt idx="76">
                  <c:v>9.8333333333333339</c:v>
                </c:pt>
                <c:pt idx="77">
                  <c:v>10.083333333333334</c:v>
                </c:pt>
                <c:pt idx="78">
                  <c:v>10.083333333333334</c:v>
                </c:pt>
                <c:pt idx="79">
                  <c:v>10.166666666666666</c:v>
                </c:pt>
                <c:pt idx="80">
                  <c:v>10.5</c:v>
                </c:pt>
                <c:pt idx="81">
                  <c:v>10.5</c:v>
                </c:pt>
                <c:pt idx="82">
                  <c:v>10.75</c:v>
                </c:pt>
                <c:pt idx="83">
                  <c:v>10.916666666666666</c:v>
                </c:pt>
                <c:pt idx="84">
                  <c:v>10.916666666666666</c:v>
                </c:pt>
                <c:pt idx="85">
                  <c:v>11.083333333333334</c:v>
                </c:pt>
                <c:pt idx="86">
                  <c:v>11.083333333333334</c:v>
                </c:pt>
                <c:pt idx="87">
                  <c:v>11.333333333333334</c:v>
                </c:pt>
                <c:pt idx="88">
                  <c:v>11.5</c:v>
                </c:pt>
                <c:pt idx="89">
                  <c:v>12</c:v>
                </c:pt>
                <c:pt idx="90">
                  <c:v>12.083333333333334</c:v>
                </c:pt>
                <c:pt idx="91">
                  <c:v>12.25</c:v>
                </c:pt>
                <c:pt idx="92">
                  <c:v>13</c:v>
                </c:pt>
              </c:numCache>
            </c:numRef>
          </c:cat>
          <c:val>
            <c:numRef>
              <c:f>Graphique_interactif_Param!$CV$4:$CV$96</c:f>
              <c:numCache>
                <c:formatCode>General</c:formatCode>
                <c:ptCount val="93"/>
                <c:pt idx="0">
                  <c:v>0.16600197387240823</c:v>
                </c:pt>
                <c:pt idx="1">
                  <c:v>#N/A</c:v>
                </c:pt>
                <c:pt idx="2">
                  <c:v>#N/A</c:v>
                </c:pt>
                <c:pt idx="3">
                  <c:v>0.34013945624172925</c:v>
                </c:pt>
                <c:pt idx="4">
                  <c:v>0.34517926545019351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4.5386926522330631E-2</c:v>
                </c:pt>
                <c:pt idx="9">
                  <c:v>#N/A</c:v>
                </c:pt>
                <c:pt idx="10">
                  <c:v>5.3865356635571716E-2</c:v>
                </c:pt>
                <c:pt idx="11">
                  <c:v>0.20374525501189311</c:v>
                </c:pt>
                <c:pt idx="12">
                  <c:v>0.6661966590181897</c:v>
                </c:pt>
                <c:pt idx="13">
                  <c:v>3.3158787584934887E-2</c:v>
                </c:pt>
                <c:pt idx="14">
                  <c:v>0.30324194496706536</c:v>
                </c:pt>
                <c:pt idx="15">
                  <c:v>#N/A</c:v>
                </c:pt>
                <c:pt idx="16">
                  <c:v>0</c:v>
                </c:pt>
                <c:pt idx="17">
                  <c:v>0.34860551238534937</c:v>
                </c:pt>
                <c:pt idx="18">
                  <c:v>0.4364861673269898</c:v>
                </c:pt>
                <c:pt idx="19">
                  <c:v>0</c:v>
                </c:pt>
                <c:pt idx="20">
                  <c:v>0.36566398078503332</c:v>
                </c:pt>
                <c:pt idx="21">
                  <c:v>0</c:v>
                </c:pt>
                <c:pt idx="22">
                  <c:v>0.13361640505261951</c:v>
                </c:pt>
                <c:pt idx="23">
                  <c:v>0.45304692589438766</c:v>
                </c:pt>
                <c:pt idx="24">
                  <c:v>0</c:v>
                </c:pt>
                <c:pt idx="25">
                  <c:v>0.361038119814869</c:v>
                </c:pt>
                <c:pt idx="26">
                  <c:v>#N/A</c:v>
                </c:pt>
                <c:pt idx="27">
                  <c:v>0.44684548077154562</c:v>
                </c:pt>
                <c:pt idx="28">
                  <c:v>#N/A</c:v>
                </c:pt>
                <c:pt idx="29">
                  <c:v>0</c:v>
                </c:pt>
                <c:pt idx="30">
                  <c:v>0.29041087196891663</c:v>
                </c:pt>
                <c:pt idx="31">
                  <c:v>0.77963149939400267</c:v>
                </c:pt>
                <c:pt idx="32">
                  <c:v>0.15338640882674442</c:v>
                </c:pt>
                <c:pt idx="33">
                  <c:v>0.31197002701033977</c:v>
                </c:pt>
                <c:pt idx="34">
                  <c:v>0</c:v>
                </c:pt>
                <c:pt idx="35">
                  <c:v>9.5511255716147866E-2</c:v>
                </c:pt>
                <c:pt idx="36">
                  <c:v>0.50249377688267582</c:v>
                </c:pt>
                <c:pt idx="37">
                  <c:v>0.55297922386667786</c:v>
                </c:pt>
                <c:pt idx="38">
                  <c:v>4.5443250193381565E-2</c:v>
                </c:pt>
                <c:pt idx="39">
                  <c:v>0</c:v>
                </c:pt>
                <c:pt idx="40">
                  <c:v>#N/A</c:v>
                </c:pt>
                <c:pt idx="41">
                  <c:v>0.41117765262217343</c:v>
                </c:pt>
                <c:pt idx="42">
                  <c:v>0.32019951099766758</c:v>
                </c:pt>
                <c:pt idx="43">
                  <c:v>#N/A</c:v>
                </c:pt>
                <c:pt idx="44">
                  <c:v>9.539233495111335E-2</c:v>
                </c:pt>
                <c:pt idx="45">
                  <c:v>0.53402877718550734</c:v>
                </c:pt>
                <c:pt idx="46">
                  <c:v>0.18630136143077505</c:v>
                </c:pt>
                <c:pt idx="47">
                  <c:v>0.12453300124533002</c:v>
                </c:pt>
                <c:pt idx="48">
                  <c:v>0.32777084063177242</c:v>
                </c:pt>
                <c:pt idx="49">
                  <c:v>0.11631381021787043</c:v>
                </c:pt>
                <c:pt idx="50">
                  <c:v>2.913349178207823E-2</c:v>
                </c:pt>
                <c:pt idx="51">
                  <c:v>0</c:v>
                </c:pt>
                <c:pt idx="52">
                  <c:v>0.85458175772689726</c:v>
                </c:pt>
                <c:pt idx="53">
                  <c:v>0.6162242095661471</c:v>
                </c:pt>
                <c:pt idx="54">
                  <c:v>0</c:v>
                </c:pt>
                <c:pt idx="55">
                  <c:v>0.53938184070919948</c:v>
                </c:pt>
                <c:pt idx="56">
                  <c:v>0.47098214851021547</c:v>
                </c:pt>
                <c:pt idx="57">
                  <c:v>0.19633512534396186</c:v>
                </c:pt>
                <c:pt idx="58">
                  <c:v>0.750747077033458</c:v>
                </c:pt>
                <c:pt idx="59">
                  <c:v>#N/A</c:v>
                </c:pt>
                <c:pt idx="60">
                  <c:v>7.4794318604071042E-2</c:v>
                </c:pt>
                <c:pt idx="61">
                  <c:v>0.25779105457276424</c:v>
                </c:pt>
                <c:pt idx="62">
                  <c:v>0.45230385324318118</c:v>
                </c:pt>
                <c:pt idx="63">
                  <c:v>0.73552893813022835</c:v>
                </c:pt>
                <c:pt idx="64">
                  <c:v>0.43167085619062706</c:v>
                </c:pt>
                <c:pt idx="65">
                  <c:v>0.34531835610798089</c:v>
                </c:pt>
                <c:pt idx="66">
                  <c:v>#N/A</c:v>
                </c:pt>
                <c:pt idx="67">
                  <c:v>0.53167084691827737</c:v>
                </c:pt>
                <c:pt idx="68">
                  <c:v>0</c:v>
                </c:pt>
                <c:pt idx="69">
                  <c:v>6.73785300950063E-2</c:v>
                </c:pt>
                <c:pt idx="70">
                  <c:v>0.34912729501129686</c:v>
                </c:pt>
                <c:pt idx="71">
                  <c:v>#N/A</c:v>
                </c:pt>
                <c:pt idx="72">
                  <c:v>0.44028924249170187</c:v>
                </c:pt>
                <c:pt idx="73">
                  <c:v>0.13702042404549242</c:v>
                </c:pt>
                <c:pt idx="74">
                  <c:v>0.630976110571565</c:v>
                </c:pt>
                <c:pt idx="75">
                  <c:v>0.51997006832214221</c:v>
                </c:pt>
                <c:pt idx="76">
                  <c:v>0.24501991224478914</c:v>
                </c:pt>
                <c:pt idx="77">
                  <c:v>0</c:v>
                </c:pt>
                <c:pt idx="78">
                  <c:v>0.50597610202547449</c:v>
                </c:pt>
                <c:pt idx="79">
                  <c:v>0.39043827390528296</c:v>
                </c:pt>
                <c:pt idx="80">
                  <c:v>0.30601088288880912</c:v>
                </c:pt>
                <c:pt idx="81">
                  <c:v>0.41239689481583153</c:v>
                </c:pt>
                <c:pt idx="82">
                  <c:v>0.26967133065143906</c:v>
                </c:pt>
                <c:pt idx="83">
                  <c:v>0.20766930573015099</c:v>
                </c:pt>
                <c:pt idx="84">
                  <c:v>0</c:v>
                </c:pt>
                <c:pt idx="85">
                  <c:v>0</c:v>
                </c:pt>
                <c:pt idx="86">
                  <c:v>0.59426432833112686</c:v>
                </c:pt>
                <c:pt idx="87">
                  <c:v>0.41405269911178533</c:v>
                </c:pt>
                <c:pt idx="88">
                  <c:v>0.84318118450856216</c:v>
                </c:pt>
                <c:pt idx="89">
                  <c:v>0.5827338368447299</c:v>
                </c:pt>
                <c:pt idx="90">
                  <c:v>0.1522115875180044</c:v>
                </c:pt>
                <c:pt idx="91">
                  <c:v>0.54382468052894861</c:v>
                </c:pt>
                <c:pt idx="92">
                  <c:v>0.39476314536353896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A-4679-8FF2-84F03D38F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947008"/>
        <c:axId val="1888939104"/>
      </c:lineChart>
      <c:catAx>
        <c:axId val="1888947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(ANS)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8939104"/>
        <c:crosses val="autoZero"/>
        <c:auto val="1"/>
        <c:lblAlgn val="ctr"/>
        <c:lblOffset val="100"/>
        <c:noMultiLvlLbl val="0"/>
      </c:catAx>
      <c:valAx>
        <c:axId val="18889391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89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Groupe TSA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Graphique_interactif_Param!$CW$97:$CW$168</c:f>
              <c:numCache>
                <c:formatCode>General</c:formatCode>
                <c:ptCount val="72"/>
                <c:pt idx="0">
                  <c:v>2.6666666666666665</c:v>
                </c:pt>
                <c:pt idx="1">
                  <c:v>3.3333333333333335</c:v>
                </c:pt>
                <c:pt idx="2">
                  <c:v>3.4166666666666665</c:v>
                </c:pt>
                <c:pt idx="3">
                  <c:v>3.5833333333333335</c:v>
                </c:pt>
                <c:pt idx="4">
                  <c:v>3.8333333333333335</c:v>
                </c:pt>
                <c:pt idx="5">
                  <c:v>4.083333333333333</c:v>
                </c:pt>
                <c:pt idx="6">
                  <c:v>4.25</c:v>
                </c:pt>
                <c:pt idx="7">
                  <c:v>4.583333333333333</c:v>
                </c:pt>
                <c:pt idx="8">
                  <c:v>4.583333333333333</c:v>
                </c:pt>
                <c:pt idx="9">
                  <c:v>4.583333333333333</c:v>
                </c:pt>
                <c:pt idx="10">
                  <c:v>5</c:v>
                </c:pt>
                <c:pt idx="11">
                  <c:v>5.25</c:v>
                </c:pt>
                <c:pt idx="12">
                  <c:v>5.25</c:v>
                </c:pt>
                <c:pt idx="13">
                  <c:v>5.333333333333333</c:v>
                </c:pt>
                <c:pt idx="14">
                  <c:v>5.333333333333333</c:v>
                </c:pt>
                <c:pt idx="15">
                  <c:v>5.416666666666667</c:v>
                </c:pt>
                <c:pt idx="16">
                  <c:v>5.416666666666667</c:v>
                </c:pt>
                <c:pt idx="17">
                  <c:v>5.5</c:v>
                </c:pt>
                <c:pt idx="18">
                  <c:v>5.583333333333333</c:v>
                </c:pt>
                <c:pt idx="19">
                  <c:v>5.75</c:v>
                </c:pt>
                <c:pt idx="20">
                  <c:v>5.75</c:v>
                </c:pt>
                <c:pt idx="21">
                  <c:v>5.833333333333333</c:v>
                </c:pt>
                <c:pt idx="22">
                  <c:v>6</c:v>
                </c:pt>
                <c:pt idx="23">
                  <c:v>6.083333333333333</c:v>
                </c:pt>
                <c:pt idx="24">
                  <c:v>6.083333333333333</c:v>
                </c:pt>
                <c:pt idx="25">
                  <c:v>6.083333333333333</c:v>
                </c:pt>
                <c:pt idx="26">
                  <c:v>6.083333333333333</c:v>
                </c:pt>
                <c:pt idx="27">
                  <c:v>6.166666666666667</c:v>
                </c:pt>
                <c:pt idx="28">
                  <c:v>6.333333333333333</c:v>
                </c:pt>
                <c:pt idx="29">
                  <c:v>6.416666666666667</c:v>
                </c:pt>
                <c:pt idx="30">
                  <c:v>6.583333333333333</c:v>
                </c:pt>
                <c:pt idx="31">
                  <c:v>6.583333333333333</c:v>
                </c:pt>
                <c:pt idx="32">
                  <c:v>6.833333333333333</c:v>
                </c:pt>
                <c:pt idx="33">
                  <c:v>6.833333333333333</c:v>
                </c:pt>
                <c:pt idx="34">
                  <c:v>7</c:v>
                </c:pt>
                <c:pt idx="35">
                  <c:v>7.25</c:v>
                </c:pt>
                <c:pt idx="36">
                  <c:v>7.25</c:v>
                </c:pt>
                <c:pt idx="37">
                  <c:v>7.25</c:v>
                </c:pt>
                <c:pt idx="38">
                  <c:v>7.333333333333333</c:v>
                </c:pt>
                <c:pt idx="39">
                  <c:v>7.75</c:v>
                </c:pt>
                <c:pt idx="40">
                  <c:v>7.916666666666667</c:v>
                </c:pt>
                <c:pt idx="41">
                  <c:v>8.25</c:v>
                </c:pt>
                <c:pt idx="42">
                  <c:v>8.3333333333333339</c:v>
                </c:pt>
                <c:pt idx="43">
                  <c:v>8.3333333333333339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8.5833333333333339</c:v>
                </c:pt>
                <c:pt idx="49">
                  <c:v>8.5833333333333339</c:v>
                </c:pt>
                <c:pt idx="50">
                  <c:v>9.3333333333333339</c:v>
                </c:pt>
                <c:pt idx="51">
                  <c:v>9.4166666666666661</c:v>
                </c:pt>
                <c:pt idx="52">
                  <c:v>9.4166666666666661</c:v>
                </c:pt>
                <c:pt idx="53">
                  <c:v>9.5</c:v>
                </c:pt>
                <c:pt idx="54">
                  <c:v>9.8333333333333339</c:v>
                </c:pt>
                <c:pt idx="55">
                  <c:v>9.8333333333333339</c:v>
                </c:pt>
                <c:pt idx="56">
                  <c:v>10.083333333333334</c:v>
                </c:pt>
                <c:pt idx="57">
                  <c:v>10.25</c:v>
                </c:pt>
                <c:pt idx="58">
                  <c:v>10.25</c:v>
                </c:pt>
                <c:pt idx="59">
                  <c:v>10.416666666666666</c:v>
                </c:pt>
                <c:pt idx="60">
                  <c:v>10.666666666666666</c:v>
                </c:pt>
                <c:pt idx="61">
                  <c:v>10.75</c:v>
                </c:pt>
                <c:pt idx="62">
                  <c:v>11.166666666666666</c:v>
                </c:pt>
                <c:pt idx="63">
                  <c:v>11.333333333333334</c:v>
                </c:pt>
                <c:pt idx="64">
                  <c:v>11.833333333333334</c:v>
                </c:pt>
                <c:pt idx="65">
                  <c:v>12</c:v>
                </c:pt>
                <c:pt idx="66">
                  <c:v>12</c:v>
                </c:pt>
                <c:pt idx="67">
                  <c:v>12.5</c:v>
                </c:pt>
                <c:pt idx="68">
                  <c:v>12.583333333333334</c:v>
                </c:pt>
                <c:pt idx="69">
                  <c:v>12.666666666666666</c:v>
                </c:pt>
                <c:pt idx="70">
                  <c:v>13.083333333333334</c:v>
                </c:pt>
                <c:pt idx="71">
                  <c:v>13.083333333333334</c:v>
                </c:pt>
              </c:numCache>
            </c:numRef>
          </c:cat>
          <c:val>
            <c:numRef>
              <c:f>Graphique_interactif_Param!$CV$97:$CV$168</c:f>
              <c:numCache>
                <c:formatCode>General</c:formatCode>
                <c:ptCount val="72"/>
                <c:pt idx="0">
                  <c:v>0.85504357871201686</c:v>
                </c:pt>
                <c:pt idx="1">
                  <c:v>#N/A</c:v>
                </c:pt>
                <c:pt idx="2">
                  <c:v>0.16186602353004642</c:v>
                </c:pt>
                <c:pt idx="3">
                  <c:v>0.18650400211136656</c:v>
                </c:pt>
                <c:pt idx="4">
                  <c:v>0</c:v>
                </c:pt>
                <c:pt idx="5">
                  <c:v>#N/A</c:v>
                </c:pt>
                <c:pt idx="6">
                  <c:v>0</c:v>
                </c:pt>
                <c:pt idx="7">
                  <c:v>5.8032373711002873E-2</c:v>
                </c:pt>
                <c:pt idx="8">
                  <c:v>0</c:v>
                </c:pt>
                <c:pt idx="9">
                  <c:v>#N/A</c:v>
                </c:pt>
                <c:pt idx="10">
                  <c:v>0.44912722639906738</c:v>
                </c:pt>
                <c:pt idx="11">
                  <c:v>#N/A</c:v>
                </c:pt>
                <c:pt idx="12">
                  <c:v>0.2954375324805637</c:v>
                </c:pt>
                <c:pt idx="13">
                  <c:v>4.2123009200445621E-2</c:v>
                </c:pt>
                <c:pt idx="14">
                  <c:v>0.48929277762948753</c:v>
                </c:pt>
                <c:pt idx="15">
                  <c:v>#N/A</c:v>
                </c:pt>
                <c:pt idx="16">
                  <c:v>0.8505976116989713</c:v>
                </c:pt>
                <c:pt idx="17">
                  <c:v>0.84718428986506089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0.19239374810772811</c:v>
                </c:pt>
                <c:pt idx="22">
                  <c:v>#N/A</c:v>
                </c:pt>
                <c:pt idx="23">
                  <c:v>0.19900374216576147</c:v>
                </c:pt>
                <c:pt idx="24">
                  <c:v>#N/A</c:v>
                </c:pt>
                <c:pt idx="25">
                  <c:v>3.7406507572925601E-2</c:v>
                </c:pt>
                <c:pt idx="26">
                  <c:v>#N/A</c:v>
                </c:pt>
                <c:pt idx="27">
                  <c:v>#N/A</c:v>
                </c:pt>
                <c:pt idx="28">
                  <c:v>0.22463225212753399</c:v>
                </c:pt>
                <c:pt idx="29">
                  <c:v>0.3323361883137298</c:v>
                </c:pt>
                <c:pt idx="30">
                  <c:v>0.2614118625291656</c:v>
                </c:pt>
                <c:pt idx="31">
                  <c:v>0.12468768917638502</c:v>
                </c:pt>
                <c:pt idx="32">
                  <c:v>#N/A</c:v>
                </c:pt>
                <c:pt idx="33">
                  <c:v>0.65314535553582809</c:v>
                </c:pt>
                <c:pt idx="34">
                  <c:v>#N/A</c:v>
                </c:pt>
                <c:pt idx="35">
                  <c:v>#N/A</c:v>
                </c:pt>
                <c:pt idx="36">
                  <c:v>0.56596308710707222</c:v>
                </c:pt>
                <c:pt idx="37">
                  <c:v>6.2096373571783409E-2</c:v>
                </c:pt>
                <c:pt idx="38">
                  <c:v>0.8916827765378087</c:v>
                </c:pt>
                <c:pt idx="39">
                  <c:v>0.45642424449027774</c:v>
                </c:pt>
                <c:pt idx="40">
                  <c:v>0.22867831803319461</c:v>
                </c:pt>
                <c:pt idx="41">
                  <c:v>#N/A</c:v>
                </c:pt>
                <c:pt idx="42">
                  <c:v>0</c:v>
                </c:pt>
                <c:pt idx="43">
                  <c:v>#N/A</c:v>
                </c:pt>
                <c:pt idx="44">
                  <c:v>0.53271728676634955</c:v>
                </c:pt>
                <c:pt idx="45">
                  <c:v>#N/A</c:v>
                </c:pt>
                <c:pt idx="46">
                  <c:v>0.35987103298779516</c:v>
                </c:pt>
                <c:pt idx="47">
                  <c:v>#N/A</c:v>
                </c:pt>
                <c:pt idx="48">
                  <c:v>0.36080678798762927</c:v>
                </c:pt>
                <c:pt idx="49">
                  <c:v>#N/A</c:v>
                </c:pt>
                <c:pt idx="50">
                  <c:v>0.48869570589954064</c:v>
                </c:pt>
                <c:pt idx="51">
                  <c:v>0.24900393953836297</c:v>
                </c:pt>
                <c:pt idx="52">
                  <c:v>0</c:v>
                </c:pt>
                <c:pt idx="53">
                  <c:v>4.9726575361087745E-2</c:v>
                </c:pt>
                <c:pt idx="54">
                  <c:v>0.20268972661302059</c:v>
                </c:pt>
                <c:pt idx="55">
                  <c:v>0.39775851060860185</c:v>
                </c:pt>
                <c:pt idx="56">
                  <c:v>0.80478087483174299</c:v>
                </c:pt>
                <c:pt idx="57">
                  <c:v>0.20328842708585745</c:v>
                </c:pt>
                <c:pt idx="58">
                  <c:v>0.45754123096683635</c:v>
                </c:pt>
                <c:pt idx="59">
                  <c:v>#N/A</c:v>
                </c:pt>
                <c:pt idx="60">
                  <c:v>0</c:v>
                </c:pt>
                <c:pt idx="61">
                  <c:v>#N/A</c:v>
                </c:pt>
                <c:pt idx="62">
                  <c:v>0.24900398406374502</c:v>
                </c:pt>
                <c:pt idx="63">
                  <c:v>0</c:v>
                </c:pt>
                <c:pt idx="64">
                  <c:v>#N/A</c:v>
                </c:pt>
                <c:pt idx="65">
                  <c:v>0</c:v>
                </c:pt>
                <c:pt idx="66">
                  <c:v>9.1384463796050724E-2</c:v>
                </c:pt>
                <c:pt idx="67">
                  <c:v>0.56137724550898205</c:v>
                </c:pt>
                <c:pt idx="68">
                  <c:v>#N/A</c:v>
                </c:pt>
                <c:pt idx="69">
                  <c:v>2.9198897875601853E-2</c:v>
                </c:pt>
                <c:pt idx="70">
                  <c:v>0</c:v>
                </c:pt>
                <c:pt idx="71">
                  <c:v>0.62303663434252243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2-4671-B929-2355225DB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1891469904"/>
        <c:axId val="1891470736"/>
      </c:lineChart>
      <c:catAx>
        <c:axId val="189146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(ANS)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1470736"/>
        <c:crosses val="autoZero"/>
        <c:auto val="1"/>
        <c:lblAlgn val="ctr"/>
        <c:lblOffset val="100"/>
        <c:noMultiLvlLbl val="0"/>
      </c:catAx>
      <c:valAx>
        <c:axId val="189147073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14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Groupe DT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DT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Graphique_interactif_Param!$CW$4:$CW$96</c:f>
              <c:numCache>
                <c:formatCode>General</c:formatCode>
                <c:ptCount val="93"/>
                <c:pt idx="0">
                  <c:v>2.6666666666666665</c:v>
                </c:pt>
                <c:pt idx="1">
                  <c:v>2.8333333333333335</c:v>
                </c:pt>
                <c:pt idx="2">
                  <c:v>3</c:v>
                </c:pt>
                <c:pt idx="3">
                  <c:v>3.1666666666666665</c:v>
                </c:pt>
                <c:pt idx="4">
                  <c:v>3.6666666666666665</c:v>
                </c:pt>
                <c:pt idx="5">
                  <c:v>3.6666666666666665</c:v>
                </c:pt>
                <c:pt idx="6">
                  <c:v>3.75</c:v>
                </c:pt>
                <c:pt idx="7">
                  <c:v>3.8333333333333335</c:v>
                </c:pt>
                <c:pt idx="8">
                  <c:v>3.8333333333333335</c:v>
                </c:pt>
                <c:pt idx="9">
                  <c:v>3.9166666666666665</c:v>
                </c:pt>
                <c:pt idx="10">
                  <c:v>4.083333333333333</c:v>
                </c:pt>
                <c:pt idx="11">
                  <c:v>4.333333333333333</c:v>
                </c:pt>
                <c:pt idx="12">
                  <c:v>4.416666666666667</c:v>
                </c:pt>
                <c:pt idx="13">
                  <c:v>4.416666666666667</c:v>
                </c:pt>
                <c:pt idx="14">
                  <c:v>4.5</c:v>
                </c:pt>
                <c:pt idx="15">
                  <c:v>4.583333333333333</c:v>
                </c:pt>
                <c:pt idx="16">
                  <c:v>4.833333333333333</c:v>
                </c:pt>
                <c:pt idx="17">
                  <c:v>5</c:v>
                </c:pt>
                <c:pt idx="18">
                  <c:v>5.083333333333333</c:v>
                </c:pt>
                <c:pt idx="19">
                  <c:v>5.083333333333333</c:v>
                </c:pt>
                <c:pt idx="20">
                  <c:v>5.166666666666667</c:v>
                </c:pt>
                <c:pt idx="21">
                  <c:v>5.25</c:v>
                </c:pt>
                <c:pt idx="22">
                  <c:v>5.333333333333333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5.583333333333333</c:v>
                </c:pt>
                <c:pt idx="27">
                  <c:v>5.583333333333333</c:v>
                </c:pt>
                <c:pt idx="28">
                  <c:v>5.833333333333333</c:v>
                </c:pt>
                <c:pt idx="29">
                  <c:v>5.916666666666667</c:v>
                </c:pt>
                <c:pt idx="30">
                  <c:v>5.916666666666667</c:v>
                </c:pt>
                <c:pt idx="31">
                  <c:v>6.083333333333333</c:v>
                </c:pt>
                <c:pt idx="32">
                  <c:v>6.166666666666667</c:v>
                </c:pt>
                <c:pt idx="33">
                  <c:v>6.166666666666667</c:v>
                </c:pt>
                <c:pt idx="34">
                  <c:v>6.166666666666667</c:v>
                </c:pt>
                <c:pt idx="35">
                  <c:v>6.25</c:v>
                </c:pt>
                <c:pt idx="36">
                  <c:v>6.25</c:v>
                </c:pt>
                <c:pt idx="37">
                  <c:v>6.333333333333333</c:v>
                </c:pt>
                <c:pt idx="38">
                  <c:v>6.416666666666667</c:v>
                </c:pt>
                <c:pt idx="39">
                  <c:v>6.416666666666667</c:v>
                </c:pt>
                <c:pt idx="40">
                  <c:v>6.666666666666667</c:v>
                </c:pt>
                <c:pt idx="41">
                  <c:v>6.75</c:v>
                </c:pt>
                <c:pt idx="42">
                  <c:v>6.833333333333333</c:v>
                </c:pt>
                <c:pt idx="43">
                  <c:v>6.916666666666667</c:v>
                </c:pt>
                <c:pt idx="44">
                  <c:v>6.916666666666667</c:v>
                </c:pt>
                <c:pt idx="45">
                  <c:v>7.083333333333333</c:v>
                </c:pt>
                <c:pt idx="46">
                  <c:v>7.333333333333333</c:v>
                </c:pt>
                <c:pt idx="47">
                  <c:v>7.416666666666667</c:v>
                </c:pt>
                <c:pt idx="48">
                  <c:v>7.583333333333333</c:v>
                </c:pt>
                <c:pt idx="49">
                  <c:v>7.666666666666667</c:v>
                </c:pt>
                <c:pt idx="50">
                  <c:v>8</c:v>
                </c:pt>
                <c:pt idx="51">
                  <c:v>8.0833333333333339</c:v>
                </c:pt>
                <c:pt idx="52">
                  <c:v>8.25</c:v>
                </c:pt>
                <c:pt idx="53">
                  <c:v>8.5</c:v>
                </c:pt>
                <c:pt idx="54">
                  <c:v>8.5</c:v>
                </c:pt>
                <c:pt idx="55">
                  <c:v>8.5833333333333339</c:v>
                </c:pt>
                <c:pt idx="56">
                  <c:v>8.5833333333333339</c:v>
                </c:pt>
                <c:pt idx="57">
                  <c:v>8.6666666666666661</c:v>
                </c:pt>
                <c:pt idx="58">
                  <c:v>8.75</c:v>
                </c:pt>
                <c:pt idx="59">
                  <c:v>8.8333333333333339</c:v>
                </c:pt>
                <c:pt idx="60">
                  <c:v>9</c:v>
                </c:pt>
                <c:pt idx="61">
                  <c:v>9.0833333333333339</c:v>
                </c:pt>
                <c:pt idx="62">
                  <c:v>9.1666666666666661</c:v>
                </c:pt>
                <c:pt idx="63">
                  <c:v>9.25</c:v>
                </c:pt>
                <c:pt idx="64">
                  <c:v>9.25</c:v>
                </c:pt>
                <c:pt idx="65">
                  <c:v>9.4166666666666661</c:v>
                </c:pt>
                <c:pt idx="66">
                  <c:v>9.5</c:v>
                </c:pt>
                <c:pt idx="67">
                  <c:v>9.5</c:v>
                </c:pt>
                <c:pt idx="68">
                  <c:v>9.5</c:v>
                </c:pt>
                <c:pt idx="69">
                  <c:v>9.5</c:v>
                </c:pt>
                <c:pt idx="70">
                  <c:v>9.5</c:v>
                </c:pt>
                <c:pt idx="71">
                  <c:v>9.5833333333333339</c:v>
                </c:pt>
                <c:pt idx="72">
                  <c:v>9.5833333333333339</c:v>
                </c:pt>
                <c:pt idx="73">
                  <c:v>9.6666666666666661</c:v>
                </c:pt>
                <c:pt idx="74">
                  <c:v>9.6666666666666661</c:v>
                </c:pt>
                <c:pt idx="75">
                  <c:v>9.8333333333333339</c:v>
                </c:pt>
                <c:pt idx="76">
                  <c:v>9.8333333333333339</c:v>
                </c:pt>
                <c:pt idx="77">
                  <c:v>10.083333333333334</c:v>
                </c:pt>
                <c:pt idx="78">
                  <c:v>10.083333333333334</c:v>
                </c:pt>
                <c:pt idx="79">
                  <c:v>10.166666666666666</c:v>
                </c:pt>
                <c:pt idx="80">
                  <c:v>10.5</c:v>
                </c:pt>
                <c:pt idx="81">
                  <c:v>10.5</c:v>
                </c:pt>
                <c:pt idx="82">
                  <c:v>10.75</c:v>
                </c:pt>
                <c:pt idx="83">
                  <c:v>10.916666666666666</c:v>
                </c:pt>
                <c:pt idx="84">
                  <c:v>10.916666666666666</c:v>
                </c:pt>
                <c:pt idx="85">
                  <c:v>11.083333333333334</c:v>
                </c:pt>
                <c:pt idx="86">
                  <c:v>11.083333333333334</c:v>
                </c:pt>
                <c:pt idx="87">
                  <c:v>11.333333333333334</c:v>
                </c:pt>
                <c:pt idx="88">
                  <c:v>11.5</c:v>
                </c:pt>
                <c:pt idx="89">
                  <c:v>12</c:v>
                </c:pt>
                <c:pt idx="90">
                  <c:v>12.083333333333334</c:v>
                </c:pt>
                <c:pt idx="91">
                  <c:v>12.25</c:v>
                </c:pt>
                <c:pt idx="92">
                  <c:v>13</c:v>
                </c:pt>
              </c:numCache>
            </c:numRef>
          </c:cat>
          <c:val>
            <c:numRef>
              <c:f>Graphique_interactif_Param!$CV$4:$CV$96</c:f>
              <c:numCache>
                <c:formatCode>General</c:formatCode>
                <c:ptCount val="93"/>
                <c:pt idx="0">
                  <c:v>0.16600197387240823</c:v>
                </c:pt>
                <c:pt idx="1">
                  <c:v>#N/A</c:v>
                </c:pt>
                <c:pt idx="2">
                  <c:v>#N/A</c:v>
                </c:pt>
                <c:pt idx="3">
                  <c:v>0.34013945624172925</c:v>
                </c:pt>
                <c:pt idx="4">
                  <c:v>0.34517926545019351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4.5386926522330631E-2</c:v>
                </c:pt>
                <c:pt idx="9">
                  <c:v>#N/A</c:v>
                </c:pt>
                <c:pt idx="10">
                  <c:v>5.3865356635571716E-2</c:v>
                </c:pt>
                <c:pt idx="11">
                  <c:v>0.20374525501189311</c:v>
                </c:pt>
                <c:pt idx="12">
                  <c:v>0.6661966590181897</c:v>
                </c:pt>
                <c:pt idx="13">
                  <c:v>3.3158787584934887E-2</c:v>
                </c:pt>
                <c:pt idx="14">
                  <c:v>0.30324194496706536</c:v>
                </c:pt>
                <c:pt idx="15">
                  <c:v>#N/A</c:v>
                </c:pt>
                <c:pt idx="16">
                  <c:v>0</c:v>
                </c:pt>
                <c:pt idx="17">
                  <c:v>0.34860551238534937</c:v>
                </c:pt>
                <c:pt idx="18">
                  <c:v>0.4364861673269898</c:v>
                </c:pt>
                <c:pt idx="19">
                  <c:v>0</c:v>
                </c:pt>
                <c:pt idx="20">
                  <c:v>0.36566398078503332</c:v>
                </c:pt>
                <c:pt idx="21">
                  <c:v>0</c:v>
                </c:pt>
                <c:pt idx="22">
                  <c:v>0.13361640505261951</c:v>
                </c:pt>
                <c:pt idx="23">
                  <c:v>0.45304692589438766</c:v>
                </c:pt>
                <c:pt idx="24">
                  <c:v>0</c:v>
                </c:pt>
                <c:pt idx="25">
                  <c:v>0.361038119814869</c:v>
                </c:pt>
                <c:pt idx="26">
                  <c:v>#N/A</c:v>
                </c:pt>
                <c:pt idx="27">
                  <c:v>0.44684548077154562</c:v>
                </c:pt>
                <c:pt idx="28">
                  <c:v>#N/A</c:v>
                </c:pt>
                <c:pt idx="29">
                  <c:v>0</c:v>
                </c:pt>
                <c:pt idx="30">
                  <c:v>0.29041087196891663</c:v>
                </c:pt>
                <c:pt idx="31">
                  <c:v>0.77963149939400267</c:v>
                </c:pt>
                <c:pt idx="32">
                  <c:v>0.15338640882674442</c:v>
                </c:pt>
                <c:pt idx="33">
                  <c:v>0.31197002701033977</c:v>
                </c:pt>
                <c:pt idx="34">
                  <c:v>0</c:v>
                </c:pt>
                <c:pt idx="35">
                  <c:v>9.5511255716147866E-2</c:v>
                </c:pt>
                <c:pt idx="36">
                  <c:v>0.50249377688267582</c:v>
                </c:pt>
                <c:pt idx="37">
                  <c:v>0.55297922386667786</c:v>
                </c:pt>
                <c:pt idx="38">
                  <c:v>4.5443250193381565E-2</c:v>
                </c:pt>
                <c:pt idx="39">
                  <c:v>0</c:v>
                </c:pt>
                <c:pt idx="40">
                  <c:v>#N/A</c:v>
                </c:pt>
                <c:pt idx="41">
                  <c:v>0.41117765262217343</c:v>
                </c:pt>
                <c:pt idx="42">
                  <c:v>0.32019951099766758</c:v>
                </c:pt>
                <c:pt idx="43">
                  <c:v>#N/A</c:v>
                </c:pt>
                <c:pt idx="44">
                  <c:v>9.539233495111335E-2</c:v>
                </c:pt>
                <c:pt idx="45">
                  <c:v>0.53402877718550734</c:v>
                </c:pt>
                <c:pt idx="46">
                  <c:v>0.18630136143077505</c:v>
                </c:pt>
                <c:pt idx="47">
                  <c:v>0.12453300124533002</c:v>
                </c:pt>
                <c:pt idx="48">
                  <c:v>0.32777084063177242</c:v>
                </c:pt>
                <c:pt idx="49">
                  <c:v>0.11631381021787043</c:v>
                </c:pt>
                <c:pt idx="50">
                  <c:v>2.913349178207823E-2</c:v>
                </c:pt>
                <c:pt idx="51">
                  <c:v>0</c:v>
                </c:pt>
                <c:pt idx="52">
                  <c:v>0.85458175772689726</c:v>
                </c:pt>
                <c:pt idx="53">
                  <c:v>0.6162242095661471</c:v>
                </c:pt>
                <c:pt idx="54">
                  <c:v>0</c:v>
                </c:pt>
                <c:pt idx="55">
                  <c:v>0.53938184070919948</c:v>
                </c:pt>
                <c:pt idx="56">
                  <c:v>0.47098214851021547</c:v>
                </c:pt>
                <c:pt idx="57">
                  <c:v>0.19633512534396186</c:v>
                </c:pt>
                <c:pt idx="58">
                  <c:v>0.750747077033458</c:v>
                </c:pt>
                <c:pt idx="59">
                  <c:v>#N/A</c:v>
                </c:pt>
                <c:pt idx="60">
                  <c:v>7.4794318604071042E-2</c:v>
                </c:pt>
                <c:pt idx="61">
                  <c:v>0.25779105457276424</c:v>
                </c:pt>
                <c:pt idx="62">
                  <c:v>0.45230385324318118</c:v>
                </c:pt>
                <c:pt idx="63">
                  <c:v>0.73552893813022835</c:v>
                </c:pt>
                <c:pt idx="64">
                  <c:v>0.43167085619062706</c:v>
                </c:pt>
                <c:pt idx="65">
                  <c:v>0.34531835610798089</c:v>
                </c:pt>
                <c:pt idx="66">
                  <c:v>#N/A</c:v>
                </c:pt>
                <c:pt idx="67">
                  <c:v>0.53167084691827737</c:v>
                </c:pt>
                <c:pt idx="68">
                  <c:v>0</c:v>
                </c:pt>
                <c:pt idx="69">
                  <c:v>6.73785300950063E-2</c:v>
                </c:pt>
                <c:pt idx="70">
                  <c:v>0.34912729501129686</c:v>
                </c:pt>
                <c:pt idx="71">
                  <c:v>#N/A</c:v>
                </c:pt>
                <c:pt idx="72">
                  <c:v>0.44028924249170187</c:v>
                </c:pt>
                <c:pt idx="73">
                  <c:v>0.13702042404549242</c:v>
                </c:pt>
                <c:pt idx="74">
                  <c:v>0.630976110571565</c:v>
                </c:pt>
                <c:pt idx="75">
                  <c:v>0.51997006832214221</c:v>
                </c:pt>
                <c:pt idx="76">
                  <c:v>0.24501991224478914</c:v>
                </c:pt>
                <c:pt idx="77">
                  <c:v>0</c:v>
                </c:pt>
                <c:pt idx="78">
                  <c:v>0.50597610202547449</c:v>
                </c:pt>
                <c:pt idx="79">
                  <c:v>0.39043827390528296</c:v>
                </c:pt>
                <c:pt idx="80">
                  <c:v>0.30601088288880912</c:v>
                </c:pt>
                <c:pt idx="81">
                  <c:v>0.41239689481583153</c:v>
                </c:pt>
                <c:pt idx="82">
                  <c:v>0.26967133065143906</c:v>
                </c:pt>
                <c:pt idx="83">
                  <c:v>0.20766930573015099</c:v>
                </c:pt>
                <c:pt idx="84">
                  <c:v>0</c:v>
                </c:pt>
                <c:pt idx="85">
                  <c:v>0</c:v>
                </c:pt>
                <c:pt idx="86">
                  <c:v>0.59426432833112686</c:v>
                </c:pt>
                <c:pt idx="87">
                  <c:v>0.41405269911178533</c:v>
                </c:pt>
                <c:pt idx="88">
                  <c:v>0.84318118450856216</c:v>
                </c:pt>
                <c:pt idx="89">
                  <c:v>0.5827338368447299</c:v>
                </c:pt>
                <c:pt idx="90">
                  <c:v>0.1522115875180044</c:v>
                </c:pt>
                <c:pt idx="91">
                  <c:v>0.54382468052894861</c:v>
                </c:pt>
                <c:pt idx="92">
                  <c:v>0.39476314536353896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3-4876-9FE3-113B3DB8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947008"/>
        <c:axId val="1888939104"/>
      </c:lineChart>
      <c:catAx>
        <c:axId val="1888947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(ANS)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8939104"/>
        <c:crosses val="autoZero"/>
        <c:auto val="1"/>
        <c:lblAlgn val="ctr"/>
        <c:lblOffset val="100"/>
        <c:noMultiLvlLbl val="0"/>
      </c:catAx>
      <c:valAx>
        <c:axId val="18889391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89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Groupe TSA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Graphique_interactif_Param!$CW$97:$CW$168</c:f>
              <c:numCache>
                <c:formatCode>General</c:formatCode>
                <c:ptCount val="72"/>
                <c:pt idx="0">
                  <c:v>2.6666666666666665</c:v>
                </c:pt>
                <c:pt idx="1">
                  <c:v>3.3333333333333335</c:v>
                </c:pt>
                <c:pt idx="2">
                  <c:v>3.4166666666666665</c:v>
                </c:pt>
                <c:pt idx="3">
                  <c:v>3.5833333333333335</c:v>
                </c:pt>
                <c:pt idx="4">
                  <c:v>3.8333333333333335</c:v>
                </c:pt>
                <c:pt idx="5">
                  <c:v>4.083333333333333</c:v>
                </c:pt>
                <c:pt idx="6">
                  <c:v>4.25</c:v>
                </c:pt>
                <c:pt idx="7">
                  <c:v>4.583333333333333</c:v>
                </c:pt>
                <c:pt idx="8">
                  <c:v>4.583333333333333</c:v>
                </c:pt>
                <c:pt idx="9">
                  <c:v>4.583333333333333</c:v>
                </c:pt>
                <c:pt idx="10">
                  <c:v>5</c:v>
                </c:pt>
                <c:pt idx="11">
                  <c:v>5.25</c:v>
                </c:pt>
                <c:pt idx="12">
                  <c:v>5.25</c:v>
                </c:pt>
                <c:pt idx="13">
                  <c:v>5.333333333333333</c:v>
                </c:pt>
                <c:pt idx="14">
                  <c:v>5.333333333333333</c:v>
                </c:pt>
                <c:pt idx="15">
                  <c:v>5.416666666666667</c:v>
                </c:pt>
                <c:pt idx="16">
                  <c:v>5.416666666666667</c:v>
                </c:pt>
                <c:pt idx="17">
                  <c:v>5.5</c:v>
                </c:pt>
                <c:pt idx="18">
                  <c:v>5.583333333333333</c:v>
                </c:pt>
                <c:pt idx="19">
                  <c:v>5.75</c:v>
                </c:pt>
                <c:pt idx="20">
                  <c:v>5.75</c:v>
                </c:pt>
                <c:pt idx="21">
                  <c:v>5.833333333333333</c:v>
                </c:pt>
                <c:pt idx="22">
                  <c:v>6</c:v>
                </c:pt>
                <c:pt idx="23">
                  <c:v>6.083333333333333</c:v>
                </c:pt>
                <c:pt idx="24">
                  <c:v>6.083333333333333</c:v>
                </c:pt>
                <c:pt idx="25">
                  <c:v>6.083333333333333</c:v>
                </c:pt>
                <c:pt idx="26">
                  <c:v>6.083333333333333</c:v>
                </c:pt>
                <c:pt idx="27">
                  <c:v>6.166666666666667</c:v>
                </c:pt>
                <c:pt idx="28">
                  <c:v>6.333333333333333</c:v>
                </c:pt>
                <c:pt idx="29">
                  <c:v>6.416666666666667</c:v>
                </c:pt>
                <c:pt idx="30">
                  <c:v>6.583333333333333</c:v>
                </c:pt>
                <c:pt idx="31">
                  <c:v>6.583333333333333</c:v>
                </c:pt>
                <c:pt idx="32">
                  <c:v>6.833333333333333</c:v>
                </c:pt>
                <c:pt idx="33">
                  <c:v>6.833333333333333</c:v>
                </c:pt>
                <c:pt idx="34">
                  <c:v>7</c:v>
                </c:pt>
                <c:pt idx="35">
                  <c:v>7.25</c:v>
                </c:pt>
                <c:pt idx="36">
                  <c:v>7.25</c:v>
                </c:pt>
                <c:pt idx="37">
                  <c:v>7.25</c:v>
                </c:pt>
                <c:pt idx="38">
                  <c:v>7.333333333333333</c:v>
                </c:pt>
                <c:pt idx="39">
                  <c:v>7.75</c:v>
                </c:pt>
                <c:pt idx="40">
                  <c:v>7.916666666666667</c:v>
                </c:pt>
                <c:pt idx="41">
                  <c:v>8.25</c:v>
                </c:pt>
                <c:pt idx="42">
                  <c:v>8.3333333333333339</c:v>
                </c:pt>
                <c:pt idx="43">
                  <c:v>8.3333333333333339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8.5833333333333339</c:v>
                </c:pt>
                <c:pt idx="49">
                  <c:v>8.5833333333333339</c:v>
                </c:pt>
                <c:pt idx="50">
                  <c:v>9.3333333333333339</c:v>
                </c:pt>
                <c:pt idx="51">
                  <c:v>9.4166666666666661</c:v>
                </c:pt>
                <c:pt idx="52">
                  <c:v>9.4166666666666661</c:v>
                </c:pt>
                <c:pt idx="53">
                  <c:v>9.5</c:v>
                </c:pt>
                <c:pt idx="54">
                  <c:v>9.8333333333333339</c:v>
                </c:pt>
                <c:pt idx="55">
                  <c:v>9.8333333333333339</c:v>
                </c:pt>
                <c:pt idx="56">
                  <c:v>10.083333333333334</c:v>
                </c:pt>
                <c:pt idx="57">
                  <c:v>10.25</c:v>
                </c:pt>
                <c:pt idx="58">
                  <c:v>10.25</c:v>
                </c:pt>
                <c:pt idx="59">
                  <c:v>10.416666666666666</c:v>
                </c:pt>
                <c:pt idx="60">
                  <c:v>10.666666666666666</c:v>
                </c:pt>
                <c:pt idx="61">
                  <c:v>10.75</c:v>
                </c:pt>
                <c:pt idx="62">
                  <c:v>11.166666666666666</c:v>
                </c:pt>
                <c:pt idx="63">
                  <c:v>11.333333333333334</c:v>
                </c:pt>
                <c:pt idx="64">
                  <c:v>11.833333333333334</c:v>
                </c:pt>
                <c:pt idx="65">
                  <c:v>12</c:v>
                </c:pt>
                <c:pt idx="66">
                  <c:v>12</c:v>
                </c:pt>
                <c:pt idx="67">
                  <c:v>12.5</c:v>
                </c:pt>
                <c:pt idx="68">
                  <c:v>12.583333333333334</c:v>
                </c:pt>
                <c:pt idx="69">
                  <c:v>12.666666666666666</c:v>
                </c:pt>
                <c:pt idx="70">
                  <c:v>13.083333333333334</c:v>
                </c:pt>
                <c:pt idx="71">
                  <c:v>13.083333333333334</c:v>
                </c:pt>
              </c:numCache>
            </c:numRef>
          </c:cat>
          <c:val>
            <c:numRef>
              <c:f>Graphique_interactif_Param!$CV$97:$CV$168</c:f>
              <c:numCache>
                <c:formatCode>General</c:formatCode>
                <c:ptCount val="72"/>
                <c:pt idx="0">
                  <c:v>0.85504357871201686</c:v>
                </c:pt>
                <c:pt idx="1">
                  <c:v>#N/A</c:v>
                </c:pt>
                <c:pt idx="2">
                  <c:v>0.16186602353004642</c:v>
                </c:pt>
                <c:pt idx="3">
                  <c:v>0.18650400211136656</c:v>
                </c:pt>
                <c:pt idx="4">
                  <c:v>0</c:v>
                </c:pt>
                <c:pt idx="5">
                  <c:v>#N/A</c:v>
                </c:pt>
                <c:pt idx="6">
                  <c:v>0</c:v>
                </c:pt>
                <c:pt idx="7">
                  <c:v>5.8032373711002873E-2</c:v>
                </c:pt>
                <c:pt idx="8">
                  <c:v>0</c:v>
                </c:pt>
                <c:pt idx="9">
                  <c:v>#N/A</c:v>
                </c:pt>
                <c:pt idx="10">
                  <c:v>0.44912722639906738</c:v>
                </c:pt>
                <c:pt idx="11">
                  <c:v>#N/A</c:v>
                </c:pt>
                <c:pt idx="12">
                  <c:v>0.2954375324805637</c:v>
                </c:pt>
                <c:pt idx="13">
                  <c:v>4.2123009200445621E-2</c:v>
                </c:pt>
                <c:pt idx="14">
                  <c:v>0.48929277762948753</c:v>
                </c:pt>
                <c:pt idx="15">
                  <c:v>#N/A</c:v>
                </c:pt>
                <c:pt idx="16">
                  <c:v>0.8505976116989713</c:v>
                </c:pt>
                <c:pt idx="17">
                  <c:v>0.84718428986506089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0.19239374810772811</c:v>
                </c:pt>
                <c:pt idx="22">
                  <c:v>#N/A</c:v>
                </c:pt>
                <c:pt idx="23">
                  <c:v>0.19900374216576147</c:v>
                </c:pt>
                <c:pt idx="24">
                  <c:v>#N/A</c:v>
                </c:pt>
                <c:pt idx="25">
                  <c:v>3.7406507572925601E-2</c:v>
                </c:pt>
                <c:pt idx="26">
                  <c:v>#N/A</c:v>
                </c:pt>
                <c:pt idx="27">
                  <c:v>#N/A</c:v>
                </c:pt>
                <c:pt idx="28">
                  <c:v>0.22463225212753399</c:v>
                </c:pt>
                <c:pt idx="29">
                  <c:v>0.3323361883137298</c:v>
                </c:pt>
                <c:pt idx="30">
                  <c:v>0.2614118625291656</c:v>
                </c:pt>
                <c:pt idx="31">
                  <c:v>0.12468768917638502</c:v>
                </c:pt>
                <c:pt idx="32">
                  <c:v>#N/A</c:v>
                </c:pt>
                <c:pt idx="33">
                  <c:v>0.65314535553582809</c:v>
                </c:pt>
                <c:pt idx="34">
                  <c:v>#N/A</c:v>
                </c:pt>
                <c:pt idx="35">
                  <c:v>#N/A</c:v>
                </c:pt>
                <c:pt idx="36">
                  <c:v>0.56596308710707222</c:v>
                </c:pt>
                <c:pt idx="37">
                  <c:v>6.2096373571783409E-2</c:v>
                </c:pt>
                <c:pt idx="38">
                  <c:v>0.8916827765378087</c:v>
                </c:pt>
                <c:pt idx="39">
                  <c:v>0.45642424449027774</c:v>
                </c:pt>
                <c:pt idx="40">
                  <c:v>0.22867831803319461</c:v>
                </c:pt>
                <c:pt idx="41">
                  <c:v>#N/A</c:v>
                </c:pt>
                <c:pt idx="42">
                  <c:v>0</c:v>
                </c:pt>
                <c:pt idx="43">
                  <c:v>#N/A</c:v>
                </c:pt>
                <c:pt idx="44">
                  <c:v>0.53271728676634955</c:v>
                </c:pt>
                <c:pt idx="45">
                  <c:v>#N/A</c:v>
                </c:pt>
                <c:pt idx="46">
                  <c:v>0.35987103298779516</c:v>
                </c:pt>
                <c:pt idx="47">
                  <c:v>#N/A</c:v>
                </c:pt>
                <c:pt idx="48">
                  <c:v>0.36080678798762927</c:v>
                </c:pt>
                <c:pt idx="49">
                  <c:v>#N/A</c:v>
                </c:pt>
                <c:pt idx="50">
                  <c:v>0.48869570589954064</c:v>
                </c:pt>
                <c:pt idx="51">
                  <c:v>0.24900393953836297</c:v>
                </c:pt>
                <c:pt idx="52">
                  <c:v>0</c:v>
                </c:pt>
                <c:pt idx="53">
                  <c:v>4.9726575361087745E-2</c:v>
                </c:pt>
                <c:pt idx="54">
                  <c:v>0.20268972661302059</c:v>
                </c:pt>
                <c:pt idx="55">
                  <c:v>0.39775851060860185</c:v>
                </c:pt>
                <c:pt idx="56">
                  <c:v>0.80478087483174299</c:v>
                </c:pt>
                <c:pt idx="57">
                  <c:v>0.20328842708585745</c:v>
                </c:pt>
                <c:pt idx="58">
                  <c:v>0.45754123096683635</c:v>
                </c:pt>
                <c:pt idx="59">
                  <c:v>#N/A</c:v>
                </c:pt>
                <c:pt idx="60">
                  <c:v>0</c:v>
                </c:pt>
                <c:pt idx="61">
                  <c:v>#N/A</c:v>
                </c:pt>
                <c:pt idx="62">
                  <c:v>0.24900398406374502</c:v>
                </c:pt>
                <c:pt idx="63">
                  <c:v>0</c:v>
                </c:pt>
                <c:pt idx="64">
                  <c:v>#N/A</c:v>
                </c:pt>
                <c:pt idx="65">
                  <c:v>0</c:v>
                </c:pt>
                <c:pt idx="66">
                  <c:v>9.1384463796050724E-2</c:v>
                </c:pt>
                <c:pt idx="67">
                  <c:v>0.56137724550898205</c:v>
                </c:pt>
                <c:pt idx="68">
                  <c:v>#N/A</c:v>
                </c:pt>
                <c:pt idx="69">
                  <c:v>2.9198897875601853E-2</c:v>
                </c:pt>
                <c:pt idx="70">
                  <c:v>0</c:v>
                </c:pt>
                <c:pt idx="71">
                  <c:v>0.62303663434252243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9-4FD0-AB65-349E80D34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1891469904"/>
        <c:axId val="1891470736"/>
      </c:lineChart>
      <c:catAx>
        <c:axId val="189146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(ANS)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1470736"/>
        <c:crosses val="autoZero"/>
        <c:auto val="1"/>
        <c:lblAlgn val="ctr"/>
        <c:lblOffset val="100"/>
        <c:noMultiLvlLbl val="0"/>
      </c:catAx>
      <c:valAx>
        <c:axId val="189147073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14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DT Vs TSA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Ecart Moyennes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Graphique_Interactif_All_Param!$B$210:$B$228</c:f>
              <c:strCache>
                <c:ptCount val="19"/>
                <c:pt idx="0">
                  <c:v>TTT</c:v>
                </c:pt>
                <c:pt idx="1">
                  <c:v>TPE</c:v>
                </c:pt>
                <c:pt idx="2">
                  <c:v>TFE</c:v>
                </c:pt>
                <c:pt idx="3">
                  <c:v>NBFE</c:v>
                </c:pt>
                <c:pt idx="4">
                  <c:v>TPT</c:v>
                </c:pt>
                <c:pt idx="5">
                  <c:v>TFT</c:v>
                </c:pt>
                <c:pt idx="6">
                  <c:v>NBFT</c:v>
                </c:pt>
                <c:pt idx="7">
                  <c:v>NBEZT</c:v>
                </c:pt>
                <c:pt idx="8">
                  <c:v>LatT</c:v>
                </c:pt>
                <c:pt idx="9">
                  <c:v>TPY</c:v>
                </c:pt>
                <c:pt idx="10">
                  <c:v>TFY</c:v>
                </c:pt>
                <c:pt idx="11">
                  <c:v>NBFY</c:v>
                </c:pt>
                <c:pt idx="12">
                  <c:v>NBEZY</c:v>
                </c:pt>
                <c:pt idx="13">
                  <c:v>LatY</c:v>
                </c:pt>
                <c:pt idx="14">
                  <c:v>TPB</c:v>
                </c:pt>
                <c:pt idx="15">
                  <c:v>TFB</c:v>
                </c:pt>
                <c:pt idx="16">
                  <c:v>NBFB</c:v>
                </c:pt>
                <c:pt idx="17">
                  <c:v>NBEZB</c:v>
                </c:pt>
                <c:pt idx="18">
                  <c:v>LatB</c:v>
                </c:pt>
              </c:strCache>
            </c:strRef>
          </c:cat>
          <c:val>
            <c:numRef>
              <c:f>Graphique_Interactif_All_Param!$C$210:$C$228</c:f>
              <c:numCache>
                <c:formatCode>0.00</c:formatCode>
                <c:ptCount val="19"/>
                <c:pt idx="0">
                  <c:v>0.84063954329276491</c:v>
                </c:pt>
                <c:pt idx="1">
                  <c:v>2.0671287345289224</c:v>
                </c:pt>
                <c:pt idx="2">
                  <c:v>13.431948903738554</c:v>
                </c:pt>
                <c:pt idx="3">
                  <c:v>10.638102023883778</c:v>
                </c:pt>
                <c:pt idx="4">
                  <c:v>1.1080547946482167</c:v>
                </c:pt>
                <c:pt idx="5">
                  <c:v>13.980158888963546</c:v>
                </c:pt>
                <c:pt idx="6">
                  <c:v>9.9740855530008545</c:v>
                </c:pt>
                <c:pt idx="7">
                  <c:v>53.7140727863761</c:v>
                </c:pt>
                <c:pt idx="8">
                  <c:v>25.235640594388553</c:v>
                </c:pt>
                <c:pt idx="9">
                  <c:v>36.196701795079257</c:v>
                </c:pt>
                <c:pt idx="10">
                  <c:v>37.024735037450775</c:v>
                </c:pt>
                <c:pt idx="11">
                  <c:v>22.18717006477473</c:v>
                </c:pt>
                <c:pt idx="12">
                  <c:v>72.495586260140215</c:v>
                </c:pt>
                <c:pt idx="13">
                  <c:v>68.101108619685817</c:v>
                </c:pt>
                <c:pt idx="14">
                  <c:v>72.587547533409463</c:v>
                </c:pt>
                <c:pt idx="15">
                  <c:v>96.868799950035296</c:v>
                </c:pt>
                <c:pt idx="16">
                  <c:v>66.748710775098758</c:v>
                </c:pt>
                <c:pt idx="17">
                  <c:v>86.625083593807943</c:v>
                </c:pt>
                <c:pt idx="18">
                  <c:v>17.719120891773088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C-4D80-A90C-E36567A3B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169856"/>
        <c:axId val="1616169024"/>
      </c:barChart>
      <c:lineChart>
        <c:grouping val="standard"/>
        <c:varyColors val="0"/>
        <c:ser>
          <c:idx val="1"/>
          <c:order val="1"/>
          <c:tx>
            <c:v>P-Value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Graphique_Interactif_All_Param!$D$210:$D$228</c:f>
              <c:numCache>
                <c:formatCode>0.00</c:formatCode>
                <c:ptCount val="19"/>
                <c:pt idx="0">
                  <c:v>0.30972651406969554</c:v>
                </c:pt>
                <c:pt idx="1">
                  <c:v>8.2168738911590114E-2</c:v>
                </c:pt>
                <c:pt idx="2">
                  <c:v>5.0856811528467535E-2</c:v>
                </c:pt>
                <c:pt idx="3">
                  <c:v>0.10904766747906582</c:v>
                </c:pt>
                <c:pt idx="4">
                  <c:v>0.36404348204034209</c:v>
                </c:pt>
                <c:pt idx="5">
                  <c:v>4.9538597677758409E-2</c:v>
                </c:pt>
                <c:pt idx="6">
                  <c:v>0.12591671561515824</c:v>
                </c:pt>
                <c:pt idx="7">
                  <c:v>0.17229035121450165</c:v>
                </c:pt>
                <c:pt idx="8">
                  <c:v>0.25669909265943702</c:v>
                </c:pt>
                <c:pt idx="9">
                  <c:v>4.1681483801224363E-2</c:v>
                </c:pt>
                <c:pt idx="10">
                  <c:v>4.1694402605803572E-2</c:v>
                </c:pt>
                <c:pt idx="11">
                  <c:v>0.10623976724477786</c:v>
                </c:pt>
                <c:pt idx="12">
                  <c:v>1.1514254064903877E-2</c:v>
                </c:pt>
                <c:pt idx="13">
                  <c:v>1.5690521310108715E-2</c:v>
                </c:pt>
                <c:pt idx="14">
                  <c:v>0.1221680944601342</c:v>
                </c:pt>
                <c:pt idx="15">
                  <c:v>0.10038875266297911</c:v>
                </c:pt>
                <c:pt idx="16">
                  <c:v>0.14788338107267657</c:v>
                </c:pt>
                <c:pt idx="17">
                  <c:v>3.7924469607896354E-2</c:v>
                </c:pt>
                <c:pt idx="18">
                  <c:v>2.4208463245810549E-2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C-4D80-A90C-E36567A3B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182752"/>
        <c:axId val="1616175264"/>
      </c:lineChart>
      <c:valAx>
        <c:axId val="16161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% Ecart des Moyennes DT et TSA</a:t>
                </a:r>
              </a:p>
            </c:rich>
          </c:tx>
          <c:layout>
            <c:manualLayout>
              <c:xMode val="edge"/>
              <c:yMode val="edge"/>
              <c:x val="2.9255319148936171E-2"/>
              <c:y val="0.11258373205741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169856"/>
        <c:crosses val="autoZero"/>
        <c:crossBetween val="between"/>
      </c:valAx>
      <c:catAx>
        <c:axId val="161616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Paramètres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169024"/>
        <c:crosses val="autoZero"/>
        <c:auto val="1"/>
        <c:lblAlgn val="ctr"/>
        <c:lblOffset val="100"/>
        <c:noMultiLvlLbl val="0"/>
      </c:catAx>
      <c:valAx>
        <c:axId val="161617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p-value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accent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182752"/>
        <c:crosses val="max"/>
        <c:crossBetween val="between"/>
      </c:valAx>
      <c:catAx>
        <c:axId val="16161827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616175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2-13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2-7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_xlchart.v1.4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7-13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2-13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2-7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_xlchart.v1.10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fr-FR"/>
              <a:t>Boxplot 7-13 ans</a:t>
            </a:r>
          </a:p>
        </cx:rich>
      </cx:tx>
    </cx:title>
    <cx:plotArea>
      <cx:plotAreaRegion>
        <cx:series layoutId="boxWhisker" uniqueId="{8C525181-7F0F-43A2-A9F5-C094621269C0}">
          <cx:tx>
            <cx:txData>
              <cx:v>DT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D8C-4549-86BF-11CD66C41EFE}">
          <cx:tx>
            <cx:txData>
              <cx:v>TSA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5"/>
        <cx:majorGridlines/>
        <cx:tickLabels/>
      </cx:axis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 rot="0" vert="horz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Lines="4" dropStyle="combo" dx="16" fmlaLink="$DF$6" fmlaRange="$CX$6:$CX$9" sel="3" val="0"/>
</file>

<file path=xl/ctrlProps/ctrlProp2.xml><?xml version="1.0" encoding="utf-8"?>
<formControlPr xmlns="http://schemas.microsoft.com/office/spreadsheetml/2009/9/main" objectType="Drop" dropLines="4" dropStyle="combo" dx="16" fmlaLink="$DF$9" fmlaRange="$CX$12:$CX$15" sel="3" val="0"/>
</file>

<file path=xl/ctrlProps/ctrlProp3.xml><?xml version="1.0" encoding="utf-8"?>
<formControlPr xmlns="http://schemas.microsoft.com/office/spreadsheetml/2009/9/main" objectType="Drop" dropLines="6" dropStyle="combo" dx="16" fmlaLink="$DF$12" fmlaRange="$CX$18:$CX$23" sel="3" val="0"/>
</file>

<file path=xl/ctrlProps/ctrlProp4.xml><?xml version="1.0" encoding="utf-8"?>
<formControlPr xmlns="http://schemas.microsoft.com/office/spreadsheetml/2009/9/main" objectType="Drop" dropLines="4" dropStyle="combo" dx="16" fmlaLink="$DF$6" fmlaRange="$CX$6:$CX$9" sel="4" val="0"/>
</file>

<file path=xl/ctrlProps/ctrlProp5.xml><?xml version="1.0" encoding="utf-8"?>
<formControlPr xmlns="http://schemas.microsoft.com/office/spreadsheetml/2009/9/main" objectType="Drop" dropLines="4" dropStyle="combo" dx="16" fmlaLink="$DF$9" fmlaRange="$CX$12:$CX$15" sel="4" val="0"/>
</file>

<file path=xl/ctrlProps/ctrlProp6.xml><?xml version="1.0" encoding="utf-8"?>
<formControlPr xmlns="http://schemas.microsoft.com/office/spreadsheetml/2009/9/main" objectType="Drop" dropLines="6" dropStyle="combo" dx="16" fmlaLink="$DF$12" fmlaRange="$CX$18:$CX$23" sel="6" val="0"/>
</file>

<file path=xl/ctrlProps/ctrlProp7.xml><?xml version="1.0" encoding="utf-8"?>
<formControlPr xmlns="http://schemas.microsoft.com/office/spreadsheetml/2009/9/main" objectType="Drop" dropLines="3" dropStyle="combo" dx="16" fmlaLink="$G$225" fmlaRange="$A$237:$A$239" sel="2" val="0"/>
</file>

<file path=xl/ctrlProps/ctrlProp8.xml><?xml version="1.0" encoding="utf-8"?>
<formControlPr xmlns="http://schemas.microsoft.com/office/spreadsheetml/2009/9/main" objectType="Drop" dropLines="4" dropStyle="combo" dx="16" fmlaLink="$G$228" fmlaRange="$A$232:$A$235" sel="1" val="0"/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image" Target="../media/image3.jpeg"/><Relationship Id="rId7" Type="http://schemas.microsoft.com/office/2014/relationships/chartEx" Target="../charts/chartEx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jpeg"/><Relationship Id="rId9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5.xml"/><Relationship Id="rId3" Type="http://schemas.openxmlformats.org/officeDocument/2006/relationships/image" Target="../media/image7.jpeg"/><Relationship Id="rId7" Type="http://schemas.microsoft.com/office/2014/relationships/chartEx" Target="../charts/chartEx4.xml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5.xml"/><Relationship Id="rId4" Type="http://schemas.openxmlformats.org/officeDocument/2006/relationships/image" Target="../media/image8.jpeg"/><Relationship Id="rId9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28576</xdr:colOff>
      <xdr:row>4</xdr:row>
      <xdr:rowOff>133351</xdr:rowOff>
    </xdr:from>
    <xdr:to>
      <xdr:col>102</xdr:col>
      <xdr:colOff>988576</xdr:colOff>
      <xdr:row>8</xdr:row>
      <xdr:rowOff>91351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56301" y="942976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28575</xdr:colOff>
      <xdr:row>10</xdr:row>
      <xdr:rowOff>152400</xdr:rowOff>
    </xdr:from>
    <xdr:to>
      <xdr:col>102</xdr:col>
      <xdr:colOff>988575</xdr:colOff>
      <xdr:row>14</xdr:row>
      <xdr:rowOff>100875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56300" y="2105025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66675</xdr:colOff>
      <xdr:row>16</xdr:row>
      <xdr:rowOff>123825</xdr:rowOff>
    </xdr:from>
    <xdr:to>
      <xdr:col>102</xdr:col>
      <xdr:colOff>1026675</xdr:colOff>
      <xdr:row>20</xdr:row>
      <xdr:rowOff>81825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94400" y="3219450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57150</xdr:colOff>
      <xdr:row>22</xdr:row>
      <xdr:rowOff>104775</xdr:rowOff>
    </xdr:from>
    <xdr:to>
      <xdr:col>102</xdr:col>
      <xdr:colOff>1017150</xdr:colOff>
      <xdr:row>26</xdr:row>
      <xdr:rowOff>62775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84875" y="4343400"/>
          <a:ext cx="960000" cy="72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838200</xdr:colOff>
          <xdr:row>3</xdr:row>
          <xdr:rowOff>184150</xdr:rowOff>
        </xdr:from>
        <xdr:to>
          <xdr:col>110</xdr:col>
          <xdr:colOff>12700</xdr:colOff>
          <xdr:row>5</xdr:row>
          <xdr:rowOff>19050</xdr:rowOff>
        </xdr:to>
        <xdr:sp macro="" textlink="">
          <xdr:nvSpPr>
            <xdr:cNvPr id="5130" name="Drop Down 10" descr="Visages Stims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850900</xdr:colOff>
          <xdr:row>7</xdr:row>
          <xdr:rowOff>0</xdr:rowOff>
        </xdr:from>
        <xdr:to>
          <xdr:col>110</xdr:col>
          <xdr:colOff>0</xdr:colOff>
          <xdr:row>8</xdr:row>
          <xdr:rowOff>0</xdr:rowOff>
        </xdr:to>
        <xdr:sp macro="" textlink="">
          <xdr:nvSpPr>
            <xdr:cNvPr id="5133" name="Drop Down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869950</xdr:colOff>
          <xdr:row>10</xdr:row>
          <xdr:rowOff>0</xdr:rowOff>
        </xdr:from>
        <xdr:to>
          <xdr:col>110</xdr:col>
          <xdr:colOff>0</xdr:colOff>
          <xdr:row>11</xdr:row>
          <xdr:rowOff>0</xdr:rowOff>
        </xdr:to>
        <xdr:sp macro="" textlink="">
          <xdr:nvSpPr>
            <xdr:cNvPr id="5134" name="Drop Down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111</xdr:col>
      <xdr:colOff>247650</xdr:colOff>
      <xdr:row>1</xdr:row>
      <xdr:rowOff>9525</xdr:rowOff>
    </xdr:from>
    <xdr:to>
      <xdr:col>115</xdr:col>
      <xdr:colOff>628650</xdr:colOff>
      <xdr:row>15</xdr:row>
      <xdr:rowOff>38100</xdr:rowOff>
    </xdr:to>
    <xdr:graphicFrame macro="">
      <xdr:nvGraphicFramePr>
        <xdr:cNvPr id="16" name="Graphique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111</xdr:col>
      <xdr:colOff>257175</xdr:colOff>
      <xdr:row>15</xdr:row>
      <xdr:rowOff>142875</xdr:rowOff>
    </xdr:from>
    <xdr:to>
      <xdr:col>115</xdr:col>
      <xdr:colOff>638175</xdr:colOff>
      <xdr:row>30</xdr:row>
      <xdr:rowOff>28575</xdr:rowOff>
    </xdr:to>
    <xdr:graphicFrame macro="">
      <xdr:nvGraphicFramePr>
        <xdr:cNvPr id="17" name="Graphique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116</xdr:col>
      <xdr:colOff>19050</xdr:colOff>
      <xdr:row>1</xdr:row>
      <xdr:rowOff>171451</xdr:rowOff>
    </xdr:from>
    <xdr:to>
      <xdr:col>118</xdr:col>
      <xdr:colOff>866775</xdr:colOff>
      <xdr:row>14</xdr:row>
      <xdr:rowOff>180976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108</xdr:col>
      <xdr:colOff>171450</xdr:colOff>
      <xdr:row>16</xdr:row>
      <xdr:rowOff>9524</xdr:rowOff>
    </xdr:from>
    <xdr:to>
      <xdr:col>111</xdr:col>
      <xdr:colOff>119064</xdr:colOff>
      <xdr:row>27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aphique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116</xdr:col>
      <xdr:colOff>9526</xdr:colOff>
      <xdr:row>16</xdr:row>
      <xdr:rowOff>0</xdr:rowOff>
    </xdr:from>
    <xdr:to>
      <xdr:col>118</xdr:col>
      <xdr:colOff>876300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phique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28576</xdr:colOff>
      <xdr:row>4</xdr:row>
      <xdr:rowOff>133351</xdr:rowOff>
    </xdr:from>
    <xdr:to>
      <xdr:col>103</xdr:col>
      <xdr:colOff>226576</xdr:colOff>
      <xdr:row>8</xdr:row>
      <xdr:rowOff>91351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1" y="942976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28575</xdr:colOff>
      <xdr:row>10</xdr:row>
      <xdr:rowOff>152400</xdr:rowOff>
    </xdr:from>
    <xdr:to>
      <xdr:col>103</xdr:col>
      <xdr:colOff>226575</xdr:colOff>
      <xdr:row>14</xdr:row>
      <xdr:rowOff>110400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0" y="2105025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66675</xdr:colOff>
      <xdr:row>16</xdr:row>
      <xdr:rowOff>123825</xdr:rowOff>
    </xdr:from>
    <xdr:to>
      <xdr:col>103</xdr:col>
      <xdr:colOff>264675</xdr:colOff>
      <xdr:row>20</xdr:row>
      <xdr:rowOff>81825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94600" y="3228975"/>
          <a:ext cx="960000" cy="720000"/>
        </a:xfrm>
        <a:prstGeom prst="rect">
          <a:avLst/>
        </a:prstGeom>
      </xdr:spPr>
    </xdr:pic>
    <xdr:clientData/>
  </xdr:twoCellAnchor>
  <xdr:twoCellAnchor editAs="oneCell">
    <xdr:from>
      <xdr:col>102</xdr:col>
      <xdr:colOff>57150</xdr:colOff>
      <xdr:row>22</xdr:row>
      <xdr:rowOff>104775</xdr:rowOff>
    </xdr:from>
    <xdr:to>
      <xdr:col>103</xdr:col>
      <xdr:colOff>255150</xdr:colOff>
      <xdr:row>26</xdr:row>
      <xdr:rowOff>62775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5075" y="4352925"/>
          <a:ext cx="960000" cy="72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838200</xdr:colOff>
          <xdr:row>3</xdr:row>
          <xdr:rowOff>184150</xdr:rowOff>
        </xdr:from>
        <xdr:to>
          <xdr:col>110</xdr:col>
          <xdr:colOff>508000</xdr:colOff>
          <xdr:row>5</xdr:row>
          <xdr:rowOff>19050</xdr:rowOff>
        </xdr:to>
        <xdr:sp macro="" textlink="">
          <xdr:nvSpPr>
            <xdr:cNvPr id="9217" name="Drop Down 1" descr="Visages Stims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850900</xdr:colOff>
          <xdr:row>7</xdr:row>
          <xdr:rowOff>0</xdr:rowOff>
        </xdr:from>
        <xdr:to>
          <xdr:col>110</xdr:col>
          <xdr:colOff>488950</xdr:colOff>
          <xdr:row>8</xdr:row>
          <xdr:rowOff>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108</xdr:col>
          <xdr:colOff>869950</xdr:colOff>
          <xdr:row>10</xdr:row>
          <xdr:rowOff>0</xdr:rowOff>
        </xdr:from>
        <xdr:to>
          <xdr:col>110</xdr:col>
          <xdr:colOff>469900</xdr:colOff>
          <xdr:row>11</xdr:row>
          <xdr:rowOff>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111</xdr:col>
      <xdr:colOff>247650</xdr:colOff>
      <xdr:row>1</xdr:row>
      <xdr:rowOff>9525</xdr:rowOff>
    </xdr:from>
    <xdr:to>
      <xdr:col>115</xdr:col>
      <xdr:colOff>628650</xdr:colOff>
      <xdr:row>15</xdr:row>
      <xdr:rowOff>38100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111</xdr:col>
      <xdr:colOff>257175</xdr:colOff>
      <xdr:row>15</xdr:row>
      <xdr:rowOff>142875</xdr:rowOff>
    </xdr:from>
    <xdr:to>
      <xdr:col>115</xdr:col>
      <xdr:colOff>638175</xdr:colOff>
      <xdr:row>30</xdr:row>
      <xdr:rowOff>28575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116</xdr:col>
      <xdr:colOff>19050</xdr:colOff>
      <xdr:row>1</xdr:row>
      <xdr:rowOff>171451</xdr:rowOff>
    </xdr:from>
    <xdr:to>
      <xdr:col>118</xdr:col>
      <xdr:colOff>866775</xdr:colOff>
      <xdr:row>14</xdr:row>
      <xdr:rowOff>180976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aphique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108</xdr:col>
      <xdr:colOff>171450</xdr:colOff>
      <xdr:row>16</xdr:row>
      <xdr:rowOff>9524</xdr:rowOff>
    </xdr:from>
    <xdr:to>
      <xdr:col>111</xdr:col>
      <xdr:colOff>119064</xdr:colOff>
      <xdr:row>27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aphique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116</xdr:col>
      <xdr:colOff>9526</xdr:colOff>
      <xdr:row>16</xdr:row>
      <xdr:rowOff>0</xdr:rowOff>
    </xdr:from>
    <xdr:to>
      <xdr:col>118</xdr:col>
      <xdr:colOff>876300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aphique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5</xdr:col>
      <xdr:colOff>242887</xdr:colOff>
      <xdr:row>207</xdr:row>
      <xdr:rowOff>71437</xdr:rowOff>
    </xdr:from>
    <xdr:to>
      <xdr:col>9</xdr:col>
      <xdr:colOff>623887</xdr:colOff>
      <xdr:row>221</xdr:row>
      <xdr:rowOff>147637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679450</xdr:colOff>
          <xdr:row>224</xdr:row>
          <xdr:rowOff>0</xdr:rowOff>
        </xdr:from>
        <xdr:to>
          <xdr:col>6</xdr:col>
          <xdr:colOff>0</xdr:colOff>
          <xdr:row>225</xdr:row>
          <xdr:rowOff>12700</xdr:rowOff>
        </xdr:to>
        <xdr:sp macro="" textlink="">
          <xdr:nvSpPr>
            <xdr:cNvPr id="9220" name="Drop Dow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666750</xdr:colOff>
          <xdr:row>226</xdr:row>
          <xdr:rowOff>184150</xdr:rowOff>
        </xdr:from>
        <xdr:to>
          <xdr:col>6</xdr:col>
          <xdr:colOff>12700</xdr:colOff>
          <xdr:row>228</xdr:row>
          <xdr:rowOff>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67"/>
  <sheetViews>
    <sheetView workbookViewId="0">
      <selection activeCell="H7" sqref="H7"/>
    </sheetView>
  </sheetViews>
  <sheetFormatPr baseColWidth="10" defaultColWidth="15.7265625" defaultRowHeight="14.5" x14ac:dyDescent="0.35"/>
  <cols>
    <col min="1" max="1" width="25.54296875" style="6" customWidth="1"/>
    <col min="2" max="4" width="15.7265625" style="6"/>
    <col min="5" max="16384" width="15.7265625" style="7"/>
  </cols>
  <sheetData>
    <row r="1" spans="1:99" ht="15.5" thickTop="1" thickBot="1" x14ac:dyDescent="0.4">
      <c r="A1" s="56" t="s">
        <v>246</v>
      </c>
      <c r="B1" s="56"/>
      <c r="C1" s="56"/>
      <c r="D1" s="56"/>
      <c r="F1" s="57" t="s">
        <v>407</v>
      </c>
      <c r="G1" s="57"/>
      <c r="H1" s="57"/>
      <c r="I1" s="57"/>
      <c r="K1" s="58" t="s">
        <v>247</v>
      </c>
      <c r="L1" s="59"/>
      <c r="M1" s="59"/>
      <c r="N1" s="60"/>
      <c r="P1" s="58" t="s">
        <v>248</v>
      </c>
      <c r="Q1" s="59"/>
      <c r="R1" s="59"/>
      <c r="S1" s="60"/>
      <c r="U1" s="58" t="s">
        <v>249</v>
      </c>
      <c r="V1" s="59"/>
      <c r="W1" s="59"/>
      <c r="X1" s="60"/>
      <c r="Z1" s="53" t="s">
        <v>250</v>
      </c>
      <c r="AA1" s="54"/>
      <c r="AB1" s="54"/>
      <c r="AC1" s="55"/>
      <c r="AE1" s="53" t="s">
        <v>251</v>
      </c>
      <c r="AF1" s="54"/>
      <c r="AG1" s="54"/>
      <c r="AH1" s="55"/>
      <c r="AJ1" s="53" t="s">
        <v>252</v>
      </c>
      <c r="AK1" s="54"/>
      <c r="AL1" s="54"/>
      <c r="AM1" s="55"/>
      <c r="AO1" s="53" t="s">
        <v>253</v>
      </c>
      <c r="AP1" s="54"/>
      <c r="AQ1" s="54"/>
      <c r="AR1" s="55"/>
      <c r="AT1" s="53" t="s">
        <v>254</v>
      </c>
      <c r="AU1" s="54"/>
      <c r="AV1" s="54"/>
      <c r="AW1" s="55"/>
      <c r="AY1" s="61" t="s">
        <v>255</v>
      </c>
      <c r="AZ1" s="62"/>
      <c r="BA1" s="62"/>
      <c r="BB1" s="63"/>
      <c r="BD1" s="61" t="s">
        <v>256</v>
      </c>
      <c r="BE1" s="62"/>
      <c r="BF1" s="62"/>
      <c r="BG1" s="63"/>
      <c r="BI1" s="61" t="s">
        <v>257</v>
      </c>
      <c r="BJ1" s="62"/>
      <c r="BK1" s="62"/>
      <c r="BL1" s="63"/>
      <c r="BN1" s="61" t="s">
        <v>258</v>
      </c>
      <c r="BO1" s="62"/>
      <c r="BP1" s="62"/>
      <c r="BQ1" s="63"/>
      <c r="BS1" s="61" t="s">
        <v>259</v>
      </c>
      <c r="BT1" s="62"/>
      <c r="BU1" s="62"/>
      <c r="BV1" s="63"/>
      <c r="BX1" s="64" t="s">
        <v>260</v>
      </c>
      <c r="BY1" s="65"/>
      <c r="BZ1" s="65"/>
      <c r="CA1" s="66"/>
      <c r="CC1" s="64" t="s">
        <v>261</v>
      </c>
      <c r="CD1" s="65"/>
      <c r="CE1" s="65"/>
      <c r="CF1" s="66"/>
      <c r="CH1" s="64" t="s">
        <v>262</v>
      </c>
      <c r="CI1" s="65"/>
      <c r="CJ1" s="65"/>
      <c r="CK1" s="66"/>
      <c r="CM1" s="64" t="s">
        <v>263</v>
      </c>
      <c r="CN1" s="65"/>
      <c r="CO1" s="65"/>
      <c r="CP1" s="66"/>
      <c r="CR1" s="64" t="s">
        <v>264</v>
      </c>
      <c r="CS1" s="65"/>
      <c r="CT1" s="65"/>
      <c r="CU1" s="66"/>
    </row>
    <row r="2" spans="1:99" s="1" customFormat="1" ht="15" thickTop="1" x14ac:dyDescent="0.35">
      <c r="A2" s="1" t="s">
        <v>0</v>
      </c>
      <c r="B2" s="1" t="s">
        <v>265</v>
      </c>
      <c r="C2" s="1" t="s">
        <v>166</v>
      </c>
      <c r="D2" s="1" t="s">
        <v>169</v>
      </c>
      <c r="F2" s="1" t="s">
        <v>170</v>
      </c>
      <c r="G2" s="1" t="s">
        <v>171</v>
      </c>
      <c r="H2" s="1" t="s">
        <v>172</v>
      </c>
      <c r="I2" s="1" t="s">
        <v>173</v>
      </c>
      <c r="K2" s="1" t="s">
        <v>174</v>
      </c>
      <c r="L2" s="1" t="s">
        <v>175</v>
      </c>
      <c r="M2" s="1" t="s">
        <v>176</v>
      </c>
      <c r="N2" s="1" t="s">
        <v>177</v>
      </c>
      <c r="P2" s="1" t="s">
        <v>178</v>
      </c>
      <c r="Q2" s="1" t="s">
        <v>179</v>
      </c>
      <c r="R2" s="1" t="s">
        <v>180</v>
      </c>
      <c r="S2" s="1" t="s">
        <v>181</v>
      </c>
      <c r="U2" s="1" t="s">
        <v>182</v>
      </c>
      <c r="V2" s="1" t="s">
        <v>183</v>
      </c>
      <c r="W2" s="1" t="s">
        <v>184</v>
      </c>
      <c r="X2" s="1" t="s">
        <v>185</v>
      </c>
      <c r="Z2" s="1" t="s">
        <v>186</v>
      </c>
      <c r="AA2" s="1" t="s">
        <v>187</v>
      </c>
      <c r="AB2" s="1" t="s">
        <v>188</v>
      </c>
      <c r="AC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O2" s="1" t="s">
        <v>198</v>
      </c>
      <c r="AP2" s="1" t="s">
        <v>199</v>
      </c>
      <c r="AQ2" s="1" t="s">
        <v>200</v>
      </c>
      <c r="AR2" s="1" t="s">
        <v>201</v>
      </c>
      <c r="AT2" s="1" t="s">
        <v>202</v>
      </c>
      <c r="AU2" s="1" t="s">
        <v>203</v>
      </c>
      <c r="AV2" s="1" t="s">
        <v>204</v>
      </c>
      <c r="AW2" s="1" t="s">
        <v>205</v>
      </c>
      <c r="AY2" s="1" t="s">
        <v>206</v>
      </c>
      <c r="AZ2" s="1" t="s">
        <v>207</v>
      </c>
      <c r="BA2" s="1" t="s">
        <v>208</v>
      </c>
      <c r="BB2" s="1" t="s">
        <v>209</v>
      </c>
      <c r="BD2" s="1" t="s">
        <v>210</v>
      </c>
      <c r="BE2" s="1" t="s">
        <v>211</v>
      </c>
      <c r="BF2" s="1" t="s">
        <v>212</v>
      </c>
      <c r="BG2" s="1" t="s">
        <v>213</v>
      </c>
      <c r="BI2" s="1" t="s">
        <v>214</v>
      </c>
      <c r="BJ2" s="1" t="s">
        <v>215</v>
      </c>
      <c r="BK2" s="1" t="s">
        <v>216</v>
      </c>
      <c r="BL2" s="1" t="s">
        <v>217</v>
      </c>
      <c r="BN2" s="1" t="s">
        <v>218</v>
      </c>
      <c r="BO2" s="1" t="s">
        <v>219</v>
      </c>
      <c r="BP2" s="1" t="s">
        <v>220</v>
      </c>
      <c r="BQ2" s="1" t="s">
        <v>221</v>
      </c>
      <c r="BS2" s="1" t="s">
        <v>222</v>
      </c>
      <c r="BT2" s="1" t="s">
        <v>223</v>
      </c>
      <c r="BU2" s="1" t="s">
        <v>224</v>
      </c>
      <c r="BV2" s="1" t="s">
        <v>225</v>
      </c>
      <c r="BX2" s="1" t="s">
        <v>226</v>
      </c>
      <c r="BY2" s="1" t="s">
        <v>227</v>
      </c>
      <c r="BZ2" s="1" t="s">
        <v>228</v>
      </c>
      <c r="CA2" s="1" t="s">
        <v>229</v>
      </c>
      <c r="CC2" s="1" t="s">
        <v>230</v>
      </c>
      <c r="CD2" s="1" t="s">
        <v>231</v>
      </c>
      <c r="CE2" s="1" t="s">
        <v>232</v>
      </c>
      <c r="CF2" s="1" t="s">
        <v>233</v>
      </c>
      <c r="CH2" s="1" t="s">
        <v>234</v>
      </c>
      <c r="CI2" s="1" t="s">
        <v>235</v>
      </c>
      <c r="CJ2" s="1" t="s">
        <v>236</v>
      </c>
      <c r="CK2" s="1" t="s">
        <v>237</v>
      </c>
      <c r="CM2" s="1" t="s">
        <v>238</v>
      </c>
      <c r="CN2" s="1" t="s">
        <v>239</v>
      </c>
      <c r="CO2" s="1" t="s">
        <v>240</v>
      </c>
      <c r="CP2" s="1" t="s">
        <v>241</v>
      </c>
      <c r="CR2" s="1" t="s">
        <v>242</v>
      </c>
      <c r="CS2" s="1" t="s">
        <v>243</v>
      </c>
      <c r="CT2" s="1" t="s">
        <v>244</v>
      </c>
      <c r="CU2" s="1" t="s">
        <v>245</v>
      </c>
    </row>
    <row r="3" spans="1:99" s="3" customFormat="1" x14ac:dyDescent="0.35">
      <c r="A3" s="2" t="s">
        <v>1</v>
      </c>
      <c r="B3" s="2">
        <v>6.166666666666667</v>
      </c>
      <c r="C3" s="2" t="s">
        <v>167</v>
      </c>
      <c r="D3" s="2" t="s">
        <v>403</v>
      </c>
      <c r="F3" s="3">
        <v>2.746</v>
      </c>
      <c r="G3" s="3">
        <v>1000</v>
      </c>
      <c r="H3" s="3">
        <v>4.016</v>
      </c>
      <c r="I3" s="3">
        <v>4.0090000000000003</v>
      </c>
      <c r="K3" s="3">
        <v>2.7320000000000002</v>
      </c>
      <c r="L3" s="3">
        <v>1000</v>
      </c>
      <c r="M3" s="3">
        <v>3.9990000000000006</v>
      </c>
      <c r="N3" s="3">
        <v>3.9990000000000001</v>
      </c>
      <c r="P3" s="3">
        <v>2.2989997249096632</v>
      </c>
      <c r="Q3" s="3">
        <v>1000</v>
      </c>
      <c r="R3" s="3">
        <v>3.5659999588970095</v>
      </c>
      <c r="S3" s="3">
        <v>2.9839999303221703</v>
      </c>
      <c r="U3" s="3">
        <v>9</v>
      </c>
      <c r="V3" s="3">
        <v>1000</v>
      </c>
      <c r="W3" s="3">
        <v>14</v>
      </c>
      <c r="X3" s="3">
        <v>15</v>
      </c>
      <c r="Z3" s="3">
        <v>2.7320000000000002</v>
      </c>
      <c r="AA3" s="3">
        <v>1000</v>
      </c>
      <c r="AB3" s="3">
        <v>3.9990000000000006</v>
      </c>
      <c r="AC3" s="3">
        <v>3.7160000000000002</v>
      </c>
      <c r="AE3" s="3">
        <v>2.2989997249096632</v>
      </c>
      <c r="AF3" s="3">
        <v>1000</v>
      </c>
      <c r="AG3" s="3">
        <v>3.5659999588970095</v>
      </c>
      <c r="AH3" s="3">
        <v>2.9839999303221703</v>
      </c>
      <c r="AJ3" s="3">
        <v>9</v>
      </c>
      <c r="AK3" s="3">
        <v>1000</v>
      </c>
      <c r="AL3" s="3">
        <v>14</v>
      </c>
      <c r="AM3" s="3">
        <v>15</v>
      </c>
      <c r="AO3" s="3">
        <v>1</v>
      </c>
      <c r="AP3" s="3">
        <v>1000</v>
      </c>
      <c r="AQ3" s="3">
        <v>1</v>
      </c>
      <c r="AR3" s="3">
        <v>2</v>
      </c>
      <c r="AT3" s="3">
        <v>1.4000000432133675E-2</v>
      </c>
      <c r="AU3" s="3">
        <v>1000</v>
      </c>
      <c r="AV3" s="3">
        <v>2.0000000949949026E-3</v>
      </c>
      <c r="AW3" s="3">
        <v>2.6000000536441803E-2</v>
      </c>
      <c r="AY3" s="3">
        <v>0.9830000000000001</v>
      </c>
      <c r="AZ3" s="3">
        <v>1000</v>
      </c>
      <c r="BA3" s="3">
        <v>0.80099999999999949</v>
      </c>
      <c r="BB3" s="3">
        <v>2.0499999999999994</v>
      </c>
      <c r="BD3" s="3">
        <v>0.98399972915649414</v>
      </c>
      <c r="BE3" s="3">
        <v>1000</v>
      </c>
      <c r="BF3" s="3">
        <v>0.61599981784820557</v>
      </c>
      <c r="BG3" s="3">
        <v>1.9170000851154327</v>
      </c>
      <c r="BI3" s="3">
        <v>4</v>
      </c>
      <c r="BJ3" s="3">
        <v>1000</v>
      </c>
      <c r="BK3" s="3">
        <v>3</v>
      </c>
      <c r="BL3" s="3">
        <v>9</v>
      </c>
      <c r="BN3" s="3">
        <v>2</v>
      </c>
      <c r="BO3" s="3">
        <v>1000</v>
      </c>
      <c r="BP3" s="3">
        <v>5</v>
      </c>
      <c r="BQ3" s="3">
        <v>6</v>
      </c>
      <c r="BS3" s="3">
        <v>1.2460000514984131</v>
      </c>
      <c r="BT3" s="3">
        <v>1000</v>
      </c>
      <c r="BU3" s="3">
        <v>1.6019999980926514</v>
      </c>
      <c r="BV3" s="3">
        <v>0.35899999737739563</v>
      </c>
      <c r="BX3" s="3">
        <v>6.7000000000000004E-2</v>
      </c>
      <c r="BY3" s="3">
        <v>1000</v>
      </c>
      <c r="BZ3" s="3">
        <v>0</v>
      </c>
      <c r="CA3" s="3">
        <v>0</v>
      </c>
      <c r="CC3" s="3">
        <v>0</v>
      </c>
      <c r="CD3" s="3">
        <v>1000</v>
      </c>
      <c r="CE3" s="3">
        <v>0</v>
      </c>
      <c r="CF3" s="3">
        <v>0</v>
      </c>
      <c r="CH3" s="3">
        <v>0</v>
      </c>
      <c r="CI3" s="3">
        <v>1000</v>
      </c>
      <c r="CJ3" s="3">
        <v>0</v>
      </c>
      <c r="CK3" s="3">
        <v>0</v>
      </c>
      <c r="CM3" s="3">
        <v>3</v>
      </c>
      <c r="CN3" s="3">
        <v>1000</v>
      </c>
      <c r="CO3" s="3">
        <v>0</v>
      </c>
      <c r="CP3" s="3">
        <v>0</v>
      </c>
      <c r="CR3" s="3">
        <v>4.0149999999999997</v>
      </c>
      <c r="CS3" s="3">
        <v>1000</v>
      </c>
      <c r="CT3" s="3">
        <v>4.016</v>
      </c>
      <c r="CU3" s="3">
        <v>4.0090000000000003</v>
      </c>
    </row>
    <row r="4" spans="1:99" s="3" customFormat="1" x14ac:dyDescent="0.35">
      <c r="A4" s="2" t="s">
        <v>2</v>
      </c>
      <c r="B4" s="2">
        <v>10.083333333333334</v>
      </c>
      <c r="C4" s="2" t="s">
        <v>167</v>
      </c>
      <c r="D4" s="2" t="s">
        <v>403</v>
      </c>
      <c r="F4" s="3">
        <v>4.0149999999999997</v>
      </c>
      <c r="G4" s="3">
        <v>4.016</v>
      </c>
      <c r="H4" s="3">
        <v>4.016</v>
      </c>
      <c r="I4" s="3">
        <v>4.016</v>
      </c>
      <c r="K4" s="3">
        <v>3.9999999999999996</v>
      </c>
      <c r="L4" s="3">
        <v>4</v>
      </c>
      <c r="M4" s="3">
        <v>3.7499999999999996</v>
      </c>
      <c r="N4" s="3">
        <v>3.3010000000000002</v>
      </c>
      <c r="P4" s="3">
        <v>2.2000003457069397</v>
      </c>
      <c r="Q4" s="3">
        <v>2.5330002158880234</v>
      </c>
      <c r="R4" s="3">
        <v>3.6310006007552147</v>
      </c>
      <c r="S4" s="3">
        <v>2.4839994171634316</v>
      </c>
      <c r="U4" s="3">
        <v>11</v>
      </c>
      <c r="V4" s="3">
        <v>15</v>
      </c>
      <c r="W4" s="3">
        <v>12</v>
      </c>
      <c r="X4" s="3">
        <v>8</v>
      </c>
      <c r="Z4" s="3">
        <v>0.85099999999999931</v>
      </c>
      <c r="AA4" s="3">
        <v>1.3979999999999999</v>
      </c>
      <c r="AB4" s="3">
        <v>0.83299999999999996</v>
      </c>
      <c r="AC4" s="3">
        <v>1.0999999999999999</v>
      </c>
      <c r="AE4" s="3">
        <v>0.83400040864944458</v>
      </c>
      <c r="AF4" s="3">
        <v>1.3830001652240753</v>
      </c>
      <c r="AG4" s="3">
        <v>1.0000001415610313</v>
      </c>
      <c r="AH4" s="3">
        <v>0.63399994373321533</v>
      </c>
      <c r="AJ4" s="3">
        <v>3</v>
      </c>
      <c r="AK4" s="3">
        <v>8</v>
      </c>
      <c r="AL4" s="3">
        <v>4</v>
      </c>
      <c r="AM4" s="3">
        <v>2</v>
      </c>
      <c r="AO4" s="3">
        <v>9</v>
      </c>
      <c r="AP4" s="3">
        <v>11</v>
      </c>
      <c r="AQ4" s="3">
        <v>4</v>
      </c>
      <c r="AR4" s="3">
        <v>6</v>
      </c>
      <c r="AT4" s="3">
        <v>0.87099999189376831</v>
      </c>
      <c r="AU4" s="3">
        <v>0.36700001358985901</v>
      </c>
      <c r="AV4" s="3">
        <v>0.12099999934434891</v>
      </c>
      <c r="AW4" s="3">
        <v>1.0249999761581421</v>
      </c>
      <c r="AY4" s="3">
        <v>0</v>
      </c>
      <c r="AZ4" s="3">
        <v>0</v>
      </c>
      <c r="BA4" s="3">
        <v>0</v>
      </c>
      <c r="BB4" s="3">
        <v>0</v>
      </c>
      <c r="BD4" s="3">
        <v>0</v>
      </c>
      <c r="BE4" s="3">
        <v>0</v>
      </c>
      <c r="BF4" s="3">
        <v>0</v>
      </c>
      <c r="BG4" s="3">
        <v>0</v>
      </c>
      <c r="BI4" s="3">
        <v>0</v>
      </c>
      <c r="BJ4" s="3">
        <v>0</v>
      </c>
      <c r="BK4" s="3">
        <v>0</v>
      </c>
      <c r="BL4" s="3">
        <v>0</v>
      </c>
      <c r="BN4" s="3">
        <v>0</v>
      </c>
      <c r="BO4" s="3">
        <v>0</v>
      </c>
      <c r="BP4" s="3">
        <v>0</v>
      </c>
      <c r="BQ4" s="3">
        <v>0</v>
      </c>
      <c r="BS4" s="3">
        <v>4.0149999999999997</v>
      </c>
      <c r="BT4" s="3">
        <v>4.016</v>
      </c>
      <c r="BU4" s="3">
        <v>4.016</v>
      </c>
      <c r="BV4" s="3">
        <v>4.016</v>
      </c>
      <c r="BX4" s="3">
        <v>0.1839999999999998</v>
      </c>
      <c r="BY4" s="3">
        <v>0.34799999999999986</v>
      </c>
      <c r="BZ4" s="3">
        <v>0.60099999999999976</v>
      </c>
      <c r="CA4" s="3">
        <v>0.36699999999999999</v>
      </c>
      <c r="CC4" s="3">
        <v>0.20000028610229492</v>
      </c>
      <c r="CD4" s="3">
        <v>0.46700012683868408</v>
      </c>
      <c r="CE4" s="3">
        <v>0.53299999237060547</v>
      </c>
      <c r="CF4" s="3">
        <v>0.36699998378753662</v>
      </c>
      <c r="CH4" s="3">
        <v>1</v>
      </c>
      <c r="CI4" s="3">
        <v>3</v>
      </c>
      <c r="CJ4" s="3">
        <v>2</v>
      </c>
      <c r="CK4" s="3">
        <v>1</v>
      </c>
      <c r="CM4" s="3">
        <v>3</v>
      </c>
      <c r="CN4" s="3">
        <v>4</v>
      </c>
      <c r="CO4" s="3">
        <v>3</v>
      </c>
      <c r="CP4" s="3">
        <v>1</v>
      </c>
      <c r="CR4" s="3">
        <v>3.8039999008178711</v>
      </c>
      <c r="CS4" s="3">
        <v>1.6829999685287476</v>
      </c>
      <c r="CT4" s="3">
        <v>1.3209999799728394</v>
      </c>
      <c r="CU4" s="3">
        <v>1.0249999761581421</v>
      </c>
    </row>
    <row r="5" spans="1:99" s="3" customFormat="1" x14ac:dyDescent="0.35">
      <c r="A5" s="2" t="s">
        <v>3</v>
      </c>
      <c r="B5" s="2">
        <v>8.0833333333333339</v>
      </c>
      <c r="C5" s="2" t="s">
        <v>168</v>
      </c>
      <c r="D5" s="2" t="s">
        <v>403</v>
      </c>
      <c r="F5" s="3">
        <v>2.3439999999999999</v>
      </c>
      <c r="G5" s="3">
        <v>2.15</v>
      </c>
      <c r="H5" s="3">
        <v>3.0569999999999999</v>
      </c>
      <c r="I5" s="3">
        <v>0.41999999999999993</v>
      </c>
      <c r="K5" s="3">
        <v>1.8339999999999996</v>
      </c>
      <c r="L5" s="3">
        <v>2.0830000000000002</v>
      </c>
      <c r="M5" s="3">
        <v>1.3159999999999994</v>
      </c>
      <c r="N5" s="3">
        <v>1000</v>
      </c>
      <c r="P5" s="3">
        <v>1.4329998791217804</v>
      </c>
      <c r="Q5" s="3">
        <v>1.7829997539520264</v>
      </c>
      <c r="R5" s="3">
        <v>1.816999614238739</v>
      </c>
      <c r="S5" s="3">
        <v>1000</v>
      </c>
      <c r="U5" s="3">
        <v>4</v>
      </c>
      <c r="V5" s="3">
        <v>5</v>
      </c>
      <c r="W5" s="3">
        <v>7</v>
      </c>
      <c r="X5" s="3">
        <v>1000</v>
      </c>
      <c r="Z5" s="3">
        <v>1.5669999999999997</v>
      </c>
      <c r="AA5" s="3">
        <v>1.7000000000000002</v>
      </c>
      <c r="AB5" s="3">
        <v>0.93399999999999972</v>
      </c>
      <c r="AC5" s="3">
        <v>1000</v>
      </c>
      <c r="AE5" s="3">
        <v>1.4329998791217804</v>
      </c>
      <c r="AF5" s="3">
        <v>1.4669997692108154</v>
      </c>
      <c r="AG5" s="3">
        <v>0.7499997615814209</v>
      </c>
      <c r="AH5" s="3">
        <v>1000</v>
      </c>
      <c r="AJ5" s="3">
        <v>4</v>
      </c>
      <c r="AK5" s="3">
        <v>4</v>
      </c>
      <c r="AL5" s="3">
        <v>4</v>
      </c>
      <c r="AM5" s="3">
        <v>1000</v>
      </c>
      <c r="AO5" s="3">
        <v>4</v>
      </c>
      <c r="AP5" s="3">
        <v>4</v>
      </c>
      <c r="AQ5" s="3">
        <v>5</v>
      </c>
      <c r="AR5" s="3">
        <v>1000</v>
      </c>
      <c r="AT5" s="3">
        <v>0.29399999976158142</v>
      </c>
      <c r="AU5" s="3">
        <v>0.75499999523162842</v>
      </c>
      <c r="AV5" s="3">
        <v>2.0360000133514404</v>
      </c>
      <c r="AW5" s="3">
        <v>1000</v>
      </c>
      <c r="AY5" s="3">
        <v>0</v>
      </c>
      <c r="AZ5" s="3">
        <v>0</v>
      </c>
      <c r="BA5" s="3">
        <v>0</v>
      </c>
      <c r="BB5" s="3">
        <v>1000</v>
      </c>
      <c r="BD5" s="3">
        <v>0</v>
      </c>
      <c r="BE5" s="3">
        <v>0</v>
      </c>
      <c r="BF5" s="3">
        <v>0</v>
      </c>
      <c r="BG5" s="3">
        <v>1000</v>
      </c>
      <c r="BI5" s="3">
        <v>0</v>
      </c>
      <c r="BJ5" s="3">
        <v>0</v>
      </c>
      <c r="BK5" s="3">
        <v>0</v>
      </c>
      <c r="BL5" s="3">
        <v>1000</v>
      </c>
      <c r="BN5" s="3">
        <v>0</v>
      </c>
      <c r="BO5" s="3">
        <v>0</v>
      </c>
      <c r="BP5" s="3">
        <v>0</v>
      </c>
      <c r="BQ5" s="3">
        <v>1000</v>
      </c>
      <c r="BS5" s="3">
        <v>4.0010000000000003</v>
      </c>
      <c r="BT5" s="3">
        <v>4.0110000000000001</v>
      </c>
      <c r="BU5" s="3">
        <v>4.01</v>
      </c>
      <c r="BV5" s="3">
        <v>1000</v>
      </c>
      <c r="BX5" s="3">
        <v>0.13400000000000001</v>
      </c>
      <c r="BY5" s="3">
        <v>0.5169999999999999</v>
      </c>
      <c r="BZ5" s="3">
        <v>0.33300000000000018</v>
      </c>
      <c r="CA5" s="3">
        <v>1000</v>
      </c>
      <c r="CC5" s="3">
        <v>0.11599993705749512</v>
      </c>
      <c r="CD5" s="3">
        <v>0.53299987316131592</v>
      </c>
      <c r="CE5" s="3">
        <v>0.34999990463256836</v>
      </c>
      <c r="CF5" s="3">
        <v>1000</v>
      </c>
      <c r="CH5" s="3">
        <v>1</v>
      </c>
      <c r="CI5" s="3">
        <v>1</v>
      </c>
      <c r="CJ5" s="3">
        <v>1</v>
      </c>
      <c r="CK5" s="3">
        <v>1000</v>
      </c>
      <c r="CM5" s="3">
        <v>3</v>
      </c>
      <c r="CN5" s="3">
        <v>1</v>
      </c>
      <c r="CO5" s="3">
        <v>1</v>
      </c>
      <c r="CP5" s="3">
        <v>1000</v>
      </c>
      <c r="CR5" s="3">
        <v>1.2940000295639038</v>
      </c>
      <c r="CS5" s="3">
        <v>1.7050000429153442</v>
      </c>
      <c r="CT5" s="3">
        <v>3.5520000457763672</v>
      </c>
      <c r="CU5" s="3">
        <v>1000</v>
      </c>
    </row>
    <row r="6" spans="1:99" s="3" customFormat="1" x14ac:dyDescent="0.35">
      <c r="A6" s="2" t="s">
        <v>4</v>
      </c>
      <c r="B6" s="2">
        <v>5.833333333333333</v>
      </c>
      <c r="C6" s="2" t="s">
        <v>167</v>
      </c>
      <c r="D6" s="2" t="s">
        <v>403</v>
      </c>
      <c r="F6" s="3">
        <v>4.0149999999999997</v>
      </c>
      <c r="G6" s="3">
        <v>1.157</v>
      </c>
      <c r="H6" s="3">
        <v>1000</v>
      </c>
      <c r="I6" s="3">
        <v>4.016</v>
      </c>
      <c r="K6" s="3">
        <v>3.9990000000000001</v>
      </c>
      <c r="L6" s="3">
        <v>1000</v>
      </c>
      <c r="M6" s="3">
        <v>1000</v>
      </c>
      <c r="N6" s="3">
        <v>3.9990000000000001</v>
      </c>
      <c r="P6" s="3">
        <v>3.7160000880248845</v>
      </c>
      <c r="Q6" s="3">
        <v>1000</v>
      </c>
      <c r="R6" s="3">
        <v>1000</v>
      </c>
      <c r="S6" s="3">
        <v>2.9980001449584961</v>
      </c>
      <c r="U6" s="3">
        <v>9</v>
      </c>
      <c r="V6" s="3">
        <v>1000</v>
      </c>
      <c r="W6" s="3">
        <v>1000</v>
      </c>
      <c r="X6" s="3">
        <v>6</v>
      </c>
      <c r="Z6" s="3">
        <v>3.9990000000000001</v>
      </c>
      <c r="AA6" s="3">
        <v>1000</v>
      </c>
      <c r="AB6" s="3">
        <v>1000</v>
      </c>
      <c r="AC6" s="3">
        <v>3.9150000000000005</v>
      </c>
      <c r="AE6" s="3">
        <v>3.7160000880248845</v>
      </c>
      <c r="AF6" s="3">
        <v>1000</v>
      </c>
      <c r="AG6" s="3">
        <v>1000</v>
      </c>
      <c r="AH6" s="3">
        <v>2.9980001449584961</v>
      </c>
      <c r="AJ6" s="3">
        <v>9</v>
      </c>
      <c r="AK6" s="3">
        <v>1000</v>
      </c>
      <c r="AL6" s="3">
        <v>1000</v>
      </c>
      <c r="AM6" s="3">
        <v>6</v>
      </c>
      <c r="AO6" s="3">
        <v>1</v>
      </c>
      <c r="AP6" s="3">
        <v>1000</v>
      </c>
      <c r="AQ6" s="3">
        <v>1000</v>
      </c>
      <c r="AR6" s="3">
        <v>2</v>
      </c>
      <c r="AT6" s="3">
        <v>4.0000001899898052E-3</v>
      </c>
      <c r="AU6" s="3">
        <v>1000</v>
      </c>
      <c r="AV6" s="3">
        <v>1000</v>
      </c>
      <c r="AW6" s="3">
        <v>0</v>
      </c>
      <c r="AY6" s="3">
        <v>1.0340000000000005</v>
      </c>
      <c r="AZ6" s="3">
        <v>1000</v>
      </c>
      <c r="BA6" s="3">
        <v>1000</v>
      </c>
      <c r="BB6" s="3">
        <v>1.5990000000000002</v>
      </c>
      <c r="BD6" s="3">
        <v>1.0169997811317444</v>
      </c>
      <c r="BE6" s="3">
        <v>1000</v>
      </c>
      <c r="BF6" s="3">
        <v>1000</v>
      </c>
      <c r="BG6" s="3">
        <v>1.6490002274513245</v>
      </c>
      <c r="BI6" s="3">
        <v>4</v>
      </c>
      <c r="BJ6" s="3">
        <v>1000</v>
      </c>
      <c r="BK6" s="3">
        <v>1000</v>
      </c>
      <c r="BL6" s="3">
        <v>2</v>
      </c>
      <c r="BN6" s="3">
        <v>5</v>
      </c>
      <c r="BO6" s="3">
        <v>1000</v>
      </c>
      <c r="BP6" s="3">
        <v>1000</v>
      </c>
      <c r="BQ6" s="3">
        <v>3</v>
      </c>
      <c r="BS6" s="3">
        <v>0.97100001573562622</v>
      </c>
      <c r="BT6" s="3">
        <v>1000</v>
      </c>
      <c r="BU6" s="3">
        <v>1000</v>
      </c>
      <c r="BV6" s="3">
        <v>0.69999998807907104</v>
      </c>
      <c r="BX6" s="3">
        <v>0.71700000000000008</v>
      </c>
      <c r="BY6" s="3">
        <v>1000</v>
      </c>
      <c r="BZ6" s="3">
        <v>1000</v>
      </c>
      <c r="CA6" s="3">
        <v>0.41600000000000015</v>
      </c>
      <c r="CC6" s="3">
        <v>0.90000009536743164</v>
      </c>
      <c r="CD6" s="3">
        <v>1000</v>
      </c>
      <c r="CE6" s="3">
        <v>1000</v>
      </c>
      <c r="CF6" s="3">
        <v>0.14999985694885254</v>
      </c>
      <c r="CH6" s="3">
        <v>1</v>
      </c>
      <c r="CI6" s="3">
        <v>1000</v>
      </c>
      <c r="CJ6" s="3">
        <v>1000</v>
      </c>
      <c r="CK6" s="3">
        <v>1</v>
      </c>
      <c r="CM6" s="3">
        <v>1</v>
      </c>
      <c r="CN6" s="3">
        <v>1000</v>
      </c>
      <c r="CO6" s="3">
        <v>1000</v>
      </c>
      <c r="CP6" s="3">
        <v>5</v>
      </c>
      <c r="CR6" s="3">
        <v>2.4869999885559082</v>
      </c>
      <c r="CS6" s="3">
        <v>1000</v>
      </c>
      <c r="CT6" s="3">
        <v>1000</v>
      </c>
      <c r="CU6" s="3">
        <v>1.9830000400543213</v>
      </c>
    </row>
    <row r="7" spans="1:99" s="3" customFormat="1" x14ac:dyDescent="0.35">
      <c r="A7" s="2" t="s">
        <v>5</v>
      </c>
      <c r="B7" s="2">
        <v>9.1666666666666661</v>
      </c>
      <c r="C7" s="2" t="s">
        <v>167</v>
      </c>
      <c r="D7" s="2" t="s">
        <v>403</v>
      </c>
      <c r="F7" s="3">
        <v>4.0149999999999997</v>
      </c>
      <c r="G7" s="3">
        <v>4.0129999999999999</v>
      </c>
      <c r="H7" s="3">
        <v>4.0149999999999997</v>
      </c>
      <c r="I7" s="3">
        <v>4.0149999999999997</v>
      </c>
      <c r="K7" s="3">
        <v>3.9990000000000001</v>
      </c>
      <c r="L7" s="3">
        <v>3.9990000000000001</v>
      </c>
      <c r="M7" s="3">
        <v>3.9830000000000001</v>
      </c>
      <c r="N7" s="3">
        <v>3.9990000000000001</v>
      </c>
      <c r="P7" s="3">
        <v>3.8670001020655036</v>
      </c>
      <c r="Q7" s="3">
        <v>3.5650001635076478</v>
      </c>
      <c r="R7" s="3">
        <v>3.8310000160709023</v>
      </c>
      <c r="S7" s="3">
        <v>3.2650002320297062</v>
      </c>
      <c r="U7" s="3">
        <v>9</v>
      </c>
      <c r="V7" s="3">
        <v>11</v>
      </c>
      <c r="W7" s="3">
        <v>10</v>
      </c>
      <c r="X7" s="3">
        <v>11</v>
      </c>
      <c r="Z7" s="3">
        <v>3.9990000000000001</v>
      </c>
      <c r="AA7" s="3">
        <v>3.9990000000000001</v>
      </c>
      <c r="AB7" s="3">
        <v>3.9830000000000001</v>
      </c>
      <c r="AC7" s="3">
        <v>3.9990000000000001</v>
      </c>
      <c r="AE7" s="3">
        <v>3.8670001020655036</v>
      </c>
      <c r="AF7" s="3">
        <v>3.5650001635076478</v>
      </c>
      <c r="AG7" s="3">
        <v>3.8310000160709023</v>
      </c>
      <c r="AH7" s="3">
        <v>3.2650002320297062</v>
      </c>
      <c r="AJ7" s="3">
        <v>9</v>
      </c>
      <c r="AK7" s="3">
        <v>11</v>
      </c>
      <c r="AL7" s="3">
        <v>10</v>
      </c>
      <c r="AM7" s="3">
        <v>11</v>
      </c>
      <c r="AO7" s="3">
        <v>1</v>
      </c>
      <c r="AP7" s="3">
        <v>1</v>
      </c>
      <c r="AQ7" s="3">
        <v>1</v>
      </c>
      <c r="AR7" s="3">
        <v>1</v>
      </c>
      <c r="AT7" s="3">
        <v>7.0000002160668373E-3</v>
      </c>
      <c r="AU7" s="3">
        <v>1.0000000474974513E-3</v>
      </c>
      <c r="AV7" s="3">
        <v>1.4999999664723873E-2</v>
      </c>
      <c r="AW7" s="3">
        <v>4.0000001899898052E-3</v>
      </c>
      <c r="AY7" s="3">
        <v>0.73399999999999987</v>
      </c>
      <c r="AZ7" s="3">
        <v>1.417</v>
      </c>
      <c r="BA7" s="3">
        <v>1.9160000000000004</v>
      </c>
      <c r="BB7" s="3">
        <v>1.6339999999999997</v>
      </c>
      <c r="BD7" s="3">
        <v>0.78400012850761414</v>
      </c>
      <c r="BE7" s="3">
        <v>1.3169998397352174</v>
      </c>
      <c r="BF7" s="3">
        <v>1.8159999707713723</v>
      </c>
      <c r="BG7" s="3">
        <v>1.3660001754760742</v>
      </c>
      <c r="BI7" s="3">
        <v>3</v>
      </c>
      <c r="BJ7" s="3">
        <v>3</v>
      </c>
      <c r="BK7" s="3">
        <v>4</v>
      </c>
      <c r="BL7" s="3">
        <v>5</v>
      </c>
      <c r="BN7" s="3">
        <v>3</v>
      </c>
      <c r="BO7" s="3">
        <v>4</v>
      </c>
      <c r="BP7" s="3">
        <v>6</v>
      </c>
      <c r="BQ7" s="3">
        <v>4</v>
      </c>
      <c r="BS7" s="3">
        <v>0.37299999594688416</v>
      </c>
      <c r="BT7" s="3">
        <v>1.0000000474974513E-3</v>
      </c>
      <c r="BU7" s="3">
        <v>1.4999999664723873E-2</v>
      </c>
      <c r="BV7" s="3">
        <v>1.753000020980835</v>
      </c>
      <c r="BX7" s="3">
        <v>0</v>
      </c>
      <c r="BY7" s="3">
        <v>0</v>
      </c>
      <c r="BZ7" s="3">
        <v>0</v>
      </c>
      <c r="CA7" s="3">
        <v>0.36699999999999999</v>
      </c>
      <c r="CC7" s="3">
        <v>0</v>
      </c>
      <c r="CD7" s="3">
        <v>0</v>
      </c>
      <c r="CE7" s="3">
        <v>0</v>
      </c>
      <c r="CF7" s="3">
        <v>0.51600003242492676</v>
      </c>
      <c r="CH7" s="3">
        <v>0</v>
      </c>
      <c r="CI7" s="3">
        <v>0</v>
      </c>
      <c r="CJ7" s="3">
        <v>0</v>
      </c>
      <c r="CK7" s="3">
        <v>1</v>
      </c>
      <c r="CM7" s="3">
        <v>0</v>
      </c>
      <c r="CN7" s="3">
        <v>1</v>
      </c>
      <c r="CO7" s="3">
        <v>0</v>
      </c>
      <c r="CP7" s="3">
        <v>1</v>
      </c>
      <c r="CR7" s="3">
        <v>4.0149999999999997</v>
      </c>
      <c r="CS7" s="3">
        <v>4.0129999999999999</v>
      </c>
      <c r="CT7" s="3">
        <v>4.0149999999999997</v>
      </c>
      <c r="CU7" s="3">
        <v>1.0870000123977661</v>
      </c>
    </row>
    <row r="8" spans="1:99" s="3" customFormat="1" x14ac:dyDescent="0.35">
      <c r="A8" s="2" t="s">
        <v>6</v>
      </c>
      <c r="B8" s="2">
        <v>6.916666666666667</v>
      </c>
      <c r="C8" s="2" t="s">
        <v>167</v>
      </c>
      <c r="D8" s="2" t="s">
        <v>403</v>
      </c>
      <c r="F8" s="3">
        <v>4.0119999999999996</v>
      </c>
      <c r="G8" s="3">
        <v>4</v>
      </c>
      <c r="H8" s="3">
        <v>1000</v>
      </c>
      <c r="I8" s="3">
        <v>4.0090000000000003</v>
      </c>
      <c r="K8" s="3">
        <v>3.9990000000000001</v>
      </c>
      <c r="L8" s="3">
        <v>3.9830000000000001</v>
      </c>
      <c r="M8" s="3">
        <v>1000</v>
      </c>
      <c r="N8" s="3">
        <v>3.9830000000000001</v>
      </c>
      <c r="P8" s="3">
        <v>1.9479998350143433</v>
      </c>
      <c r="Q8" s="3">
        <v>2.9489995259791613</v>
      </c>
      <c r="R8" s="3">
        <v>1000</v>
      </c>
      <c r="S8" s="3">
        <v>0.61599988490343094</v>
      </c>
      <c r="U8" s="3">
        <v>12</v>
      </c>
      <c r="V8" s="3">
        <v>12</v>
      </c>
      <c r="W8" s="3">
        <v>1000</v>
      </c>
      <c r="X8" s="3">
        <v>4</v>
      </c>
      <c r="Z8" s="3">
        <v>3.6479999999999997</v>
      </c>
      <c r="AA8" s="3">
        <v>3.883</v>
      </c>
      <c r="AB8" s="3">
        <v>1000</v>
      </c>
      <c r="AC8" s="3">
        <v>2.9170000000000003</v>
      </c>
      <c r="AE8" s="3">
        <v>1.9479998350143433</v>
      </c>
      <c r="AF8" s="3">
        <v>2.9489995259791613</v>
      </c>
      <c r="AG8" s="3">
        <v>1000</v>
      </c>
      <c r="AH8" s="3">
        <v>0.61599988490343094</v>
      </c>
      <c r="AJ8" s="3">
        <v>12</v>
      </c>
      <c r="AK8" s="3">
        <v>12</v>
      </c>
      <c r="AL8" s="3">
        <v>1000</v>
      </c>
      <c r="AM8" s="3">
        <v>4</v>
      </c>
      <c r="AO8" s="3">
        <v>8</v>
      </c>
      <c r="AP8" s="3">
        <v>2</v>
      </c>
      <c r="AQ8" s="3">
        <v>1000</v>
      </c>
      <c r="AR8" s="3">
        <v>15</v>
      </c>
      <c r="AT8" s="3">
        <v>0.15099999308586121</v>
      </c>
      <c r="AU8" s="3">
        <v>1.6000000759959221E-2</v>
      </c>
      <c r="AV8" s="3">
        <v>1000</v>
      </c>
      <c r="AW8" s="3">
        <v>0.11500000208616257</v>
      </c>
      <c r="AY8" s="3">
        <v>0.31500000000000039</v>
      </c>
      <c r="AZ8" s="3">
        <v>2.6159999999999997</v>
      </c>
      <c r="BA8" s="3">
        <v>1000</v>
      </c>
      <c r="BB8" s="3">
        <v>0.8329999999999993</v>
      </c>
      <c r="BD8" s="3">
        <v>0.18299984931945801</v>
      </c>
      <c r="BE8" s="3">
        <v>2.8489996213465929</v>
      </c>
      <c r="BF8" s="3">
        <v>1000</v>
      </c>
      <c r="BG8" s="3">
        <v>0.13299989700317383</v>
      </c>
      <c r="BI8" s="3">
        <v>1</v>
      </c>
      <c r="BJ8" s="3">
        <v>11</v>
      </c>
      <c r="BK8" s="3">
        <v>1000</v>
      </c>
      <c r="BL8" s="3">
        <v>1</v>
      </c>
      <c r="BN8" s="3">
        <v>12</v>
      </c>
      <c r="BO8" s="3">
        <v>12</v>
      </c>
      <c r="BP8" s="3">
        <v>1000</v>
      </c>
      <c r="BQ8" s="3">
        <v>18</v>
      </c>
      <c r="BS8" s="3">
        <v>2.8670001029968262</v>
      </c>
      <c r="BT8" s="3">
        <v>1.6000000759959221E-2</v>
      </c>
      <c r="BU8" s="3">
        <v>1000</v>
      </c>
      <c r="BV8" s="3">
        <v>2.0980000495910645</v>
      </c>
      <c r="BX8" s="3">
        <v>0</v>
      </c>
      <c r="BY8" s="3">
        <v>6.7000000000000171E-2</v>
      </c>
      <c r="BZ8" s="3">
        <v>1000</v>
      </c>
      <c r="CA8" s="3">
        <v>0</v>
      </c>
      <c r="CC8" s="3">
        <v>0</v>
      </c>
      <c r="CD8" s="3">
        <v>0</v>
      </c>
      <c r="CE8" s="3">
        <v>1000</v>
      </c>
      <c r="CF8" s="3">
        <v>0</v>
      </c>
      <c r="CH8" s="3">
        <v>0</v>
      </c>
      <c r="CI8" s="3">
        <v>0</v>
      </c>
      <c r="CJ8" s="3">
        <v>1000</v>
      </c>
      <c r="CK8" s="3">
        <v>0</v>
      </c>
      <c r="CM8" s="3">
        <v>0</v>
      </c>
      <c r="CN8" s="3">
        <v>4</v>
      </c>
      <c r="CO8" s="3">
        <v>1000</v>
      </c>
      <c r="CP8" s="3">
        <v>2</v>
      </c>
      <c r="CR8" s="3">
        <v>4.0119999999999996</v>
      </c>
      <c r="CS8" s="3">
        <v>4</v>
      </c>
      <c r="CT8" s="3">
        <v>1000</v>
      </c>
      <c r="CU8" s="3">
        <v>4.0090000000000003</v>
      </c>
    </row>
    <row r="9" spans="1:99" s="3" customFormat="1" x14ac:dyDescent="0.35">
      <c r="A9" s="2" t="s">
        <v>7</v>
      </c>
      <c r="B9" s="2">
        <v>6.75</v>
      </c>
      <c r="C9" s="2" t="s">
        <v>167</v>
      </c>
      <c r="D9" s="2" t="s">
        <v>403</v>
      </c>
      <c r="F9" s="3">
        <v>4.0129999999999999</v>
      </c>
      <c r="G9" s="3">
        <v>4.0060000000000002</v>
      </c>
      <c r="H9" s="3">
        <v>4.008</v>
      </c>
      <c r="I9" s="3">
        <v>4.0110000000000001</v>
      </c>
      <c r="K9" s="3">
        <v>3.766</v>
      </c>
      <c r="L9" s="3">
        <v>3.7650000000000001</v>
      </c>
      <c r="M9" s="3">
        <v>3.6480000000000001</v>
      </c>
      <c r="N9" s="3">
        <v>3.6660000000000004</v>
      </c>
      <c r="P9" s="3">
        <v>2.9329998604953289</v>
      </c>
      <c r="Q9" s="3">
        <v>1.9150000661611557</v>
      </c>
      <c r="R9" s="3">
        <v>3.0959992706775665</v>
      </c>
      <c r="S9" s="3">
        <v>3.2999996840953827</v>
      </c>
      <c r="U9" s="3">
        <v>7</v>
      </c>
      <c r="V9" s="3">
        <v>7</v>
      </c>
      <c r="W9" s="3">
        <v>9</v>
      </c>
      <c r="X9" s="3">
        <v>13</v>
      </c>
      <c r="Z9" s="3">
        <v>3.7329999999999997</v>
      </c>
      <c r="AA9" s="3">
        <v>3.7650000000000001</v>
      </c>
      <c r="AB9" s="3">
        <v>3.6480000000000001</v>
      </c>
      <c r="AC9" s="3">
        <v>2.8330000000000002</v>
      </c>
      <c r="AE9" s="3">
        <v>2.9329998604953289</v>
      </c>
      <c r="AF9" s="3">
        <v>1.9150000661611557</v>
      </c>
      <c r="AG9" s="3">
        <v>3.0959992706775665</v>
      </c>
      <c r="AH9" s="3">
        <v>2.6329996287822723</v>
      </c>
      <c r="AJ9" s="3">
        <v>7</v>
      </c>
      <c r="AK9" s="3">
        <v>7</v>
      </c>
      <c r="AL9" s="3">
        <v>9</v>
      </c>
      <c r="AM9" s="3">
        <v>11</v>
      </c>
      <c r="AO9" s="3">
        <v>2</v>
      </c>
      <c r="AP9" s="3">
        <v>1</v>
      </c>
      <c r="AQ9" s="3">
        <v>1</v>
      </c>
      <c r="AR9" s="3">
        <v>3</v>
      </c>
      <c r="AT9" s="3">
        <v>1.3000000268220901E-2</v>
      </c>
      <c r="AU9" s="3">
        <v>0.23499999940395355</v>
      </c>
      <c r="AV9" s="3">
        <v>0.35499998927116394</v>
      </c>
      <c r="AW9" s="3">
        <v>0.34900000691413879</v>
      </c>
      <c r="AY9" s="3">
        <v>1.9330000000000001</v>
      </c>
      <c r="AZ9" s="3">
        <v>1.6999999999999997</v>
      </c>
      <c r="BA9" s="3">
        <v>2.3490000000000002</v>
      </c>
      <c r="BB9" s="3">
        <v>0</v>
      </c>
      <c r="BD9" s="3">
        <v>1.8499999642372131</v>
      </c>
      <c r="BE9" s="3">
        <v>1.4990000128746033</v>
      </c>
      <c r="BF9" s="3">
        <v>1.648000031709671</v>
      </c>
      <c r="BG9" s="3">
        <v>0</v>
      </c>
      <c r="BI9" s="3">
        <v>3</v>
      </c>
      <c r="BJ9" s="3">
        <v>5</v>
      </c>
      <c r="BK9" s="3">
        <v>3</v>
      </c>
      <c r="BL9" s="3">
        <v>0</v>
      </c>
      <c r="BN9" s="3">
        <v>3</v>
      </c>
      <c r="BO9" s="3">
        <v>3</v>
      </c>
      <c r="BP9" s="3">
        <v>4</v>
      </c>
      <c r="BQ9" s="3">
        <v>1</v>
      </c>
      <c r="BS9" s="3">
        <v>0.41299998760223389</v>
      </c>
      <c r="BT9" s="3">
        <v>0.86799997091293335</v>
      </c>
      <c r="BU9" s="3">
        <v>0.35499998927116394</v>
      </c>
      <c r="BV9" s="3">
        <v>4.0110000000000001</v>
      </c>
      <c r="BX9" s="3">
        <v>0</v>
      </c>
      <c r="BY9" s="3">
        <v>0</v>
      </c>
      <c r="BZ9" s="3">
        <v>0</v>
      </c>
      <c r="CA9" s="3">
        <v>8.4000000000000075E-2</v>
      </c>
      <c r="CC9" s="3">
        <v>0</v>
      </c>
      <c r="CD9" s="3">
        <v>0</v>
      </c>
      <c r="CE9" s="3">
        <v>0</v>
      </c>
      <c r="CF9" s="3">
        <v>0</v>
      </c>
      <c r="CH9" s="3">
        <v>0</v>
      </c>
      <c r="CI9" s="3">
        <v>0</v>
      </c>
      <c r="CJ9" s="3">
        <v>0</v>
      </c>
      <c r="CK9" s="3">
        <v>0</v>
      </c>
      <c r="CM9" s="3">
        <v>0</v>
      </c>
      <c r="CN9" s="3">
        <v>0</v>
      </c>
      <c r="CO9" s="3">
        <v>0</v>
      </c>
      <c r="CP9" s="3">
        <v>3</v>
      </c>
      <c r="CR9" s="3">
        <v>4.0129999999999999</v>
      </c>
      <c r="CS9" s="3">
        <v>4.0060000000000002</v>
      </c>
      <c r="CT9" s="3">
        <v>4.008</v>
      </c>
      <c r="CU9" s="3">
        <v>4.0110000000000001</v>
      </c>
    </row>
    <row r="10" spans="1:99" s="3" customFormat="1" x14ac:dyDescent="0.35">
      <c r="A10" s="2" t="s">
        <v>8</v>
      </c>
      <c r="B10" s="2">
        <v>9.5</v>
      </c>
      <c r="C10" s="2" t="s">
        <v>168</v>
      </c>
      <c r="D10" s="2" t="s">
        <v>403</v>
      </c>
      <c r="F10" s="3">
        <v>4.032</v>
      </c>
      <c r="G10" s="3">
        <v>4.0149999999999997</v>
      </c>
      <c r="H10" s="3">
        <v>1000</v>
      </c>
      <c r="I10" s="3">
        <v>4.016</v>
      </c>
      <c r="K10" s="3">
        <v>4.0149999999999997</v>
      </c>
      <c r="L10" s="3">
        <v>3.9989999999999997</v>
      </c>
      <c r="M10" s="3">
        <v>1000</v>
      </c>
      <c r="N10" s="3">
        <v>3.9829999999999997</v>
      </c>
      <c r="P10" s="3">
        <v>2.0500001180917025</v>
      </c>
      <c r="Q10" s="3">
        <v>2.9469998935237527</v>
      </c>
      <c r="R10" s="3">
        <v>1000</v>
      </c>
      <c r="S10" s="3">
        <v>1.3170000314712524</v>
      </c>
      <c r="U10" s="3">
        <v>12</v>
      </c>
      <c r="V10" s="3">
        <v>14</v>
      </c>
      <c r="W10" s="3">
        <v>1000</v>
      </c>
      <c r="X10" s="3">
        <v>8</v>
      </c>
      <c r="Z10" s="3">
        <v>4.0149999999999997</v>
      </c>
      <c r="AA10" s="3">
        <v>3.8659999999999997</v>
      </c>
      <c r="AB10" s="3">
        <v>1000</v>
      </c>
      <c r="AC10" s="3">
        <v>3.9</v>
      </c>
      <c r="AE10" s="3">
        <v>2.0500001180917025</v>
      </c>
      <c r="AF10" s="3">
        <v>2.9469998935237527</v>
      </c>
      <c r="AG10" s="3">
        <v>1000</v>
      </c>
      <c r="AH10" s="3">
        <v>1.3170000314712524</v>
      </c>
      <c r="AJ10" s="3">
        <v>12</v>
      </c>
      <c r="AK10" s="3">
        <v>14</v>
      </c>
      <c r="AL10" s="3">
        <v>1000</v>
      </c>
      <c r="AM10" s="3">
        <v>8</v>
      </c>
      <c r="AO10" s="3">
        <v>1</v>
      </c>
      <c r="AP10" s="3">
        <v>5</v>
      </c>
      <c r="AQ10" s="3">
        <v>1000</v>
      </c>
      <c r="AR10" s="3">
        <v>3</v>
      </c>
      <c r="AT10" s="3">
        <v>1.6000000759959221E-2</v>
      </c>
      <c r="AU10" s="3">
        <v>8.0000003799796104E-3</v>
      </c>
      <c r="AV10" s="3">
        <v>1000</v>
      </c>
      <c r="AW10" s="3">
        <v>0.34099999070167542</v>
      </c>
      <c r="AY10" s="3">
        <v>0.81799999999999962</v>
      </c>
      <c r="AZ10" s="3">
        <v>0.79899999999999982</v>
      </c>
      <c r="BA10" s="3">
        <v>1000</v>
      </c>
      <c r="BB10" s="3">
        <v>0.56800000000000028</v>
      </c>
      <c r="BD10" s="3">
        <v>0.48300004005432129</v>
      </c>
      <c r="BE10" s="3">
        <v>0.78200006484985352</v>
      </c>
      <c r="BF10" s="3">
        <v>1000</v>
      </c>
      <c r="BG10" s="3">
        <v>0.53400015830993652</v>
      </c>
      <c r="BI10" s="3">
        <v>2</v>
      </c>
      <c r="BJ10" s="3">
        <v>4</v>
      </c>
      <c r="BK10" s="3">
        <v>1000</v>
      </c>
      <c r="BL10" s="3">
        <v>3</v>
      </c>
      <c r="BN10" s="3">
        <v>20</v>
      </c>
      <c r="BO10" s="3">
        <v>11</v>
      </c>
      <c r="BP10" s="3">
        <v>1000</v>
      </c>
      <c r="BQ10" s="3">
        <v>12</v>
      </c>
      <c r="BS10" s="3">
        <v>1.1150000095367432</v>
      </c>
      <c r="BT10" s="3">
        <v>0.45800000429153442</v>
      </c>
      <c r="BU10" s="3">
        <v>1000</v>
      </c>
      <c r="BV10" s="3">
        <v>2.5739998817443848</v>
      </c>
      <c r="BX10" s="3">
        <v>0.23299999999999965</v>
      </c>
      <c r="BY10" s="3">
        <v>0</v>
      </c>
      <c r="BZ10" s="3">
        <v>1000</v>
      </c>
      <c r="CA10" s="3">
        <v>0</v>
      </c>
      <c r="CC10" s="3">
        <v>0.15000009536743164</v>
      </c>
      <c r="CD10" s="3">
        <v>0</v>
      </c>
      <c r="CE10" s="3">
        <v>1000</v>
      </c>
      <c r="CF10" s="3">
        <v>0</v>
      </c>
      <c r="CH10" s="3">
        <v>1</v>
      </c>
      <c r="CI10" s="3">
        <v>0</v>
      </c>
      <c r="CJ10" s="3">
        <v>1000</v>
      </c>
      <c r="CK10" s="3">
        <v>0</v>
      </c>
      <c r="CM10" s="3">
        <v>4</v>
      </c>
      <c r="CN10" s="3">
        <v>0</v>
      </c>
      <c r="CO10" s="3">
        <v>1000</v>
      </c>
      <c r="CP10" s="3">
        <v>0</v>
      </c>
      <c r="CR10" s="3">
        <v>2.497999906539917</v>
      </c>
      <c r="CS10" s="3">
        <v>4.0149999999999997</v>
      </c>
      <c r="CT10" s="3">
        <v>1000</v>
      </c>
      <c r="CU10" s="3">
        <v>4.016</v>
      </c>
    </row>
    <row r="11" spans="1:99" s="3" customFormat="1" x14ac:dyDescent="0.35">
      <c r="A11" s="2" t="s">
        <v>9</v>
      </c>
      <c r="B11" s="2">
        <v>11.083333333333334</v>
      </c>
      <c r="C11" s="2" t="s">
        <v>168</v>
      </c>
      <c r="D11" s="2" t="s">
        <v>403</v>
      </c>
      <c r="F11" s="3">
        <v>4.0149999999999997</v>
      </c>
      <c r="G11" s="3">
        <v>4.0149999999999997</v>
      </c>
      <c r="H11" s="3">
        <v>4.01</v>
      </c>
      <c r="I11" s="3">
        <v>0</v>
      </c>
      <c r="K11" s="3">
        <v>3.9989999999999997</v>
      </c>
      <c r="L11" s="3">
        <v>3.9990000000000001</v>
      </c>
      <c r="M11" s="3">
        <v>3.7490000000000006</v>
      </c>
      <c r="N11" s="3">
        <v>1000</v>
      </c>
      <c r="P11" s="3">
        <v>3.6509997919201851</v>
      </c>
      <c r="Q11" s="3">
        <v>3.4310002624988556</v>
      </c>
      <c r="R11" s="3">
        <v>3.3319998383522034</v>
      </c>
      <c r="S11" s="3">
        <v>1000</v>
      </c>
      <c r="U11" s="3">
        <v>9</v>
      </c>
      <c r="V11" s="3">
        <v>9</v>
      </c>
      <c r="W11" s="3">
        <v>10</v>
      </c>
      <c r="X11" s="3">
        <v>1000</v>
      </c>
      <c r="Z11" s="3">
        <v>3.8159999999999998</v>
      </c>
      <c r="AA11" s="3">
        <v>3.9990000000000001</v>
      </c>
      <c r="AB11" s="3">
        <v>3.7490000000000006</v>
      </c>
      <c r="AC11" s="3">
        <v>1000</v>
      </c>
      <c r="AE11" s="3">
        <v>3.6509997919201851</v>
      </c>
      <c r="AF11" s="3">
        <v>3.4310002624988556</v>
      </c>
      <c r="AG11" s="3">
        <v>3.3319998383522034</v>
      </c>
      <c r="AH11" s="3">
        <v>1000</v>
      </c>
      <c r="AJ11" s="3">
        <v>9</v>
      </c>
      <c r="AK11" s="3">
        <v>9</v>
      </c>
      <c r="AL11" s="3">
        <v>10</v>
      </c>
      <c r="AM11" s="3">
        <v>1000</v>
      </c>
      <c r="AO11" s="3">
        <v>2</v>
      </c>
      <c r="AP11" s="3">
        <v>1</v>
      </c>
      <c r="AQ11" s="3">
        <v>1</v>
      </c>
      <c r="AR11" s="3">
        <v>1000</v>
      </c>
      <c r="AT11" s="3">
        <v>1.0999999940395355E-2</v>
      </c>
      <c r="AU11" s="3">
        <v>0</v>
      </c>
      <c r="AV11" s="3">
        <v>0.25200000405311584</v>
      </c>
      <c r="AW11" s="3">
        <v>1000</v>
      </c>
      <c r="AY11" s="3">
        <v>0.23299999999999998</v>
      </c>
      <c r="AZ11" s="3">
        <v>0.21699999999999997</v>
      </c>
      <c r="BA11" s="3">
        <v>4.9000000000000377E-2</v>
      </c>
      <c r="BB11" s="3">
        <v>1000</v>
      </c>
      <c r="BD11" s="3">
        <v>0</v>
      </c>
      <c r="BE11" s="3">
        <v>0.49900001287460327</v>
      </c>
      <c r="BF11" s="3">
        <v>0</v>
      </c>
      <c r="BG11" s="3">
        <v>1000</v>
      </c>
      <c r="BI11" s="3">
        <v>0</v>
      </c>
      <c r="BJ11" s="3">
        <v>2</v>
      </c>
      <c r="BK11" s="3">
        <v>0</v>
      </c>
      <c r="BL11" s="3">
        <v>1000</v>
      </c>
      <c r="BN11" s="3">
        <v>2</v>
      </c>
      <c r="BO11" s="3">
        <v>2</v>
      </c>
      <c r="BP11" s="3">
        <v>3</v>
      </c>
      <c r="BQ11" s="3">
        <v>1000</v>
      </c>
      <c r="BS11" s="3">
        <v>4.0149999999999997</v>
      </c>
      <c r="BT11" s="3">
        <v>0.44999998807907104</v>
      </c>
      <c r="BU11" s="3">
        <v>4.01</v>
      </c>
      <c r="BV11" s="3">
        <v>1000</v>
      </c>
      <c r="BX11" s="3">
        <v>0.95099999999999985</v>
      </c>
      <c r="BY11" s="3">
        <v>2.1160000000000001</v>
      </c>
      <c r="BZ11" s="3">
        <v>0.78400000000000036</v>
      </c>
      <c r="CA11" s="3">
        <v>1000</v>
      </c>
      <c r="CC11" s="3">
        <v>1.1349999904632568</v>
      </c>
      <c r="CD11" s="3">
        <v>2.1490001976490021</v>
      </c>
      <c r="CE11" s="3">
        <v>0.83299994468688965</v>
      </c>
      <c r="CF11" s="3">
        <v>1000</v>
      </c>
      <c r="CH11" s="3">
        <v>4</v>
      </c>
      <c r="CI11" s="3">
        <v>6</v>
      </c>
      <c r="CJ11" s="3">
        <v>2</v>
      </c>
      <c r="CK11" s="3">
        <v>1000</v>
      </c>
      <c r="CM11" s="3">
        <v>4</v>
      </c>
      <c r="CN11" s="3">
        <v>4</v>
      </c>
      <c r="CO11" s="3">
        <v>2</v>
      </c>
      <c r="CP11" s="3">
        <v>1000</v>
      </c>
      <c r="CR11" s="3">
        <v>0.86000001430511475</v>
      </c>
      <c r="CS11" s="3">
        <v>0</v>
      </c>
      <c r="CT11" s="3">
        <v>2.0680000782012939</v>
      </c>
      <c r="CU11" s="3">
        <v>1000</v>
      </c>
    </row>
    <row r="12" spans="1:99" s="3" customFormat="1" x14ac:dyDescent="0.35">
      <c r="A12" s="2" t="s">
        <v>10</v>
      </c>
      <c r="B12" s="2">
        <v>10.5</v>
      </c>
      <c r="C12" s="2" t="s">
        <v>168</v>
      </c>
      <c r="D12" s="2" t="s">
        <v>403</v>
      </c>
      <c r="F12" s="3">
        <v>4.0039999999999996</v>
      </c>
      <c r="G12" s="3">
        <v>4.01</v>
      </c>
      <c r="H12" s="3">
        <v>4.0259999999999998</v>
      </c>
      <c r="I12" s="3">
        <v>4.01</v>
      </c>
      <c r="K12" s="3">
        <v>3.9820000000000002</v>
      </c>
      <c r="L12" s="3">
        <v>3.9830000000000001</v>
      </c>
      <c r="M12" s="3">
        <v>4.016</v>
      </c>
      <c r="N12" s="3">
        <v>3.9820000000000002</v>
      </c>
      <c r="P12" s="3">
        <v>3.8659997098147869</v>
      </c>
      <c r="Q12" s="3">
        <v>3.9499999145045877</v>
      </c>
      <c r="R12" s="3">
        <v>3.4639999051578343</v>
      </c>
      <c r="S12" s="3">
        <v>3.2000002078711987</v>
      </c>
      <c r="U12" s="3">
        <v>8</v>
      </c>
      <c r="V12" s="3">
        <v>3</v>
      </c>
      <c r="W12" s="3">
        <v>14</v>
      </c>
      <c r="X12" s="3">
        <v>12</v>
      </c>
      <c r="Z12" s="3">
        <v>3.9820000000000002</v>
      </c>
      <c r="AA12" s="3">
        <v>3.9830000000000001</v>
      </c>
      <c r="AB12" s="3">
        <v>4.016</v>
      </c>
      <c r="AC12" s="3">
        <v>2.7490000000000001</v>
      </c>
      <c r="AE12" s="3">
        <v>3.8659997098147869</v>
      </c>
      <c r="AF12" s="3">
        <v>3.9499999145045877</v>
      </c>
      <c r="AG12" s="3">
        <v>3.4639999051578343</v>
      </c>
      <c r="AH12" s="3">
        <v>2.334000151604414</v>
      </c>
      <c r="AJ12" s="3">
        <v>8</v>
      </c>
      <c r="AK12" s="3">
        <v>3</v>
      </c>
      <c r="AL12" s="3">
        <v>14</v>
      </c>
      <c r="AM12" s="3">
        <v>9</v>
      </c>
      <c r="AO12" s="3">
        <v>1</v>
      </c>
      <c r="AP12" s="3">
        <v>1</v>
      </c>
      <c r="AQ12" s="3">
        <v>1</v>
      </c>
      <c r="AR12" s="3">
        <v>5</v>
      </c>
      <c r="AT12" s="3">
        <v>1.3000000268220901E-2</v>
      </c>
      <c r="AU12" s="3">
        <v>1.4999999664723873E-2</v>
      </c>
      <c r="AV12" s="3">
        <v>4.0000001899898052E-3</v>
      </c>
      <c r="AW12" s="3">
        <v>1.3000000268220901E-2</v>
      </c>
      <c r="AY12" s="3">
        <v>3.1829999999999998</v>
      </c>
      <c r="AZ12" s="3">
        <v>3.9830000000000001</v>
      </c>
      <c r="BA12" s="3">
        <v>1.1999999999999997</v>
      </c>
      <c r="BB12" s="3">
        <v>1.5999999999999999</v>
      </c>
      <c r="BD12" s="3">
        <v>3.2159998118877411</v>
      </c>
      <c r="BE12" s="3">
        <v>3.9499999145045877</v>
      </c>
      <c r="BF12" s="3">
        <v>1.2319998145103455</v>
      </c>
      <c r="BG12" s="3">
        <v>1.6670001149177551</v>
      </c>
      <c r="BI12" s="3">
        <v>6</v>
      </c>
      <c r="BJ12" s="3">
        <v>3</v>
      </c>
      <c r="BK12" s="3">
        <v>4</v>
      </c>
      <c r="BL12" s="3">
        <v>6</v>
      </c>
      <c r="BN12" s="3">
        <v>2</v>
      </c>
      <c r="BO12" s="3">
        <v>1</v>
      </c>
      <c r="BP12" s="3">
        <v>4</v>
      </c>
      <c r="BQ12" s="3">
        <v>7</v>
      </c>
      <c r="BS12" s="3">
        <v>0.36300000548362732</v>
      </c>
      <c r="BT12" s="3">
        <v>1.4999999664723873E-2</v>
      </c>
      <c r="BU12" s="3">
        <v>0.37099999189376831</v>
      </c>
      <c r="BV12" s="3">
        <v>0.37900000810623169</v>
      </c>
      <c r="BX12" s="3">
        <v>0.16599999999999998</v>
      </c>
      <c r="BY12" s="3">
        <v>0</v>
      </c>
      <c r="BZ12" s="3">
        <v>0.41699999999999982</v>
      </c>
      <c r="CA12" s="3">
        <v>3.3000000000000002E-2</v>
      </c>
      <c r="CC12" s="3">
        <v>0</v>
      </c>
      <c r="CD12" s="3">
        <v>0</v>
      </c>
      <c r="CE12" s="3">
        <v>0.45000004768371582</v>
      </c>
      <c r="CF12" s="3">
        <v>0</v>
      </c>
      <c r="CH12" s="3">
        <v>0</v>
      </c>
      <c r="CI12" s="3">
        <v>0</v>
      </c>
      <c r="CJ12" s="3">
        <v>1</v>
      </c>
      <c r="CK12" s="3">
        <v>0</v>
      </c>
      <c r="CM12" s="3">
        <v>1</v>
      </c>
      <c r="CN12" s="3">
        <v>0</v>
      </c>
      <c r="CO12" s="3">
        <v>1</v>
      </c>
      <c r="CP12" s="3">
        <v>1</v>
      </c>
      <c r="CR12" s="3">
        <v>4.0039999999999996</v>
      </c>
      <c r="CS12" s="3">
        <v>4.01</v>
      </c>
      <c r="CT12" s="3">
        <v>2.4539999961853027</v>
      </c>
      <c r="CU12" s="3">
        <v>4.01</v>
      </c>
    </row>
    <row r="13" spans="1:99" s="3" customFormat="1" x14ac:dyDescent="0.35">
      <c r="A13" s="2" t="s">
        <v>11</v>
      </c>
      <c r="B13" s="2">
        <v>12.25</v>
      </c>
      <c r="C13" s="2" t="s">
        <v>167</v>
      </c>
      <c r="D13" s="2" t="s">
        <v>403</v>
      </c>
      <c r="F13" s="3">
        <v>4.032</v>
      </c>
      <c r="G13" s="3">
        <v>4.016</v>
      </c>
      <c r="H13" s="3">
        <v>4.016</v>
      </c>
      <c r="I13" s="3">
        <v>4.016</v>
      </c>
      <c r="K13" s="3">
        <v>4.016</v>
      </c>
      <c r="L13" s="3">
        <v>3.9990000000000001</v>
      </c>
      <c r="M13" s="3">
        <v>3.9989999999999997</v>
      </c>
      <c r="N13" s="3">
        <v>3.9989999999999997</v>
      </c>
      <c r="P13" s="3">
        <v>3.8150001540780067</v>
      </c>
      <c r="Q13" s="3">
        <v>3.7989995052339509</v>
      </c>
      <c r="R13" s="3">
        <v>3.8499999255873263</v>
      </c>
      <c r="S13" s="3">
        <v>3.9150001360103488</v>
      </c>
      <c r="U13" s="3">
        <v>8</v>
      </c>
      <c r="V13" s="3">
        <v>13</v>
      </c>
      <c r="W13" s="3">
        <v>10</v>
      </c>
      <c r="X13" s="3">
        <v>6</v>
      </c>
      <c r="Z13" s="3">
        <v>4.016</v>
      </c>
      <c r="AA13" s="3">
        <v>3.9990000000000001</v>
      </c>
      <c r="AB13" s="3">
        <v>3.9989999999999997</v>
      </c>
      <c r="AC13" s="3">
        <v>3.9989999999999997</v>
      </c>
      <c r="AE13" s="3">
        <v>3.8150001540780067</v>
      </c>
      <c r="AF13" s="3">
        <v>3.7989995052339509</v>
      </c>
      <c r="AG13" s="3">
        <v>3.8499999255873263</v>
      </c>
      <c r="AH13" s="3">
        <v>3.9150001360103488</v>
      </c>
      <c r="AJ13" s="3">
        <v>8</v>
      </c>
      <c r="AK13" s="3">
        <v>13</v>
      </c>
      <c r="AL13" s="3">
        <v>10</v>
      </c>
      <c r="AM13" s="3">
        <v>6</v>
      </c>
      <c r="AO13" s="3">
        <v>1</v>
      </c>
      <c r="AP13" s="3">
        <v>1</v>
      </c>
      <c r="AQ13" s="3">
        <v>1</v>
      </c>
      <c r="AR13" s="3">
        <v>1</v>
      </c>
      <c r="AT13" s="3">
        <v>1.0999999940395355E-2</v>
      </c>
      <c r="AU13" s="3">
        <v>1.0000000474974513E-3</v>
      </c>
      <c r="AV13" s="3">
        <v>3.0000000260770321E-3</v>
      </c>
      <c r="AW13" s="3">
        <v>4.999999888241291E-3</v>
      </c>
      <c r="AY13" s="3">
        <v>1.5829999999999997</v>
      </c>
      <c r="AZ13" s="3">
        <v>1.2330000000000001</v>
      </c>
      <c r="BA13" s="3">
        <v>2.1340000000000003</v>
      </c>
      <c r="BB13" s="3">
        <v>1.2329999999999997</v>
      </c>
      <c r="BD13" s="3">
        <v>1.6319999694824219</v>
      </c>
      <c r="BE13" s="3">
        <v>1.2829997539520264</v>
      </c>
      <c r="BF13" s="3">
        <v>2.1839999170042574</v>
      </c>
      <c r="BG13" s="3">
        <v>1.2160000801086426</v>
      </c>
      <c r="BI13" s="3">
        <v>4</v>
      </c>
      <c r="BJ13" s="3">
        <v>4</v>
      </c>
      <c r="BK13" s="3">
        <v>5</v>
      </c>
      <c r="BL13" s="3">
        <v>3</v>
      </c>
      <c r="BN13" s="3">
        <v>4</v>
      </c>
      <c r="BO13" s="3">
        <v>4</v>
      </c>
      <c r="BP13" s="3">
        <v>3</v>
      </c>
      <c r="BQ13" s="3">
        <v>5</v>
      </c>
      <c r="BS13" s="3">
        <v>1.0110000371932983</v>
      </c>
      <c r="BT13" s="3">
        <v>0.43500000238418579</v>
      </c>
      <c r="BU13" s="3">
        <v>3.0000000260770321E-3</v>
      </c>
      <c r="BV13" s="3">
        <v>0.3880000114440918</v>
      </c>
      <c r="BX13" s="3">
        <v>0</v>
      </c>
      <c r="BY13" s="3">
        <v>0.3490000000000002</v>
      </c>
      <c r="BZ13" s="3">
        <v>0</v>
      </c>
      <c r="CA13" s="3">
        <v>0</v>
      </c>
      <c r="CC13" s="3">
        <v>0</v>
      </c>
      <c r="CD13" s="3">
        <v>0.38299989700317383</v>
      </c>
      <c r="CE13" s="3">
        <v>0</v>
      </c>
      <c r="CF13" s="3">
        <v>0</v>
      </c>
      <c r="CH13" s="3">
        <v>0</v>
      </c>
      <c r="CI13" s="3">
        <v>1</v>
      </c>
      <c r="CJ13" s="3">
        <v>0</v>
      </c>
      <c r="CK13" s="3">
        <v>0</v>
      </c>
      <c r="CM13" s="3">
        <v>0</v>
      </c>
      <c r="CN13" s="3">
        <v>1</v>
      </c>
      <c r="CO13" s="3">
        <v>0</v>
      </c>
      <c r="CP13" s="3">
        <v>0</v>
      </c>
      <c r="CR13" s="3">
        <v>4.032</v>
      </c>
      <c r="CS13" s="3">
        <v>2.8840000629425049</v>
      </c>
      <c r="CT13" s="3">
        <v>4.016</v>
      </c>
      <c r="CU13" s="3">
        <v>4.016</v>
      </c>
    </row>
    <row r="14" spans="1:99" s="3" customFormat="1" x14ac:dyDescent="0.35">
      <c r="A14" s="2" t="s">
        <v>12</v>
      </c>
      <c r="B14" s="2">
        <v>8.5833333333333339</v>
      </c>
      <c r="C14" s="2" t="s">
        <v>168</v>
      </c>
      <c r="D14" s="2" t="s">
        <v>403</v>
      </c>
      <c r="F14" s="3">
        <v>4.0149999999999997</v>
      </c>
      <c r="G14" s="3">
        <v>4.0110000000000001</v>
      </c>
      <c r="H14" s="3">
        <v>4.0119999999999996</v>
      </c>
      <c r="I14" s="3">
        <v>4.0149999999999997</v>
      </c>
      <c r="K14" s="3">
        <v>3.9989999999999997</v>
      </c>
      <c r="L14" s="3">
        <v>3.9990000000000001</v>
      </c>
      <c r="M14" s="3">
        <v>3.9989999999999997</v>
      </c>
      <c r="N14" s="3">
        <v>3.9989999999999997</v>
      </c>
      <c r="P14" s="3">
        <v>3.7000004127621651</v>
      </c>
      <c r="Q14" s="3">
        <v>3.6009999755769968</v>
      </c>
      <c r="R14" s="3">
        <v>2.9799999371170998</v>
      </c>
      <c r="S14" s="3">
        <v>3.214999592397362</v>
      </c>
      <c r="U14" s="3">
        <v>7</v>
      </c>
      <c r="V14" s="3">
        <v>7</v>
      </c>
      <c r="W14" s="3">
        <v>9</v>
      </c>
      <c r="X14" s="3">
        <v>12</v>
      </c>
      <c r="Z14" s="3">
        <v>3.9989999999999997</v>
      </c>
      <c r="AA14" s="3">
        <v>3.9990000000000001</v>
      </c>
      <c r="AB14" s="3">
        <v>3.9989999999999997</v>
      </c>
      <c r="AC14" s="3">
        <v>3.9989999999999997</v>
      </c>
      <c r="AE14" s="3">
        <v>3.7000004127621651</v>
      </c>
      <c r="AF14" s="3">
        <v>3.6009999755769968</v>
      </c>
      <c r="AG14" s="3">
        <v>2.9799999371170998</v>
      </c>
      <c r="AH14" s="3">
        <v>3.214999592397362</v>
      </c>
      <c r="AJ14" s="3">
        <v>7</v>
      </c>
      <c r="AK14" s="3">
        <v>7</v>
      </c>
      <c r="AL14" s="3">
        <v>9</v>
      </c>
      <c r="AM14" s="3">
        <v>12</v>
      </c>
      <c r="AO14" s="3">
        <v>1</v>
      </c>
      <c r="AP14" s="3">
        <v>1</v>
      </c>
      <c r="AQ14" s="3">
        <v>1</v>
      </c>
      <c r="AR14" s="3">
        <v>1</v>
      </c>
      <c r="AT14" s="3">
        <v>1.0999999940395355E-2</v>
      </c>
      <c r="AU14" s="3">
        <v>1.2000000104308128E-2</v>
      </c>
      <c r="AV14" s="3">
        <v>1.0999999940395355E-2</v>
      </c>
      <c r="AW14" s="3">
        <v>3.0000000260770321E-3</v>
      </c>
      <c r="AY14" s="3">
        <v>2.9319999999999995</v>
      </c>
      <c r="AZ14" s="3">
        <v>3.1170000000000004</v>
      </c>
      <c r="BA14" s="3">
        <v>2.1479999999999997</v>
      </c>
      <c r="BB14" s="3">
        <v>1.8500000000000003</v>
      </c>
      <c r="BD14" s="3">
        <v>2.7340002655982971</v>
      </c>
      <c r="BE14" s="3">
        <v>3.1179999709129333</v>
      </c>
      <c r="BF14" s="3">
        <v>2.1639999449253082</v>
      </c>
      <c r="BG14" s="3">
        <v>1.6489996165037155</v>
      </c>
      <c r="BI14" s="3">
        <v>4</v>
      </c>
      <c r="BJ14" s="3">
        <v>6</v>
      </c>
      <c r="BK14" s="3">
        <v>6</v>
      </c>
      <c r="BL14" s="3">
        <v>6</v>
      </c>
      <c r="BN14" s="3">
        <v>4</v>
      </c>
      <c r="BO14" s="3">
        <v>3</v>
      </c>
      <c r="BP14" s="3">
        <v>5</v>
      </c>
      <c r="BQ14" s="3">
        <v>4</v>
      </c>
      <c r="BS14" s="3">
        <v>0.36100000143051147</v>
      </c>
      <c r="BT14" s="3">
        <v>0.51099997758865356</v>
      </c>
      <c r="BU14" s="3">
        <v>0.34400001168251038</v>
      </c>
      <c r="BV14" s="3">
        <v>0.18600000441074371</v>
      </c>
      <c r="BX14" s="3">
        <v>0</v>
      </c>
      <c r="BY14" s="3">
        <v>0.28299999999999997</v>
      </c>
      <c r="BZ14" s="3">
        <v>0</v>
      </c>
      <c r="CA14" s="3">
        <v>0.39999999999999991</v>
      </c>
      <c r="CC14" s="3">
        <v>0</v>
      </c>
      <c r="CD14" s="3">
        <v>0</v>
      </c>
      <c r="CE14" s="3">
        <v>0</v>
      </c>
      <c r="CF14" s="3">
        <v>0.41700005531311035</v>
      </c>
      <c r="CH14" s="3">
        <v>0</v>
      </c>
      <c r="CI14" s="3">
        <v>0</v>
      </c>
      <c r="CJ14" s="3">
        <v>0</v>
      </c>
      <c r="CK14" s="3">
        <v>1</v>
      </c>
      <c r="CM14" s="3">
        <v>0</v>
      </c>
      <c r="CN14" s="3">
        <v>2</v>
      </c>
      <c r="CO14" s="3">
        <v>0</v>
      </c>
      <c r="CP14" s="3">
        <v>1</v>
      </c>
      <c r="CR14" s="3">
        <v>4.0149999999999997</v>
      </c>
      <c r="CS14" s="3">
        <v>4.0110000000000001</v>
      </c>
      <c r="CT14" s="3">
        <v>4.0119999999999996</v>
      </c>
      <c r="CU14" s="3">
        <v>2.3020000457763672</v>
      </c>
    </row>
    <row r="15" spans="1:99" s="3" customFormat="1" x14ac:dyDescent="0.35">
      <c r="A15" s="2" t="s">
        <v>13</v>
      </c>
      <c r="B15" s="2">
        <v>5</v>
      </c>
      <c r="C15" s="2" t="s">
        <v>168</v>
      </c>
      <c r="D15" s="2" t="s">
        <v>403</v>
      </c>
      <c r="F15" s="3">
        <v>1000</v>
      </c>
      <c r="G15" s="3">
        <v>2.8649999999999998</v>
      </c>
      <c r="H15" s="3">
        <v>4.016</v>
      </c>
      <c r="I15" s="3">
        <v>0</v>
      </c>
      <c r="K15" s="3">
        <v>1000</v>
      </c>
      <c r="L15" s="3">
        <v>2.4160000000000004</v>
      </c>
      <c r="M15" s="3">
        <v>3.6320000000000001</v>
      </c>
      <c r="N15" s="3">
        <v>1000</v>
      </c>
      <c r="P15" s="3">
        <v>1000</v>
      </c>
      <c r="Q15" s="3">
        <v>2.0159996747970581</v>
      </c>
      <c r="R15" s="3">
        <v>3.4329996705055237</v>
      </c>
      <c r="S15" s="3">
        <v>1000</v>
      </c>
      <c r="U15" s="3">
        <v>1000</v>
      </c>
      <c r="V15" s="3">
        <v>6</v>
      </c>
      <c r="W15" s="3">
        <v>8</v>
      </c>
      <c r="X15" s="3">
        <v>1000</v>
      </c>
      <c r="Z15" s="3">
        <v>1000</v>
      </c>
      <c r="AA15" s="3">
        <v>2.4160000000000004</v>
      </c>
      <c r="AB15" s="3">
        <v>3.6320000000000001</v>
      </c>
      <c r="AC15" s="3">
        <v>1000</v>
      </c>
      <c r="AE15" s="3">
        <v>1000</v>
      </c>
      <c r="AF15" s="3">
        <v>2.0159996747970581</v>
      </c>
      <c r="AG15" s="3">
        <v>3.4329996705055237</v>
      </c>
      <c r="AH15" s="3">
        <v>1000</v>
      </c>
      <c r="AJ15" s="3">
        <v>1000</v>
      </c>
      <c r="AK15" s="3">
        <v>6</v>
      </c>
      <c r="AL15" s="3">
        <v>8</v>
      </c>
      <c r="AM15" s="3">
        <v>1000</v>
      </c>
      <c r="AO15" s="3">
        <v>1000</v>
      </c>
      <c r="AP15" s="3">
        <v>2</v>
      </c>
      <c r="AQ15" s="3">
        <v>1</v>
      </c>
      <c r="AR15" s="3">
        <v>1000</v>
      </c>
      <c r="AT15" s="3">
        <v>1000</v>
      </c>
      <c r="AU15" s="3">
        <v>0.49900001287460327</v>
      </c>
      <c r="AV15" s="3">
        <v>0.43500000238418579</v>
      </c>
      <c r="AW15" s="3">
        <v>1000</v>
      </c>
      <c r="AY15" s="3">
        <v>1000</v>
      </c>
      <c r="AZ15" s="3">
        <v>1.133</v>
      </c>
      <c r="BA15" s="3">
        <v>0.94900000000000007</v>
      </c>
      <c r="BB15" s="3">
        <v>1000</v>
      </c>
      <c r="BD15" s="3">
        <v>1000</v>
      </c>
      <c r="BE15" s="3">
        <v>1.5159998536109924</v>
      </c>
      <c r="BF15" s="3">
        <v>1.399999737739563</v>
      </c>
      <c r="BG15" s="3">
        <v>1000</v>
      </c>
      <c r="BI15" s="3">
        <v>1000</v>
      </c>
      <c r="BJ15" s="3">
        <v>4</v>
      </c>
      <c r="BK15" s="3">
        <v>3</v>
      </c>
      <c r="BL15" s="3">
        <v>1000</v>
      </c>
      <c r="BN15" s="3">
        <v>1000</v>
      </c>
      <c r="BO15" s="3">
        <v>2</v>
      </c>
      <c r="BP15" s="3">
        <v>3</v>
      </c>
      <c r="BQ15" s="3">
        <v>1000</v>
      </c>
      <c r="BS15" s="3">
        <v>1000</v>
      </c>
      <c r="BT15" s="3">
        <v>0.86599999666213989</v>
      </c>
      <c r="BU15" s="3">
        <v>1.1180000305175781</v>
      </c>
      <c r="BV15" s="3">
        <v>1000</v>
      </c>
      <c r="BX15" s="3">
        <v>1000</v>
      </c>
      <c r="BY15" s="3">
        <v>3.2999999999999974E-2</v>
      </c>
      <c r="BZ15" s="3">
        <v>4.9999999999999989E-2</v>
      </c>
      <c r="CA15" s="3">
        <v>1000</v>
      </c>
      <c r="CC15" s="3">
        <v>1000</v>
      </c>
      <c r="CD15" s="3">
        <v>0</v>
      </c>
      <c r="CE15" s="3">
        <v>0</v>
      </c>
      <c r="CF15" s="3">
        <v>1000</v>
      </c>
      <c r="CH15" s="3">
        <v>1000</v>
      </c>
      <c r="CI15" s="3">
        <v>0</v>
      </c>
      <c r="CJ15" s="3">
        <v>0</v>
      </c>
      <c r="CK15" s="3">
        <v>1000</v>
      </c>
      <c r="CM15" s="3">
        <v>1000</v>
      </c>
      <c r="CN15" s="3">
        <v>1</v>
      </c>
      <c r="CO15" s="3">
        <v>1</v>
      </c>
      <c r="CP15" s="3">
        <v>1000</v>
      </c>
      <c r="CR15" s="3">
        <v>1000</v>
      </c>
      <c r="CS15" s="3">
        <v>4.0149999999999997</v>
      </c>
      <c r="CT15" s="3">
        <v>4.016</v>
      </c>
      <c r="CU15" s="3">
        <v>1000</v>
      </c>
    </row>
    <row r="16" spans="1:99" s="3" customFormat="1" x14ac:dyDescent="0.35">
      <c r="A16" s="2" t="s">
        <v>14</v>
      </c>
      <c r="B16" s="2">
        <v>3.75</v>
      </c>
      <c r="C16" s="2" t="s">
        <v>168</v>
      </c>
      <c r="D16" s="2" t="s">
        <v>403</v>
      </c>
      <c r="F16" s="3">
        <v>1.734</v>
      </c>
      <c r="G16" s="3">
        <v>1.5840000000000005</v>
      </c>
      <c r="H16" s="3">
        <v>2.3439999999999999</v>
      </c>
      <c r="I16" s="3">
        <v>4.0209999999999999</v>
      </c>
      <c r="K16" s="3">
        <v>1000</v>
      </c>
      <c r="L16" s="3">
        <v>1000</v>
      </c>
      <c r="M16" s="3">
        <v>2.3329999999999997</v>
      </c>
      <c r="N16" s="3">
        <v>4.016</v>
      </c>
      <c r="P16" s="3">
        <v>1000</v>
      </c>
      <c r="Q16" s="3">
        <v>1000</v>
      </c>
      <c r="R16" s="3">
        <v>2.1489999666810036</v>
      </c>
      <c r="S16" s="3">
        <v>3.1810001046396792</v>
      </c>
      <c r="U16" s="3">
        <v>1000</v>
      </c>
      <c r="V16" s="3">
        <v>1000</v>
      </c>
      <c r="W16" s="3">
        <v>6</v>
      </c>
      <c r="X16" s="3">
        <v>12</v>
      </c>
      <c r="Z16" s="3">
        <v>1000</v>
      </c>
      <c r="AA16" s="3">
        <v>1000</v>
      </c>
      <c r="AB16" s="3">
        <v>1.849</v>
      </c>
      <c r="AC16" s="3">
        <v>2.9490000000000003</v>
      </c>
      <c r="AE16" s="3">
        <v>1000</v>
      </c>
      <c r="AF16" s="3">
        <v>1000</v>
      </c>
      <c r="AG16" s="3">
        <v>1.5499999895691872</v>
      </c>
      <c r="AH16" s="3">
        <v>2.5140000493265688</v>
      </c>
      <c r="AJ16" s="3">
        <v>1000</v>
      </c>
      <c r="AK16" s="3">
        <v>1000</v>
      </c>
      <c r="AL16" s="3">
        <v>4</v>
      </c>
      <c r="AM16" s="3">
        <v>10</v>
      </c>
      <c r="AO16" s="3">
        <v>1000</v>
      </c>
      <c r="AP16" s="3">
        <v>1000</v>
      </c>
      <c r="AQ16" s="3">
        <v>2</v>
      </c>
      <c r="AR16" s="3">
        <v>5</v>
      </c>
      <c r="AT16" s="3">
        <v>1000</v>
      </c>
      <c r="AU16" s="3">
        <v>1000</v>
      </c>
      <c r="AV16" s="3">
        <v>1.0999999940395355E-2</v>
      </c>
      <c r="AW16" s="3">
        <v>3.0000000260770321E-3</v>
      </c>
      <c r="AY16" s="3">
        <v>1000</v>
      </c>
      <c r="AZ16" s="3">
        <v>1000</v>
      </c>
      <c r="BA16" s="3">
        <v>8.4000000000000075E-2</v>
      </c>
      <c r="BB16" s="3">
        <v>0.7350000000000001</v>
      </c>
      <c r="BD16" s="3">
        <v>1000</v>
      </c>
      <c r="BE16" s="3">
        <v>1000</v>
      </c>
      <c r="BF16" s="3">
        <v>0</v>
      </c>
      <c r="BG16" s="3">
        <v>0.98300004005432129</v>
      </c>
      <c r="BI16" s="3">
        <v>1000</v>
      </c>
      <c r="BJ16" s="3">
        <v>1000</v>
      </c>
      <c r="BK16" s="3">
        <v>0</v>
      </c>
      <c r="BL16" s="3">
        <v>3</v>
      </c>
      <c r="BN16" s="3">
        <v>1000</v>
      </c>
      <c r="BO16" s="3">
        <v>1000</v>
      </c>
      <c r="BP16" s="3">
        <v>1</v>
      </c>
      <c r="BQ16" s="3">
        <v>6</v>
      </c>
      <c r="BS16" s="3">
        <v>1000</v>
      </c>
      <c r="BT16" s="3">
        <v>1000</v>
      </c>
      <c r="BU16" s="3">
        <v>4.0259999999999998</v>
      </c>
      <c r="BV16" s="3">
        <v>0.43599998950958252</v>
      </c>
      <c r="BX16" s="3">
        <v>1000</v>
      </c>
      <c r="BY16" s="3">
        <v>1000</v>
      </c>
      <c r="BZ16" s="3">
        <v>0</v>
      </c>
      <c r="CA16" s="3">
        <v>0.26600000000000001</v>
      </c>
      <c r="CC16" s="3">
        <v>1000</v>
      </c>
      <c r="CD16" s="3">
        <v>1000</v>
      </c>
      <c r="CE16" s="3">
        <v>0</v>
      </c>
      <c r="CF16" s="3">
        <v>0</v>
      </c>
      <c r="CH16" s="3">
        <v>1000</v>
      </c>
      <c r="CI16" s="3">
        <v>1000</v>
      </c>
      <c r="CJ16" s="3">
        <v>0</v>
      </c>
      <c r="CK16" s="3">
        <v>0</v>
      </c>
      <c r="CM16" s="3">
        <v>1000</v>
      </c>
      <c r="CN16" s="3">
        <v>1000</v>
      </c>
      <c r="CO16" s="3">
        <v>0</v>
      </c>
      <c r="CP16" s="3">
        <v>3</v>
      </c>
      <c r="CR16" s="3">
        <v>1000</v>
      </c>
      <c r="CS16" s="3">
        <v>1000</v>
      </c>
      <c r="CT16" s="3">
        <v>4.0259999999999998</v>
      </c>
      <c r="CU16" s="3">
        <v>4.0209999999999999</v>
      </c>
    </row>
    <row r="17" spans="1:99" s="3" customFormat="1" x14ac:dyDescent="0.35">
      <c r="A17" s="2" t="s">
        <v>15</v>
      </c>
      <c r="B17" s="2">
        <v>8.25</v>
      </c>
      <c r="C17" s="2" t="s">
        <v>168</v>
      </c>
      <c r="D17" s="2" t="s">
        <v>403</v>
      </c>
      <c r="F17" s="3">
        <v>4.016</v>
      </c>
      <c r="G17" s="3">
        <v>4.016</v>
      </c>
      <c r="H17" s="3">
        <v>4.016</v>
      </c>
      <c r="I17" s="3">
        <v>4.0149999999999997</v>
      </c>
      <c r="K17" s="3">
        <v>3.9980000000000002</v>
      </c>
      <c r="L17" s="3">
        <v>3.8330000000000002</v>
      </c>
      <c r="M17" s="3">
        <v>3.9989999999999997</v>
      </c>
      <c r="N17" s="3">
        <v>3.9990000000000001</v>
      </c>
      <c r="P17" s="3">
        <v>3.998000156134367</v>
      </c>
      <c r="Q17" s="3">
        <v>3.4679996091872454</v>
      </c>
      <c r="R17" s="3">
        <v>3.7160003185272217</v>
      </c>
      <c r="S17" s="3">
        <v>3.7479998340131715</v>
      </c>
      <c r="U17" s="3">
        <v>1</v>
      </c>
      <c r="V17" s="3">
        <v>9</v>
      </c>
      <c r="W17" s="3">
        <v>5</v>
      </c>
      <c r="X17" s="3">
        <v>8</v>
      </c>
      <c r="Z17" s="3">
        <v>3.9980000000000002</v>
      </c>
      <c r="AA17" s="3">
        <v>3.7170000000000001</v>
      </c>
      <c r="AB17" s="3">
        <v>3.9989999999999997</v>
      </c>
      <c r="AC17" s="3">
        <v>3.3319999999999999</v>
      </c>
      <c r="AE17" s="3">
        <v>3.998000156134367</v>
      </c>
      <c r="AF17" s="3">
        <v>3.4679996091872454</v>
      </c>
      <c r="AG17" s="3">
        <v>3.7160003185272217</v>
      </c>
      <c r="AH17" s="3">
        <v>3.1319998969556764</v>
      </c>
      <c r="AJ17" s="3">
        <v>1</v>
      </c>
      <c r="AK17" s="3">
        <v>9</v>
      </c>
      <c r="AL17" s="3">
        <v>5</v>
      </c>
      <c r="AM17" s="3">
        <v>7</v>
      </c>
      <c r="AO17" s="3">
        <v>1</v>
      </c>
      <c r="AP17" s="3">
        <v>2</v>
      </c>
      <c r="AQ17" s="3">
        <v>1</v>
      </c>
      <c r="AR17" s="3">
        <v>2</v>
      </c>
      <c r="AT17" s="3">
        <v>1.3000000268220901E-2</v>
      </c>
      <c r="AU17" s="3">
        <v>1.6000000759959221E-2</v>
      </c>
      <c r="AV17" s="3">
        <v>0.22699999809265137</v>
      </c>
      <c r="AW17" s="3">
        <v>1.0000000474974513E-3</v>
      </c>
      <c r="AY17" s="3">
        <v>3.9980000000000002</v>
      </c>
      <c r="AZ17" s="3">
        <v>0.95</v>
      </c>
      <c r="BA17" s="3">
        <v>3.5489999999999999</v>
      </c>
      <c r="BB17" s="3">
        <v>2.4319999999999999</v>
      </c>
      <c r="BD17" s="3">
        <v>3.998000156134367</v>
      </c>
      <c r="BE17" s="3">
        <v>1.1169998962432146</v>
      </c>
      <c r="BF17" s="3">
        <v>3.4320003390312195</v>
      </c>
      <c r="BG17" s="3">
        <v>2.3159999251365662</v>
      </c>
      <c r="BI17" s="3">
        <v>1</v>
      </c>
      <c r="BJ17" s="3">
        <v>2</v>
      </c>
      <c r="BK17" s="3">
        <v>4</v>
      </c>
      <c r="BL17" s="3">
        <v>5</v>
      </c>
      <c r="BN17" s="3">
        <v>1</v>
      </c>
      <c r="BO17" s="3">
        <v>2</v>
      </c>
      <c r="BP17" s="3">
        <v>2</v>
      </c>
      <c r="BQ17" s="3">
        <v>3</v>
      </c>
      <c r="BS17" s="3">
        <v>1.3000000268220901E-2</v>
      </c>
      <c r="BT17" s="3">
        <v>1.6000000759959221E-2</v>
      </c>
      <c r="BU17" s="3">
        <v>0.52700001001358032</v>
      </c>
      <c r="BV17" s="3">
        <v>0.51800000667572021</v>
      </c>
      <c r="BX17" s="3">
        <v>0</v>
      </c>
      <c r="BY17" s="3">
        <v>8.4000000000000075E-2</v>
      </c>
      <c r="BZ17" s="3">
        <v>1.6999999999999998E-2</v>
      </c>
      <c r="CA17" s="3">
        <v>0</v>
      </c>
      <c r="CC17" s="3">
        <v>0</v>
      </c>
      <c r="CD17" s="3">
        <v>9.9999904632568359E-2</v>
      </c>
      <c r="CE17" s="3">
        <v>0</v>
      </c>
      <c r="CF17" s="3">
        <v>0</v>
      </c>
      <c r="CH17" s="3">
        <v>0</v>
      </c>
      <c r="CI17" s="3">
        <v>1</v>
      </c>
      <c r="CJ17" s="3">
        <v>0</v>
      </c>
      <c r="CK17" s="3">
        <v>0</v>
      </c>
      <c r="CM17" s="3">
        <v>0</v>
      </c>
      <c r="CN17" s="3">
        <v>1</v>
      </c>
      <c r="CO17" s="3">
        <v>1</v>
      </c>
      <c r="CP17" s="3">
        <v>0</v>
      </c>
      <c r="CR17" s="3">
        <v>4.016</v>
      </c>
      <c r="CS17" s="3">
        <v>1.9830000400543213</v>
      </c>
      <c r="CT17" s="3">
        <v>4.016</v>
      </c>
      <c r="CU17" s="3">
        <v>4.0149999999999997</v>
      </c>
    </row>
    <row r="18" spans="1:99" s="3" customFormat="1" x14ac:dyDescent="0.35">
      <c r="A18" s="2" t="s">
        <v>16</v>
      </c>
      <c r="B18" s="2">
        <v>5.5</v>
      </c>
      <c r="C18" s="2" t="s">
        <v>167</v>
      </c>
      <c r="D18" s="2" t="s">
        <v>403</v>
      </c>
      <c r="F18" s="3">
        <v>4.0039999999999996</v>
      </c>
      <c r="G18" s="3">
        <v>4.016</v>
      </c>
      <c r="H18" s="3">
        <v>4.0039999999999996</v>
      </c>
      <c r="I18" s="3">
        <v>2.2419999999999995</v>
      </c>
      <c r="K18" s="3">
        <v>3.9990000000000001</v>
      </c>
      <c r="L18" s="3">
        <v>3.9990000000000001</v>
      </c>
      <c r="M18" s="3">
        <v>3.9490000000000003</v>
      </c>
      <c r="N18" s="3">
        <v>2.0169999999999999</v>
      </c>
      <c r="P18" s="3">
        <v>3.1830001547932625</v>
      </c>
      <c r="Q18" s="3">
        <v>3.850000218488276</v>
      </c>
      <c r="R18" s="3">
        <v>3.5969999730587006</v>
      </c>
      <c r="S18" s="3">
        <v>1.8480000235140324</v>
      </c>
      <c r="U18" s="3">
        <v>12</v>
      </c>
      <c r="V18" s="3">
        <v>10</v>
      </c>
      <c r="W18" s="3">
        <v>15</v>
      </c>
      <c r="X18" s="3">
        <v>7</v>
      </c>
      <c r="Z18" s="3">
        <v>3.9990000000000001</v>
      </c>
      <c r="AA18" s="3">
        <v>3.9990000000000001</v>
      </c>
      <c r="AB18" s="3">
        <v>3.8660000000000001</v>
      </c>
      <c r="AC18" s="3">
        <v>1.6680000000000001</v>
      </c>
      <c r="AE18" s="3">
        <v>3.1830001547932625</v>
      </c>
      <c r="AF18" s="3">
        <v>3.850000218488276</v>
      </c>
      <c r="AG18" s="3">
        <v>3.5969999730587006</v>
      </c>
      <c r="AH18" s="3">
        <v>1.4310000874102116</v>
      </c>
      <c r="AJ18" s="3">
        <v>12</v>
      </c>
      <c r="AK18" s="3">
        <v>10</v>
      </c>
      <c r="AL18" s="3">
        <v>15</v>
      </c>
      <c r="AM18" s="3">
        <v>6</v>
      </c>
      <c r="AO18" s="3">
        <v>1</v>
      </c>
      <c r="AP18" s="3">
        <v>1</v>
      </c>
      <c r="AQ18" s="3">
        <v>1</v>
      </c>
      <c r="AR18" s="3">
        <v>4</v>
      </c>
      <c r="AT18" s="3">
        <v>7.1000002324581146E-2</v>
      </c>
      <c r="AU18" s="3">
        <v>1.4999999664723873E-2</v>
      </c>
      <c r="AV18" s="3">
        <v>0.13199999928474426</v>
      </c>
      <c r="AW18" s="3">
        <v>3.2000001519918442E-2</v>
      </c>
      <c r="AY18" s="3">
        <v>1.0149999999999997</v>
      </c>
      <c r="AZ18" s="3">
        <v>2.1820000000000004</v>
      </c>
      <c r="BA18" s="3">
        <v>2.1660000000000004</v>
      </c>
      <c r="BB18" s="3">
        <v>0.69899999999999984</v>
      </c>
      <c r="BD18" s="3">
        <v>1.1169999837875366</v>
      </c>
      <c r="BE18" s="3">
        <v>2.2330001294612885</v>
      </c>
      <c r="BF18" s="3">
        <v>1.8139998912811279</v>
      </c>
      <c r="BG18" s="3">
        <v>0.73200008273124695</v>
      </c>
      <c r="BI18" s="3">
        <v>4</v>
      </c>
      <c r="BJ18" s="3">
        <v>5</v>
      </c>
      <c r="BK18" s="3">
        <v>7</v>
      </c>
      <c r="BL18" s="3">
        <v>4</v>
      </c>
      <c r="BN18" s="3">
        <v>5</v>
      </c>
      <c r="BO18" s="3">
        <v>4</v>
      </c>
      <c r="BP18" s="3">
        <v>3</v>
      </c>
      <c r="BQ18" s="3">
        <v>5</v>
      </c>
      <c r="BS18" s="3">
        <v>0.85399997234344482</v>
      </c>
      <c r="BT18" s="3">
        <v>0.49799999594688416</v>
      </c>
      <c r="BU18" s="3">
        <v>1.3990000486373901</v>
      </c>
      <c r="BV18" s="3">
        <v>0.38199999928474426</v>
      </c>
      <c r="BX18" s="3">
        <v>0.56700000000000039</v>
      </c>
      <c r="BY18" s="3">
        <v>0.43399999999999983</v>
      </c>
      <c r="BZ18" s="3">
        <v>0.20000000000000018</v>
      </c>
      <c r="CA18" s="3">
        <v>0</v>
      </c>
      <c r="CC18" s="3">
        <v>0.55000007152557373</v>
      </c>
      <c r="CD18" s="3">
        <v>0.26699995994567871</v>
      </c>
      <c r="CE18" s="3">
        <v>0.31700015068054199</v>
      </c>
      <c r="CF18" s="3">
        <v>0</v>
      </c>
      <c r="CH18" s="3">
        <v>2</v>
      </c>
      <c r="CI18" s="3">
        <v>1</v>
      </c>
      <c r="CJ18" s="3">
        <v>1</v>
      </c>
      <c r="CK18" s="3">
        <v>0</v>
      </c>
      <c r="CM18" s="3">
        <v>5</v>
      </c>
      <c r="CN18" s="3">
        <v>3</v>
      </c>
      <c r="CO18" s="3">
        <v>2</v>
      </c>
      <c r="CP18" s="3">
        <v>3</v>
      </c>
      <c r="CR18" s="3">
        <v>1.9199999570846558</v>
      </c>
      <c r="CS18" s="3">
        <v>3.2309999465942383</v>
      </c>
      <c r="CT18" s="3">
        <v>2.747999906539917</v>
      </c>
      <c r="CU18" s="3">
        <v>4.0069999999999997</v>
      </c>
    </row>
    <row r="19" spans="1:99" s="3" customFormat="1" x14ac:dyDescent="0.35">
      <c r="A19" s="2" t="s">
        <v>17</v>
      </c>
      <c r="B19" s="2">
        <v>2.6666666666666665</v>
      </c>
      <c r="C19" s="2" t="s">
        <v>168</v>
      </c>
      <c r="D19" s="2" t="s">
        <v>403</v>
      </c>
      <c r="F19" s="3">
        <v>4.0229999999999997</v>
      </c>
      <c r="G19" s="3">
        <v>4.0250000000000004</v>
      </c>
      <c r="H19" s="3">
        <v>4.0119999999999996</v>
      </c>
      <c r="I19" s="3">
        <v>4.01</v>
      </c>
      <c r="K19" s="3">
        <v>3.516</v>
      </c>
      <c r="L19" s="3">
        <v>3.9989999999999997</v>
      </c>
      <c r="M19" s="3">
        <v>4</v>
      </c>
      <c r="N19" s="3">
        <v>3.3160000000000003</v>
      </c>
      <c r="P19" s="3">
        <v>1.5179999768733978</v>
      </c>
      <c r="Q19" s="3">
        <v>0.96400009840726852</v>
      </c>
      <c r="R19" s="3">
        <v>2.4979994595050812</v>
      </c>
      <c r="S19" s="3">
        <v>0.13300001621246338</v>
      </c>
      <c r="U19" s="3">
        <v>9</v>
      </c>
      <c r="V19" s="3">
        <v>7</v>
      </c>
      <c r="W19" s="3">
        <v>16</v>
      </c>
      <c r="X19" s="3">
        <v>1</v>
      </c>
      <c r="Z19" s="3">
        <v>3.2489999999999997</v>
      </c>
      <c r="AA19" s="3">
        <v>3.8319999999999999</v>
      </c>
      <c r="AB19" s="3">
        <v>4</v>
      </c>
      <c r="AC19" s="3">
        <v>3.0830000000000002</v>
      </c>
      <c r="AE19" s="3">
        <v>1.3009999990463257</v>
      </c>
      <c r="AF19" s="3">
        <v>0.96400009840726852</v>
      </c>
      <c r="AG19" s="3">
        <v>2.4979994595050812</v>
      </c>
      <c r="AH19" s="3">
        <v>0.13300001621246338</v>
      </c>
      <c r="AJ19" s="3">
        <v>8</v>
      </c>
      <c r="AK19" s="3">
        <v>7</v>
      </c>
      <c r="AL19" s="3">
        <v>16</v>
      </c>
      <c r="AM19" s="3">
        <v>1</v>
      </c>
      <c r="AO19" s="3">
        <v>2</v>
      </c>
      <c r="AP19" s="3">
        <v>3</v>
      </c>
      <c r="AQ19" s="3">
        <v>1</v>
      </c>
      <c r="AR19" s="3">
        <v>6</v>
      </c>
      <c r="AT19" s="3">
        <v>1.281000018119812</v>
      </c>
      <c r="AU19" s="3">
        <v>5.4999999701976776E-2</v>
      </c>
      <c r="AV19" s="3">
        <v>0.27300000190734863</v>
      </c>
      <c r="AW19" s="3">
        <v>1.3070000410079956</v>
      </c>
      <c r="AY19" s="3">
        <v>0.66699999999999871</v>
      </c>
      <c r="AZ19" s="3">
        <v>0.4630000000000003</v>
      </c>
      <c r="BA19" s="3">
        <v>0.56599999999999961</v>
      </c>
      <c r="BB19" s="3">
        <v>0.21599999999999953</v>
      </c>
      <c r="BD19" s="3">
        <v>0.5829998254776001</v>
      </c>
      <c r="BE19" s="3">
        <v>0.23199993371963501</v>
      </c>
      <c r="BF19" s="3">
        <v>0.66599991917610168</v>
      </c>
      <c r="BG19" s="3">
        <v>0</v>
      </c>
      <c r="BI19" s="3">
        <v>4</v>
      </c>
      <c r="BJ19" s="3">
        <v>2</v>
      </c>
      <c r="BK19" s="3">
        <v>4</v>
      </c>
      <c r="BL19" s="3">
        <v>0</v>
      </c>
      <c r="BN19" s="3">
        <v>21</v>
      </c>
      <c r="BO19" s="3">
        <v>24</v>
      </c>
      <c r="BP19" s="3">
        <v>7</v>
      </c>
      <c r="BQ19" s="3">
        <v>9</v>
      </c>
      <c r="BS19" s="3">
        <v>1.281000018119812</v>
      </c>
      <c r="BT19" s="3">
        <v>0.33799999952316284</v>
      </c>
      <c r="BU19" s="3">
        <v>0.27300000190734863</v>
      </c>
      <c r="BV19" s="3">
        <v>4.01</v>
      </c>
      <c r="BX19" s="3">
        <v>0</v>
      </c>
      <c r="BY19" s="3">
        <v>0.16599999999999993</v>
      </c>
      <c r="BZ19" s="3">
        <v>1.6999999999999904E-2</v>
      </c>
      <c r="CA19" s="3">
        <v>1.6000000000000014E-2</v>
      </c>
      <c r="CC19" s="3">
        <v>0</v>
      </c>
      <c r="CD19" s="3">
        <v>0.16600000113248825</v>
      </c>
      <c r="CE19" s="3">
        <v>0</v>
      </c>
      <c r="CF19" s="3">
        <v>0</v>
      </c>
      <c r="CH19" s="3">
        <v>0</v>
      </c>
      <c r="CI19" s="3">
        <v>1</v>
      </c>
      <c r="CJ19" s="3">
        <v>0</v>
      </c>
      <c r="CK19" s="3">
        <v>0</v>
      </c>
      <c r="CM19" s="3">
        <v>1</v>
      </c>
      <c r="CN19" s="3">
        <v>2</v>
      </c>
      <c r="CO19" s="3">
        <v>1</v>
      </c>
      <c r="CP19" s="3">
        <v>4</v>
      </c>
      <c r="CR19" s="3">
        <v>4.0229999999999997</v>
      </c>
      <c r="CS19" s="3">
        <v>5.4999999701976776E-2</v>
      </c>
      <c r="CT19" s="3">
        <v>4.0119999999999996</v>
      </c>
      <c r="CU19" s="3">
        <v>4.01</v>
      </c>
    </row>
    <row r="20" spans="1:99" s="3" customFormat="1" x14ac:dyDescent="0.35">
      <c r="A20" s="2" t="s">
        <v>18</v>
      </c>
      <c r="B20" s="2">
        <v>8</v>
      </c>
      <c r="C20" s="2" t="s">
        <v>168</v>
      </c>
      <c r="D20" s="2" t="s">
        <v>403</v>
      </c>
      <c r="F20" s="3">
        <v>4.0149999999999997</v>
      </c>
      <c r="G20" s="3">
        <v>4.0149999999999997</v>
      </c>
      <c r="H20" s="3">
        <v>4.016</v>
      </c>
      <c r="I20" s="3">
        <v>4.016</v>
      </c>
      <c r="K20" s="3">
        <v>3.915</v>
      </c>
      <c r="L20" s="3">
        <v>3.9989999999999997</v>
      </c>
      <c r="M20" s="3">
        <v>3.7330000000000001</v>
      </c>
      <c r="N20" s="3">
        <v>3.9989999999999997</v>
      </c>
      <c r="P20" s="3">
        <v>0.91399981081485748</v>
      </c>
      <c r="Q20" s="3">
        <v>2.1839998960494995</v>
      </c>
      <c r="R20" s="3">
        <v>1.3660001456737518</v>
      </c>
      <c r="S20" s="3">
        <v>1.6519997417926788</v>
      </c>
      <c r="U20" s="3">
        <v>5</v>
      </c>
      <c r="V20" s="3">
        <v>10</v>
      </c>
      <c r="W20" s="3">
        <v>9</v>
      </c>
      <c r="X20" s="3">
        <v>11</v>
      </c>
      <c r="Z20" s="3">
        <v>3.298</v>
      </c>
      <c r="AA20" s="3">
        <v>3.9660000000000002</v>
      </c>
      <c r="AB20" s="3">
        <v>2.9830000000000001</v>
      </c>
      <c r="AC20" s="3">
        <v>3.9989999999999997</v>
      </c>
      <c r="AE20" s="3">
        <v>0.91399981081485748</v>
      </c>
      <c r="AF20" s="3">
        <v>2.1839998960494995</v>
      </c>
      <c r="AG20" s="3">
        <v>0.99900004267692566</v>
      </c>
      <c r="AH20" s="3">
        <v>1.6519997417926788</v>
      </c>
      <c r="AJ20" s="3">
        <v>5</v>
      </c>
      <c r="AK20" s="3">
        <v>10</v>
      </c>
      <c r="AL20" s="3">
        <v>8</v>
      </c>
      <c r="AM20" s="3">
        <v>11</v>
      </c>
      <c r="AO20" s="3">
        <v>2</v>
      </c>
      <c r="AP20" s="3">
        <v>2</v>
      </c>
      <c r="AQ20" s="3">
        <v>7</v>
      </c>
      <c r="AR20" s="3">
        <v>1</v>
      </c>
      <c r="AT20" s="3">
        <v>0.17499999701976776</v>
      </c>
      <c r="AU20" s="3">
        <v>0.4440000057220459</v>
      </c>
      <c r="AV20" s="3">
        <v>0.42800000309944153</v>
      </c>
      <c r="AW20" s="3">
        <v>0.29600000381469727</v>
      </c>
      <c r="AY20" s="3">
        <v>5.0000000000000044E-2</v>
      </c>
      <c r="AZ20" s="3">
        <v>0.98199999999999998</v>
      </c>
      <c r="BA20" s="3">
        <v>8.2999999999999741E-2</v>
      </c>
      <c r="BB20" s="3">
        <v>0.23300000000000026</v>
      </c>
      <c r="BD20" s="3">
        <v>0</v>
      </c>
      <c r="BE20" s="3">
        <v>1.284000039100647</v>
      </c>
      <c r="BF20" s="3">
        <v>0.11700010299682617</v>
      </c>
      <c r="BG20" s="3">
        <v>0.23400005698204041</v>
      </c>
      <c r="BI20" s="3">
        <v>0</v>
      </c>
      <c r="BJ20" s="3">
        <v>5</v>
      </c>
      <c r="BK20" s="3">
        <v>1</v>
      </c>
      <c r="BL20" s="3">
        <v>2</v>
      </c>
      <c r="BN20" s="3">
        <v>6</v>
      </c>
      <c r="BO20" s="3">
        <v>10</v>
      </c>
      <c r="BP20" s="3">
        <v>19</v>
      </c>
      <c r="BQ20" s="3">
        <v>9</v>
      </c>
      <c r="BS20" s="3">
        <v>4.0149999999999997</v>
      </c>
      <c r="BT20" s="3">
        <v>0.4440000057220459</v>
      </c>
      <c r="BU20" s="3">
        <v>2.2439999580383301</v>
      </c>
      <c r="BV20" s="3">
        <v>0.29600000381469727</v>
      </c>
      <c r="BX20" s="3">
        <v>9.8999999999999755E-2</v>
      </c>
      <c r="BY20" s="3">
        <v>0</v>
      </c>
      <c r="BZ20" s="3">
        <v>0.18400000000000033</v>
      </c>
      <c r="CA20" s="3">
        <v>0</v>
      </c>
      <c r="CC20" s="3">
        <v>0</v>
      </c>
      <c r="CD20" s="3">
        <v>0</v>
      </c>
      <c r="CE20" s="3">
        <v>0.23300015926361084</v>
      </c>
      <c r="CF20" s="3">
        <v>0</v>
      </c>
      <c r="CH20" s="3">
        <v>0</v>
      </c>
      <c r="CI20" s="3">
        <v>0</v>
      </c>
      <c r="CJ20" s="3">
        <v>2</v>
      </c>
      <c r="CK20" s="3">
        <v>0</v>
      </c>
      <c r="CM20" s="3">
        <v>4</v>
      </c>
      <c r="CN20" s="3">
        <v>0</v>
      </c>
      <c r="CO20" s="3">
        <v>8</v>
      </c>
      <c r="CP20" s="3">
        <v>0</v>
      </c>
      <c r="CR20" s="3">
        <v>4.0149999999999997</v>
      </c>
      <c r="CS20" s="3">
        <v>4.0149999999999997</v>
      </c>
      <c r="CT20" s="3">
        <v>1.5279999971389771</v>
      </c>
      <c r="CU20" s="3">
        <v>4.016</v>
      </c>
    </row>
    <row r="21" spans="1:99" s="3" customFormat="1" x14ac:dyDescent="0.35">
      <c r="A21" s="2" t="s">
        <v>19</v>
      </c>
      <c r="B21" s="2">
        <v>5.25</v>
      </c>
      <c r="C21" s="2" t="s">
        <v>168</v>
      </c>
      <c r="D21" s="2" t="s">
        <v>403</v>
      </c>
      <c r="F21" s="3">
        <v>4.016</v>
      </c>
      <c r="G21" s="3">
        <v>3.0939999999999999</v>
      </c>
      <c r="H21" s="3">
        <v>4.016</v>
      </c>
      <c r="I21" s="3">
        <v>4.016</v>
      </c>
      <c r="K21" s="3">
        <v>3.9989999999999997</v>
      </c>
      <c r="L21" s="3">
        <v>3.0819999999999999</v>
      </c>
      <c r="M21" s="3">
        <v>3.9990000000000001</v>
      </c>
      <c r="N21" s="3">
        <v>3.5489999999999999</v>
      </c>
      <c r="P21" s="3">
        <v>0.76700001955032349</v>
      </c>
      <c r="Q21" s="3">
        <v>0.7000001072883606</v>
      </c>
      <c r="R21" s="3">
        <v>0.25</v>
      </c>
      <c r="S21" s="3">
        <v>0.59999978542327881</v>
      </c>
      <c r="U21" s="3">
        <v>5</v>
      </c>
      <c r="V21" s="3">
        <v>6</v>
      </c>
      <c r="W21" s="3">
        <v>2</v>
      </c>
      <c r="X21" s="3">
        <v>5</v>
      </c>
      <c r="Z21" s="3">
        <v>2.2679999999999998</v>
      </c>
      <c r="AA21" s="3">
        <v>1.8820000000000001</v>
      </c>
      <c r="AB21" s="3">
        <v>1.766</v>
      </c>
      <c r="AC21" s="3">
        <v>2.5829999999999993</v>
      </c>
      <c r="AE21" s="3">
        <v>0.76700001955032349</v>
      </c>
      <c r="AF21" s="3">
        <v>0.58399993181228638</v>
      </c>
      <c r="AG21" s="3">
        <v>0.14999985694885254</v>
      </c>
      <c r="AH21" s="3">
        <v>0.46699988842010498</v>
      </c>
      <c r="AJ21" s="3">
        <v>5</v>
      </c>
      <c r="AK21" s="3">
        <v>5</v>
      </c>
      <c r="AL21" s="3">
        <v>1</v>
      </c>
      <c r="AM21" s="3">
        <v>4</v>
      </c>
      <c r="AO21" s="3">
        <v>28</v>
      </c>
      <c r="AP21" s="3">
        <v>7</v>
      </c>
      <c r="AQ21" s="3">
        <v>15</v>
      </c>
      <c r="AR21" s="3">
        <v>8</v>
      </c>
      <c r="AT21" s="3">
        <v>0.29899999499320984</v>
      </c>
      <c r="AU21" s="3">
        <v>0.52899998426437378</v>
      </c>
      <c r="AV21" s="3">
        <v>2.2890000343322754</v>
      </c>
      <c r="AW21" s="3">
        <v>1.3270000219345093</v>
      </c>
      <c r="AY21" s="3">
        <v>0.31699999999999984</v>
      </c>
      <c r="AZ21" s="3">
        <v>0.28199999999999986</v>
      </c>
      <c r="BA21" s="3">
        <v>4.8999999999999821E-2</v>
      </c>
      <c r="BB21" s="3">
        <v>0.45100000000000018</v>
      </c>
      <c r="BD21" s="3">
        <v>0.16699999570846558</v>
      </c>
      <c r="BE21" s="3">
        <v>0.11599999666213989</v>
      </c>
      <c r="BF21" s="3">
        <v>0</v>
      </c>
      <c r="BG21" s="3">
        <v>0.36699998378753662</v>
      </c>
      <c r="BI21" s="3">
        <v>1</v>
      </c>
      <c r="BJ21" s="3">
        <v>1</v>
      </c>
      <c r="BK21" s="3">
        <v>0</v>
      </c>
      <c r="BL21" s="3">
        <v>3</v>
      </c>
      <c r="BN21" s="3">
        <v>15</v>
      </c>
      <c r="BO21" s="3">
        <v>15</v>
      </c>
      <c r="BP21" s="3">
        <v>6</v>
      </c>
      <c r="BQ21" s="3">
        <v>13</v>
      </c>
      <c r="BS21" s="3">
        <v>0.29899999499320984</v>
      </c>
      <c r="BT21" s="3">
        <v>0.52899998426437378</v>
      </c>
      <c r="BU21" s="3">
        <v>4.016</v>
      </c>
      <c r="BV21" s="3">
        <v>1.3270000219345093</v>
      </c>
      <c r="BX21" s="3">
        <v>1.6000000000000014E-2</v>
      </c>
      <c r="BY21" s="3">
        <v>0</v>
      </c>
      <c r="BZ21" s="3">
        <v>0</v>
      </c>
      <c r="CA21" s="3">
        <v>8.3000000000000185E-2</v>
      </c>
      <c r="CC21" s="3">
        <v>0</v>
      </c>
      <c r="CD21" s="3">
        <v>0</v>
      </c>
      <c r="CE21" s="3">
        <v>0</v>
      </c>
      <c r="CF21" s="3">
        <v>9.9999904632568359E-2</v>
      </c>
      <c r="CH21" s="3">
        <v>0</v>
      </c>
      <c r="CI21" s="3">
        <v>0</v>
      </c>
      <c r="CJ21" s="3">
        <v>0</v>
      </c>
      <c r="CK21" s="3">
        <v>1</v>
      </c>
      <c r="CM21" s="3">
        <v>1</v>
      </c>
      <c r="CN21" s="3">
        <v>1</v>
      </c>
      <c r="CO21" s="3">
        <v>5</v>
      </c>
      <c r="CP21" s="3">
        <v>3</v>
      </c>
      <c r="CR21" s="3">
        <v>4.016</v>
      </c>
      <c r="CS21" s="3">
        <v>4.016</v>
      </c>
      <c r="CT21" s="3">
        <v>4.016</v>
      </c>
      <c r="CU21" s="3">
        <v>3.7100000381469727</v>
      </c>
    </row>
    <row r="22" spans="1:99" s="3" customFormat="1" x14ac:dyDescent="0.35">
      <c r="A22" s="2" t="s">
        <v>20</v>
      </c>
      <c r="B22" s="2">
        <v>9.5833333333333339</v>
      </c>
      <c r="C22" s="2" t="s">
        <v>167</v>
      </c>
      <c r="D22" s="2" t="s">
        <v>403</v>
      </c>
      <c r="F22" s="3">
        <v>4.008</v>
      </c>
      <c r="G22" s="3">
        <v>4.0010000000000003</v>
      </c>
      <c r="H22" s="3">
        <v>1.617</v>
      </c>
      <c r="I22" s="3">
        <v>4.016</v>
      </c>
      <c r="K22" s="3">
        <v>3.4319999999999999</v>
      </c>
      <c r="L22" s="3">
        <v>3.9820000000000002</v>
      </c>
      <c r="M22" s="3">
        <v>1000</v>
      </c>
      <c r="N22" s="3">
        <v>3.9489999999999998</v>
      </c>
      <c r="P22" s="3">
        <v>1.9659999907016754</v>
      </c>
      <c r="Q22" s="3">
        <v>1.3180000111460686</v>
      </c>
      <c r="R22" s="3">
        <v>1000</v>
      </c>
      <c r="S22" s="3">
        <v>2.0859995130449533</v>
      </c>
      <c r="U22" s="3">
        <v>11</v>
      </c>
      <c r="V22" s="3">
        <v>9</v>
      </c>
      <c r="W22" s="3">
        <v>1000</v>
      </c>
      <c r="X22" s="3">
        <v>10</v>
      </c>
      <c r="Z22" s="3">
        <v>3.1819999999999999</v>
      </c>
      <c r="AA22" s="3">
        <v>3.9820000000000002</v>
      </c>
      <c r="AB22" s="3">
        <v>1000</v>
      </c>
      <c r="AC22" s="3">
        <v>3.4820000000000002</v>
      </c>
      <c r="AE22" s="3">
        <v>1.7990001738071442</v>
      </c>
      <c r="AF22" s="3">
        <v>1.3180000111460686</v>
      </c>
      <c r="AG22" s="3">
        <v>1000</v>
      </c>
      <c r="AH22" s="3">
        <v>2.0859995130449533</v>
      </c>
      <c r="AJ22" s="3">
        <v>10</v>
      </c>
      <c r="AK22" s="3">
        <v>9</v>
      </c>
      <c r="AL22" s="3">
        <v>1000</v>
      </c>
      <c r="AM22" s="3">
        <v>10</v>
      </c>
      <c r="AO22" s="3">
        <v>3</v>
      </c>
      <c r="AP22" s="3">
        <v>1</v>
      </c>
      <c r="AQ22" s="3">
        <v>1000</v>
      </c>
      <c r="AR22" s="3">
        <v>3</v>
      </c>
      <c r="AT22" s="3">
        <v>0.460999995470047</v>
      </c>
      <c r="AU22" s="3">
        <v>1.7999999225139618E-2</v>
      </c>
      <c r="AV22" s="3">
        <v>1000</v>
      </c>
      <c r="AW22" s="3">
        <v>1.2000000104308128E-2</v>
      </c>
      <c r="AY22" s="3">
        <v>0.30100000000000027</v>
      </c>
      <c r="AZ22" s="3">
        <v>0.25000000000000022</v>
      </c>
      <c r="BA22" s="3">
        <v>1000</v>
      </c>
      <c r="BB22" s="3">
        <v>0.38300000000000012</v>
      </c>
      <c r="BD22" s="3">
        <v>0.28299999237060547</v>
      </c>
      <c r="BE22" s="3">
        <v>0.10000014305114746</v>
      </c>
      <c r="BF22" s="3">
        <v>1000</v>
      </c>
      <c r="BG22" s="3">
        <v>0.14999985694885254</v>
      </c>
      <c r="BI22" s="3">
        <v>2</v>
      </c>
      <c r="BJ22" s="3">
        <v>1</v>
      </c>
      <c r="BK22" s="3">
        <v>1000</v>
      </c>
      <c r="BL22" s="3">
        <v>1</v>
      </c>
      <c r="BN22" s="3">
        <v>7</v>
      </c>
      <c r="BO22" s="3">
        <v>9</v>
      </c>
      <c r="BP22" s="3">
        <v>1000</v>
      </c>
      <c r="BQ22" s="3">
        <v>8</v>
      </c>
      <c r="BS22" s="3">
        <v>1.593999981880188</v>
      </c>
      <c r="BT22" s="3">
        <v>2.0169999599456787</v>
      </c>
      <c r="BU22" s="3">
        <v>1000</v>
      </c>
      <c r="BV22" s="3">
        <v>2.0950000286102295</v>
      </c>
      <c r="BX22" s="3">
        <v>0.26600000000000001</v>
      </c>
      <c r="BY22" s="3">
        <v>0.43400000000000072</v>
      </c>
      <c r="BZ22" s="3">
        <v>1000</v>
      </c>
      <c r="CA22" s="3">
        <v>0.88400000000000034</v>
      </c>
      <c r="CC22" s="3">
        <v>0.28299999237060547</v>
      </c>
      <c r="CD22" s="3">
        <v>0.2499999925494194</v>
      </c>
      <c r="CE22" s="3">
        <v>1000</v>
      </c>
      <c r="CF22" s="3">
        <v>0.95099976100027561</v>
      </c>
      <c r="CH22" s="3">
        <v>1</v>
      </c>
      <c r="CI22" s="3">
        <v>2</v>
      </c>
      <c r="CJ22" s="3">
        <v>1000</v>
      </c>
      <c r="CK22" s="3">
        <v>4</v>
      </c>
      <c r="CM22" s="3">
        <v>3</v>
      </c>
      <c r="CN22" s="3">
        <v>12</v>
      </c>
      <c r="CO22" s="3">
        <v>1000</v>
      </c>
      <c r="CP22" s="3">
        <v>8</v>
      </c>
      <c r="CR22" s="3">
        <v>0.77799999713897705</v>
      </c>
      <c r="CS22" s="3">
        <v>1.7999999225139618E-2</v>
      </c>
      <c r="CT22" s="3">
        <v>1000</v>
      </c>
      <c r="CU22" s="3">
        <v>1.2000000104308128E-2</v>
      </c>
    </row>
    <row r="23" spans="1:99" s="3" customFormat="1" x14ac:dyDescent="0.35">
      <c r="A23" s="2" t="s">
        <v>21</v>
      </c>
      <c r="B23" s="2">
        <v>5.916666666666667</v>
      </c>
      <c r="C23" s="2" t="s">
        <v>168</v>
      </c>
      <c r="D23" s="2" t="s">
        <v>403</v>
      </c>
      <c r="F23" s="3">
        <v>1000</v>
      </c>
      <c r="G23" s="3">
        <v>1000</v>
      </c>
      <c r="H23" s="3">
        <v>3.2159999999999997</v>
      </c>
      <c r="I23" s="3">
        <v>4.0149999999999997</v>
      </c>
      <c r="K23" s="3">
        <v>1000</v>
      </c>
      <c r="L23" s="3">
        <v>1000</v>
      </c>
      <c r="M23" s="3">
        <v>2.5170000000000003</v>
      </c>
      <c r="N23" s="3">
        <v>3.9990000000000001</v>
      </c>
      <c r="P23" s="3">
        <v>1000</v>
      </c>
      <c r="Q23" s="3">
        <v>1000</v>
      </c>
      <c r="R23" s="3">
        <v>0.40099984407424927</v>
      </c>
      <c r="S23" s="3">
        <v>3.6990000428631902</v>
      </c>
      <c r="U23" s="3">
        <v>1000</v>
      </c>
      <c r="V23" s="3">
        <v>1000</v>
      </c>
      <c r="W23" s="3">
        <v>3</v>
      </c>
      <c r="X23" s="3">
        <v>10</v>
      </c>
      <c r="Z23" s="3">
        <v>1000</v>
      </c>
      <c r="AA23" s="3">
        <v>1000</v>
      </c>
      <c r="AB23" s="3">
        <v>1.4330000000000003</v>
      </c>
      <c r="AC23" s="3">
        <v>3.2990000000000004</v>
      </c>
      <c r="AE23" s="3">
        <v>1000</v>
      </c>
      <c r="AF23" s="3">
        <v>1000</v>
      </c>
      <c r="AG23" s="3">
        <v>0.40099984407424927</v>
      </c>
      <c r="AH23" s="3">
        <v>3.0150000276044011</v>
      </c>
      <c r="AJ23" s="3">
        <v>1000</v>
      </c>
      <c r="AK23" s="3">
        <v>1000</v>
      </c>
      <c r="AL23" s="3">
        <v>3</v>
      </c>
      <c r="AM23" s="3">
        <v>9</v>
      </c>
      <c r="AO23" s="3">
        <v>1000</v>
      </c>
      <c r="AP23" s="3">
        <v>1000</v>
      </c>
      <c r="AQ23" s="3">
        <v>6</v>
      </c>
      <c r="AR23" s="3">
        <v>2</v>
      </c>
      <c r="AT23" s="3">
        <v>1000</v>
      </c>
      <c r="AU23" s="3">
        <v>1000</v>
      </c>
      <c r="AV23" s="3">
        <v>0.36300000548362732</v>
      </c>
      <c r="AW23" s="3">
        <v>6.0000000521540642E-3</v>
      </c>
      <c r="AY23" s="3">
        <v>1000</v>
      </c>
      <c r="AZ23" s="3">
        <v>1000</v>
      </c>
      <c r="BA23" s="3">
        <v>0</v>
      </c>
      <c r="BB23" s="3">
        <v>0</v>
      </c>
      <c r="BD23" s="3">
        <v>1000</v>
      </c>
      <c r="BE23" s="3">
        <v>1000</v>
      </c>
      <c r="BF23" s="3">
        <v>0</v>
      </c>
      <c r="BG23" s="3">
        <v>0</v>
      </c>
      <c r="BI23" s="3">
        <v>1000</v>
      </c>
      <c r="BJ23" s="3">
        <v>1000</v>
      </c>
      <c r="BK23" s="3">
        <v>0</v>
      </c>
      <c r="BL23" s="3">
        <v>0</v>
      </c>
      <c r="BN23" s="3">
        <v>1000</v>
      </c>
      <c r="BO23" s="3">
        <v>1000</v>
      </c>
      <c r="BP23" s="3">
        <v>0</v>
      </c>
      <c r="BQ23" s="3">
        <v>0</v>
      </c>
      <c r="BS23" s="3">
        <v>1000</v>
      </c>
      <c r="BT23" s="3">
        <v>1000</v>
      </c>
      <c r="BU23" s="3">
        <v>4.0149999999999997</v>
      </c>
      <c r="BV23" s="3">
        <v>4.0149999999999997</v>
      </c>
      <c r="BX23" s="3">
        <v>1000</v>
      </c>
      <c r="BY23" s="3">
        <v>1000</v>
      </c>
      <c r="BZ23" s="3">
        <v>0</v>
      </c>
      <c r="CA23" s="3">
        <v>0</v>
      </c>
      <c r="CC23" s="3">
        <v>1000</v>
      </c>
      <c r="CD23" s="3">
        <v>1000</v>
      </c>
      <c r="CE23" s="3">
        <v>0</v>
      </c>
      <c r="CF23" s="3">
        <v>0</v>
      </c>
      <c r="CH23" s="3">
        <v>1000</v>
      </c>
      <c r="CI23" s="3">
        <v>1000</v>
      </c>
      <c r="CJ23" s="3">
        <v>0</v>
      </c>
      <c r="CK23" s="3">
        <v>0</v>
      </c>
      <c r="CM23" s="3">
        <v>1000</v>
      </c>
      <c r="CN23" s="3">
        <v>1000</v>
      </c>
      <c r="CO23" s="3">
        <v>0</v>
      </c>
      <c r="CP23" s="3">
        <v>0</v>
      </c>
      <c r="CR23" s="3">
        <v>1000</v>
      </c>
      <c r="CS23" s="3">
        <v>1000</v>
      </c>
      <c r="CT23" s="3">
        <v>4.0149999999999997</v>
      </c>
      <c r="CU23" s="3">
        <v>4.0149999999999997</v>
      </c>
    </row>
    <row r="24" spans="1:99" s="3" customFormat="1" x14ac:dyDescent="0.35">
      <c r="A24" s="2" t="s">
        <v>22</v>
      </c>
      <c r="B24" s="2">
        <v>10.083333333333334</v>
      </c>
      <c r="C24" s="2" t="s">
        <v>167</v>
      </c>
      <c r="D24" s="2" t="s">
        <v>403</v>
      </c>
      <c r="F24" s="3">
        <v>4.016</v>
      </c>
      <c r="G24" s="3">
        <v>4.0090000000000003</v>
      </c>
      <c r="H24" s="3">
        <v>4.016</v>
      </c>
      <c r="I24" s="3">
        <v>4.0149999999999997</v>
      </c>
      <c r="K24" s="3">
        <v>3.9989999999999997</v>
      </c>
      <c r="L24" s="3">
        <v>3.9989999999999997</v>
      </c>
      <c r="M24" s="3">
        <v>3.9990000000000006</v>
      </c>
      <c r="N24" s="3">
        <v>3.9990000000000001</v>
      </c>
      <c r="P24" s="3">
        <v>3.8649999708868563</v>
      </c>
      <c r="Q24" s="3">
        <v>3.8300002375617623</v>
      </c>
      <c r="R24" s="3">
        <v>3.7649999465793371</v>
      </c>
      <c r="S24" s="3">
        <v>3.8649999499320984</v>
      </c>
      <c r="U24" s="3">
        <v>6</v>
      </c>
      <c r="V24" s="3">
        <v>11</v>
      </c>
      <c r="W24" s="3">
        <v>9</v>
      </c>
      <c r="X24" s="3">
        <v>7</v>
      </c>
      <c r="Z24" s="3">
        <v>3.9989999999999997</v>
      </c>
      <c r="AA24" s="3">
        <v>3.9989999999999997</v>
      </c>
      <c r="AB24" s="3">
        <v>3.9990000000000006</v>
      </c>
      <c r="AC24" s="3">
        <v>3.9990000000000001</v>
      </c>
      <c r="AE24" s="3">
        <v>3.8649999708868563</v>
      </c>
      <c r="AF24" s="3">
        <v>3.8300002375617623</v>
      </c>
      <c r="AG24" s="3">
        <v>3.7649999465793371</v>
      </c>
      <c r="AH24" s="3">
        <v>3.8649999499320984</v>
      </c>
      <c r="AJ24" s="3">
        <v>6</v>
      </c>
      <c r="AK24" s="3">
        <v>11</v>
      </c>
      <c r="AL24" s="3">
        <v>9</v>
      </c>
      <c r="AM24" s="3">
        <v>7</v>
      </c>
      <c r="AO24" s="3">
        <v>1</v>
      </c>
      <c r="AP24" s="3">
        <v>1</v>
      </c>
      <c r="AQ24" s="3">
        <v>1</v>
      </c>
      <c r="AR24" s="3">
        <v>1</v>
      </c>
      <c r="AT24" s="3">
        <v>3.0000000260770321E-3</v>
      </c>
      <c r="AU24" s="3">
        <v>8.0000003799796104E-3</v>
      </c>
      <c r="AV24" s="3">
        <v>9.9999997764825821E-3</v>
      </c>
      <c r="AW24" s="3">
        <v>0</v>
      </c>
      <c r="AY24" s="3">
        <v>2.4989999999999997</v>
      </c>
      <c r="AZ24" s="3">
        <v>1.6320000000000003</v>
      </c>
      <c r="BA24" s="3">
        <v>1.9490000000000003</v>
      </c>
      <c r="BB24" s="3">
        <v>1.2829999999999999</v>
      </c>
      <c r="BD24" s="3">
        <v>2.599000096321106</v>
      </c>
      <c r="BE24" s="3">
        <v>1.9799999594688416</v>
      </c>
      <c r="BF24" s="3">
        <v>2.0320000257343054</v>
      </c>
      <c r="BG24" s="3">
        <v>1.281999945640564</v>
      </c>
      <c r="BI24" s="3">
        <v>3</v>
      </c>
      <c r="BJ24" s="3">
        <v>5</v>
      </c>
      <c r="BK24" s="3">
        <v>4</v>
      </c>
      <c r="BL24" s="3">
        <v>2</v>
      </c>
      <c r="BN24" s="3">
        <v>1</v>
      </c>
      <c r="BO24" s="3">
        <v>4</v>
      </c>
      <c r="BP24" s="3">
        <v>2</v>
      </c>
      <c r="BQ24" s="3">
        <v>1</v>
      </c>
      <c r="BS24" s="3">
        <v>1.1529999971389771</v>
      </c>
      <c r="BT24" s="3">
        <v>0.70800000429153442</v>
      </c>
      <c r="BU24" s="3">
        <v>9.9999997764825821E-3</v>
      </c>
      <c r="BV24" s="3">
        <v>1.8999999761581421</v>
      </c>
      <c r="BX24" s="3">
        <v>0.36699999999999966</v>
      </c>
      <c r="BY24" s="3">
        <v>0.58399999999999952</v>
      </c>
      <c r="BZ24" s="3">
        <v>0.65100000000000025</v>
      </c>
      <c r="CA24" s="3">
        <v>1.133</v>
      </c>
      <c r="CC24" s="3">
        <v>0.35000002384185791</v>
      </c>
      <c r="CD24" s="3">
        <v>0.13400006294250488</v>
      </c>
      <c r="CE24" s="3">
        <v>0.56599998474121094</v>
      </c>
      <c r="CF24" s="3">
        <v>0.93300002813339233</v>
      </c>
      <c r="CH24" s="3">
        <v>1</v>
      </c>
      <c r="CI24" s="3">
        <v>1</v>
      </c>
      <c r="CJ24" s="3">
        <v>1</v>
      </c>
      <c r="CK24" s="3">
        <v>1</v>
      </c>
      <c r="CM24" s="3">
        <v>2</v>
      </c>
      <c r="CN24" s="3">
        <v>2</v>
      </c>
      <c r="CO24" s="3">
        <v>2</v>
      </c>
      <c r="CP24" s="3">
        <v>3</v>
      </c>
      <c r="CR24" s="3">
        <v>0.78600001335144043</v>
      </c>
      <c r="CS24" s="3">
        <v>3.872999906539917</v>
      </c>
      <c r="CT24" s="3">
        <v>3.3429999351501465</v>
      </c>
      <c r="CU24" s="3">
        <v>0.80000001192092896</v>
      </c>
    </row>
    <row r="25" spans="1:99" s="3" customFormat="1" x14ac:dyDescent="0.35">
      <c r="A25" s="2" t="s">
        <v>23</v>
      </c>
      <c r="B25" s="2">
        <v>7.416666666666667</v>
      </c>
      <c r="C25" s="2" t="s">
        <v>168</v>
      </c>
      <c r="D25" s="2" t="s">
        <v>403</v>
      </c>
      <c r="F25" s="3">
        <v>4.016</v>
      </c>
      <c r="G25" s="3">
        <v>4.0149999999999997</v>
      </c>
      <c r="H25" s="3">
        <v>4.0149999999999997</v>
      </c>
      <c r="I25" s="3">
        <v>4.0140000000000002</v>
      </c>
      <c r="K25" s="3">
        <v>3.5989999999999998</v>
      </c>
      <c r="L25" s="3">
        <v>3.899</v>
      </c>
      <c r="M25" s="3">
        <v>3.9990000000000006</v>
      </c>
      <c r="N25" s="3">
        <v>3.9990000000000001</v>
      </c>
      <c r="P25" s="3">
        <v>3.2479995787143707</v>
      </c>
      <c r="Q25" s="3">
        <v>3.1640004068613052</v>
      </c>
      <c r="R25" s="3">
        <v>3.4320002999156713</v>
      </c>
      <c r="S25" s="3">
        <v>3.4339998438954353</v>
      </c>
      <c r="U25" s="3">
        <v>12</v>
      </c>
      <c r="V25" s="3">
        <v>10</v>
      </c>
      <c r="W25" s="3">
        <v>8</v>
      </c>
      <c r="X25" s="3">
        <v>14</v>
      </c>
      <c r="Z25" s="3">
        <v>3.516</v>
      </c>
      <c r="AA25" s="3">
        <v>3.8820000000000001</v>
      </c>
      <c r="AB25" s="3">
        <v>3.7650000000000001</v>
      </c>
      <c r="AC25" s="3">
        <v>3.2479999999999998</v>
      </c>
      <c r="AE25" s="3">
        <v>3.2479995787143707</v>
      </c>
      <c r="AF25" s="3">
        <v>3.1640004068613052</v>
      </c>
      <c r="AG25" s="3">
        <v>3.4320002999156713</v>
      </c>
      <c r="AH25" s="3">
        <v>2.76599982380867</v>
      </c>
      <c r="AJ25" s="3">
        <v>12</v>
      </c>
      <c r="AK25" s="3">
        <v>10</v>
      </c>
      <c r="AL25" s="3">
        <v>8</v>
      </c>
      <c r="AM25" s="3">
        <v>11</v>
      </c>
      <c r="AO25" s="3">
        <v>2</v>
      </c>
      <c r="AP25" s="3">
        <v>1</v>
      </c>
      <c r="AQ25" s="3">
        <v>2</v>
      </c>
      <c r="AR25" s="3">
        <v>5</v>
      </c>
      <c r="AT25" s="3">
        <v>0.41899999976158142</v>
      </c>
      <c r="AU25" s="3">
        <v>0.1289999932050705</v>
      </c>
      <c r="AV25" s="3">
        <v>9.9999997764825821E-3</v>
      </c>
      <c r="AW25" s="3">
        <v>0.43399998545646667</v>
      </c>
      <c r="AY25" s="3">
        <v>0.29999999999999988</v>
      </c>
      <c r="AZ25" s="3">
        <v>2.1659999999999995</v>
      </c>
      <c r="BA25" s="3">
        <v>0.43399999999999994</v>
      </c>
      <c r="BB25" s="3">
        <v>1.0659999999999996</v>
      </c>
      <c r="BD25" s="3">
        <v>0</v>
      </c>
      <c r="BE25" s="3">
        <v>2.3990002274513245</v>
      </c>
      <c r="BF25" s="3">
        <v>0.5</v>
      </c>
      <c r="BG25" s="3">
        <v>1.1989999711513519</v>
      </c>
      <c r="BI25" s="3">
        <v>0</v>
      </c>
      <c r="BJ25" s="3">
        <v>6</v>
      </c>
      <c r="BK25" s="3">
        <v>1</v>
      </c>
      <c r="BL25" s="3">
        <v>4</v>
      </c>
      <c r="BN25" s="3">
        <v>2</v>
      </c>
      <c r="BO25" s="3">
        <v>3</v>
      </c>
      <c r="BP25" s="3">
        <v>3</v>
      </c>
      <c r="BQ25" s="3">
        <v>5</v>
      </c>
      <c r="BS25" s="3">
        <v>4.016</v>
      </c>
      <c r="BT25" s="3">
        <v>0.52899998426437378</v>
      </c>
      <c r="BU25" s="3">
        <v>3.4590001106262207</v>
      </c>
      <c r="BV25" s="3">
        <v>0.43399998545646667</v>
      </c>
      <c r="BX25" s="3">
        <v>0.59899999999999975</v>
      </c>
      <c r="BY25" s="3">
        <v>0.13300000000000001</v>
      </c>
      <c r="BZ25" s="3">
        <v>0.24999999999999981</v>
      </c>
      <c r="CA25" s="3">
        <v>0.35099999999999992</v>
      </c>
      <c r="CC25" s="3">
        <v>0.84899997711181641</v>
      </c>
      <c r="CD25" s="3">
        <v>0.13300000131130219</v>
      </c>
      <c r="CE25" s="3">
        <v>0</v>
      </c>
      <c r="CF25" s="3">
        <v>0.21700000762939453</v>
      </c>
      <c r="CH25" s="3">
        <v>5</v>
      </c>
      <c r="CI25" s="3">
        <v>1</v>
      </c>
      <c r="CJ25" s="3">
        <v>0</v>
      </c>
      <c r="CK25" s="3">
        <v>2</v>
      </c>
      <c r="CM25" s="3">
        <v>8</v>
      </c>
      <c r="CN25" s="3">
        <v>2</v>
      </c>
      <c r="CO25" s="3">
        <v>2</v>
      </c>
      <c r="CP25" s="3">
        <v>4</v>
      </c>
      <c r="CR25" s="3">
        <v>1.2690000534057617</v>
      </c>
      <c r="CS25" s="3">
        <v>0.1289999932050705</v>
      </c>
      <c r="CT25" s="3">
        <v>4.0149999999999997</v>
      </c>
      <c r="CU25" s="3">
        <v>2.3499999046325684</v>
      </c>
    </row>
    <row r="26" spans="1:99" s="3" customFormat="1" x14ac:dyDescent="0.35">
      <c r="A26" s="2" t="s">
        <v>24</v>
      </c>
      <c r="B26" s="2">
        <v>5.916666666666667</v>
      </c>
      <c r="C26" s="2" t="s">
        <v>168</v>
      </c>
      <c r="D26" s="2" t="s">
        <v>403</v>
      </c>
      <c r="F26" s="3">
        <v>4.016</v>
      </c>
      <c r="G26" s="3">
        <v>1000</v>
      </c>
      <c r="H26" s="3">
        <v>4.0149999999999997</v>
      </c>
      <c r="I26" s="3">
        <v>4.0149999999999997</v>
      </c>
      <c r="K26" s="3">
        <v>3.665</v>
      </c>
      <c r="L26" s="3">
        <v>1000</v>
      </c>
      <c r="M26" s="3">
        <v>3.3160000000000003</v>
      </c>
      <c r="N26" s="3">
        <v>3.5649999999999999</v>
      </c>
      <c r="P26" s="3">
        <v>0.56700000166893005</v>
      </c>
      <c r="Q26" s="3">
        <v>1000</v>
      </c>
      <c r="R26" s="3">
        <v>1.7839995622634888</v>
      </c>
      <c r="S26" s="3">
        <v>1</v>
      </c>
      <c r="U26" s="3">
        <v>4</v>
      </c>
      <c r="V26" s="3">
        <v>1000</v>
      </c>
      <c r="W26" s="3">
        <v>8</v>
      </c>
      <c r="X26" s="3">
        <v>5</v>
      </c>
      <c r="Z26" s="3">
        <v>2.9820000000000002</v>
      </c>
      <c r="AA26" s="3">
        <v>1000</v>
      </c>
      <c r="AB26" s="3">
        <v>3.282</v>
      </c>
      <c r="AC26" s="3">
        <v>2.9160000000000004</v>
      </c>
      <c r="AE26" s="3">
        <v>0.56700000166893005</v>
      </c>
      <c r="AF26" s="3">
        <v>1000</v>
      </c>
      <c r="AG26" s="3">
        <v>1.7839995622634888</v>
      </c>
      <c r="AH26" s="3">
        <v>0.89999997615814209</v>
      </c>
      <c r="AJ26" s="3">
        <v>4</v>
      </c>
      <c r="AK26" s="3">
        <v>1000</v>
      </c>
      <c r="AL26" s="3">
        <v>8</v>
      </c>
      <c r="AM26" s="3">
        <v>4</v>
      </c>
      <c r="AO26" s="3">
        <v>5</v>
      </c>
      <c r="AP26" s="3">
        <v>1000</v>
      </c>
      <c r="AQ26" s="3">
        <v>2</v>
      </c>
      <c r="AR26" s="3">
        <v>5</v>
      </c>
      <c r="AT26" s="3">
        <v>0.39500001072883606</v>
      </c>
      <c r="AU26" s="3">
        <v>1000</v>
      </c>
      <c r="AV26" s="3">
        <v>0.68500000238418579</v>
      </c>
      <c r="AW26" s="3">
        <v>0.28700000047683716</v>
      </c>
      <c r="AY26" s="3">
        <v>1.6999999999999904E-2</v>
      </c>
      <c r="AZ26" s="3">
        <v>1000</v>
      </c>
      <c r="BA26" s="3">
        <v>1.1170000000000004</v>
      </c>
      <c r="BB26" s="3">
        <v>0.3680000000000001</v>
      </c>
      <c r="BD26" s="3">
        <v>0</v>
      </c>
      <c r="BE26" s="3">
        <v>1000</v>
      </c>
      <c r="BF26" s="3">
        <v>1.1659996509552002</v>
      </c>
      <c r="BG26" s="3">
        <v>0.19999992847442627</v>
      </c>
      <c r="BI26" s="3">
        <v>0</v>
      </c>
      <c r="BJ26" s="3">
        <v>1000</v>
      </c>
      <c r="BK26" s="3">
        <v>5</v>
      </c>
      <c r="BL26" s="3">
        <v>1</v>
      </c>
      <c r="BN26" s="3">
        <v>9</v>
      </c>
      <c r="BO26" s="3">
        <v>1000</v>
      </c>
      <c r="BP26" s="3">
        <v>11</v>
      </c>
      <c r="BQ26" s="3">
        <v>10</v>
      </c>
      <c r="BS26" s="3">
        <v>4.016</v>
      </c>
      <c r="BT26" s="3">
        <v>1000</v>
      </c>
      <c r="BU26" s="3">
        <v>2.502000093460083</v>
      </c>
      <c r="BV26" s="3">
        <v>0.80400002002716064</v>
      </c>
      <c r="BX26" s="3">
        <v>0.21599999999999975</v>
      </c>
      <c r="BY26" s="3">
        <v>1000</v>
      </c>
      <c r="BZ26" s="3">
        <v>0.20000000000000007</v>
      </c>
      <c r="CA26" s="3">
        <v>0.18300000000000027</v>
      </c>
      <c r="CC26" s="3">
        <v>0.15000009536743164</v>
      </c>
      <c r="CD26" s="3">
        <v>1000</v>
      </c>
      <c r="CE26" s="3">
        <v>0.21700000762939453</v>
      </c>
      <c r="CF26" s="3">
        <v>0</v>
      </c>
      <c r="CH26" s="3">
        <v>1</v>
      </c>
      <c r="CI26" s="3">
        <v>1000</v>
      </c>
      <c r="CJ26" s="3">
        <v>1</v>
      </c>
      <c r="CK26" s="3">
        <v>0</v>
      </c>
      <c r="CM26" s="3">
        <v>4</v>
      </c>
      <c r="CN26" s="3">
        <v>1000</v>
      </c>
      <c r="CO26" s="3">
        <v>2</v>
      </c>
      <c r="CP26" s="3">
        <v>4</v>
      </c>
      <c r="CR26" s="3">
        <v>3.5109999179840088</v>
      </c>
      <c r="CS26" s="3">
        <v>1000</v>
      </c>
      <c r="CT26" s="3">
        <v>0.68500000238418579</v>
      </c>
      <c r="CU26" s="3">
        <v>4.0149999999999997</v>
      </c>
    </row>
    <row r="27" spans="1:99" s="3" customFormat="1" x14ac:dyDescent="0.35">
      <c r="A27" s="2" t="s">
        <v>25</v>
      </c>
      <c r="B27" s="2">
        <v>6.25</v>
      </c>
      <c r="C27" s="2" t="s">
        <v>168</v>
      </c>
      <c r="D27" s="2" t="s">
        <v>403</v>
      </c>
      <c r="F27" s="3">
        <v>4.01</v>
      </c>
      <c r="G27" s="3">
        <v>4.0110000000000001</v>
      </c>
      <c r="H27" s="3">
        <v>4.01</v>
      </c>
      <c r="I27" s="3">
        <v>4.0110000000000001</v>
      </c>
      <c r="K27" s="3">
        <v>3.9820000000000002</v>
      </c>
      <c r="L27" s="3">
        <v>3.9830000000000001</v>
      </c>
      <c r="M27" s="3">
        <v>3.9989999999999997</v>
      </c>
      <c r="N27" s="3">
        <v>3.9989999999999997</v>
      </c>
      <c r="P27" s="3">
        <v>3.216000197455287</v>
      </c>
      <c r="Q27" s="3">
        <v>3.0159998536109924</v>
      </c>
      <c r="R27" s="3">
        <v>2.1310001015663147</v>
      </c>
      <c r="S27" s="3">
        <v>2.3310002000071108</v>
      </c>
      <c r="U27" s="3">
        <v>11</v>
      </c>
      <c r="V27" s="3">
        <v>13</v>
      </c>
      <c r="W27" s="3">
        <v>11</v>
      </c>
      <c r="X27" s="3">
        <v>10</v>
      </c>
      <c r="Z27" s="3">
        <v>3.9820000000000002</v>
      </c>
      <c r="AA27" s="3">
        <v>3.766</v>
      </c>
      <c r="AB27" s="3">
        <v>3.7149999999999994</v>
      </c>
      <c r="AC27" s="3">
        <v>3.9989999999999997</v>
      </c>
      <c r="AE27" s="3">
        <v>3.216000197455287</v>
      </c>
      <c r="AF27" s="3">
        <v>3.0159998536109924</v>
      </c>
      <c r="AG27" s="3">
        <v>2.1310001015663147</v>
      </c>
      <c r="AH27" s="3">
        <v>2.3310002000071108</v>
      </c>
      <c r="AJ27" s="3">
        <v>11</v>
      </c>
      <c r="AK27" s="3">
        <v>13</v>
      </c>
      <c r="AL27" s="3">
        <v>11</v>
      </c>
      <c r="AM27" s="3">
        <v>10</v>
      </c>
      <c r="AO27" s="3">
        <v>1</v>
      </c>
      <c r="AP27" s="3">
        <v>3</v>
      </c>
      <c r="AQ27" s="3">
        <v>3</v>
      </c>
      <c r="AR27" s="3">
        <v>1</v>
      </c>
      <c r="AT27" s="3">
        <v>1.4000000432133675E-2</v>
      </c>
      <c r="AU27" s="3">
        <v>0.11100000143051147</v>
      </c>
      <c r="AV27" s="3">
        <v>2.199999988079071E-2</v>
      </c>
      <c r="AW27" s="3">
        <v>3.0000000260770321E-3</v>
      </c>
      <c r="AY27" s="3">
        <v>0.46600000000000019</v>
      </c>
      <c r="AZ27" s="3">
        <v>0.43199999999999983</v>
      </c>
      <c r="BA27" s="3">
        <v>0.40000000000000013</v>
      </c>
      <c r="BB27" s="3">
        <v>0.96599999999999953</v>
      </c>
      <c r="BD27" s="3">
        <v>0.45000004768371582</v>
      </c>
      <c r="BE27" s="3">
        <v>0.59999984502792358</v>
      </c>
      <c r="BF27" s="3">
        <v>0.38300013542175293</v>
      </c>
      <c r="BG27" s="3">
        <v>0.93300001928582788</v>
      </c>
      <c r="BI27" s="3">
        <v>2</v>
      </c>
      <c r="BJ27" s="3">
        <v>3</v>
      </c>
      <c r="BK27" s="3">
        <v>1</v>
      </c>
      <c r="BL27" s="3">
        <v>3</v>
      </c>
      <c r="BN27" s="3">
        <v>5</v>
      </c>
      <c r="BO27" s="3">
        <v>9</v>
      </c>
      <c r="BP27" s="3">
        <v>3</v>
      </c>
      <c r="BQ27" s="3">
        <v>14</v>
      </c>
      <c r="BS27" s="3">
        <v>1.3300000429153442</v>
      </c>
      <c r="BT27" s="3">
        <v>0.6940000057220459</v>
      </c>
      <c r="BU27" s="3">
        <v>1.937999963760376</v>
      </c>
      <c r="BV27" s="3">
        <v>3.0000000260770321E-3</v>
      </c>
      <c r="BX27" s="3">
        <v>0</v>
      </c>
      <c r="BY27" s="3">
        <v>0</v>
      </c>
      <c r="BZ27" s="3">
        <v>0</v>
      </c>
      <c r="CA27" s="3">
        <v>0</v>
      </c>
      <c r="CC27" s="3">
        <v>0</v>
      </c>
      <c r="CD27" s="3">
        <v>0</v>
      </c>
      <c r="CE27" s="3">
        <v>0</v>
      </c>
      <c r="CF27" s="3">
        <v>0</v>
      </c>
      <c r="CH27" s="3">
        <v>0</v>
      </c>
      <c r="CI27" s="3">
        <v>0</v>
      </c>
      <c r="CJ27" s="3">
        <v>0</v>
      </c>
      <c r="CK27" s="3">
        <v>0</v>
      </c>
      <c r="CM27" s="3">
        <v>0</v>
      </c>
      <c r="CN27" s="3">
        <v>0</v>
      </c>
      <c r="CO27" s="3">
        <v>0</v>
      </c>
      <c r="CP27" s="3">
        <v>0</v>
      </c>
      <c r="CR27" s="3">
        <v>4.01</v>
      </c>
      <c r="CS27" s="3">
        <v>4.0110000000000001</v>
      </c>
      <c r="CT27" s="3">
        <v>4.01</v>
      </c>
      <c r="CU27" s="3">
        <v>4.0110000000000001</v>
      </c>
    </row>
    <row r="28" spans="1:99" s="3" customFormat="1" x14ac:dyDescent="0.35">
      <c r="A28" s="2" t="s">
        <v>26</v>
      </c>
      <c r="B28" s="2">
        <v>8.75</v>
      </c>
      <c r="C28" s="2" t="s">
        <v>167</v>
      </c>
      <c r="D28" s="2" t="s">
        <v>403</v>
      </c>
      <c r="F28" s="3">
        <v>4.0129999999999999</v>
      </c>
      <c r="G28" s="3">
        <v>4.0069999999999997</v>
      </c>
      <c r="H28" s="3">
        <v>4.016</v>
      </c>
      <c r="I28" s="3">
        <v>4.0469999999999997</v>
      </c>
      <c r="K28" s="3">
        <v>3.9990000000000001</v>
      </c>
      <c r="L28" s="3">
        <v>3.9819999999999998</v>
      </c>
      <c r="M28" s="3">
        <v>3.9989999999999997</v>
      </c>
      <c r="N28" s="3">
        <v>4.0329999999999995</v>
      </c>
      <c r="P28" s="3">
        <v>3.9149998715147376</v>
      </c>
      <c r="Q28" s="3">
        <v>3.8300001695752144</v>
      </c>
      <c r="R28" s="3">
        <v>3.8810004368424416</v>
      </c>
      <c r="S28" s="3">
        <v>3.7339998950483277</v>
      </c>
      <c r="U28" s="3">
        <v>6</v>
      </c>
      <c r="V28" s="3">
        <v>10</v>
      </c>
      <c r="W28" s="3">
        <v>8</v>
      </c>
      <c r="X28" s="3">
        <v>6</v>
      </c>
      <c r="Z28" s="3">
        <v>3.9990000000000001</v>
      </c>
      <c r="AA28" s="3">
        <v>3.9819999999999998</v>
      </c>
      <c r="AB28" s="3">
        <v>3.9989999999999997</v>
      </c>
      <c r="AC28" s="3">
        <v>3.9999999999999996</v>
      </c>
      <c r="AE28" s="3">
        <v>3.9149998715147376</v>
      </c>
      <c r="AF28" s="3">
        <v>3.8300001695752144</v>
      </c>
      <c r="AG28" s="3">
        <v>3.8810004368424416</v>
      </c>
      <c r="AH28" s="3">
        <v>3.7339998950483277</v>
      </c>
      <c r="AJ28" s="3">
        <v>6</v>
      </c>
      <c r="AK28" s="3">
        <v>10</v>
      </c>
      <c r="AL28" s="3">
        <v>8</v>
      </c>
      <c r="AM28" s="3">
        <v>6</v>
      </c>
      <c r="AO28" s="3">
        <v>1</v>
      </c>
      <c r="AP28" s="3">
        <v>1</v>
      </c>
      <c r="AQ28" s="3">
        <v>1</v>
      </c>
      <c r="AR28" s="3">
        <v>2</v>
      </c>
      <c r="AT28" s="3">
        <v>7.0000002160668373E-3</v>
      </c>
      <c r="AU28" s="3">
        <v>1.0999999940395355E-2</v>
      </c>
      <c r="AV28" s="3">
        <v>1.0999999940395355E-2</v>
      </c>
      <c r="AW28" s="3">
        <v>1.0000000474974513E-3</v>
      </c>
      <c r="AY28" s="3">
        <v>3.5990000000000002</v>
      </c>
      <c r="AZ28" s="3">
        <v>2.4159999999999999</v>
      </c>
      <c r="BA28" s="3">
        <v>3.2829999999999999</v>
      </c>
      <c r="BB28" s="3">
        <v>1.6990000000000003</v>
      </c>
      <c r="BD28" s="3">
        <v>3.3819998791441321</v>
      </c>
      <c r="BE28" s="3">
        <v>2.1980000138282776</v>
      </c>
      <c r="BF28" s="3">
        <v>3.0150002613663673</v>
      </c>
      <c r="BG28" s="3">
        <v>1.4999999701976776</v>
      </c>
      <c r="BI28" s="3">
        <v>4</v>
      </c>
      <c r="BJ28" s="3">
        <v>6</v>
      </c>
      <c r="BK28" s="3">
        <v>6</v>
      </c>
      <c r="BL28" s="3">
        <v>4</v>
      </c>
      <c r="BN28" s="3">
        <v>2</v>
      </c>
      <c r="BO28" s="3">
        <v>2</v>
      </c>
      <c r="BP28" s="3">
        <v>2</v>
      </c>
      <c r="BQ28" s="3">
        <v>3</v>
      </c>
      <c r="BS28" s="3">
        <v>7.0000002160668373E-3</v>
      </c>
      <c r="BT28" s="3">
        <v>0.51099997758865356</v>
      </c>
      <c r="BU28" s="3">
        <v>1.0999999940395355E-2</v>
      </c>
      <c r="BV28" s="3">
        <v>0.43399998545646667</v>
      </c>
      <c r="BX28" s="3">
        <v>0</v>
      </c>
      <c r="BY28" s="3">
        <v>0</v>
      </c>
      <c r="BZ28" s="3">
        <v>0</v>
      </c>
      <c r="CA28" s="3">
        <v>0</v>
      </c>
      <c r="CC28" s="3">
        <v>0</v>
      </c>
      <c r="CD28" s="3">
        <v>0</v>
      </c>
      <c r="CE28" s="3">
        <v>0</v>
      </c>
      <c r="CF28" s="3">
        <v>0</v>
      </c>
      <c r="CH28" s="3">
        <v>0</v>
      </c>
      <c r="CI28" s="3">
        <v>0</v>
      </c>
      <c r="CJ28" s="3">
        <v>0</v>
      </c>
      <c r="CK28" s="3">
        <v>0</v>
      </c>
      <c r="CM28" s="3">
        <v>0</v>
      </c>
      <c r="CN28" s="3">
        <v>0</v>
      </c>
      <c r="CO28" s="3">
        <v>0</v>
      </c>
      <c r="CP28" s="3">
        <v>0</v>
      </c>
      <c r="CR28" s="3">
        <v>4.0129999999999999</v>
      </c>
      <c r="CS28" s="3">
        <v>4.0069999999999997</v>
      </c>
      <c r="CT28" s="3">
        <v>4.016</v>
      </c>
      <c r="CU28" s="3">
        <v>4.0469999999999997</v>
      </c>
    </row>
    <row r="29" spans="1:99" s="3" customFormat="1" x14ac:dyDescent="0.35">
      <c r="A29" s="2" t="s">
        <v>27</v>
      </c>
      <c r="B29" s="2">
        <v>3.9166666666666665</v>
      </c>
      <c r="C29" s="2" t="s">
        <v>168</v>
      </c>
      <c r="D29" s="2" t="s">
        <v>403</v>
      </c>
      <c r="F29" s="3">
        <v>1000</v>
      </c>
      <c r="G29" s="3">
        <v>1000</v>
      </c>
      <c r="H29" s="3">
        <v>1.9949999999999997</v>
      </c>
      <c r="I29" s="3">
        <v>0</v>
      </c>
      <c r="K29" s="3">
        <v>1000</v>
      </c>
      <c r="L29" s="3">
        <v>1000</v>
      </c>
      <c r="M29" s="3">
        <v>1000</v>
      </c>
      <c r="N29" s="3">
        <v>1000</v>
      </c>
      <c r="P29" s="3">
        <v>1000</v>
      </c>
      <c r="Q29" s="3">
        <v>1000</v>
      </c>
      <c r="R29" s="3">
        <v>1000</v>
      </c>
      <c r="S29" s="3">
        <v>1000</v>
      </c>
      <c r="U29" s="3">
        <v>1000</v>
      </c>
      <c r="V29" s="3">
        <v>1000</v>
      </c>
      <c r="W29" s="3">
        <v>1000</v>
      </c>
      <c r="X29" s="3">
        <v>1000</v>
      </c>
      <c r="Z29" s="3">
        <v>1000</v>
      </c>
      <c r="AA29" s="3">
        <v>1000</v>
      </c>
      <c r="AB29" s="3">
        <v>1000</v>
      </c>
      <c r="AC29" s="3">
        <v>1000</v>
      </c>
      <c r="AE29" s="3">
        <v>1000</v>
      </c>
      <c r="AF29" s="3">
        <v>1000</v>
      </c>
      <c r="AG29" s="3">
        <v>1000</v>
      </c>
      <c r="AH29" s="3">
        <v>1000</v>
      </c>
      <c r="AJ29" s="3">
        <v>1000</v>
      </c>
      <c r="AK29" s="3">
        <v>1000</v>
      </c>
      <c r="AL29" s="3">
        <v>1000</v>
      </c>
      <c r="AM29" s="3">
        <v>1000</v>
      </c>
      <c r="AO29" s="3">
        <v>1000</v>
      </c>
      <c r="AP29" s="3">
        <v>1000</v>
      </c>
      <c r="AQ29" s="3">
        <v>1000</v>
      </c>
      <c r="AR29" s="3">
        <v>1000</v>
      </c>
      <c r="AT29" s="3">
        <v>1000</v>
      </c>
      <c r="AU29" s="3">
        <v>1000</v>
      </c>
      <c r="AV29" s="3">
        <v>1000</v>
      </c>
      <c r="AW29" s="3">
        <v>1000</v>
      </c>
      <c r="AY29" s="3">
        <v>1000</v>
      </c>
      <c r="AZ29" s="3">
        <v>1000</v>
      </c>
      <c r="BA29" s="3">
        <v>1000</v>
      </c>
      <c r="BB29" s="3">
        <v>1000</v>
      </c>
      <c r="BD29" s="3">
        <v>1000</v>
      </c>
      <c r="BE29" s="3">
        <v>1000</v>
      </c>
      <c r="BF29" s="3">
        <v>1000</v>
      </c>
      <c r="BG29" s="3">
        <v>1000</v>
      </c>
      <c r="BI29" s="3">
        <v>1000</v>
      </c>
      <c r="BJ29" s="3">
        <v>1000</v>
      </c>
      <c r="BK29" s="3">
        <v>1000</v>
      </c>
      <c r="BL29" s="3">
        <v>1000</v>
      </c>
      <c r="BN29" s="3">
        <v>1000</v>
      </c>
      <c r="BO29" s="3">
        <v>1000</v>
      </c>
      <c r="BP29" s="3">
        <v>1000</v>
      </c>
      <c r="BQ29" s="3">
        <v>1000</v>
      </c>
      <c r="BS29" s="3">
        <v>1000</v>
      </c>
      <c r="BT29" s="3">
        <v>1000</v>
      </c>
      <c r="BU29" s="3">
        <v>1000</v>
      </c>
      <c r="BV29" s="3">
        <v>1000</v>
      </c>
      <c r="BX29" s="3">
        <v>1000</v>
      </c>
      <c r="BY29" s="3">
        <v>1000</v>
      </c>
      <c r="BZ29" s="3">
        <v>1000</v>
      </c>
      <c r="CA29" s="3">
        <v>1000</v>
      </c>
      <c r="CC29" s="3">
        <v>1000</v>
      </c>
      <c r="CD29" s="3">
        <v>1000</v>
      </c>
      <c r="CE29" s="3">
        <v>1000</v>
      </c>
      <c r="CF29" s="3">
        <v>1000</v>
      </c>
      <c r="CH29" s="3">
        <v>1000</v>
      </c>
      <c r="CI29" s="3">
        <v>1000</v>
      </c>
      <c r="CJ29" s="3">
        <v>1000</v>
      </c>
      <c r="CK29" s="3">
        <v>1000</v>
      </c>
      <c r="CM29" s="3">
        <v>1000</v>
      </c>
      <c r="CN29" s="3">
        <v>1000</v>
      </c>
      <c r="CO29" s="3">
        <v>1000</v>
      </c>
      <c r="CP29" s="3">
        <v>1000</v>
      </c>
      <c r="CR29" s="3">
        <v>1000</v>
      </c>
      <c r="CS29" s="3">
        <v>1000</v>
      </c>
      <c r="CT29" s="3">
        <v>1000</v>
      </c>
      <c r="CU29" s="3">
        <v>1000</v>
      </c>
    </row>
    <row r="30" spans="1:99" s="3" customFormat="1" x14ac:dyDescent="0.35">
      <c r="A30" s="2" t="s">
        <v>28</v>
      </c>
      <c r="B30" s="2">
        <v>6.833333333333333</v>
      </c>
      <c r="C30" s="2" t="s">
        <v>168</v>
      </c>
      <c r="D30" s="2" t="s">
        <v>403</v>
      </c>
      <c r="F30" s="3">
        <v>4.0090000000000003</v>
      </c>
      <c r="G30" s="3">
        <v>4.0259999999999998</v>
      </c>
      <c r="H30" s="3">
        <v>4.01</v>
      </c>
      <c r="I30" s="3">
        <v>4.0090000000000003</v>
      </c>
      <c r="K30" s="3">
        <v>3.8660000000000001</v>
      </c>
      <c r="L30" s="3">
        <v>4.016</v>
      </c>
      <c r="M30" s="3">
        <v>3.9989999999999997</v>
      </c>
      <c r="N30" s="3">
        <v>3.6160000000000005</v>
      </c>
      <c r="P30" s="3">
        <v>3.1309999525547028</v>
      </c>
      <c r="Q30" s="3">
        <v>3.6500003496184945</v>
      </c>
      <c r="R30" s="3">
        <v>3.5840002670884132</v>
      </c>
      <c r="S30" s="3">
        <v>3.4809997081756592</v>
      </c>
      <c r="U30" s="3">
        <v>8</v>
      </c>
      <c r="V30" s="3">
        <v>7</v>
      </c>
      <c r="W30" s="3">
        <v>4</v>
      </c>
      <c r="X30" s="3">
        <v>8</v>
      </c>
      <c r="Z30" s="3">
        <v>3.5989999999999998</v>
      </c>
      <c r="AA30" s="3">
        <v>3.9329999999999998</v>
      </c>
      <c r="AB30" s="3">
        <v>3.9989999999999997</v>
      </c>
      <c r="AC30" s="3">
        <v>3.6160000000000005</v>
      </c>
      <c r="AE30" s="3">
        <v>3.0309999585151672</v>
      </c>
      <c r="AF30" s="3">
        <v>3.6500003496184945</v>
      </c>
      <c r="AG30" s="3">
        <v>3.5840002670884132</v>
      </c>
      <c r="AH30" s="3">
        <v>3.4809997081756592</v>
      </c>
      <c r="AJ30" s="3">
        <v>7</v>
      </c>
      <c r="AK30" s="3">
        <v>7</v>
      </c>
      <c r="AL30" s="3">
        <v>4</v>
      </c>
      <c r="AM30" s="3">
        <v>8</v>
      </c>
      <c r="AO30" s="3">
        <v>3</v>
      </c>
      <c r="AP30" s="3">
        <v>3</v>
      </c>
      <c r="AQ30" s="3">
        <v>1</v>
      </c>
      <c r="AR30" s="3">
        <v>1</v>
      </c>
      <c r="AT30" s="3">
        <v>0.28200000524520874</v>
      </c>
      <c r="AU30" s="3">
        <v>8.0000003799796104E-3</v>
      </c>
      <c r="AV30" s="3">
        <v>1.0999999940395355E-2</v>
      </c>
      <c r="AW30" s="3">
        <v>0.38499999046325684</v>
      </c>
      <c r="AY30" s="3">
        <v>1.4329999999999998</v>
      </c>
      <c r="AZ30" s="3">
        <v>0.33400000000000007</v>
      </c>
      <c r="BA30" s="3">
        <v>1.2160000000000002</v>
      </c>
      <c r="BB30" s="3">
        <v>0</v>
      </c>
      <c r="BD30" s="3">
        <v>1.5650000274181366</v>
      </c>
      <c r="BE30" s="3">
        <v>0</v>
      </c>
      <c r="BF30" s="3">
        <v>1.284000039100647</v>
      </c>
      <c r="BG30" s="3">
        <v>0</v>
      </c>
      <c r="BI30" s="3">
        <v>3</v>
      </c>
      <c r="BJ30" s="3">
        <v>0</v>
      </c>
      <c r="BK30" s="3">
        <v>2</v>
      </c>
      <c r="BL30" s="3">
        <v>0</v>
      </c>
      <c r="BN30" s="3">
        <v>2</v>
      </c>
      <c r="BO30" s="3">
        <v>1</v>
      </c>
      <c r="BP30" s="3">
        <v>1</v>
      </c>
      <c r="BQ30" s="3">
        <v>0</v>
      </c>
      <c r="BS30" s="3">
        <v>0.28200000524520874</v>
      </c>
      <c r="BT30" s="3">
        <v>4.0259999999999998</v>
      </c>
      <c r="BU30" s="3">
        <v>1.2940000295639038</v>
      </c>
      <c r="BV30" s="3">
        <v>4.0090000000000003</v>
      </c>
      <c r="BX30" s="3">
        <v>0.2669999999999999</v>
      </c>
      <c r="BY30" s="3">
        <v>2.2829999999999999</v>
      </c>
      <c r="BZ30" s="3">
        <v>0</v>
      </c>
      <c r="CA30" s="3">
        <v>1.5829999999999997</v>
      </c>
      <c r="CC30" s="3">
        <v>0.41700005531311035</v>
      </c>
      <c r="CD30" s="3">
        <v>2.3830001512542367</v>
      </c>
      <c r="CE30" s="3">
        <v>0</v>
      </c>
      <c r="CF30" s="3">
        <v>1.6489999890327454</v>
      </c>
      <c r="CH30" s="3">
        <v>1</v>
      </c>
      <c r="CI30" s="3">
        <v>5</v>
      </c>
      <c r="CJ30" s="3">
        <v>0</v>
      </c>
      <c r="CK30" s="3">
        <v>3</v>
      </c>
      <c r="CM30" s="3">
        <v>4</v>
      </c>
      <c r="CN30" s="3">
        <v>7</v>
      </c>
      <c r="CO30" s="3">
        <v>0</v>
      </c>
      <c r="CP30" s="3">
        <v>3</v>
      </c>
      <c r="CR30" s="3">
        <v>3.1480000019073486</v>
      </c>
      <c r="CS30" s="3">
        <v>8.0000003799796104E-3</v>
      </c>
      <c r="CT30" s="3">
        <v>4.01</v>
      </c>
      <c r="CU30" s="3">
        <v>0.38499999046325684</v>
      </c>
    </row>
    <row r="31" spans="1:99" s="3" customFormat="1" x14ac:dyDescent="0.35">
      <c r="A31" s="2" t="s">
        <v>29</v>
      </c>
      <c r="B31" s="2">
        <v>8.5</v>
      </c>
      <c r="C31" s="2" t="s">
        <v>168</v>
      </c>
      <c r="D31" s="2" t="s">
        <v>403</v>
      </c>
      <c r="F31" s="3">
        <v>4.0110000000000001</v>
      </c>
      <c r="G31" s="3">
        <v>4.0110000000000001</v>
      </c>
      <c r="H31" s="3">
        <v>4.0309999999999997</v>
      </c>
      <c r="I31" s="3">
        <v>4.01</v>
      </c>
      <c r="K31" s="3">
        <v>3.9979999999999998</v>
      </c>
      <c r="L31" s="3">
        <v>3.9490000000000003</v>
      </c>
      <c r="M31" s="3">
        <v>4.016</v>
      </c>
      <c r="N31" s="3">
        <v>3.1</v>
      </c>
      <c r="P31" s="3">
        <v>3.895999797154218</v>
      </c>
      <c r="Q31" s="3">
        <v>3.6159999668598175</v>
      </c>
      <c r="R31" s="3">
        <v>3.3669999241828918</v>
      </c>
      <c r="S31" s="3">
        <v>2.8490002155303955</v>
      </c>
      <c r="U31" s="3">
        <v>6</v>
      </c>
      <c r="V31" s="3">
        <v>4</v>
      </c>
      <c r="W31" s="3">
        <v>10</v>
      </c>
      <c r="X31" s="3">
        <v>6</v>
      </c>
      <c r="Z31" s="3">
        <v>3.9979999999999998</v>
      </c>
      <c r="AA31" s="3">
        <v>3.9490000000000003</v>
      </c>
      <c r="AB31" s="3">
        <v>4.016</v>
      </c>
      <c r="AC31" s="3">
        <v>1.2510000000000003</v>
      </c>
      <c r="AE31" s="3">
        <v>3.895999797154218</v>
      </c>
      <c r="AF31" s="3">
        <v>3.6159999668598175</v>
      </c>
      <c r="AG31" s="3">
        <v>3.3669999241828918</v>
      </c>
      <c r="AH31" s="3">
        <v>1.1330001354217529</v>
      </c>
      <c r="AJ31" s="3">
        <v>6</v>
      </c>
      <c r="AK31" s="3">
        <v>4</v>
      </c>
      <c r="AL31" s="3">
        <v>10</v>
      </c>
      <c r="AM31" s="3">
        <v>4</v>
      </c>
      <c r="AO31" s="3">
        <v>1</v>
      </c>
      <c r="AP31" s="3">
        <v>1</v>
      </c>
      <c r="AQ31" s="3">
        <v>1</v>
      </c>
      <c r="AR31" s="3">
        <v>3</v>
      </c>
      <c r="AT31" s="3">
        <v>4.0000001899898052E-3</v>
      </c>
      <c r="AU31" s="3">
        <v>0.125</v>
      </c>
      <c r="AV31" s="3">
        <v>0.20600000023841858</v>
      </c>
      <c r="AW31" s="3">
        <v>0.26899999380111694</v>
      </c>
      <c r="AY31" s="3">
        <v>2.266</v>
      </c>
      <c r="AZ31" s="3">
        <v>0</v>
      </c>
      <c r="BA31" s="3">
        <v>2.4</v>
      </c>
      <c r="BB31" s="3">
        <v>9.8999999999999977E-2</v>
      </c>
      <c r="BD31" s="3">
        <v>2.3479999303817749</v>
      </c>
      <c r="BE31" s="3">
        <v>0</v>
      </c>
      <c r="BF31" s="3">
        <v>2.4839997887611389</v>
      </c>
      <c r="BG31" s="3">
        <v>0</v>
      </c>
      <c r="BI31" s="3">
        <v>2</v>
      </c>
      <c r="BJ31" s="3">
        <v>0</v>
      </c>
      <c r="BK31" s="3">
        <v>6</v>
      </c>
      <c r="BL31" s="3">
        <v>0</v>
      </c>
      <c r="BN31" s="3">
        <v>1</v>
      </c>
      <c r="BO31" s="3">
        <v>1</v>
      </c>
      <c r="BP31" s="3">
        <v>5</v>
      </c>
      <c r="BQ31" s="3">
        <v>2</v>
      </c>
      <c r="BS31" s="3">
        <v>0.58700001239776611</v>
      </c>
      <c r="BT31" s="3">
        <v>4.0110000000000001</v>
      </c>
      <c r="BU31" s="3">
        <v>0.20600000023841858</v>
      </c>
      <c r="BV31" s="3">
        <v>4.01</v>
      </c>
      <c r="BX31" s="3">
        <v>0.8490000000000002</v>
      </c>
      <c r="BY31" s="3">
        <v>2.9159999999999999</v>
      </c>
      <c r="BZ31" s="3">
        <v>0.33400000000000007</v>
      </c>
      <c r="CA31" s="3">
        <v>3.3000000000000002E-2</v>
      </c>
      <c r="CC31" s="3">
        <v>0.84899997711181641</v>
      </c>
      <c r="CD31" s="3">
        <v>2.3159999847412109</v>
      </c>
      <c r="CE31" s="3">
        <v>0.38300001621246338</v>
      </c>
      <c r="CF31" s="3">
        <v>0</v>
      </c>
      <c r="CH31" s="3">
        <v>2</v>
      </c>
      <c r="CI31" s="3">
        <v>2</v>
      </c>
      <c r="CJ31" s="3">
        <v>1</v>
      </c>
      <c r="CK31" s="3">
        <v>0</v>
      </c>
      <c r="CM31" s="3">
        <v>1</v>
      </c>
      <c r="CN31" s="3">
        <v>4</v>
      </c>
      <c r="CO31" s="3">
        <v>1</v>
      </c>
      <c r="CP31" s="3">
        <v>1</v>
      </c>
      <c r="CR31" s="3">
        <v>3.1189999580383301</v>
      </c>
      <c r="CS31" s="3">
        <v>0.125</v>
      </c>
      <c r="CT31" s="3">
        <v>1.1890000104904175</v>
      </c>
      <c r="CU31" s="3">
        <v>4.01</v>
      </c>
    </row>
    <row r="32" spans="1:99" s="3" customFormat="1" x14ac:dyDescent="0.35">
      <c r="A32" s="2" t="s">
        <v>30</v>
      </c>
      <c r="B32" s="2">
        <v>4.416666666666667</v>
      </c>
      <c r="C32" s="2" t="s">
        <v>168</v>
      </c>
      <c r="D32" s="2" t="s">
        <v>403</v>
      </c>
      <c r="F32" s="3">
        <v>2.83</v>
      </c>
      <c r="G32" s="3">
        <v>4.016</v>
      </c>
      <c r="H32" s="3">
        <v>2.1269999999999998</v>
      </c>
      <c r="I32" s="3">
        <v>4.016</v>
      </c>
      <c r="K32" s="3">
        <v>2.5010000000000003</v>
      </c>
      <c r="L32" s="3">
        <v>3.6160000000000001</v>
      </c>
      <c r="M32" s="3">
        <v>2.1159999999999997</v>
      </c>
      <c r="N32" s="3">
        <v>3.9489999999999998</v>
      </c>
      <c r="P32" s="3">
        <v>1.2839997857809067</v>
      </c>
      <c r="Q32" s="3">
        <v>3.5489999074488878</v>
      </c>
      <c r="R32" s="3">
        <v>2.018000602722168</v>
      </c>
      <c r="S32" s="3">
        <v>3.7840002477169037</v>
      </c>
      <c r="U32" s="3">
        <v>6</v>
      </c>
      <c r="V32" s="3">
        <v>5</v>
      </c>
      <c r="W32" s="3">
        <v>5</v>
      </c>
      <c r="X32" s="3">
        <v>5</v>
      </c>
      <c r="Z32" s="3">
        <v>1.1339999999999999</v>
      </c>
      <c r="AA32" s="3">
        <v>3.6160000000000001</v>
      </c>
      <c r="AB32" s="3">
        <v>2.1159999999999997</v>
      </c>
      <c r="AC32" s="3">
        <v>3.7159999999999997</v>
      </c>
      <c r="AE32" s="3">
        <v>1.0159998536109924</v>
      </c>
      <c r="AF32" s="3">
        <v>3.5489999074488878</v>
      </c>
      <c r="AG32" s="3">
        <v>2.018000602722168</v>
      </c>
      <c r="AH32" s="3">
        <v>3.6170002520084381</v>
      </c>
      <c r="AJ32" s="3">
        <v>4</v>
      </c>
      <c r="AK32" s="3">
        <v>5</v>
      </c>
      <c r="AL32" s="3">
        <v>5</v>
      </c>
      <c r="AM32" s="3">
        <v>4</v>
      </c>
      <c r="AO32" s="3">
        <v>5</v>
      </c>
      <c r="AP32" s="3">
        <v>1</v>
      </c>
      <c r="AQ32" s="3">
        <v>1</v>
      </c>
      <c r="AR32" s="3">
        <v>3</v>
      </c>
      <c r="AT32" s="3">
        <v>0.5130000114440918</v>
      </c>
      <c r="AU32" s="3">
        <v>1.6000000759959221E-2</v>
      </c>
      <c r="AV32" s="3">
        <v>1.9040000438690186</v>
      </c>
      <c r="AW32" s="3">
        <v>0.34400001168251038</v>
      </c>
      <c r="AY32" s="3">
        <v>0.78400000000000025</v>
      </c>
      <c r="AZ32" s="3">
        <v>2.1000000000000005</v>
      </c>
      <c r="BA32" s="3">
        <v>1.3669999999999995</v>
      </c>
      <c r="BB32" s="3">
        <v>3.6659999999999999</v>
      </c>
      <c r="BD32" s="3">
        <v>0.56699997186660767</v>
      </c>
      <c r="BE32" s="3">
        <v>2.4829999506473541</v>
      </c>
      <c r="BF32" s="3">
        <v>1.4170002937316895</v>
      </c>
      <c r="BG32" s="3">
        <v>3.6170002520084381</v>
      </c>
      <c r="BI32" s="3">
        <v>2</v>
      </c>
      <c r="BJ32" s="3">
        <v>2</v>
      </c>
      <c r="BK32" s="3">
        <v>3</v>
      </c>
      <c r="BL32" s="3">
        <v>4</v>
      </c>
      <c r="BN32" s="3">
        <v>2</v>
      </c>
      <c r="BO32" s="3">
        <v>3</v>
      </c>
      <c r="BP32" s="3">
        <v>3</v>
      </c>
      <c r="BQ32" s="3">
        <v>3</v>
      </c>
      <c r="BS32" s="3">
        <v>0.81300002336502075</v>
      </c>
      <c r="BT32" s="3">
        <v>0.43200001120567322</v>
      </c>
      <c r="BU32" s="3">
        <v>1.9040000438690186</v>
      </c>
      <c r="BV32" s="3">
        <v>0.34400001168251038</v>
      </c>
      <c r="BX32" s="3">
        <v>0</v>
      </c>
      <c r="BY32" s="3">
        <v>0</v>
      </c>
      <c r="BZ32" s="3">
        <v>0</v>
      </c>
      <c r="CA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0</v>
      </c>
      <c r="CI32" s="3">
        <v>0</v>
      </c>
      <c r="CJ32" s="3">
        <v>0</v>
      </c>
      <c r="CK32" s="3">
        <v>0</v>
      </c>
      <c r="CM32" s="3">
        <v>0</v>
      </c>
      <c r="CN32" s="3">
        <v>0</v>
      </c>
      <c r="CO32" s="3">
        <v>0</v>
      </c>
      <c r="CP32" s="3">
        <v>0</v>
      </c>
      <c r="CR32" s="3">
        <v>4.016</v>
      </c>
      <c r="CS32" s="3">
        <v>4.016</v>
      </c>
      <c r="CT32" s="3">
        <v>4.0149999999999997</v>
      </c>
      <c r="CU32" s="3">
        <v>4.016</v>
      </c>
    </row>
    <row r="33" spans="1:99" s="3" customFormat="1" x14ac:dyDescent="0.35">
      <c r="A33" s="2" t="s">
        <v>31</v>
      </c>
      <c r="B33" s="2">
        <v>11.5</v>
      </c>
      <c r="C33" s="2" t="s">
        <v>167</v>
      </c>
      <c r="D33" s="2" t="s">
        <v>403</v>
      </c>
      <c r="F33" s="3">
        <v>4.01</v>
      </c>
      <c r="G33" s="3">
        <v>4.0110000000000001</v>
      </c>
      <c r="H33" s="3">
        <v>4.0110000000000001</v>
      </c>
      <c r="I33" s="3">
        <v>4.0110000000000001</v>
      </c>
      <c r="K33" s="3">
        <v>3.9820000000000002</v>
      </c>
      <c r="L33" s="3">
        <v>3.9329999999999998</v>
      </c>
      <c r="M33" s="3">
        <v>3.9990000000000001</v>
      </c>
      <c r="N33" s="3">
        <v>3.9990000000000001</v>
      </c>
      <c r="P33" s="3">
        <v>3.5319997482001781</v>
      </c>
      <c r="Q33" s="3">
        <v>3.3799994513392448</v>
      </c>
      <c r="R33" s="3">
        <v>3.8149997373111546</v>
      </c>
      <c r="S33" s="3">
        <v>3.8179997076513246</v>
      </c>
      <c r="U33" s="3">
        <v>9</v>
      </c>
      <c r="V33" s="3">
        <v>15</v>
      </c>
      <c r="W33" s="3">
        <v>12</v>
      </c>
      <c r="X33" s="3">
        <v>12</v>
      </c>
      <c r="Z33" s="3">
        <v>3.9820000000000002</v>
      </c>
      <c r="AA33" s="3">
        <v>3.9329999999999998</v>
      </c>
      <c r="AB33" s="3">
        <v>3.9990000000000001</v>
      </c>
      <c r="AC33" s="3">
        <v>3.8820000000000001</v>
      </c>
      <c r="AE33" s="3">
        <v>3.5319997482001781</v>
      </c>
      <c r="AF33" s="3">
        <v>3.3799994513392448</v>
      </c>
      <c r="AG33" s="3">
        <v>3.8149997373111546</v>
      </c>
      <c r="AH33" s="3">
        <v>3.8179997076513246</v>
      </c>
      <c r="AJ33" s="3">
        <v>9</v>
      </c>
      <c r="AK33" s="3">
        <v>15</v>
      </c>
      <c r="AL33" s="3">
        <v>12</v>
      </c>
      <c r="AM33" s="3">
        <v>12</v>
      </c>
      <c r="AO33" s="3">
        <v>1</v>
      </c>
      <c r="AP33" s="3">
        <v>1</v>
      </c>
      <c r="AQ33" s="3">
        <v>1</v>
      </c>
      <c r="AR33" s="3">
        <v>2</v>
      </c>
      <c r="AT33" s="3">
        <v>1.3000000268220901E-2</v>
      </c>
      <c r="AU33" s="3">
        <v>6.8999998271465302E-2</v>
      </c>
      <c r="AV33" s="3">
        <v>4.0000001899898052E-3</v>
      </c>
      <c r="AW33" s="3">
        <v>1.0000000474974513E-3</v>
      </c>
      <c r="AY33" s="3">
        <v>2.9159999999999995</v>
      </c>
      <c r="AZ33" s="3">
        <v>2.9659999999999997</v>
      </c>
      <c r="BA33" s="3">
        <v>3.5670000000000002</v>
      </c>
      <c r="BB33" s="3">
        <v>1.65</v>
      </c>
      <c r="BD33" s="3">
        <v>2.8829997777938843</v>
      </c>
      <c r="BE33" s="3">
        <v>2.3649992495775223</v>
      </c>
      <c r="BF33" s="3">
        <v>3.3819997310638428</v>
      </c>
      <c r="BG33" s="3">
        <v>1.501999706029892</v>
      </c>
      <c r="BI33" s="3">
        <v>7</v>
      </c>
      <c r="BJ33" s="3">
        <v>10</v>
      </c>
      <c r="BK33" s="3">
        <v>11</v>
      </c>
      <c r="BL33" s="3">
        <v>6</v>
      </c>
      <c r="BN33" s="3">
        <v>4</v>
      </c>
      <c r="BO33" s="3">
        <v>3</v>
      </c>
      <c r="BP33" s="3">
        <v>2</v>
      </c>
      <c r="BQ33" s="3">
        <v>2</v>
      </c>
      <c r="BS33" s="3">
        <v>0.46299999952316284</v>
      </c>
      <c r="BT33" s="3">
        <v>0.18600000441074371</v>
      </c>
      <c r="BU33" s="3">
        <v>0.45399999618530273</v>
      </c>
      <c r="BV33" s="3">
        <v>0.41800001263618469</v>
      </c>
      <c r="BX33" s="3">
        <v>6.6000000000000281E-2</v>
      </c>
      <c r="BY33" s="3">
        <v>0.13400000000000004</v>
      </c>
      <c r="BZ33" s="3">
        <v>0</v>
      </c>
      <c r="CA33" s="3">
        <v>0.39999999999999991</v>
      </c>
      <c r="CC33" s="3">
        <v>0</v>
      </c>
      <c r="CD33" s="3">
        <v>0.10000000149011612</v>
      </c>
      <c r="CE33" s="3">
        <v>0</v>
      </c>
      <c r="CF33" s="3">
        <v>0.43299984931945801</v>
      </c>
      <c r="CH33" s="3">
        <v>0</v>
      </c>
      <c r="CI33" s="3">
        <v>1</v>
      </c>
      <c r="CJ33" s="3">
        <v>0</v>
      </c>
      <c r="CK33" s="3">
        <v>1</v>
      </c>
      <c r="CM33" s="3">
        <v>1</v>
      </c>
      <c r="CN33" s="3">
        <v>2</v>
      </c>
      <c r="CO33" s="3">
        <v>0</v>
      </c>
      <c r="CP33" s="3">
        <v>1</v>
      </c>
      <c r="CR33" s="3">
        <v>4.01</v>
      </c>
      <c r="CS33" s="3">
        <v>6.8999998271465302E-2</v>
      </c>
      <c r="CT33" s="3">
        <v>4.0110000000000001</v>
      </c>
      <c r="CU33" s="3">
        <v>2.1170001029968262</v>
      </c>
    </row>
    <row r="34" spans="1:99" s="3" customFormat="1" x14ac:dyDescent="0.35">
      <c r="A34" s="2" t="s">
        <v>32</v>
      </c>
      <c r="B34" s="2">
        <v>9.5</v>
      </c>
      <c r="C34" s="2" t="s">
        <v>167</v>
      </c>
      <c r="D34" s="2" t="s">
        <v>403</v>
      </c>
      <c r="F34" s="3">
        <v>4.0110000000000001</v>
      </c>
      <c r="G34" s="3">
        <v>4.0149999999999997</v>
      </c>
      <c r="H34" s="3">
        <v>4.01</v>
      </c>
      <c r="I34" s="3">
        <v>4.01</v>
      </c>
      <c r="K34" s="3">
        <v>3.9159999999999995</v>
      </c>
      <c r="L34" s="3">
        <v>3.6320000000000001</v>
      </c>
      <c r="M34" s="3">
        <v>3.9319999999999999</v>
      </c>
      <c r="N34" s="3">
        <v>4</v>
      </c>
      <c r="P34" s="3">
        <v>3.2330003306269646</v>
      </c>
      <c r="Q34" s="3">
        <v>2.830000102519989</v>
      </c>
      <c r="R34" s="3">
        <v>3.6310000494122505</v>
      </c>
      <c r="S34" s="3">
        <v>3.6529999412596226</v>
      </c>
      <c r="U34" s="3">
        <v>10</v>
      </c>
      <c r="V34" s="3">
        <v>11</v>
      </c>
      <c r="W34" s="3">
        <v>13</v>
      </c>
      <c r="X34" s="3">
        <v>13</v>
      </c>
      <c r="Z34" s="3">
        <v>3.9159999999999995</v>
      </c>
      <c r="AA34" s="3">
        <v>3.4820000000000002</v>
      </c>
      <c r="AB34" s="3">
        <v>3.9319999999999999</v>
      </c>
      <c r="AC34" s="3">
        <v>4</v>
      </c>
      <c r="AE34" s="3">
        <v>3.2330003306269646</v>
      </c>
      <c r="AF34" s="3">
        <v>2.830000102519989</v>
      </c>
      <c r="AG34" s="3">
        <v>3.6310000494122505</v>
      </c>
      <c r="AH34" s="3">
        <v>3.6529999412596226</v>
      </c>
      <c r="AJ34" s="3">
        <v>10</v>
      </c>
      <c r="AK34" s="3">
        <v>11</v>
      </c>
      <c r="AL34" s="3">
        <v>13</v>
      </c>
      <c r="AM34" s="3">
        <v>13</v>
      </c>
      <c r="AO34" s="3">
        <v>1</v>
      </c>
      <c r="AP34" s="3">
        <v>2</v>
      </c>
      <c r="AQ34" s="3">
        <v>1</v>
      </c>
      <c r="AR34" s="3">
        <v>1</v>
      </c>
      <c r="AT34" s="3">
        <v>9.0999998152256012E-2</v>
      </c>
      <c r="AU34" s="3">
        <v>0.46799999475479126</v>
      </c>
      <c r="AV34" s="3">
        <v>1.0999999940395355E-2</v>
      </c>
      <c r="AW34" s="3">
        <v>8.999999612569809E-3</v>
      </c>
      <c r="AY34" s="3">
        <v>1.966</v>
      </c>
      <c r="AZ34" s="3">
        <v>1.5990000000000004</v>
      </c>
      <c r="BA34" s="3">
        <v>1.95</v>
      </c>
      <c r="BB34" s="3">
        <v>2.4829999999999997</v>
      </c>
      <c r="BD34" s="3">
        <v>1.8990002274513245</v>
      </c>
      <c r="BE34" s="3">
        <v>1.8320000767707825</v>
      </c>
      <c r="BF34" s="3">
        <v>2.132000096142292</v>
      </c>
      <c r="BG34" s="3">
        <v>2.43399977684021</v>
      </c>
      <c r="BI34" s="3">
        <v>5</v>
      </c>
      <c r="BJ34" s="3">
        <v>7</v>
      </c>
      <c r="BK34" s="3">
        <v>6</v>
      </c>
      <c r="BL34" s="3">
        <v>9</v>
      </c>
      <c r="BN34" s="3">
        <v>4</v>
      </c>
      <c r="BO34" s="3">
        <v>5</v>
      </c>
      <c r="BP34" s="3">
        <v>5</v>
      </c>
      <c r="BQ34" s="3">
        <v>4</v>
      </c>
      <c r="BS34" s="3">
        <v>0.42500001192092896</v>
      </c>
      <c r="BT34" s="3">
        <v>0.46799999475479126</v>
      </c>
      <c r="BU34" s="3">
        <v>1.0999999940395355E-2</v>
      </c>
      <c r="BV34" s="3">
        <v>0.55900001525878906</v>
      </c>
      <c r="BX34" s="3">
        <v>3.2999999999999974E-2</v>
      </c>
      <c r="BY34" s="3">
        <v>0</v>
      </c>
      <c r="BZ34" s="3">
        <v>0.13300000000000001</v>
      </c>
      <c r="CA34" s="3">
        <v>0</v>
      </c>
      <c r="CC34" s="3">
        <v>0</v>
      </c>
      <c r="CD34" s="3">
        <v>0</v>
      </c>
      <c r="CE34" s="3">
        <v>0.18300008773803711</v>
      </c>
      <c r="CF34" s="3">
        <v>0</v>
      </c>
      <c r="CH34" s="3">
        <v>0</v>
      </c>
      <c r="CI34" s="3">
        <v>0</v>
      </c>
      <c r="CJ34" s="3">
        <v>1</v>
      </c>
      <c r="CK34" s="3">
        <v>0</v>
      </c>
      <c r="CM34" s="3">
        <v>3</v>
      </c>
      <c r="CN34" s="3">
        <v>1</v>
      </c>
      <c r="CO34" s="3">
        <v>2</v>
      </c>
      <c r="CP34" s="3">
        <v>0</v>
      </c>
      <c r="CR34" s="3">
        <v>4.0110000000000001</v>
      </c>
      <c r="CS34" s="3">
        <v>4.0149999999999997</v>
      </c>
      <c r="CT34" s="3">
        <v>1.6599999666213989</v>
      </c>
      <c r="CU34" s="3">
        <v>4.01</v>
      </c>
    </row>
    <row r="35" spans="1:99" s="3" customFormat="1" x14ac:dyDescent="0.35">
      <c r="A35" s="2" t="s">
        <v>33</v>
      </c>
      <c r="B35" s="2">
        <v>4.333333333333333</v>
      </c>
      <c r="C35" s="2" t="s">
        <v>167</v>
      </c>
      <c r="D35" s="2" t="s">
        <v>403</v>
      </c>
      <c r="F35" s="3">
        <v>1000</v>
      </c>
      <c r="G35" s="3">
        <v>4.0140000000000002</v>
      </c>
      <c r="H35" s="3">
        <v>4.0049999999999999</v>
      </c>
      <c r="I35" s="3">
        <v>0</v>
      </c>
      <c r="K35" s="3">
        <v>1000</v>
      </c>
      <c r="L35" s="3">
        <v>3.9820000000000002</v>
      </c>
      <c r="M35" s="3">
        <v>3.9989999999999997</v>
      </c>
      <c r="N35" s="3">
        <v>1000</v>
      </c>
      <c r="P35" s="3">
        <v>1000</v>
      </c>
      <c r="Q35" s="3">
        <v>3.765999861061573</v>
      </c>
      <c r="R35" s="3">
        <v>3.8659998388029635</v>
      </c>
      <c r="S35" s="3">
        <v>1000</v>
      </c>
      <c r="U35" s="3">
        <v>1000</v>
      </c>
      <c r="V35" s="3">
        <v>9</v>
      </c>
      <c r="W35" s="3">
        <v>6</v>
      </c>
      <c r="X35" s="3">
        <v>1000</v>
      </c>
      <c r="Z35" s="3">
        <v>1000</v>
      </c>
      <c r="AA35" s="3">
        <v>3.9820000000000002</v>
      </c>
      <c r="AB35" s="3">
        <v>3.9489999999999994</v>
      </c>
      <c r="AC35" s="3">
        <v>1000</v>
      </c>
      <c r="AE35" s="3">
        <v>1000</v>
      </c>
      <c r="AF35" s="3">
        <v>3.765999861061573</v>
      </c>
      <c r="AG35" s="3">
        <v>3.8659998388029635</v>
      </c>
      <c r="AH35" s="3">
        <v>1000</v>
      </c>
      <c r="AJ35" s="3">
        <v>1000</v>
      </c>
      <c r="AK35" s="3">
        <v>9</v>
      </c>
      <c r="AL35" s="3">
        <v>6</v>
      </c>
      <c r="AM35" s="3">
        <v>1000</v>
      </c>
      <c r="AO35" s="3">
        <v>1000</v>
      </c>
      <c r="AP35" s="3">
        <v>1</v>
      </c>
      <c r="AQ35" s="3">
        <v>2</v>
      </c>
      <c r="AR35" s="3">
        <v>1000</v>
      </c>
      <c r="AT35" s="3">
        <v>1000</v>
      </c>
      <c r="AU35" s="3">
        <v>0.11500000208616257</v>
      </c>
      <c r="AV35" s="3">
        <v>3.0000000260770321E-3</v>
      </c>
      <c r="AW35" s="3">
        <v>1000</v>
      </c>
      <c r="AY35" s="3">
        <v>1000</v>
      </c>
      <c r="AZ35" s="3">
        <v>0.86499999999999977</v>
      </c>
      <c r="BA35" s="3">
        <v>0.71700000000000053</v>
      </c>
      <c r="BB35" s="3">
        <v>1000</v>
      </c>
      <c r="BD35" s="3">
        <v>1000</v>
      </c>
      <c r="BE35" s="3">
        <v>0.76600003242492676</v>
      </c>
      <c r="BF35" s="3">
        <v>0.81599974632263184</v>
      </c>
      <c r="BG35" s="3">
        <v>1000</v>
      </c>
      <c r="BI35" s="3">
        <v>1000</v>
      </c>
      <c r="BJ35" s="3">
        <v>4</v>
      </c>
      <c r="BK35" s="3">
        <v>2</v>
      </c>
      <c r="BL35" s="3">
        <v>1000</v>
      </c>
      <c r="BN35" s="3">
        <v>1000</v>
      </c>
      <c r="BO35" s="3">
        <v>4</v>
      </c>
      <c r="BP35" s="3">
        <v>2</v>
      </c>
      <c r="BQ35" s="3">
        <v>1000</v>
      </c>
      <c r="BS35" s="3">
        <v>1000</v>
      </c>
      <c r="BT35" s="3">
        <v>0.5820000171661377</v>
      </c>
      <c r="BU35" s="3">
        <v>2.9019999504089355</v>
      </c>
      <c r="BV35" s="3">
        <v>1000</v>
      </c>
      <c r="BX35" s="3">
        <v>1000</v>
      </c>
      <c r="BY35" s="3">
        <v>0</v>
      </c>
      <c r="BZ35" s="3">
        <v>0</v>
      </c>
      <c r="CA35" s="3">
        <v>1000</v>
      </c>
      <c r="CC35" s="3">
        <v>1000</v>
      </c>
      <c r="CD35" s="3">
        <v>0</v>
      </c>
      <c r="CE35" s="3">
        <v>0</v>
      </c>
      <c r="CF35" s="3">
        <v>1000</v>
      </c>
      <c r="CH35" s="3">
        <v>1000</v>
      </c>
      <c r="CI35" s="3">
        <v>0</v>
      </c>
      <c r="CJ35" s="3">
        <v>0</v>
      </c>
      <c r="CK35" s="3">
        <v>1000</v>
      </c>
      <c r="CM35" s="3">
        <v>1000</v>
      </c>
      <c r="CN35" s="3">
        <v>0</v>
      </c>
      <c r="CO35" s="3">
        <v>0</v>
      </c>
      <c r="CP35" s="3">
        <v>1000</v>
      </c>
      <c r="CR35" s="3">
        <v>1000</v>
      </c>
      <c r="CS35" s="3">
        <v>4.0140000000000002</v>
      </c>
      <c r="CT35" s="3">
        <v>4.0049999999999999</v>
      </c>
      <c r="CU35" s="3">
        <v>1000</v>
      </c>
    </row>
    <row r="36" spans="1:99" s="3" customFormat="1" x14ac:dyDescent="0.35">
      <c r="A36" s="2" t="s">
        <v>34</v>
      </c>
      <c r="B36" s="2">
        <v>9.25</v>
      </c>
      <c r="C36" s="2" t="s">
        <v>167</v>
      </c>
      <c r="D36" s="2" t="s">
        <v>403</v>
      </c>
      <c r="F36" s="3">
        <v>4.0140000000000002</v>
      </c>
      <c r="G36" s="3">
        <v>4.016</v>
      </c>
      <c r="H36" s="3">
        <v>4.008</v>
      </c>
      <c r="I36" s="3">
        <v>4.01</v>
      </c>
      <c r="K36" s="3">
        <v>3.9819999999999998</v>
      </c>
      <c r="L36" s="3">
        <v>3.9990000000000001</v>
      </c>
      <c r="M36" s="3">
        <v>3.9830000000000001</v>
      </c>
      <c r="N36" s="3">
        <v>3.9990000000000001</v>
      </c>
      <c r="P36" s="3">
        <v>3.7660002997145057</v>
      </c>
      <c r="Q36" s="3">
        <v>3.2650002399459481</v>
      </c>
      <c r="R36" s="3">
        <v>3.8309999983757734</v>
      </c>
      <c r="S36" s="3">
        <v>3.1490003913640976</v>
      </c>
      <c r="U36" s="3">
        <v>12</v>
      </c>
      <c r="V36" s="3">
        <v>6</v>
      </c>
      <c r="W36" s="3">
        <v>10</v>
      </c>
      <c r="X36" s="3">
        <v>8</v>
      </c>
      <c r="Z36" s="3">
        <v>3.9819999999999998</v>
      </c>
      <c r="AA36" s="3">
        <v>3.9990000000000001</v>
      </c>
      <c r="AB36" s="3">
        <v>3.9830000000000001</v>
      </c>
      <c r="AC36" s="3">
        <v>3.3650000000000002</v>
      </c>
      <c r="AE36" s="3">
        <v>3.7660002997145057</v>
      </c>
      <c r="AF36" s="3">
        <v>3.2650002399459481</v>
      </c>
      <c r="AG36" s="3">
        <v>3.8309999983757734</v>
      </c>
      <c r="AH36" s="3">
        <v>3.1490003913640976</v>
      </c>
      <c r="AJ36" s="3">
        <v>12</v>
      </c>
      <c r="AK36" s="3">
        <v>6</v>
      </c>
      <c r="AL36" s="3">
        <v>10</v>
      </c>
      <c r="AM36" s="3">
        <v>8</v>
      </c>
      <c r="AO36" s="3">
        <v>1</v>
      </c>
      <c r="AP36" s="3">
        <v>1</v>
      </c>
      <c r="AQ36" s="3">
        <v>1</v>
      </c>
      <c r="AR36" s="3">
        <v>2</v>
      </c>
      <c r="AT36" s="3">
        <v>7.0000002160668373E-3</v>
      </c>
      <c r="AU36" s="3">
        <v>1.4999999664723873E-2</v>
      </c>
      <c r="AV36" s="3">
        <v>1.4000000432133675E-2</v>
      </c>
      <c r="AW36" s="3">
        <v>0</v>
      </c>
      <c r="AY36" s="3">
        <v>1.6999999999999997</v>
      </c>
      <c r="AZ36" s="3">
        <v>2.532</v>
      </c>
      <c r="BA36" s="3">
        <v>2.5999999999999996</v>
      </c>
      <c r="BB36" s="3">
        <v>1.3649999999999998</v>
      </c>
      <c r="BD36" s="3">
        <v>1.6330001354217529</v>
      </c>
      <c r="BE36" s="3">
        <v>2.2160001993179321</v>
      </c>
      <c r="BF36" s="3">
        <v>2.9479999840259552</v>
      </c>
      <c r="BG36" s="3">
        <v>1.2830001711845398</v>
      </c>
      <c r="BI36" s="3">
        <v>4</v>
      </c>
      <c r="BJ36" s="3">
        <v>3</v>
      </c>
      <c r="BK36" s="3">
        <v>7</v>
      </c>
      <c r="BL36" s="3">
        <v>4</v>
      </c>
      <c r="BN36" s="3">
        <v>3</v>
      </c>
      <c r="BO36" s="3">
        <v>4</v>
      </c>
      <c r="BP36" s="3">
        <v>4</v>
      </c>
      <c r="BQ36" s="3">
        <v>6</v>
      </c>
      <c r="BS36" s="3">
        <v>0.52300000190734863</v>
      </c>
      <c r="BT36" s="3">
        <v>1.1139999628067017</v>
      </c>
      <c r="BU36" s="3">
        <v>0.36399999260902405</v>
      </c>
      <c r="BV36" s="3">
        <v>0.44999998807907104</v>
      </c>
      <c r="BX36" s="3">
        <v>0.28299999999999992</v>
      </c>
      <c r="BY36" s="3">
        <v>0</v>
      </c>
      <c r="BZ36" s="3">
        <v>0</v>
      </c>
      <c r="CA36" s="3">
        <v>0.99899999999999967</v>
      </c>
      <c r="CC36" s="3">
        <v>0.5</v>
      </c>
      <c r="CD36" s="3">
        <v>0</v>
      </c>
      <c r="CE36" s="3">
        <v>0</v>
      </c>
      <c r="CF36" s="3">
        <v>1.0660001039505005</v>
      </c>
      <c r="CH36" s="3">
        <v>1</v>
      </c>
      <c r="CI36" s="3">
        <v>0</v>
      </c>
      <c r="CJ36" s="3">
        <v>0</v>
      </c>
      <c r="CK36" s="3">
        <v>1</v>
      </c>
      <c r="CM36" s="3">
        <v>1</v>
      </c>
      <c r="CN36" s="3">
        <v>0</v>
      </c>
      <c r="CO36" s="3">
        <v>0</v>
      </c>
      <c r="CP36" s="3">
        <v>2</v>
      </c>
      <c r="CR36" s="3">
        <v>1.8559999465942383</v>
      </c>
      <c r="CS36" s="3">
        <v>4.016</v>
      </c>
      <c r="CT36" s="3">
        <v>4.008</v>
      </c>
      <c r="CU36" s="3">
        <v>1.8669999837875366</v>
      </c>
    </row>
    <row r="37" spans="1:99" s="3" customFormat="1" x14ac:dyDescent="0.35">
      <c r="A37" s="2" t="s">
        <v>35</v>
      </c>
      <c r="B37" s="2">
        <v>5.166666666666667</v>
      </c>
      <c r="C37" s="2" t="s">
        <v>167</v>
      </c>
      <c r="D37" s="2" t="s">
        <v>403</v>
      </c>
      <c r="F37" s="3">
        <v>2.5089999999999999</v>
      </c>
      <c r="G37" s="3">
        <v>4.0279999999999996</v>
      </c>
      <c r="H37" s="3">
        <v>2.9590000000000005</v>
      </c>
      <c r="I37" s="3">
        <v>2.6120000000000001</v>
      </c>
      <c r="K37" s="3">
        <v>2.2320000000000002</v>
      </c>
      <c r="L37" s="3">
        <v>3.9990000000000001</v>
      </c>
      <c r="M37" s="3">
        <v>2.7490000000000006</v>
      </c>
      <c r="N37" s="3">
        <v>2.0829999999999997</v>
      </c>
      <c r="P37" s="3">
        <v>2.0979998065158725</v>
      </c>
      <c r="Q37" s="3">
        <v>3.5969999749213457</v>
      </c>
      <c r="R37" s="3">
        <v>2.2989998906850815</v>
      </c>
      <c r="S37" s="3">
        <v>1.0329999327659607</v>
      </c>
      <c r="U37" s="3">
        <v>4</v>
      </c>
      <c r="V37" s="3">
        <v>7</v>
      </c>
      <c r="W37" s="3">
        <v>8</v>
      </c>
      <c r="X37" s="3">
        <v>3</v>
      </c>
      <c r="Z37" s="3">
        <v>2.2160000000000002</v>
      </c>
      <c r="AA37" s="3">
        <v>3.9990000000000001</v>
      </c>
      <c r="AB37" s="3">
        <v>2.649</v>
      </c>
      <c r="AC37" s="3">
        <v>1.7499999999999996</v>
      </c>
      <c r="AE37" s="3">
        <v>2.0979998065158725</v>
      </c>
      <c r="AF37" s="3">
        <v>3.5969999749213457</v>
      </c>
      <c r="AG37" s="3">
        <v>2.2989998906850815</v>
      </c>
      <c r="AH37" s="3">
        <v>1.0329999327659607</v>
      </c>
      <c r="AJ37" s="3">
        <v>4</v>
      </c>
      <c r="AK37" s="3">
        <v>7</v>
      </c>
      <c r="AL37" s="3">
        <v>8</v>
      </c>
      <c r="AM37" s="3">
        <v>3</v>
      </c>
      <c r="AO37" s="3">
        <v>2</v>
      </c>
      <c r="AP37" s="3">
        <v>1</v>
      </c>
      <c r="AQ37" s="3">
        <v>2</v>
      </c>
      <c r="AR37" s="3">
        <v>2</v>
      </c>
      <c r="AT37" s="3">
        <v>4.999999888241291E-3</v>
      </c>
      <c r="AU37" s="3">
        <v>2.3000000044703484E-2</v>
      </c>
      <c r="AV37" s="3">
        <v>0.2460000067949295</v>
      </c>
      <c r="AW37" s="3">
        <v>0.92500001192092896</v>
      </c>
      <c r="AY37" s="3">
        <v>0.48299999999999998</v>
      </c>
      <c r="AZ37" s="3">
        <v>2.9820000000000007</v>
      </c>
      <c r="BA37" s="3">
        <v>1.2160000000000006</v>
      </c>
      <c r="BB37" s="3">
        <v>8.2999999999999741E-2</v>
      </c>
      <c r="BD37" s="3">
        <v>0.83199995756149292</v>
      </c>
      <c r="BE37" s="3">
        <v>3.01500004529953</v>
      </c>
      <c r="BF37" s="3">
        <v>1.0819997191429138</v>
      </c>
      <c r="BG37" s="3">
        <v>0</v>
      </c>
      <c r="BI37" s="3">
        <v>2</v>
      </c>
      <c r="BJ37" s="3">
        <v>5</v>
      </c>
      <c r="BK37" s="3">
        <v>4</v>
      </c>
      <c r="BL37" s="3">
        <v>0</v>
      </c>
      <c r="BN37" s="3">
        <v>2</v>
      </c>
      <c r="BO37" s="3">
        <v>3</v>
      </c>
      <c r="BP37" s="3">
        <v>4</v>
      </c>
      <c r="BQ37" s="3">
        <v>1</v>
      </c>
      <c r="BS37" s="3">
        <v>0.60500001907348633</v>
      </c>
      <c r="BT37" s="3">
        <v>0.50599998235702515</v>
      </c>
      <c r="BU37" s="3">
        <v>0.76200002431869507</v>
      </c>
      <c r="BV37" s="3">
        <v>4.0110000000000001</v>
      </c>
      <c r="BX37" s="3">
        <v>0</v>
      </c>
      <c r="BY37" s="3">
        <v>0.11599999999999988</v>
      </c>
      <c r="BZ37" s="3">
        <v>0</v>
      </c>
      <c r="CA37" s="3">
        <v>1.6999999999999904E-2</v>
      </c>
      <c r="CC37" s="3">
        <v>0</v>
      </c>
      <c r="CD37" s="3">
        <v>0.11599993705749512</v>
      </c>
      <c r="CE37" s="3">
        <v>0</v>
      </c>
      <c r="CF37" s="3">
        <v>0</v>
      </c>
      <c r="CH37" s="3">
        <v>0</v>
      </c>
      <c r="CI37" s="3">
        <v>1</v>
      </c>
      <c r="CJ37" s="3">
        <v>0</v>
      </c>
      <c r="CK37" s="3">
        <v>0</v>
      </c>
      <c r="CM37" s="3">
        <v>0</v>
      </c>
      <c r="CN37" s="3">
        <v>1</v>
      </c>
      <c r="CO37" s="3">
        <v>0</v>
      </c>
      <c r="CP37" s="3">
        <v>2</v>
      </c>
      <c r="CR37" s="3">
        <v>4.0259999999999998</v>
      </c>
      <c r="CS37" s="3">
        <v>1.406000018119812</v>
      </c>
      <c r="CT37" s="3">
        <v>4.0090000000000003</v>
      </c>
      <c r="CU37" s="3">
        <v>4.0110000000000001</v>
      </c>
    </row>
    <row r="38" spans="1:99" s="3" customFormat="1" x14ac:dyDescent="0.35">
      <c r="A38" s="2" t="s">
        <v>36</v>
      </c>
      <c r="B38" s="2">
        <v>8.8333333333333339</v>
      </c>
      <c r="C38" s="2" t="s">
        <v>168</v>
      </c>
      <c r="D38" s="2" t="s">
        <v>403</v>
      </c>
      <c r="F38" s="3">
        <v>4.0149999999999997</v>
      </c>
      <c r="G38" s="3">
        <v>4.016</v>
      </c>
      <c r="H38" s="3">
        <v>1.5009999999999999</v>
      </c>
      <c r="I38" s="3">
        <v>4.0149999999999997</v>
      </c>
      <c r="K38" s="3">
        <v>3.9990000000000001</v>
      </c>
      <c r="L38" s="3">
        <v>3.8979999999999997</v>
      </c>
      <c r="M38" s="3">
        <v>1000</v>
      </c>
      <c r="N38" s="3">
        <v>3.9660000000000002</v>
      </c>
      <c r="P38" s="3">
        <v>1.1820003390312195</v>
      </c>
      <c r="Q38" s="3">
        <v>0.58300018310546875</v>
      </c>
      <c r="R38" s="3">
        <v>1000</v>
      </c>
      <c r="S38" s="3">
        <v>1.9499999582767487</v>
      </c>
      <c r="U38" s="3">
        <v>8</v>
      </c>
      <c r="V38" s="3">
        <v>4</v>
      </c>
      <c r="W38" s="3">
        <v>1000</v>
      </c>
      <c r="X38" s="3">
        <v>10</v>
      </c>
      <c r="Z38" s="3">
        <v>2.5640000000000005</v>
      </c>
      <c r="AA38" s="3">
        <v>3.3509999999999995</v>
      </c>
      <c r="AB38" s="3">
        <v>1000</v>
      </c>
      <c r="AC38" s="3">
        <v>2.7670000000000003</v>
      </c>
      <c r="AE38" s="3">
        <v>0.76600021123886108</v>
      </c>
      <c r="AF38" s="3">
        <v>0.58300018310546875</v>
      </c>
      <c r="AG38" s="3">
        <v>1000</v>
      </c>
      <c r="AH38" s="3">
        <v>1.8159998953342438</v>
      </c>
      <c r="AJ38" s="3">
        <v>6</v>
      </c>
      <c r="AK38" s="3">
        <v>4</v>
      </c>
      <c r="AL38" s="3">
        <v>1000</v>
      </c>
      <c r="AM38" s="3">
        <v>9</v>
      </c>
      <c r="AO38" s="3">
        <v>16</v>
      </c>
      <c r="AP38" s="3">
        <v>10</v>
      </c>
      <c r="AQ38" s="3">
        <v>1000</v>
      </c>
      <c r="AR38" s="3">
        <v>11</v>
      </c>
      <c r="AT38" s="3">
        <v>0.82599997520446777</v>
      </c>
      <c r="AU38" s="3">
        <v>2.1740000247955322</v>
      </c>
      <c r="AV38" s="3">
        <v>1000</v>
      </c>
      <c r="AW38" s="3">
        <v>5.0999999046325684E-2</v>
      </c>
      <c r="AY38" s="3">
        <v>5.0000000000000266E-2</v>
      </c>
      <c r="AZ38" s="3">
        <v>0.19900000000000007</v>
      </c>
      <c r="BA38" s="3">
        <v>1000</v>
      </c>
      <c r="BB38" s="3">
        <v>0.25099999999999967</v>
      </c>
      <c r="BD38" s="3">
        <v>0</v>
      </c>
      <c r="BE38" s="3">
        <v>0.18300008773803711</v>
      </c>
      <c r="BF38" s="3">
        <v>1000</v>
      </c>
      <c r="BG38" s="3">
        <v>0.21699988842010498</v>
      </c>
      <c r="BI38" s="3">
        <v>0</v>
      </c>
      <c r="BJ38" s="3">
        <v>1</v>
      </c>
      <c r="BK38" s="3">
        <v>1000</v>
      </c>
      <c r="BL38" s="3">
        <v>1</v>
      </c>
      <c r="BN38" s="3">
        <v>2</v>
      </c>
      <c r="BO38" s="3">
        <v>12</v>
      </c>
      <c r="BP38" s="3">
        <v>1000</v>
      </c>
      <c r="BQ38" s="3">
        <v>3</v>
      </c>
      <c r="BS38" s="3">
        <v>4.0149999999999997</v>
      </c>
      <c r="BT38" s="3">
        <v>2.1740000247955322</v>
      </c>
      <c r="BU38" s="3">
        <v>1000</v>
      </c>
      <c r="BV38" s="3">
        <v>1.8170000314712524</v>
      </c>
      <c r="BX38" s="3">
        <v>3.3000000000000029E-2</v>
      </c>
      <c r="BY38" s="3">
        <v>0.13300000000000045</v>
      </c>
      <c r="BZ38" s="3">
        <v>1000</v>
      </c>
      <c r="CA38" s="3">
        <v>0.11699999999999999</v>
      </c>
      <c r="CC38" s="3">
        <v>0</v>
      </c>
      <c r="CD38" s="3">
        <v>0</v>
      </c>
      <c r="CE38" s="3">
        <v>1000</v>
      </c>
      <c r="CF38" s="3">
        <v>0.19999980926513672</v>
      </c>
      <c r="CH38" s="3">
        <v>0</v>
      </c>
      <c r="CI38" s="3">
        <v>0</v>
      </c>
      <c r="CJ38" s="3">
        <v>1000</v>
      </c>
      <c r="CK38" s="3">
        <v>1</v>
      </c>
      <c r="CM38" s="3">
        <v>10</v>
      </c>
      <c r="CN38" s="3">
        <v>6</v>
      </c>
      <c r="CO38" s="3">
        <v>1000</v>
      </c>
      <c r="CP38" s="3">
        <v>10</v>
      </c>
      <c r="CR38" s="3">
        <v>4.0149999999999997</v>
      </c>
      <c r="CS38" s="3">
        <v>4.016</v>
      </c>
      <c r="CT38" s="3">
        <v>1000</v>
      </c>
      <c r="CU38" s="3">
        <v>2.1500000953674316</v>
      </c>
    </row>
    <row r="39" spans="1:99" s="3" customFormat="1" x14ac:dyDescent="0.35">
      <c r="A39" s="2" t="s">
        <v>37</v>
      </c>
      <c r="B39" s="2">
        <v>5.083333333333333</v>
      </c>
      <c r="C39" s="2" t="s">
        <v>168</v>
      </c>
      <c r="D39" s="2" t="s">
        <v>403</v>
      </c>
      <c r="F39" s="3">
        <v>4.0259999999999998</v>
      </c>
      <c r="G39" s="3">
        <v>4.0149999999999997</v>
      </c>
      <c r="H39" s="3">
        <v>4.0069999999999997</v>
      </c>
      <c r="I39" s="3">
        <v>4.0039999999999996</v>
      </c>
      <c r="K39" s="3">
        <v>4.016</v>
      </c>
      <c r="L39" s="3">
        <v>3.9990000000000001</v>
      </c>
      <c r="M39" s="3">
        <v>3.9329999999999998</v>
      </c>
      <c r="N39" s="3">
        <v>3.516</v>
      </c>
      <c r="P39" s="3">
        <v>2.6160001158714294</v>
      </c>
      <c r="Q39" s="3">
        <v>3.7360002269269899</v>
      </c>
      <c r="R39" s="3">
        <v>3.7010000427253544</v>
      </c>
      <c r="S39" s="3">
        <v>2.5999996662139893</v>
      </c>
      <c r="U39" s="3">
        <v>8</v>
      </c>
      <c r="V39" s="3">
        <v>9</v>
      </c>
      <c r="W39" s="3">
        <v>9</v>
      </c>
      <c r="X39" s="3">
        <v>8</v>
      </c>
      <c r="Z39" s="3">
        <v>3.5660000000000007</v>
      </c>
      <c r="AA39" s="3">
        <v>3.9990000000000001</v>
      </c>
      <c r="AB39" s="3">
        <v>3.9329999999999998</v>
      </c>
      <c r="AC39" s="3">
        <v>2.2670000000000003</v>
      </c>
      <c r="AE39" s="3">
        <v>2.2660000920295715</v>
      </c>
      <c r="AF39" s="3">
        <v>3.7360002269269899</v>
      </c>
      <c r="AG39" s="3">
        <v>3.7010000427253544</v>
      </c>
      <c r="AH39" s="3">
        <v>1.6669998168945313</v>
      </c>
      <c r="AJ39" s="3">
        <v>7</v>
      </c>
      <c r="AK39" s="3">
        <v>9</v>
      </c>
      <c r="AL39" s="3">
        <v>9</v>
      </c>
      <c r="AM39" s="3">
        <v>7</v>
      </c>
      <c r="AO39" s="3">
        <v>2</v>
      </c>
      <c r="AP39" s="3">
        <v>1</v>
      </c>
      <c r="AQ39" s="3">
        <v>1</v>
      </c>
      <c r="AR39" s="3">
        <v>4</v>
      </c>
      <c r="AT39" s="3">
        <v>0.5339999794960022</v>
      </c>
      <c r="AU39" s="3">
        <v>1.0000000474974513E-3</v>
      </c>
      <c r="AV39" s="3">
        <v>4.0000001899898052E-3</v>
      </c>
      <c r="AW39" s="3">
        <v>0.50400000810623169</v>
      </c>
      <c r="AY39" s="3">
        <v>0.80100000000000038</v>
      </c>
      <c r="AZ39" s="3">
        <v>1.3339999999999996</v>
      </c>
      <c r="BA39" s="3">
        <v>1.6160000000000001</v>
      </c>
      <c r="BB39" s="3">
        <v>0.65100000000000013</v>
      </c>
      <c r="BD39" s="3">
        <v>0.84900009632110596</v>
      </c>
      <c r="BE39" s="3">
        <v>2.3180000056745484</v>
      </c>
      <c r="BF39" s="3">
        <v>1.749000072479248</v>
      </c>
      <c r="BG39" s="3">
        <v>0.59999996423721313</v>
      </c>
      <c r="BI39" s="3">
        <v>4</v>
      </c>
      <c r="BJ39" s="3">
        <v>5</v>
      </c>
      <c r="BK39" s="3">
        <v>3</v>
      </c>
      <c r="BL39" s="3">
        <v>2</v>
      </c>
      <c r="BN39" s="3">
        <v>7</v>
      </c>
      <c r="BO39" s="3">
        <v>6</v>
      </c>
      <c r="BP39" s="3">
        <v>3</v>
      </c>
      <c r="BQ39" s="3">
        <v>4</v>
      </c>
      <c r="BS39" s="3">
        <v>1.284000039100647</v>
      </c>
      <c r="BT39" s="3">
        <v>1.0000000474974513E-3</v>
      </c>
      <c r="BU39" s="3">
        <v>0.72000002861022949</v>
      </c>
      <c r="BV39" s="3">
        <v>0.50400000810623169</v>
      </c>
      <c r="BX39" s="3">
        <v>6.6000000000000003E-2</v>
      </c>
      <c r="BY39" s="3">
        <v>0</v>
      </c>
      <c r="BZ39" s="3">
        <v>0.36599999999999988</v>
      </c>
      <c r="CA39" s="3">
        <v>0.36699999999999999</v>
      </c>
      <c r="CC39" s="3">
        <v>0</v>
      </c>
      <c r="CD39" s="3">
        <v>0</v>
      </c>
      <c r="CE39" s="3">
        <v>0.43400001525878906</v>
      </c>
      <c r="CF39" s="3">
        <v>0.43299996852874756</v>
      </c>
      <c r="CH39" s="3">
        <v>0</v>
      </c>
      <c r="CI39" s="3">
        <v>0</v>
      </c>
      <c r="CJ39" s="3">
        <v>2</v>
      </c>
      <c r="CK39" s="3">
        <v>2</v>
      </c>
      <c r="CM39" s="3">
        <v>1</v>
      </c>
      <c r="CN39" s="3">
        <v>0</v>
      </c>
      <c r="CO39" s="3">
        <v>2</v>
      </c>
      <c r="CP39" s="3">
        <v>3</v>
      </c>
      <c r="CR39" s="3">
        <v>4.0259999999999998</v>
      </c>
      <c r="CS39" s="3">
        <v>4.0149999999999997</v>
      </c>
      <c r="CT39" s="3">
        <v>1.6369999647140503</v>
      </c>
      <c r="CU39" s="3">
        <v>1.5379999876022339</v>
      </c>
    </row>
    <row r="40" spans="1:99" s="3" customFormat="1" x14ac:dyDescent="0.35">
      <c r="A40" s="2" t="s">
        <v>38</v>
      </c>
      <c r="B40" s="2">
        <v>3.8333333333333335</v>
      </c>
      <c r="C40" s="2" t="s">
        <v>167</v>
      </c>
      <c r="D40" s="2" t="s">
        <v>403</v>
      </c>
      <c r="F40" s="3">
        <v>3.1909999999999998</v>
      </c>
      <c r="G40" s="3">
        <v>3.1659999999999999</v>
      </c>
      <c r="H40" s="3">
        <v>4.0069999999999997</v>
      </c>
      <c r="I40" s="3">
        <v>4.016</v>
      </c>
      <c r="K40" s="3">
        <v>2.883</v>
      </c>
      <c r="L40" s="3">
        <v>3.0989999999999998</v>
      </c>
      <c r="M40" s="3">
        <v>3.7319999999999998</v>
      </c>
      <c r="N40" s="3">
        <v>2.5659999999999998</v>
      </c>
      <c r="P40" s="3">
        <v>2.8480000495910645</v>
      </c>
      <c r="Q40" s="3">
        <v>1.9000001903623343</v>
      </c>
      <c r="R40" s="3">
        <v>3.2470001103356481</v>
      </c>
      <c r="S40" s="3">
        <v>2.3489992618560791</v>
      </c>
      <c r="U40" s="3">
        <v>6</v>
      </c>
      <c r="V40" s="3">
        <v>7</v>
      </c>
      <c r="W40" s="3">
        <v>12</v>
      </c>
      <c r="X40" s="3">
        <v>9</v>
      </c>
      <c r="Z40" s="3">
        <v>3.1819999999999999</v>
      </c>
      <c r="AA40" s="3">
        <v>2.7989999999999999</v>
      </c>
      <c r="AB40" s="3">
        <v>3.665</v>
      </c>
      <c r="AC40" s="3">
        <v>1.4999999999999996</v>
      </c>
      <c r="AE40" s="3">
        <v>2.8480000495910645</v>
      </c>
      <c r="AF40" s="3">
        <v>1.9000001903623343</v>
      </c>
      <c r="AG40" s="3">
        <v>3.2470001103356481</v>
      </c>
      <c r="AH40" s="3">
        <v>1.365999698638916</v>
      </c>
      <c r="AJ40" s="3">
        <v>6</v>
      </c>
      <c r="AK40" s="3">
        <v>7</v>
      </c>
      <c r="AL40" s="3">
        <v>12</v>
      </c>
      <c r="AM40" s="3">
        <v>6</v>
      </c>
      <c r="AO40" s="3">
        <v>1</v>
      </c>
      <c r="AP40" s="3">
        <v>3</v>
      </c>
      <c r="AQ40" s="3">
        <v>1</v>
      </c>
      <c r="AR40" s="3">
        <v>2</v>
      </c>
      <c r="AT40" s="3">
        <v>0.81099998950958252</v>
      </c>
      <c r="AU40" s="3">
        <v>2.500000037252903E-2</v>
      </c>
      <c r="AV40" s="3">
        <v>6.0000000521540642E-3</v>
      </c>
      <c r="AW40" s="3">
        <v>0.74900001287460327</v>
      </c>
      <c r="AY40" s="3">
        <v>0</v>
      </c>
      <c r="AZ40" s="3">
        <v>0</v>
      </c>
      <c r="BA40" s="3">
        <v>0</v>
      </c>
      <c r="BB40" s="3">
        <v>0.14999999999999991</v>
      </c>
      <c r="BD40" s="3">
        <v>0</v>
      </c>
      <c r="BE40" s="3">
        <v>0</v>
      </c>
      <c r="BF40" s="3">
        <v>0</v>
      </c>
      <c r="BG40" s="3">
        <v>0</v>
      </c>
      <c r="BI40" s="3">
        <v>0</v>
      </c>
      <c r="BJ40" s="3">
        <v>0</v>
      </c>
      <c r="BK40" s="3">
        <v>0</v>
      </c>
      <c r="BL40" s="3">
        <v>0</v>
      </c>
      <c r="BN40" s="3">
        <v>0</v>
      </c>
      <c r="BO40" s="3">
        <v>0</v>
      </c>
      <c r="BP40" s="3">
        <v>0</v>
      </c>
      <c r="BQ40" s="3">
        <v>1</v>
      </c>
      <c r="BS40" s="3">
        <v>4.0019999999999998</v>
      </c>
      <c r="BT40" s="3">
        <v>4.016</v>
      </c>
      <c r="BU40" s="3">
        <v>4.0069999999999997</v>
      </c>
      <c r="BV40" s="3">
        <v>4.016</v>
      </c>
      <c r="BX40" s="3">
        <v>0.43300000000000005</v>
      </c>
      <c r="BY40" s="3">
        <v>0.73299999999999954</v>
      </c>
      <c r="BZ40" s="3">
        <v>0.99999999999999944</v>
      </c>
      <c r="CA40" s="3">
        <v>0.75</v>
      </c>
      <c r="CC40" s="3">
        <v>0</v>
      </c>
      <c r="CD40" s="3">
        <v>0.89999997615814209</v>
      </c>
      <c r="CE40" s="3">
        <v>0.89899998903274536</v>
      </c>
      <c r="CF40" s="3">
        <v>0.84899961948394775</v>
      </c>
      <c r="CH40" s="3">
        <v>0</v>
      </c>
      <c r="CI40" s="3">
        <v>3</v>
      </c>
      <c r="CJ40" s="3">
        <v>5</v>
      </c>
      <c r="CK40" s="3">
        <v>4</v>
      </c>
      <c r="CM40" s="3">
        <v>2</v>
      </c>
      <c r="CN40" s="3">
        <v>5</v>
      </c>
      <c r="CO40" s="3">
        <v>7</v>
      </c>
      <c r="CP40" s="3">
        <v>2</v>
      </c>
      <c r="CR40" s="3">
        <v>4.0019999999999998</v>
      </c>
      <c r="CS40" s="3">
        <v>0.54100000858306885</v>
      </c>
      <c r="CT40" s="3">
        <v>0.50599998235702515</v>
      </c>
      <c r="CU40" s="3">
        <v>0.91600000858306885</v>
      </c>
    </row>
    <row r="41" spans="1:99" s="3" customFormat="1" x14ac:dyDescent="0.35">
      <c r="A41" s="2" t="s">
        <v>39</v>
      </c>
      <c r="B41" s="2">
        <v>6.083333333333333</v>
      </c>
      <c r="C41" s="2" t="s">
        <v>167</v>
      </c>
      <c r="D41" s="2" t="s">
        <v>403</v>
      </c>
      <c r="F41" s="3">
        <v>4.016</v>
      </c>
      <c r="G41" s="3">
        <v>4.016</v>
      </c>
      <c r="H41" s="3">
        <v>4.016</v>
      </c>
      <c r="I41" s="3">
        <v>4.0149999999999997</v>
      </c>
      <c r="K41" s="3">
        <v>3.6820000000000004</v>
      </c>
      <c r="L41" s="3">
        <v>3.9989999999999997</v>
      </c>
      <c r="M41" s="3">
        <v>3.6649999999999996</v>
      </c>
      <c r="N41" s="3">
        <v>3.9989999999999997</v>
      </c>
      <c r="P41" s="3">
        <v>2.914999932050705</v>
      </c>
      <c r="Q41" s="3">
        <v>3.796000019647181</v>
      </c>
      <c r="R41" s="3">
        <v>3.5640000700950623</v>
      </c>
      <c r="S41" s="3">
        <v>3.7820001104846597</v>
      </c>
      <c r="U41" s="3">
        <v>9</v>
      </c>
      <c r="V41" s="3">
        <v>13</v>
      </c>
      <c r="W41" s="3">
        <v>7</v>
      </c>
      <c r="X41" s="3">
        <v>11</v>
      </c>
      <c r="Z41" s="3">
        <v>3.6660000000000004</v>
      </c>
      <c r="AA41" s="3">
        <v>3.9989999999999997</v>
      </c>
      <c r="AB41" s="3">
        <v>3.6649999999999996</v>
      </c>
      <c r="AC41" s="3">
        <v>3.3989999999999996</v>
      </c>
      <c r="AE41" s="3">
        <v>2.914999932050705</v>
      </c>
      <c r="AF41" s="3">
        <v>3.796000019647181</v>
      </c>
      <c r="AG41" s="3">
        <v>3.5640000700950623</v>
      </c>
      <c r="AH41" s="3">
        <v>3.2660000780597329</v>
      </c>
      <c r="AJ41" s="3">
        <v>9</v>
      </c>
      <c r="AK41" s="3">
        <v>13</v>
      </c>
      <c r="AL41" s="3">
        <v>7</v>
      </c>
      <c r="AM41" s="3">
        <v>10</v>
      </c>
      <c r="AO41" s="3">
        <v>1</v>
      </c>
      <c r="AP41" s="3">
        <v>1</v>
      </c>
      <c r="AQ41" s="3">
        <v>1</v>
      </c>
      <c r="AR41" s="3">
        <v>2</v>
      </c>
      <c r="AT41" s="3">
        <v>0.40999999642372131</v>
      </c>
      <c r="AU41" s="3">
        <v>8.0000003799796104E-3</v>
      </c>
      <c r="AV41" s="3">
        <v>0.34700000286102295</v>
      </c>
      <c r="AW41" s="3">
        <v>8.0000003799796104E-3</v>
      </c>
      <c r="AY41" s="3">
        <v>1.5659999999999998</v>
      </c>
      <c r="AZ41" s="3">
        <v>1.1989999999999998</v>
      </c>
      <c r="BA41" s="3">
        <v>2.7989999999999995</v>
      </c>
      <c r="BB41" s="3">
        <v>1.0659999999999998</v>
      </c>
      <c r="BD41" s="3">
        <v>1.666000097990036</v>
      </c>
      <c r="BE41" s="3">
        <v>1.2649999260902405</v>
      </c>
      <c r="BF41" s="3">
        <v>3.1310001015663147</v>
      </c>
      <c r="BG41" s="3">
        <v>1.1500000357627869</v>
      </c>
      <c r="BI41" s="3">
        <v>5</v>
      </c>
      <c r="BJ41" s="3">
        <v>6</v>
      </c>
      <c r="BK41" s="3">
        <v>6</v>
      </c>
      <c r="BL41" s="3">
        <v>3</v>
      </c>
      <c r="BN41" s="3">
        <v>4</v>
      </c>
      <c r="BO41" s="3">
        <v>4</v>
      </c>
      <c r="BP41" s="3">
        <v>2</v>
      </c>
      <c r="BQ41" s="3">
        <v>2</v>
      </c>
      <c r="BS41" s="3">
        <v>0.40999999642372131</v>
      </c>
      <c r="BT41" s="3">
        <v>0.57499998807907104</v>
      </c>
      <c r="BU41" s="3">
        <v>0.34700000286102295</v>
      </c>
      <c r="BV41" s="3">
        <v>0.49099999666213989</v>
      </c>
      <c r="BX41" s="3">
        <v>0.25</v>
      </c>
      <c r="BY41" s="3">
        <v>0</v>
      </c>
      <c r="BZ41" s="3">
        <v>0</v>
      </c>
      <c r="CA41" s="3">
        <v>0.11699999999999999</v>
      </c>
      <c r="CC41" s="3">
        <v>0.33299994468688965</v>
      </c>
      <c r="CD41" s="3">
        <v>0</v>
      </c>
      <c r="CE41" s="3">
        <v>0</v>
      </c>
      <c r="CF41" s="3">
        <v>0</v>
      </c>
      <c r="CH41" s="3">
        <v>1</v>
      </c>
      <c r="CI41" s="3">
        <v>0</v>
      </c>
      <c r="CJ41" s="3">
        <v>0</v>
      </c>
      <c r="CK41" s="3">
        <v>0</v>
      </c>
      <c r="CM41" s="3">
        <v>1</v>
      </c>
      <c r="CN41" s="3">
        <v>0</v>
      </c>
      <c r="CO41" s="3">
        <v>0</v>
      </c>
      <c r="CP41" s="3">
        <v>1</v>
      </c>
      <c r="CR41" s="3">
        <v>3.4430000782012939</v>
      </c>
      <c r="CS41" s="3">
        <v>4.016</v>
      </c>
      <c r="CT41" s="3">
        <v>4.016</v>
      </c>
      <c r="CU41" s="3">
        <v>4.0149999999999997</v>
      </c>
    </row>
    <row r="42" spans="1:99" s="3" customFormat="1" x14ac:dyDescent="0.35">
      <c r="A42" s="2" t="s">
        <v>40</v>
      </c>
      <c r="B42" s="2">
        <v>3.1666666666666665</v>
      </c>
      <c r="C42" s="2" t="s">
        <v>168</v>
      </c>
      <c r="D42" s="2" t="s">
        <v>403</v>
      </c>
      <c r="F42" s="3">
        <v>2.3819999999999997</v>
      </c>
      <c r="G42" s="3">
        <v>4.016</v>
      </c>
      <c r="H42" s="3">
        <v>4.016</v>
      </c>
      <c r="I42" s="3">
        <v>4.016</v>
      </c>
      <c r="K42" s="3">
        <v>2.3660000000000001</v>
      </c>
      <c r="L42" s="3">
        <v>4</v>
      </c>
      <c r="M42" s="3">
        <v>3.9989999999999997</v>
      </c>
      <c r="N42" s="3">
        <v>4</v>
      </c>
      <c r="P42" s="3">
        <v>1.9829999208450317</v>
      </c>
      <c r="Q42" s="3">
        <v>3.584000293398276</v>
      </c>
      <c r="R42" s="3">
        <v>3.7650002017617226</v>
      </c>
      <c r="S42" s="3">
        <v>3.3830001931637526</v>
      </c>
      <c r="U42" s="3">
        <v>5</v>
      </c>
      <c r="V42" s="3">
        <v>10</v>
      </c>
      <c r="W42" s="3">
        <v>9</v>
      </c>
      <c r="X42" s="3">
        <v>11</v>
      </c>
      <c r="Z42" s="3">
        <v>1.6830000000000003</v>
      </c>
      <c r="AA42" s="3">
        <v>4</v>
      </c>
      <c r="AB42" s="3">
        <v>3.9989999999999997</v>
      </c>
      <c r="AC42" s="3">
        <v>3.2840000000000003</v>
      </c>
      <c r="AE42" s="3">
        <v>1.7329999208450317</v>
      </c>
      <c r="AF42" s="3">
        <v>3.584000293398276</v>
      </c>
      <c r="AG42" s="3">
        <v>3.7650002017617226</v>
      </c>
      <c r="AH42" s="3">
        <v>3.0000001769512892</v>
      </c>
      <c r="AJ42" s="3">
        <v>4</v>
      </c>
      <c r="AK42" s="3">
        <v>10</v>
      </c>
      <c r="AL42" s="3">
        <v>9</v>
      </c>
      <c r="AM42" s="3">
        <v>10</v>
      </c>
      <c r="AO42" s="3">
        <v>5</v>
      </c>
      <c r="AP42" s="3">
        <v>1</v>
      </c>
      <c r="AQ42" s="3">
        <v>1</v>
      </c>
      <c r="AR42" s="3">
        <v>3</v>
      </c>
      <c r="AT42" s="3">
        <v>1.6829999685287476</v>
      </c>
      <c r="AU42" s="3">
        <v>2.0000000949949026E-3</v>
      </c>
      <c r="AV42" s="3">
        <v>1.0999999940395355E-2</v>
      </c>
      <c r="AW42" s="3">
        <v>1.4000000432133675E-2</v>
      </c>
      <c r="AY42" s="3">
        <v>3.2000000000000028E-2</v>
      </c>
      <c r="AZ42" s="3">
        <v>2.0000000000000004</v>
      </c>
      <c r="BA42" s="3">
        <v>1.1830000000000003</v>
      </c>
      <c r="BB42" s="3">
        <v>1.2329999999999999</v>
      </c>
      <c r="BD42" s="3">
        <v>0.58200013637542725</v>
      </c>
      <c r="BE42" s="3">
        <v>2.1820001006126404</v>
      </c>
      <c r="BF42" s="3">
        <v>1.3660000562667847</v>
      </c>
      <c r="BG42" s="3">
        <v>1.4000002145767212</v>
      </c>
      <c r="BI42" s="3">
        <v>1</v>
      </c>
      <c r="BJ42" s="3">
        <v>5</v>
      </c>
      <c r="BK42" s="3">
        <v>3</v>
      </c>
      <c r="BL42" s="3">
        <v>4</v>
      </c>
      <c r="BN42" s="3">
        <v>2</v>
      </c>
      <c r="BO42" s="3">
        <v>5</v>
      </c>
      <c r="BP42" s="3">
        <v>3</v>
      </c>
      <c r="BQ42" s="3">
        <v>4</v>
      </c>
      <c r="BS42" s="3">
        <v>1.6829999685287476</v>
      </c>
      <c r="BT42" s="3">
        <v>0.58600002527236938</v>
      </c>
      <c r="BU42" s="3">
        <v>1.5770000219345093</v>
      </c>
      <c r="BV42" s="3">
        <v>0.51399999856948853</v>
      </c>
      <c r="BX42" s="3">
        <v>0.2330000000000001</v>
      </c>
      <c r="BY42" s="3">
        <v>0.38400000000000001</v>
      </c>
      <c r="BZ42" s="3">
        <v>0.49999999999999967</v>
      </c>
      <c r="CA42" s="3">
        <v>8.4000000000000005E-2</v>
      </c>
      <c r="CC42" s="3">
        <v>0.20000004768371582</v>
      </c>
      <c r="CD42" s="3">
        <v>0.38400000729598105</v>
      </c>
      <c r="CE42" s="3">
        <v>0.6159999743103981</v>
      </c>
      <c r="CF42" s="3">
        <v>0.13400000147521496</v>
      </c>
      <c r="CH42" s="3">
        <v>1</v>
      </c>
      <c r="CI42" s="3">
        <v>1</v>
      </c>
      <c r="CJ42" s="3">
        <v>1</v>
      </c>
      <c r="CK42" s="3">
        <v>1</v>
      </c>
      <c r="CM42" s="3">
        <v>2</v>
      </c>
      <c r="CN42" s="3">
        <v>1</v>
      </c>
      <c r="CO42" s="3">
        <v>2</v>
      </c>
      <c r="CP42" s="3">
        <v>1</v>
      </c>
      <c r="CR42" s="3">
        <v>2.3320000171661377</v>
      </c>
      <c r="CS42" s="3">
        <v>2.0000000949949026E-3</v>
      </c>
      <c r="CT42" s="3">
        <v>1.0999999940395355E-2</v>
      </c>
      <c r="CU42" s="3">
        <v>1.4000000432133675E-2</v>
      </c>
    </row>
    <row r="43" spans="1:99" s="3" customFormat="1" x14ac:dyDescent="0.35">
      <c r="A43" s="2" t="s">
        <v>41</v>
      </c>
      <c r="B43" s="2">
        <v>9.6666666666666661</v>
      </c>
      <c r="C43" s="2" t="s">
        <v>167</v>
      </c>
      <c r="D43" s="2" t="s">
        <v>403</v>
      </c>
      <c r="F43" s="3">
        <v>4.01</v>
      </c>
      <c r="G43" s="3">
        <v>4.0149999999999997</v>
      </c>
      <c r="H43" s="3">
        <v>4.0140000000000002</v>
      </c>
      <c r="I43" s="3">
        <v>2.661</v>
      </c>
      <c r="K43" s="3">
        <v>3.782</v>
      </c>
      <c r="L43" s="3">
        <v>3.9990000000000001</v>
      </c>
      <c r="M43" s="3">
        <v>3.9989999999999997</v>
      </c>
      <c r="N43" s="3">
        <v>2.649</v>
      </c>
      <c r="P43" s="3">
        <v>3.7670003548264503</v>
      </c>
      <c r="Q43" s="3">
        <v>3.2669994831085205</v>
      </c>
      <c r="R43" s="3">
        <v>3.2510002166964114</v>
      </c>
      <c r="S43" s="3">
        <v>2.2460002424195409</v>
      </c>
      <c r="U43" s="3">
        <v>9</v>
      </c>
      <c r="V43" s="3">
        <v>13</v>
      </c>
      <c r="W43" s="3">
        <v>14</v>
      </c>
      <c r="X43" s="3">
        <v>9</v>
      </c>
      <c r="Z43" s="3">
        <v>3.7320000000000002</v>
      </c>
      <c r="AA43" s="3">
        <v>3.9990000000000001</v>
      </c>
      <c r="AB43" s="3">
        <v>3.649</v>
      </c>
      <c r="AC43" s="3">
        <v>1.6989999999999996</v>
      </c>
      <c r="AE43" s="3">
        <v>3.7670003548264503</v>
      </c>
      <c r="AF43" s="3">
        <v>3.2669994831085205</v>
      </c>
      <c r="AG43" s="3">
        <v>2.9350002110004425</v>
      </c>
      <c r="AH43" s="3">
        <v>1.297000122256577</v>
      </c>
      <c r="AJ43" s="3">
        <v>9</v>
      </c>
      <c r="AK43" s="3">
        <v>13</v>
      </c>
      <c r="AL43" s="3">
        <v>13</v>
      </c>
      <c r="AM43" s="3">
        <v>7</v>
      </c>
      <c r="AO43" s="3">
        <v>2</v>
      </c>
      <c r="AP43" s="3">
        <v>1</v>
      </c>
      <c r="AQ43" s="3">
        <v>1</v>
      </c>
      <c r="AR43" s="3">
        <v>3</v>
      </c>
      <c r="AT43" s="3">
        <v>1.0999999940395355E-2</v>
      </c>
      <c r="AU43" s="3">
        <v>0.29800000786781311</v>
      </c>
      <c r="AV43" s="3">
        <v>0.36899998784065247</v>
      </c>
      <c r="AW43" s="3">
        <v>6.0000000521540642E-3</v>
      </c>
      <c r="AY43" s="3">
        <v>9.8999999999999977E-2</v>
      </c>
      <c r="AZ43" s="3">
        <v>0.74999999999999956</v>
      </c>
      <c r="BA43" s="3">
        <v>0.53400000000000014</v>
      </c>
      <c r="BB43" s="3">
        <v>0.11699999999999977</v>
      </c>
      <c r="BD43" s="3">
        <v>0</v>
      </c>
      <c r="BE43" s="3">
        <v>0.86699992418289185</v>
      </c>
      <c r="BF43" s="3">
        <v>0.54999998211860657</v>
      </c>
      <c r="BG43" s="3">
        <v>0</v>
      </c>
      <c r="BI43" s="3">
        <v>0</v>
      </c>
      <c r="BJ43" s="3">
        <v>4</v>
      </c>
      <c r="BK43" s="3">
        <v>2</v>
      </c>
      <c r="BL43" s="3">
        <v>0</v>
      </c>
      <c r="BN43" s="3">
        <v>2</v>
      </c>
      <c r="BO43" s="3">
        <v>5</v>
      </c>
      <c r="BP43" s="3">
        <v>3</v>
      </c>
      <c r="BQ43" s="3">
        <v>3</v>
      </c>
      <c r="BS43" s="3">
        <v>4.01</v>
      </c>
      <c r="BT43" s="3">
        <v>0.48199999332427979</v>
      </c>
      <c r="BU43" s="3">
        <v>0.36899998784065247</v>
      </c>
      <c r="BV43" s="3">
        <v>4.0110000000000001</v>
      </c>
      <c r="BX43" s="3">
        <v>1.3329999999999997</v>
      </c>
      <c r="BY43" s="3">
        <v>8.3999999999999728E-2</v>
      </c>
      <c r="BZ43" s="3">
        <v>0.63500000000000001</v>
      </c>
      <c r="CA43" s="3">
        <v>0.39900000000000002</v>
      </c>
      <c r="CC43" s="3">
        <v>0.94999980926513672</v>
      </c>
      <c r="CD43" s="3">
        <v>0</v>
      </c>
      <c r="CE43" s="3">
        <v>0.63300013542175293</v>
      </c>
      <c r="CF43" s="3">
        <v>0.39900000113993883</v>
      </c>
      <c r="CH43" s="3">
        <v>3</v>
      </c>
      <c r="CI43" s="3">
        <v>0</v>
      </c>
      <c r="CJ43" s="3">
        <v>2</v>
      </c>
      <c r="CK43" s="3">
        <v>1</v>
      </c>
      <c r="CM43" s="3">
        <v>3</v>
      </c>
      <c r="CN43" s="3">
        <v>2</v>
      </c>
      <c r="CO43" s="3">
        <v>4</v>
      </c>
      <c r="CP43" s="3">
        <v>1</v>
      </c>
      <c r="CR43" s="3">
        <v>2.8610000610351563</v>
      </c>
      <c r="CS43" s="3">
        <v>4.0149999999999997</v>
      </c>
      <c r="CT43" s="3">
        <v>1.5360000133514404</v>
      </c>
      <c r="CU43" s="3">
        <v>6.0000000521540642E-3</v>
      </c>
    </row>
    <row r="44" spans="1:99" s="3" customFormat="1" x14ac:dyDescent="0.35">
      <c r="A44" s="2" t="s">
        <v>42</v>
      </c>
      <c r="B44" s="2">
        <v>4.083333333333333</v>
      </c>
      <c r="C44" s="2" t="s">
        <v>168</v>
      </c>
      <c r="D44" s="2" t="s">
        <v>403</v>
      </c>
      <c r="F44" s="3">
        <v>4.0129999999999999</v>
      </c>
      <c r="G44" s="3">
        <v>4.0069999999999997</v>
      </c>
      <c r="H44" s="3">
        <v>4.01</v>
      </c>
      <c r="I44" s="3">
        <v>4.016</v>
      </c>
      <c r="K44" s="3">
        <v>3.9990000000000001</v>
      </c>
      <c r="L44" s="3">
        <v>3.532</v>
      </c>
      <c r="M44" s="3">
        <v>3.7320000000000002</v>
      </c>
      <c r="N44" s="3">
        <v>3.9990000000000001</v>
      </c>
      <c r="P44" s="3">
        <v>3.1670000553131104</v>
      </c>
      <c r="Q44" s="3">
        <v>3.2140001356601715</v>
      </c>
      <c r="R44" s="3">
        <v>2.7810001075267792</v>
      </c>
      <c r="S44" s="3">
        <v>3.7310004476457834</v>
      </c>
      <c r="U44" s="3">
        <v>6</v>
      </c>
      <c r="V44" s="3">
        <v>11</v>
      </c>
      <c r="W44" s="3">
        <v>9</v>
      </c>
      <c r="X44" s="3">
        <v>9</v>
      </c>
      <c r="Z44" s="3">
        <v>3.6989999999999998</v>
      </c>
      <c r="AA44" s="3">
        <v>3.532</v>
      </c>
      <c r="AB44" s="3">
        <v>3.6310000000000002</v>
      </c>
      <c r="AC44" s="3">
        <v>3.9990000000000001</v>
      </c>
      <c r="AE44" s="3">
        <v>3.1670000553131104</v>
      </c>
      <c r="AF44" s="3">
        <v>3.2140001356601715</v>
      </c>
      <c r="AG44" s="3">
        <v>2.7810001075267792</v>
      </c>
      <c r="AH44" s="3">
        <v>3.7310004476457834</v>
      </c>
      <c r="AJ44" s="3">
        <v>6</v>
      </c>
      <c r="AK44" s="3">
        <v>11</v>
      </c>
      <c r="AL44" s="3">
        <v>9</v>
      </c>
      <c r="AM44" s="3">
        <v>9</v>
      </c>
      <c r="AO44" s="3">
        <v>2</v>
      </c>
      <c r="AP44" s="3">
        <v>1</v>
      </c>
      <c r="AQ44" s="3">
        <v>4</v>
      </c>
      <c r="AR44" s="3">
        <v>1</v>
      </c>
      <c r="AT44" s="3">
        <v>0</v>
      </c>
      <c r="AU44" s="3">
        <v>0.49399998784065247</v>
      </c>
      <c r="AV44" s="3">
        <v>0.375</v>
      </c>
      <c r="AW44" s="3">
        <v>1.2000000104308128E-2</v>
      </c>
      <c r="AY44" s="3">
        <v>0.28300000000000036</v>
      </c>
      <c r="AZ44" s="3">
        <v>0.79900000000000038</v>
      </c>
      <c r="BA44" s="3">
        <v>0.31600000000000006</v>
      </c>
      <c r="BB44" s="3">
        <v>0.45099999999999985</v>
      </c>
      <c r="BD44" s="3">
        <v>0.5</v>
      </c>
      <c r="BE44" s="3">
        <v>0.69899991154670715</v>
      </c>
      <c r="BF44" s="3">
        <v>0.21600008010864258</v>
      </c>
      <c r="BG44" s="3">
        <v>0.21700000762939453</v>
      </c>
      <c r="BI44" s="3">
        <v>1</v>
      </c>
      <c r="BJ44" s="3">
        <v>3</v>
      </c>
      <c r="BK44" s="3">
        <v>1</v>
      </c>
      <c r="BL44" s="3">
        <v>1</v>
      </c>
      <c r="BN44" s="3">
        <v>1</v>
      </c>
      <c r="BO44" s="3">
        <v>3</v>
      </c>
      <c r="BP44" s="3">
        <v>3</v>
      </c>
      <c r="BQ44" s="3">
        <v>2</v>
      </c>
      <c r="BS44" s="3">
        <v>1.9500000476837158</v>
      </c>
      <c r="BT44" s="3">
        <v>0.49399998784065247</v>
      </c>
      <c r="BU44" s="3">
        <v>3.4409999847412109</v>
      </c>
      <c r="BV44" s="3">
        <v>2.9609999656677246</v>
      </c>
      <c r="BX44" s="3">
        <v>0.68300000000000038</v>
      </c>
      <c r="BY44" s="3">
        <v>0.88299999999999956</v>
      </c>
      <c r="BZ44" s="3">
        <v>8.3000000000000046E-2</v>
      </c>
      <c r="CA44" s="3">
        <v>0.16600000000000001</v>
      </c>
      <c r="CC44" s="3">
        <v>0.5</v>
      </c>
      <c r="CD44" s="3">
        <v>0.68300008773803711</v>
      </c>
      <c r="CE44" s="3">
        <v>0</v>
      </c>
      <c r="CF44" s="3">
        <v>0</v>
      </c>
      <c r="CH44" s="3">
        <v>1</v>
      </c>
      <c r="CI44" s="3">
        <v>4</v>
      </c>
      <c r="CJ44" s="3">
        <v>0</v>
      </c>
      <c r="CK44" s="3">
        <v>0</v>
      </c>
      <c r="CM44" s="3">
        <v>8</v>
      </c>
      <c r="CN44" s="3">
        <v>6</v>
      </c>
      <c r="CO44" s="3">
        <v>3</v>
      </c>
      <c r="CP44" s="3">
        <v>1</v>
      </c>
      <c r="CR44" s="3">
        <v>0.91600000858306885</v>
      </c>
      <c r="CS44" s="3">
        <v>1.1770000457763672</v>
      </c>
      <c r="CT44" s="3">
        <v>4.01</v>
      </c>
      <c r="CU44" s="3">
        <v>4.016</v>
      </c>
    </row>
    <row r="45" spans="1:99" s="3" customFormat="1" x14ac:dyDescent="0.35">
      <c r="A45" s="2" t="s">
        <v>43</v>
      </c>
      <c r="B45" s="2">
        <v>9.25</v>
      </c>
      <c r="C45" s="2" t="s">
        <v>168</v>
      </c>
      <c r="D45" s="2" t="s">
        <v>403</v>
      </c>
      <c r="F45" s="3">
        <v>4.01</v>
      </c>
      <c r="G45" s="3">
        <v>4.0060000000000002</v>
      </c>
      <c r="H45" s="3">
        <v>4.01</v>
      </c>
      <c r="I45" s="3">
        <v>4.0149999999999997</v>
      </c>
      <c r="K45" s="3">
        <v>3.8149999999999995</v>
      </c>
      <c r="L45" s="3">
        <v>3.9820000000000002</v>
      </c>
      <c r="M45" s="3">
        <v>3.9990000000000001</v>
      </c>
      <c r="N45" s="3">
        <v>4</v>
      </c>
      <c r="P45" s="3">
        <v>3.4979995749890804</v>
      </c>
      <c r="Q45" s="3">
        <v>3.5330001320689917</v>
      </c>
      <c r="R45" s="3">
        <v>3.6459999759681523</v>
      </c>
      <c r="S45" s="3">
        <v>3.8679999485611916</v>
      </c>
      <c r="U45" s="3">
        <v>12</v>
      </c>
      <c r="V45" s="3">
        <v>7</v>
      </c>
      <c r="W45" s="3">
        <v>14</v>
      </c>
      <c r="X45" s="3">
        <v>3</v>
      </c>
      <c r="Z45" s="3">
        <v>3.9819999999999998</v>
      </c>
      <c r="AA45" s="3">
        <v>3.782</v>
      </c>
      <c r="AB45" s="3">
        <v>3.9990000000000001</v>
      </c>
      <c r="AC45" s="3">
        <v>4</v>
      </c>
      <c r="AE45" s="3">
        <v>3.4979995749890804</v>
      </c>
      <c r="AF45" s="3">
        <v>3.5330001320689917</v>
      </c>
      <c r="AG45" s="3">
        <v>3.6459999759681523</v>
      </c>
      <c r="AH45" s="3">
        <v>3.8679999485611916</v>
      </c>
      <c r="AJ45" s="3">
        <v>12</v>
      </c>
      <c r="AK45" s="3">
        <v>7</v>
      </c>
      <c r="AL45" s="3">
        <v>14</v>
      </c>
      <c r="AM45" s="3">
        <v>3</v>
      </c>
      <c r="AO45" s="3">
        <v>1</v>
      </c>
      <c r="AP45" s="3">
        <v>2</v>
      </c>
      <c r="AQ45" s="3">
        <v>1</v>
      </c>
      <c r="AR45" s="3">
        <v>1</v>
      </c>
      <c r="AT45" s="3">
        <v>1.9999999552965164E-2</v>
      </c>
      <c r="AU45" s="3">
        <v>9.9999997764825821E-3</v>
      </c>
      <c r="AV45" s="3">
        <v>4.0000001899898052E-3</v>
      </c>
      <c r="AW45" s="3">
        <v>1.0999999940395355E-2</v>
      </c>
      <c r="AY45" s="3">
        <v>1.7159999999999997</v>
      </c>
      <c r="AZ45" s="3">
        <v>3.3659999999999997</v>
      </c>
      <c r="BA45" s="3">
        <v>1.8990000000000002</v>
      </c>
      <c r="BB45" s="3">
        <v>3.8840000000000003</v>
      </c>
      <c r="BD45" s="3">
        <v>1.5659998655319214</v>
      </c>
      <c r="BE45" s="3">
        <v>3.4330001082271338</v>
      </c>
      <c r="BF45" s="3">
        <v>1.7310001333244145</v>
      </c>
      <c r="BG45" s="3">
        <v>3.8679999485611916</v>
      </c>
      <c r="BI45" s="3">
        <v>4</v>
      </c>
      <c r="BJ45" s="3">
        <v>6</v>
      </c>
      <c r="BK45" s="3">
        <v>6</v>
      </c>
      <c r="BL45" s="3">
        <v>3</v>
      </c>
      <c r="BN45" s="3">
        <v>8</v>
      </c>
      <c r="BO45" s="3">
        <v>4</v>
      </c>
      <c r="BP45" s="3">
        <v>4</v>
      </c>
      <c r="BQ45" s="3">
        <v>2</v>
      </c>
      <c r="BS45" s="3">
        <v>1.1859999895095825</v>
      </c>
      <c r="BT45" s="3">
        <v>9.9999997764825821E-3</v>
      </c>
      <c r="BU45" s="3">
        <v>4.0000001899898052E-3</v>
      </c>
      <c r="BV45" s="3">
        <v>1.0999999940395355E-2</v>
      </c>
      <c r="BX45" s="3">
        <v>8.3999999999999964E-2</v>
      </c>
      <c r="BY45" s="3">
        <v>0</v>
      </c>
      <c r="BZ45" s="3">
        <v>0.53300000000000036</v>
      </c>
      <c r="CA45" s="3">
        <v>0</v>
      </c>
      <c r="CC45" s="3">
        <v>0</v>
      </c>
      <c r="CD45" s="3">
        <v>0</v>
      </c>
      <c r="CE45" s="3">
        <v>0.63299965858459473</v>
      </c>
      <c r="CF45" s="3">
        <v>0</v>
      </c>
      <c r="CH45" s="3">
        <v>0</v>
      </c>
      <c r="CI45" s="3">
        <v>0</v>
      </c>
      <c r="CJ45" s="3">
        <v>3</v>
      </c>
      <c r="CK45" s="3">
        <v>0</v>
      </c>
      <c r="CM45" s="3">
        <v>1</v>
      </c>
      <c r="CN45" s="3">
        <v>0</v>
      </c>
      <c r="CO45" s="3">
        <v>2</v>
      </c>
      <c r="CP45" s="3">
        <v>0</v>
      </c>
      <c r="CR45" s="3">
        <v>4.01</v>
      </c>
      <c r="CS45" s="3">
        <v>4.0060000000000002</v>
      </c>
      <c r="CT45" s="3">
        <v>1.6369999647140503</v>
      </c>
      <c r="CU45" s="3">
        <v>4.0149999999999997</v>
      </c>
    </row>
    <row r="46" spans="1:99" s="3" customFormat="1" x14ac:dyDescent="0.35">
      <c r="A46" s="2" t="s">
        <v>44</v>
      </c>
      <c r="B46" s="2">
        <v>10.916666666666666</v>
      </c>
      <c r="C46" s="2" t="s">
        <v>167</v>
      </c>
      <c r="D46" s="2" t="s">
        <v>403</v>
      </c>
      <c r="F46" s="3">
        <v>4.0149999999999997</v>
      </c>
      <c r="G46" s="3">
        <v>4.0149999999999997</v>
      </c>
      <c r="H46" s="3">
        <v>4.016</v>
      </c>
      <c r="I46" s="3">
        <v>4.016</v>
      </c>
      <c r="K46" s="3">
        <v>3.9990000000000006</v>
      </c>
      <c r="L46" s="3">
        <v>3.9999999999999996</v>
      </c>
      <c r="M46" s="3">
        <v>3.9989999999999997</v>
      </c>
      <c r="N46" s="3">
        <v>3.9990000000000001</v>
      </c>
      <c r="P46" s="3">
        <v>3.5149999801069498</v>
      </c>
      <c r="Q46" s="3">
        <v>3.9000000944361091</v>
      </c>
      <c r="R46" s="3">
        <v>3.4170001111924648</v>
      </c>
      <c r="S46" s="3">
        <v>3.5309995748102665</v>
      </c>
      <c r="U46" s="3">
        <v>12</v>
      </c>
      <c r="V46" s="3">
        <v>7</v>
      </c>
      <c r="W46" s="3">
        <v>11</v>
      </c>
      <c r="X46" s="3">
        <v>10</v>
      </c>
      <c r="Z46" s="3">
        <v>3.9990000000000006</v>
      </c>
      <c r="AA46" s="3">
        <v>3.9999999999999996</v>
      </c>
      <c r="AB46" s="3">
        <v>3.7659999999999996</v>
      </c>
      <c r="AC46" s="3">
        <v>3.9990000000000001</v>
      </c>
      <c r="AE46" s="3">
        <v>3.5149999801069498</v>
      </c>
      <c r="AF46" s="3">
        <v>3.9000000944361091</v>
      </c>
      <c r="AG46" s="3">
        <v>3.2340001165866852</v>
      </c>
      <c r="AH46" s="3">
        <v>3.5309995748102665</v>
      </c>
      <c r="AJ46" s="3">
        <v>12</v>
      </c>
      <c r="AK46" s="3">
        <v>7</v>
      </c>
      <c r="AL46" s="3">
        <v>10</v>
      </c>
      <c r="AM46" s="3">
        <v>10</v>
      </c>
      <c r="AO46" s="3">
        <v>1</v>
      </c>
      <c r="AP46" s="3">
        <v>1</v>
      </c>
      <c r="AQ46" s="3">
        <v>2</v>
      </c>
      <c r="AR46" s="3">
        <v>1</v>
      </c>
      <c r="AT46" s="3">
        <v>2.7000000700354576E-2</v>
      </c>
      <c r="AU46" s="3">
        <v>7.0000002160668373E-3</v>
      </c>
      <c r="AV46" s="3">
        <v>0.2800000011920929</v>
      </c>
      <c r="AW46" s="3">
        <v>8.999999612569809E-3</v>
      </c>
      <c r="AY46" s="3">
        <v>0.19999999999999982</v>
      </c>
      <c r="AZ46" s="3">
        <v>0.88300000000000001</v>
      </c>
      <c r="BA46" s="3">
        <v>1.0659999999999998</v>
      </c>
      <c r="BB46" s="3">
        <v>0.8829999999999999</v>
      </c>
      <c r="BD46" s="3">
        <v>0.13299999572336674</v>
      </c>
      <c r="BE46" s="3">
        <v>1.1330000758171082</v>
      </c>
      <c r="BF46" s="3">
        <v>0.83399993181228638</v>
      </c>
      <c r="BG46" s="3">
        <v>0.58300003409385681</v>
      </c>
      <c r="BI46" s="3">
        <v>1</v>
      </c>
      <c r="BJ46" s="3">
        <v>2</v>
      </c>
      <c r="BK46" s="3">
        <v>3</v>
      </c>
      <c r="BL46" s="3">
        <v>1</v>
      </c>
      <c r="BN46" s="3">
        <v>2</v>
      </c>
      <c r="BO46" s="3">
        <v>2</v>
      </c>
      <c r="BP46" s="3">
        <v>4</v>
      </c>
      <c r="BQ46" s="3">
        <v>3</v>
      </c>
      <c r="BS46" s="3">
        <v>2.7000000700354576E-2</v>
      </c>
      <c r="BT46" s="3">
        <v>0.40700000524520874</v>
      </c>
      <c r="BU46" s="3">
        <v>0.81300002336502075</v>
      </c>
      <c r="BV46" s="3">
        <v>0.27599999308586121</v>
      </c>
      <c r="BX46" s="3">
        <v>0</v>
      </c>
      <c r="BY46" s="3">
        <v>1.7000000000000015E-2</v>
      </c>
      <c r="BZ46" s="3">
        <v>0</v>
      </c>
      <c r="CA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0</v>
      </c>
      <c r="CI46" s="3">
        <v>0</v>
      </c>
      <c r="CJ46" s="3">
        <v>0</v>
      </c>
      <c r="CK46" s="3">
        <v>0</v>
      </c>
      <c r="CM46" s="3">
        <v>0</v>
      </c>
      <c r="CN46" s="3">
        <v>2</v>
      </c>
      <c r="CO46" s="3">
        <v>0</v>
      </c>
      <c r="CP46" s="3">
        <v>0</v>
      </c>
      <c r="CR46" s="3">
        <v>4.0149999999999997</v>
      </c>
      <c r="CS46" s="3">
        <v>4.0149999999999997</v>
      </c>
      <c r="CT46" s="3">
        <v>4.016</v>
      </c>
      <c r="CU46" s="3">
        <v>4.016</v>
      </c>
    </row>
    <row r="47" spans="1:99" s="3" customFormat="1" x14ac:dyDescent="0.35">
      <c r="A47" s="2" t="s">
        <v>45</v>
      </c>
      <c r="B47" s="2">
        <v>7.583333333333333</v>
      </c>
      <c r="C47" s="2" t="s">
        <v>167</v>
      </c>
      <c r="D47" s="2" t="s">
        <v>403</v>
      </c>
      <c r="F47" s="3">
        <v>4.016</v>
      </c>
      <c r="G47" s="3">
        <v>4.016</v>
      </c>
      <c r="H47" s="3">
        <v>4.0149999999999997</v>
      </c>
      <c r="I47" s="3">
        <v>4.0309999999999997</v>
      </c>
      <c r="K47" s="3">
        <v>3.9990000000000001</v>
      </c>
      <c r="L47" s="3">
        <v>3.9990000000000006</v>
      </c>
      <c r="M47" s="3">
        <v>3.9820000000000002</v>
      </c>
      <c r="N47" s="3">
        <v>3.7159999999999997</v>
      </c>
      <c r="P47" s="3">
        <v>2.9149999655783176</v>
      </c>
      <c r="Q47" s="3">
        <v>3.7019999960903078</v>
      </c>
      <c r="R47" s="3">
        <v>3.5159997381269932</v>
      </c>
      <c r="S47" s="3">
        <v>3.2669999599456787</v>
      </c>
      <c r="U47" s="3">
        <v>8</v>
      </c>
      <c r="V47" s="3">
        <v>9</v>
      </c>
      <c r="W47" s="3">
        <v>9</v>
      </c>
      <c r="X47" s="3">
        <v>11</v>
      </c>
      <c r="Z47" s="3">
        <v>3.8150000000000004</v>
      </c>
      <c r="AA47" s="3">
        <v>3.9330000000000007</v>
      </c>
      <c r="AB47" s="3">
        <v>3.9820000000000002</v>
      </c>
      <c r="AC47" s="3">
        <v>3.7159999999999997</v>
      </c>
      <c r="AE47" s="3">
        <v>2.7649999298155308</v>
      </c>
      <c r="AF47" s="3">
        <v>3.7019999960903078</v>
      </c>
      <c r="AG47" s="3">
        <v>3.5159997381269932</v>
      </c>
      <c r="AH47" s="3">
        <v>3.2669999599456787</v>
      </c>
      <c r="AJ47" s="3">
        <v>7</v>
      </c>
      <c r="AK47" s="3">
        <v>9</v>
      </c>
      <c r="AL47" s="3">
        <v>9</v>
      </c>
      <c r="AM47" s="3">
        <v>11</v>
      </c>
      <c r="AO47" s="3">
        <v>2</v>
      </c>
      <c r="AP47" s="3">
        <v>2</v>
      </c>
      <c r="AQ47" s="3">
        <v>1</v>
      </c>
      <c r="AR47" s="3">
        <v>1</v>
      </c>
      <c r="AT47" s="3">
        <v>8.999999612569809E-3</v>
      </c>
      <c r="AU47" s="3">
        <v>2.0000000949949026E-3</v>
      </c>
      <c r="AV47" s="3">
        <v>3.2000001519918442E-2</v>
      </c>
      <c r="AW47" s="3">
        <v>0.33700001239776611</v>
      </c>
      <c r="AY47" s="3">
        <v>1.7329999999999997</v>
      </c>
      <c r="AZ47" s="3">
        <v>2.1659999999999999</v>
      </c>
      <c r="BA47" s="3">
        <v>1.4160000000000004</v>
      </c>
      <c r="BB47" s="3">
        <v>2.0500000000000003</v>
      </c>
      <c r="BD47" s="3">
        <v>1.6990001834928989</v>
      </c>
      <c r="BE47" s="3">
        <v>1.9180001020431519</v>
      </c>
      <c r="BF47" s="3">
        <v>1.3159999251365662</v>
      </c>
      <c r="BG47" s="3">
        <v>2.2990001440048218</v>
      </c>
      <c r="BI47" s="3">
        <v>3</v>
      </c>
      <c r="BJ47" s="3">
        <v>5</v>
      </c>
      <c r="BK47" s="3">
        <v>3</v>
      </c>
      <c r="BL47" s="3">
        <v>7</v>
      </c>
      <c r="BN47" s="3">
        <v>4</v>
      </c>
      <c r="BO47" s="3">
        <v>3</v>
      </c>
      <c r="BP47" s="3">
        <v>3</v>
      </c>
      <c r="BQ47" s="3">
        <v>4</v>
      </c>
      <c r="BS47" s="3">
        <v>8.999999612569809E-3</v>
      </c>
      <c r="BT47" s="3">
        <v>0.50099998712539673</v>
      </c>
      <c r="BU47" s="3">
        <v>0.34799998998641968</v>
      </c>
      <c r="BV47" s="3">
        <v>0.33700001239776611</v>
      </c>
      <c r="BX47" s="3">
        <v>0.20000000000000018</v>
      </c>
      <c r="BY47" s="3">
        <v>0.2330000000000001</v>
      </c>
      <c r="BZ47" s="3">
        <v>0.68300000000000005</v>
      </c>
      <c r="CA47" s="3">
        <v>0.18299999999999939</v>
      </c>
      <c r="CC47" s="3">
        <v>0.16699981689453125</v>
      </c>
      <c r="CD47" s="3">
        <v>0.40000009536743164</v>
      </c>
      <c r="CE47" s="3">
        <v>0.81599998474121094</v>
      </c>
      <c r="CF47" s="3">
        <v>0</v>
      </c>
      <c r="CH47" s="3">
        <v>1</v>
      </c>
      <c r="CI47" s="3">
        <v>1</v>
      </c>
      <c r="CJ47" s="3">
        <v>1</v>
      </c>
      <c r="CK47" s="3">
        <v>0</v>
      </c>
      <c r="CM47" s="3">
        <v>1</v>
      </c>
      <c r="CN47" s="3">
        <v>2</v>
      </c>
      <c r="CO47" s="3">
        <v>1</v>
      </c>
      <c r="CP47" s="3">
        <v>2</v>
      </c>
      <c r="CR47" s="3">
        <v>3.8410000801086426</v>
      </c>
      <c r="CS47" s="3">
        <v>1.9509999752044678</v>
      </c>
      <c r="CT47" s="3">
        <v>1.1150000095367432</v>
      </c>
      <c r="CU47" s="3">
        <v>4.0309999999999997</v>
      </c>
    </row>
    <row r="48" spans="1:99" s="3" customFormat="1" x14ac:dyDescent="0.35">
      <c r="A48" s="2" t="s">
        <v>46</v>
      </c>
      <c r="B48" s="2">
        <v>9.4166666666666661</v>
      </c>
      <c r="C48" s="2" t="s">
        <v>168</v>
      </c>
      <c r="D48" s="2" t="s">
        <v>403</v>
      </c>
      <c r="F48" s="3">
        <v>4.0110000000000001</v>
      </c>
      <c r="G48" s="3">
        <v>4.0019999999999998</v>
      </c>
      <c r="H48" s="3">
        <v>4.0049999999999999</v>
      </c>
      <c r="I48" s="3">
        <v>4.0110000000000001</v>
      </c>
      <c r="K48" s="3">
        <v>3.9989999999999997</v>
      </c>
      <c r="L48" s="3">
        <v>3.9819999999999998</v>
      </c>
      <c r="M48" s="3">
        <v>3.9830000000000001</v>
      </c>
      <c r="N48" s="3">
        <v>3.5490000000000004</v>
      </c>
      <c r="P48" s="3">
        <v>3.5989999384619296</v>
      </c>
      <c r="Q48" s="3">
        <v>3.566000260412693</v>
      </c>
      <c r="R48" s="3">
        <v>3.331000067293644</v>
      </c>
      <c r="S48" s="3">
        <v>3.1969996988773346</v>
      </c>
      <c r="U48" s="3">
        <v>9</v>
      </c>
      <c r="V48" s="3">
        <v>10</v>
      </c>
      <c r="W48" s="3">
        <v>8</v>
      </c>
      <c r="X48" s="3">
        <v>6</v>
      </c>
      <c r="Z48" s="3">
        <v>3.8149999999999999</v>
      </c>
      <c r="AA48" s="3">
        <v>3.8819999999999997</v>
      </c>
      <c r="AB48" s="3">
        <v>3.9000000000000004</v>
      </c>
      <c r="AC48" s="3">
        <v>3.5490000000000004</v>
      </c>
      <c r="AE48" s="3">
        <v>3.5989999384619296</v>
      </c>
      <c r="AF48" s="3">
        <v>3.566000260412693</v>
      </c>
      <c r="AG48" s="3">
        <v>3.331000067293644</v>
      </c>
      <c r="AH48" s="3">
        <v>3.1969996988773346</v>
      </c>
      <c r="AJ48" s="3">
        <v>9</v>
      </c>
      <c r="AK48" s="3">
        <v>10</v>
      </c>
      <c r="AL48" s="3">
        <v>8</v>
      </c>
      <c r="AM48" s="3">
        <v>6</v>
      </c>
      <c r="AO48" s="3">
        <v>3</v>
      </c>
      <c r="AP48" s="3">
        <v>2</v>
      </c>
      <c r="AQ48" s="3">
        <v>2</v>
      </c>
      <c r="AR48" s="3">
        <v>1</v>
      </c>
      <c r="AT48" s="3">
        <v>3.0000000260770321E-3</v>
      </c>
      <c r="AU48" s="3">
        <v>1.0999999940395355E-2</v>
      </c>
      <c r="AV48" s="3">
        <v>1.0999999940395355E-2</v>
      </c>
      <c r="AW48" s="3">
        <v>0.40599998831748962</v>
      </c>
      <c r="AY48" s="3">
        <v>2.2819999999999996</v>
      </c>
      <c r="AZ48" s="3">
        <v>2.5489999999999999</v>
      </c>
      <c r="BA48" s="3">
        <v>1.2500000000000004</v>
      </c>
      <c r="BB48" s="3">
        <v>2.0490000000000004</v>
      </c>
      <c r="BD48" s="3">
        <v>2.1340000033378601</v>
      </c>
      <c r="BE48" s="3">
        <v>2.9510002508759499</v>
      </c>
      <c r="BF48" s="3">
        <v>1.3830000162124634</v>
      </c>
      <c r="BG48" s="3">
        <v>2.1649998724460602</v>
      </c>
      <c r="BI48" s="3">
        <v>5</v>
      </c>
      <c r="BJ48" s="3">
        <v>7</v>
      </c>
      <c r="BK48" s="3">
        <v>2</v>
      </c>
      <c r="BL48" s="3">
        <v>4</v>
      </c>
      <c r="BN48" s="3">
        <v>5</v>
      </c>
      <c r="BO48" s="3">
        <v>5</v>
      </c>
      <c r="BP48" s="3">
        <v>6</v>
      </c>
      <c r="BQ48" s="3">
        <v>3</v>
      </c>
      <c r="BS48" s="3">
        <v>0.28600001335144043</v>
      </c>
      <c r="BT48" s="3">
        <v>1.0999999940395355E-2</v>
      </c>
      <c r="BU48" s="3">
        <v>1.8609999418258667</v>
      </c>
      <c r="BV48" s="3">
        <v>0.40599998831748962</v>
      </c>
      <c r="BX48" s="3">
        <v>0</v>
      </c>
      <c r="BY48" s="3">
        <v>0</v>
      </c>
      <c r="BZ48" s="3">
        <v>0.38300000000000001</v>
      </c>
      <c r="CA48" s="3">
        <v>0</v>
      </c>
      <c r="CC48" s="3">
        <v>0</v>
      </c>
      <c r="CD48" s="3">
        <v>0</v>
      </c>
      <c r="CE48" s="3">
        <v>0.34899997711181641</v>
      </c>
      <c r="CF48" s="3">
        <v>0</v>
      </c>
      <c r="CH48" s="3">
        <v>0</v>
      </c>
      <c r="CI48" s="3">
        <v>0</v>
      </c>
      <c r="CJ48" s="3">
        <v>1</v>
      </c>
      <c r="CK48" s="3">
        <v>0</v>
      </c>
      <c r="CM48" s="3">
        <v>0</v>
      </c>
      <c r="CN48" s="3">
        <v>0</v>
      </c>
      <c r="CO48" s="3">
        <v>2</v>
      </c>
      <c r="CP48" s="3">
        <v>0</v>
      </c>
      <c r="CR48" s="3">
        <v>4.0110000000000001</v>
      </c>
      <c r="CS48" s="3">
        <v>4.0019999999999998</v>
      </c>
      <c r="CT48" s="3">
        <v>0.77799999713897705</v>
      </c>
      <c r="CU48" s="3">
        <v>4.0110000000000001</v>
      </c>
    </row>
    <row r="49" spans="1:99" s="3" customFormat="1" x14ac:dyDescent="0.35">
      <c r="A49" s="2" t="s">
        <v>47</v>
      </c>
      <c r="B49" s="2">
        <v>3.6666666666666665</v>
      </c>
      <c r="C49" s="2" t="s">
        <v>167</v>
      </c>
      <c r="D49" s="2" t="s">
        <v>403</v>
      </c>
      <c r="F49" s="3">
        <v>0.30099999999999971</v>
      </c>
      <c r="G49" s="3">
        <v>4.0110000000000001</v>
      </c>
      <c r="H49" s="3">
        <v>3.2359999999999998</v>
      </c>
      <c r="I49" s="3">
        <v>4.0060000000000002</v>
      </c>
      <c r="K49" s="3">
        <v>1000</v>
      </c>
      <c r="L49" s="3">
        <v>3.9990000000000001</v>
      </c>
      <c r="M49" s="3">
        <v>3.2329999999999997</v>
      </c>
      <c r="N49" s="3">
        <v>3.3159999999999998</v>
      </c>
      <c r="P49" s="3">
        <v>1000</v>
      </c>
      <c r="Q49" s="3">
        <v>3.7989998538978398</v>
      </c>
      <c r="R49" s="3">
        <v>2.5500000715255737</v>
      </c>
      <c r="S49" s="3">
        <v>2.9819998741149902</v>
      </c>
      <c r="U49" s="3">
        <v>1000</v>
      </c>
      <c r="V49" s="3">
        <v>9</v>
      </c>
      <c r="W49" s="3">
        <v>9</v>
      </c>
      <c r="X49" s="3">
        <v>10</v>
      </c>
      <c r="Z49" s="3">
        <v>1000</v>
      </c>
      <c r="AA49" s="3">
        <v>3.9990000000000001</v>
      </c>
      <c r="AB49" s="3">
        <v>2.484</v>
      </c>
      <c r="AC49" s="3">
        <v>3.2159999999999997</v>
      </c>
      <c r="AE49" s="3">
        <v>1000</v>
      </c>
      <c r="AF49" s="3">
        <v>3.7989998538978398</v>
      </c>
      <c r="AG49" s="3">
        <v>2.3160000443458557</v>
      </c>
      <c r="AH49" s="3">
        <v>2.9819998741149902</v>
      </c>
      <c r="AJ49" s="3">
        <v>1000</v>
      </c>
      <c r="AK49" s="3">
        <v>9</v>
      </c>
      <c r="AL49" s="3">
        <v>7</v>
      </c>
      <c r="AM49" s="3">
        <v>10</v>
      </c>
      <c r="AO49" s="3">
        <v>1000</v>
      </c>
      <c r="AP49" s="3">
        <v>1</v>
      </c>
      <c r="AQ49" s="3">
        <v>3</v>
      </c>
      <c r="AR49" s="3">
        <v>2</v>
      </c>
      <c r="AT49" s="3">
        <v>1000</v>
      </c>
      <c r="AU49" s="3">
        <v>4.0000001899898052E-3</v>
      </c>
      <c r="AV49" s="3">
        <v>0.58600002527236938</v>
      </c>
      <c r="AW49" s="3">
        <v>0.70899999141693115</v>
      </c>
      <c r="AY49" s="3">
        <v>1000</v>
      </c>
      <c r="AZ49" s="3">
        <v>0.6830000000000005</v>
      </c>
      <c r="BA49" s="3">
        <v>1.0169999999999999</v>
      </c>
      <c r="BB49" s="3">
        <v>1.9010000000000002</v>
      </c>
      <c r="BD49" s="3">
        <v>1000</v>
      </c>
      <c r="BE49" s="3">
        <v>0.61699974536895752</v>
      </c>
      <c r="BF49" s="3">
        <v>1.1170001029968262</v>
      </c>
      <c r="BG49" s="3">
        <v>2.0169998407363892</v>
      </c>
      <c r="BI49" s="3">
        <v>1000</v>
      </c>
      <c r="BJ49" s="3">
        <v>2</v>
      </c>
      <c r="BK49" s="3">
        <v>3</v>
      </c>
      <c r="BL49" s="3">
        <v>6</v>
      </c>
      <c r="BN49" s="3">
        <v>1000</v>
      </c>
      <c r="BO49" s="3">
        <v>4</v>
      </c>
      <c r="BP49" s="3">
        <v>2</v>
      </c>
      <c r="BQ49" s="3">
        <v>6</v>
      </c>
      <c r="BS49" s="3">
        <v>1000</v>
      </c>
      <c r="BT49" s="3">
        <v>1.0870000123977661</v>
      </c>
      <c r="BU49" s="3">
        <v>0.78600001335144043</v>
      </c>
      <c r="BV49" s="3">
        <v>0.70899999141693115</v>
      </c>
      <c r="BX49" s="3">
        <v>1000</v>
      </c>
      <c r="BY49" s="3">
        <v>1.4159999999999999</v>
      </c>
      <c r="BZ49" s="3">
        <v>0.26599999999999985</v>
      </c>
      <c r="CA49" s="3">
        <v>0</v>
      </c>
      <c r="CC49" s="3">
        <v>1000</v>
      </c>
      <c r="CD49" s="3">
        <v>1.4320000489242375</v>
      </c>
      <c r="CE49" s="3">
        <v>0.18300008773803711</v>
      </c>
      <c r="CF49" s="3">
        <v>0</v>
      </c>
      <c r="CH49" s="3">
        <v>1000</v>
      </c>
      <c r="CI49" s="3">
        <v>2</v>
      </c>
      <c r="CJ49" s="3">
        <v>1</v>
      </c>
      <c r="CK49" s="3">
        <v>0</v>
      </c>
      <c r="CM49" s="3">
        <v>1000</v>
      </c>
      <c r="CN49" s="3">
        <v>2</v>
      </c>
      <c r="CO49" s="3">
        <v>4</v>
      </c>
      <c r="CP49" s="3">
        <v>0</v>
      </c>
      <c r="CR49" s="3">
        <v>1000</v>
      </c>
      <c r="CS49" s="3">
        <v>4.0000001899898052E-3</v>
      </c>
      <c r="CT49" s="3">
        <v>2.0529999732971191</v>
      </c>
      <c r="CU49" s="3">
        <v>4.0060000000000002</v>
      </c>
    </row>
    <row r="50" spans="1:99" s="3" customFormat="1" x14ac:dyDescent="0.35">
      <c r="A50" s="2" t="s">
        <v>48</v>
      </c>
      <c r="B50" s="2">
        <v>4.833333333333333</v>
      </c>
      <c r="C50" s="2" t="s">
        <v>167</v>
      </c>
      <c r="D50" s="2" t="s">
        <v>403</v>
      </c>
      <c r="F50" s="3">
        <v>4.0049999999999999</v>
      </c>
      <c r="G50" s="3">
        <v>4.0030000000000001</v>
      </c>
      <c r="H50" s="3">
        <v>4.0410000000000004</v>
      </c>
      <c r="I50" s="3">
        <v>4.0359999999999996</v>
      </c>
      <c r="K50" s="3">
        <v>3.9819999999999998</v>
      </c>
      <c r="L50" s="3">
        <v>4</v>
      </c>
      <c r="M50" s="3">
        <v>3.4160000000000004</v>
      </c>
      <c r="N50" s="3">
        <v>3.133</v>
      </c>
      <c r="P50" s="3">
        <v>3.6150002172216773</v>
      </c>
      <c r="Q50" s="3">
        <v>3.5159998575691134</v>
      </c>
      <c r="R50" s="3">
        <v>3.4159997403621674</v>
      </c>
      <c r="S50" s="3">
        <v>3.0009996592998505</v>
      </c>
      <c r="U50" s="3">
        <v>7</v>
      </c>
      <c r="V50" s="3">
        <v>9</v>
      </c>
      <c r="W50" s="3">
        <v>9</v>
      </c>
      <c r="X50" s="3">
        <v>8</v>
      </c>
      <c r="Z50" s="3">
        <v>3.9819999999999998</v>
      </c>
      <c r="AA50" s="3">
        <v>3.766</v>
      </c>
      <c r="AB50" s="3">
        <v>3.4160000000000004</v>
      </c>
      <c r="AC50" s="3">
        <v>2.617</v>
      </c>
      <c r="AE50" s="3">
        <v>3.6150002172216773</v>
      </c>
      <c r="AF50" s="3">
        <v>3.3999998609069735</v>
      </c>
      <c r="AG50" s="3">
        <v>3.4159997403621674</v>
      </c>
      <c r="AH50" s="3">
        <v>2.4849998652935028</v>
      </c>
      <c r="AJ50" s="3">
        <v>7</v>
      </c>
      <c r="AK50" s="3">
        <v>8</v>
      </c>
      <c r="AL50" s="3">
        <v>9</v>
      </c>
      <c r="AM50" s="3">
        <v>7</v>
      </c>
      <c r="AO50" s="3">
        <v>1</v>
      </c>
      <c r="AP50" s="3">
        <v>3</v>
      </c>
      <c r="AQ50" s="3">
        <v>2</v>
      </c>
      <c r="AR50" s="3">
        <v>3</v>
      </c>
      <c r="AT50" s="3">
        <v>7.0000002160668373E-3</v>
      </c>
      <c r="AU50" s="3">
        <v>2.0000000949949026E-3</v>
      </c>
      <c r="AV50" s="3">
        <v>0.48899999260902405</v>
      </c>
      <c r="AW50" s="3">
        <v>0.3449999988079071</v>
      </c>
      <c r="AY50" s="3">
        <v>0</v>
      </c>
      <c r="AZ50" s="3">
        <v>1.6999999999999904E-2</v>
      </c>
      <c r="BA50" s="3">
        <v>0</v>
      </c>
      <c r="BB50" s="3">
        <v>0</v>
      </c>
      <c r="BD50" s="3">
        <v>0</v>
      </c>
      <c r="BE50" s="3">
        <v>0</v>
      </c>
      <c r="BF50" s="3">
        <v>0</v>
      </c>
      <c r="BG50" s="3">
        <v>0</v>
      </c>
      <c r="BI50" s="3">
        <v>0</v>
      </c>
      <c r="BJ50" s="3">
        <v>0</v>
      </c>
      <c r="BK50" s="3">
        <v>0</v>
      </c>
      <c r="BL50" s="3">
        <v>0</v>
      </c>
      <c r="BN50" s="3">
        <v>0</v>
      </c>
      <c r="BO50" s="3">
        <v>1</v>
      </c>
      <c r="BP50" s="3">
        <v>0</v>
      </c>
      <c r="BQ50" s="3">
        <v>1</v>
      </c>
      <c r="BS50" s="3">
        <v>4.0049999999999999</v>
      </c>
      <c r="BT50" s="3">
        <v>4.0030000000000001</v>
      </c>
      <c r="BU50" s="3">
        <v>4.0410000000000004</v>
      </c>
      <c r="BV50" s="3">
        <v>4.0359999999999996</v>
      </c>
      <c r="BX50" s="3">
        <v>2</v>
      </c>
      <c r="BY50" s="3">
        <v>2.5830000000000002</v>
      </c>
      <c r="BZ50" s="3">
        <v>1.8490000000000006</v>
      </c>
      <c r="CA50" s="3">
        <v>0.28399999999999981</v>
      </c>
      <c r="CC50" s="3">
        <v>1.9660000801086426</v>
      </c>
      <c r="CD50" s="3">
        <v>2.6170001029968262</v>
      </c>
      <c r="CE50" s="3">
        <v>1.8659997582435608</v>
      </c>
      <c r="CF50" s="3">
        <v>0.3339998722076416</v>
      </c>
      <c r="CH50" s="3">
        <v>4</v>
      </c>
      <c r="CI50" s="3">
        <v>5</v>
      </c>
      <c r="CJ50" s="3">
        <v>4</v>
      </c>
      <c r="CK50" s="3">
        <v>1</v>
      </c>
      <c r="CM50" s="3">
        <v>3</v>
      </c>
      <c r="CN50" s="3">
        <v>4</v>
      </c>
      <c r="CO50" s="3">
        <v>4</v>
      </c>
      <c r="CP50" s="3">
        <v>1</v>
      </c>
      <c r="CR50" s="3">
        <v>1.2389999628067017</v>
      </c>
      <c r="CS50" s="3">
        <v>0.35199999809265137</v>
      </c>
      <c r="CT50" s="3">
        <v>0.68800002336502075</v>
      </c>
      <c r="CU50" s="3">
        <v>2.128000020980835</v>
      </c>
    </row>
    <row r="51" spans="1:99" s="3" customFormat="1" x14ac:dyDescent="0.35">
      <c r="A51" s="2" t="s">
        <v>49</v>
      </c>
      <c r="B51" s="2">
        <v>5.083333333333333</v>
      </c>
      <c r="C51" s="2" t="s">
        <v>168</v>
      </c>
      <c r="D51" s="2" t="s">
        <v>403</v>
      </c>
      <c r="F51" s="3">
        <v>4.016</v>
      </c>
      <c r="G51" s="3">
        <v>4.016</v>
      </c>
      <c r="H51" s="3">
        <v>4.016</v>
      </c>
      <c r="I51" s="3">
        <v>4.0149999999999997</v>
      </c>
      <c r="K51" s="3">
        <v>3.5489999999999999</v>
      </c>
      <c r="L51" s="3">
        <v>3.9990000000000001</v>
      </c>
      <c r="M51" s="3">
        <v>3.9990000000000001</v>
      </c>
      <c r="N51" s="3">
        <v>3.649</v>
      </c>
      <c r="P51" s="3">
        <v>3.1330000162124634</v>
      </c>
      <c r="Q51" s="3">
        <v>3.7990000667050481</v>
      </c>
      <c r="R51" s="3">
        <v>3.8809998035430908</v>
      </c>
      <c r="S51" s="3">
        <v>3.3309995830059052</v>
      </c>
      <c r="U51" s="3">
        <v>10</v>
      </c>
      <c r="V51" s="3">
        <v>13</v>
      </c>
      <c r="W51" s="3">
        <v>8</v>
      </c>
      <c r="X51" s="3">
        <v>9</v>
      </c>
      <c r="Z51" s="3">
        <v>2.9000000000000004</v>
      </c>
      <c r="AA51" s="3">
        <v>3.9990000000000001</v>
      </c>
      <c r="AB51" s="3">
        <v>3.9990000000000001</v>
      </c>
      <c r="AC51" s="3">
        <v>2.9829999999999997</v>
      </c>
      <c r="AE51" s="3">
        <v>2.6500000357627869</v>
      </c>
      <c r="AF51" s="3">
        <v>3.7990000667050481</v>
      </c>
      <c r="AG51" s="3">
        <v>3.8809998035430908</v>
      </c>
      <c r="AH51" s="3">
        <v>2.6319997012615204</v>
      </c>
      <c r="AJ51" s="3">
        <v>8</v>
      </c>
      <c r="AK51" s="3">
        <v>13</v>
      </c>
      <c r="AL51" s="3">
        <v>8</v>
      </c>
      <c r="AM51" s="3">
        <v>7</v>
      </c>
      <c r="AO51" s="3">
        <v>4</v>
      </c>
      <c r="AP51" s="3">
        <v>1</v>
      </c>
      <c r="AQ51" s="3">
        <v>1</v>
      </c>
      <c r="AR51" s="3">
        <v>3</v>
      </c>
      <c r="AT51" s="3">
        <v>0.51599997282028198</v>
      </c>
      <c r="AU51" s="3">
        <v>6.0000000521540642E-3</v>
      </c>
      <c r="AV51" s="3">
        <v>0</v>
      </c>
      <c r="AW51" s="3">
        <v>0.39500001072883606</v>
      </c>
      <c r="AY51" s="3">
        <v>0.71600000000000019</v>
      </c>
      <c r="AZ51" s="3">
        <v>0.18400000000000016</v>
      </c>
      <c r="BA51" s="3">
        <v>3.300000000000014E-2</v>
      </c>
      <c r="BB51" s="3">
        <v>0</v>
      </c>
      <c r="BD51" s="3">
        <v>0.15000009536743164</v>
      </c>
      <c r="BE51" s="3">
        <v>0.15000009536743164</v>
      </c>
      <c r="BF51" s="3">
        <v>0</v>
      </c>
      <c r="BG51" s="3">
        <v>0</v>
      </c>
      <c r="BI51" s="3">
        <v>1</v>
      </c>
      <c r="BJ51" s="3">
        <v>1</v>
      </c>
      <c r="BK51" s="3">
        <v>0</v>
      </c>
      <c r="BL51" s="3">
        <v>0</v>
      </c>
      <c r="BN51" s="3">
        <v>4</v>
      </c>
      <c r="BO51" s="3">
        <v>1</v>
      </c>
      <c r="BP51" s="3">
        <v>1</v>
      </c>
      <c r="BQ51" s="3">
        <v>0</v>
      </c>
      <c r="BS51" s="3">
        <v>3.8489999771118164</v>
      </c>
      <c r="BT51" s="3">
        <v>1.3049999475479126</v>
      </c>
      <c r="BU51" s="3">
        <v>4.016</v>
      </c>
      <c r="BV51" s="3">
        <v>4.0149999999999997</v>
      </c>
      <c r="BX51" s="3">
        <v>0.61800000000000044</v>
      </c>
      <c r="BY51" s="3">
        <v>1.3659999999999997</v>
      </c>
      <c r="BZ51" s="3">
        <v>1.25</v>
      </c>
      <c r="CA51" s="3">
        <v>0.5169999999999999</v>
      </c>
      <c r="CC51" s="3">
        <v>0.9159998893737793</v>
      </c>
      <c r="CD51" s="3">
        <v>1.7659997763112187</v>
      </c>
      <c r="CE51" s="3">
        <v>1.3990000784397125</v>
      </c>
      <c r="CF51" s="3">
        <v>0.10000014305114746</v>
      </c>
      <c r="CH51" s="3">
        <v>1</v>
      </c>
      <c r="CI51" s="3">
        <v>6</v>
      </c>
      <c r="CJ51" s="3">
        <v>2</v>
      </c>
      <c r="CK51" s="3">
        <v>1</v>
      </c>
      <c r="CM51" s="3">
        <v>5</v>
      </c>
      <c r="CN51" s="3">
        <v>6</v>
      </c>
      <c r="CO51" s="3">
        <v>2</v>
      </c>
      <c r="CP51" s="3">
        <v>5</v>
      </c>
      <c r="CR51" s="3">
        <v>2.6830000877380371</v>
      </c>
      <c r="CS51" s="3">
        <v>6.0000000521540642E-3</v>
      </c>
      <c r="CT51" s="3">
        <v>0</v>
      </c>
      <c r="CU51" s="3">
        <v>2.9609999656677246</v>
      </c>
    </row>
    <row r="52" spans="1:99" s="3" customFormat="1" x14ac:dyDescent="0.35">
      <c r="A52" s="2" t="s">
        <v>50</v>
      </c>
      <c r="B52" s="2">
        <v>12.083333333333334</v>
      </c>
      <c r="C52" s="2" t="s">
        <v>168</v>
      </c>
      <c r="D52" s="2" t="s">
        <v>403</v>
      </c>
      <c r="F52" s="3">
        <v>4.0090000000000003</v>
      </c>
      <c r="G52" s="3">
        <v>4.0599999999999996</v>
      </c>
      <c r="H52" s="3">
        <v>4.0469999999999997</v>
      </c>
      <c r="I52" s="3">
        <v>1.9830000000000005</v>
      </c>
      <c r="K52" s="3">
        <v>3.9990000000000001</v>
      </c>
      <c r="L52" s="3">
        <v>4.0489999999999995</v>
      </c>
      <c r="M52" s="3">
        <v>4.0329999999999995</v>
      </c>
      <c r="N52" s="3">
        <v>1000</v>
      </c>
      <c r="P52" s="3">
        <v>3.781999655533582</v>
      </c>
      <c r="Q52" s="3">
        <v>3.6830002279020846</v>
      </c>
      <c r="R52" s="3">
        <v>1.2840003371238708</v>
      </c>
      <c r="S52" s="3">
        <v>1000</v>
      </c>
      <c r="U52" s="3">
        <v>6</v>
      </c>
      <c r="V52" s="3">
        <v>6</v>
      </c>
      <c r="W52" s="3">
        <v>7</v>
      </c>
      <c r="X52" s="3">
        <v>1000</v>
      </c>
      <c r="Z52" s="3">
        <v>3.9990000000000001</v>
      </c>
      <c r="AA52" s="3">
        <v>4.0489999999999995</v>
      </c>
      <c r="AB52" s="3">
        <v>3.1820000000000004</v>
      </c>
      <c r="AC52" s="3">
        <v>1000</v>
      </c>
      <c r="AE52" s="3">
        <v>3.781999655533582</v>
      </c>
      <c r="AF52" s="3">
        <v>3.6830002279020846</v>
      </c>
      <c r="AG52" s="3">
        <v>0.90000027418136597</v>
      </c>
      <c r="AH52" s="3">
        <v>1000</v>
      </c>
      <c r="AJ52" s="3">
        <v>6</v>
      </c>
      <c r="AK52" s="3">
        <v>6</v>
      </c>
      <c r="AL52" s="3">
        <v>5</v>
      </c>
      <c r="AM52" s="3">
        <v>1000</v>
      </c>
      <c r="AO52" s="3">
        <v>1</v>
      </c>
      <c r="AP52" s="3">
        <v>1</v>
      </c>
      <c r="AQ52" s="3">
        <v>3</v>
      </c>
      <c r="AR52" s="3">
        <v>1000</v>
      </c>
      <c r="AT52" s="3">
        <v>4.0000001899898052E-3</v>
      </c>
      <c r="AU52" s="3">
        <v>3.0000000260770321E-3</v>
      </c>
      <c r="AV52" s="3">
        <v>7.2999998927116394E-2</v>
      </c>
      <c r="AW52" s="3">
        <v>1000</v>
      </c>
      <c r="AY52" s="3">
        <v>1.3329999999999997</v>
      </c>
      <c r="AZ52" s="3">
        <v>1.0990000000000002</v>
      </c>
      <c r="BA52" s="3">
        <v>1.0010000000000003</v>
      </c>
      <c r="BB52" s="3">
        <v>1000</v>
      </c>
      <c r="BD52" s="3">
        <v>0.38299989700317383</v>
      </c>
      <c r="BE52" s="3">
        <v>1.1330000162124634</v>
      </c>
      <c r="BF52" s="3">
        <v>0.61600029468536377</v>
      </c>
      <c r="BG52" s="3">
        <v>1000</v>
      </c>
      <c r="BI52" s="3">
        <v>1</v>
      </c>
      <c r="BJ52" s="3">
        <v>2</v>
      </c>
      <c r="BK52" s="3">
        <v>3</v>
      </c>
      <c r="BL52" s="3">
        <v>1000</v>
      </c>
      <c r="BN52" s="3">
        <v>4</v>
      </c>
      <c r="BO52" s="3">
        <v>4</v>
      </c>
      <c r="BP52" s="3">
        <v>18</v>
      </c>
      <c r="BQ52" s="3">
        <v>1000</v>
      </c>
      <c r="BS52" s="3">
        <v>1.7369999885559082</v>
      </c>
      <c r="BT52" s="3">
        <v>1.5859999656677246</v>
      </c>
      <c r="BU52" s="3">
        <v>0.8059999942779541</v>
      </c>
      <c r="BV52" s="3">
        <v>1000</v>
      </c>
      <c r="BX52" s="3">
        <v>0</v>
      </c>
      <c r="BY52" s="3">
        <v>0</v>
      </c>
      <c r="BZ52" s="3">
        <v>0</v>
      </c>
      <c r="CA52" s="3">
        <v>1000</v>
      </c>
      <c r="CC52" s="3">
        <v>0</v>
      </c>
      <c r="CD52" s="3">
        <v>0</v>
      </c>
      <c r="CE52" s="3">
        <v>0</v>
      </c>
      <c r="CF52" s="3">
        <v>1000</v>
      </c>
      <c r="CH52" s="3">
        <v>0</v>
      </c>
      <c r="CI52" s="3">
        <v>0</v>
      </c>
      <c r="CJ52" s="3">
        <v>0</v>
      </c>
      <c r="CK52" s="3">
        <v>1000</v>
      </c>
      <c r="CM52" s="3">
        <v>0</v>
      </c>
      <c r="CN52" s="3">
        <v>0</v>
      </c>
      <c r="CO52" s="3">
        <v>0</v>
      </c>
      <c r="CP52" s="3">
        <v>1000</v>
      </c>
      <c r="CR52" s="3">
        <v>4.0090000000000003</v>
      </c>
      <c r="CS52" s="3">
        <v>4.0599999999999996</v>
      </c>
      <c r="CT52" s="3">
        <v>4.0469999999999997</v>
      </c>
      <c r="CU52" s="3">
        <v>1000</v>
      </c>
    </row>
    <row r="53" spans="1:99" s="3" customFormat="1" x14ac:dyDescent="0.35">
      <c r="A53" s="2" t="s">
        <v>51</v>
      </c>
      <c r="B53" s="2">
        <v>6.25</v>
      </c>
      <c r="C53" s="2" t="s">
        <v>167</v>
      </c>
      <c r="D53" s="2" t="s">
        <v>403</v>
      </c>
      <c r="F53" s="3">
        <v>1000</v>
      </c>
      <c r="G53" s="3">
        <v>3.0429999999999997</v>
      </c>
      <c r="H53" s="3">
        <v>4.01</v>
      </c>
      <c r="I53" s="3">
        <v>4.01</v>
      </c>
      <c r="K53" s="3">
        <v>1000</v>
      </c>
      <c r="L53" s="3">
        <v>2.984</v>
      </c>
      <c r="M53" s="3">
        <v>3.9990000000000001</v>
      </c>
      <c r="N53" s="3">
        <v>3.9990000000000001</v>
      </c>
      <c r="P53" s="3">
        <v>1000</v>
      </c>
      <c r="Q53" s="3">
        <v>2.7170000188052654</v>
      </c>
      <c r="R53" s="3">
        <v>3.8310001082718372</v>
      </c>
      <c r="S53" s="3">
        <v>3.0009996294975281</v>
      </c>
      <c r="U53" s="3">
        <v>1000</v>
      </c>
      <c r="V53" s="3">
        <v>10</v>
      </c>
      <c r="W53" s="3">
        <v>10</v>
      </c>
      <c r="X53" s="3">
        <v>10</v>
      </c>
      <c r="Z53" s="3">
        <v>1000</v>
      </c>
      <c r="AA53" s="3">
        <v>3.0169999999999999</v>
      </c>
      <c r="AB53" s="3">
        <v>3.9820000000000002</v>
      </c>
      <c r="AC53" s="3">
        <v>3.6160000000000001</v>
      </c>
      <c r="AE53" s="3">
        <v>1000</v>
      </c>
      <c r="AF53" s="3">
        <v>2.7170000188052654</v>
      </c>
      <c r="AG53" s="3">
        <v>3.8310001082718372</v>
      </c>
      <c r="AH53" s="3">
        <v>3.0009996294975281</v>
      </c>
      <c r="AJ53" s="3">
        <v>1000</v>
      </c>
      <c r="AK53" s="3">
        <v>10</v>
      </c>
      <c r="AL53" s="3">
        <v>10</v>
      </c>
      <c r="AM53" s="3">
        <v>10</v>
      </c>
      <c r="AO53" s="3">
        <v>1000</v>
      </c>
      <c r="AP53" s="3">
        <v>2</v>
      </c>
      <c r="AQ53" s="3">
        <v>1</v>
      </c>
      <c r="AR53" s="3">
        <v>2</v>
      </c>
      <c r="AT53" s="3">
        <v>1000</v>
      </c>
      <c r="AU53" s="3">
        <v>1.3000000268220901E-2</v>
      </c>
      <c r="AV53" s="3">
        <v>1.7000000923871994E-2</v>
      </c>
      <c r="AW53" s="3">
        <v>0.47200000286102295</v>
      </c>
      <c r="AY53" s="3">
        <v>1000</v>
      </c>
      <c r="AZ53" s="3">
        <v>0.43399999999999972</v>
      </c>
      <c r="BA53" s="3">
        <v>2.1659999999999995</v>
      </c>
      <c r="BB53" s="3">
        <v>2.6830000000000003</v>
      </c>
      <c r="BD53" s="3">
        <v>1000</v>
      </c>
      <c r="BE53" s="3">
        <v>0.35000008344650269</v>
      </c>
      <c r="BF53" s="3">
        <v>2.01500004529953</v>
      </c>
      <c r="BG53" s="3">
        <v>2.4009997248649597</v>
      </c>
      <c r="BI53" s="3">
        <v>1000</v>
      </c>
      <c r="BJ53" s="3">
        <v>2</v>
      </c>
      <c r="BK53" s="3">
        <v>6</v>
      </c>
      <c r="BL53" s="3">
        <v>8</v>
      </c>
      <c r="BN53" s="3">
        <v>1000</v>
      </c>
      <c r="BO53" s="3">
        <v>2</v>
      </c>
      <c r="BP53" s="3">
        <v>4</v>
      </c>
      <c r="BQ53" s="3">
        <v>5</v>
      </c>
      <c r="BS53" s="3">
        <v>1000</v>
      </c>
      <c r="BT53" s="3">
        <v>0.56300002336502075</v>
      </c>
      <c r="BU53" s="3">
        <v>0.66699999570846558</v>
      </c>
      <c r="BV53" s="3">
        <v>0.47200000286102295</v>
      </c>
      <c r="BX53" s="3">
        <v>1000</v>
      </c>
      <c r="BY53" s="3">
        <v>0.69999999999999973</v>
      </c>
      <c r="BZ53" s="3">
        <v>0</v>
      </c>
      <c r="CA53" s="3">
        <v>0</v>
      </c>
      <c r="CC53" s="3">
        <v>1000</v>
      </c>
      <c r="CD53" s="3">
        <v>0.6170000433921814</v>
      </c>
      <c r="CE53" s="3">
        <v>0</v>
      </c>
      <c r="CF53" s="3">
        <v>0</v>
      </c>
      <c r="CH53" s="3">
        <v>1000</v>
      </c>
      <c r="CI53" s="3">
        <v>3</v>
      </c>
      <c r="CJ53" s="3">
        <v>0</v>
      </c>
      <c r="CK53" s="3">
        <v>0</v>
      </c>
      <c r="CM53" s="3">
        <v>1000</v>
      </c>
      <c r="CN53" s="3">
        <v>2</v>
      </c>
      <c r="CO53" s="3">
        <v>0</v>
      </c>
      <c r="CP53" s="3">
        <v>1</v>
      </c>
      <c r="CR53" s="3">
        <v>1000</v>
      </c>
      <c r="CS53" s="3">
        <v>0.93000000715255737</v>
      </c>
      <c r="CT53" s="3">
        <v>4.01</v>
      </c>
      <c r="CU53" s="3">
        <v>4.01</v>
      </c>
    </row>
    <row r="54" spans="1:99" s="3" customFormat="1" x14ac:dyDescent="0.35">
      <c r="A54" s="2" t="s">
        <v>52</v>
      </c>
      <c r="B54" s="2">
        <v>9.6666666666666661</v>
      </c>
      <c r="C54" s="2" t="s">
        <v>168</v>
      </c>
      <c r="D54" s="2" t="s">
        <v>403</v>
      </c>
      <c r="F54" s="3">
        <v>4.01</v>
      </c>
      <c r="G54" s="3">
        <v>4.016</v>
      </c>
      <c r="H54" s="3">
        <v>4.016</v>
      </c>
      <c r="I54" s="3">
        <v>4.0149999999999997</v>
      </c>
      <c r="K54" s="3">
        <v>3.9830000000000001</v>
      </c>
      <c r="L54" s="3">
        <v>3.9990000000000001</v>
      </c>
      <c r="M54" s="3">
        <v>4</v>
      </c>
      <c r="N54" s="3">
        <v>3.9990000000000001</v>
      </c>
      <c r="P54" s="3">
        <v>3.8669999502599239</v>
      </c>
      <c r="Q54" s="3">
        <v>3.9329999722540379</v>
      </c>
      <c r="R54" s="3">
        <v>3.8180000991560519</v>
      </c>
      <c r="S54" s="3">
        <v>3.380999892950058</v>
      </c>
      <c r="U54" s="3">
        <v>6</v>
      </c>
      <c r="V54" s="3">
        <v>5</v>
      </c>
      <c r="W54" s="3">
        <v>12</v>
      </c>
      <c r="X54" s="3">
        <v>12</v>
      </c>
      <c r="Z54" s="3">
        <v>3.9830000000000001</v>
      </c>
      <c r="AA54" s="3">
        <v>3.9990000000000001</v>
      </c>
      <c r="AB54" s="3">
        <v>4</v>
      </c>
      <c r="AC54" s="3">
        <v>3.9990000000000001</v>
      </c>
      <c r="AE54" s="3">
        <v>3.8669999502599239</v>
      </c>
      <c r="AF54" s="3">
        <v>3.9329999722540379</v>
      </c>
      <c r="AG54" s="3">
        <v>3.8180000991560519</v>
      </c>
      <c r="AH54" s="3">
        <v>3.380999892950058</v>
      </c>
      <c r="AJ54" s="3">
        <v>6</v>
      </c>
      <c r="AK54" s="3">
        <v>5</v>
      </c>
      <c r="AL54" s="3">
        <v>12</v>
      </c>
      <c r="AM54" s="3">
        <v>12</v>
      </c>
      <c r="AO54" s="3">
        <v>1</v>
      </c>
      <c r="AP54" s="3">
        <v>1</v>
      </c>
      <c r="AQ54" s="3">
        <v>1</v>
      </c>
      <c r="AR54" s="3">
        <v>1</v>
      </c>
      <c r="AT54" s="3">
        <v>1.3000000268220901E-2</v>
      </c>
      <c r="AU54" s="3">
        <v>8.999999612569809E-3</v>
      </c>
      <c r="AV54" s="3">
        <v>3.0000000260770321E-3</v>
      </c>
      <c r="AW54" s="3">
        <v>0.26399999856948853</v>
      </c>
      <c r="AY54" s="3">
        <v>3.45</v>
      </c>
      <c r="AZ54" s="3">
        <v>3.1660000000000004</v>
      </c>
      <c r="BA54" s="3">
        <v>2.2830000000000004</v>
      </c>
      <c r="BB54" s="3">
        <v>2.399</v>
      </c>
      <c r="BD54" s="3">
        <v>3.4659998677670956</v>
      </c>
      <c r="BE54" s="3">
        <v>2.9330000281333923</v>
      </c>
      <c r="BF54" s="3">
        <v>2.5340000600554049</v>
      </c>
      <c r="BG54" s="3">
        <v>2.4149999022483826</v>
      </c>
      <c r="BI54" s="3">
        <v>4</v>
      </c>
      <c r="BJ54" s="3">
        <v>3</v>
      </c>
      <c r="BK54" s="3">
        <v>7</v>
      </c>
      <c r="BL54" s="3">
        <v>7</v>
      </c>
      <c r="BN54" s="3">
        <v>2</v>
      </c>
      <c r="BO54" s="3">
        <v>2</v>
      </c>
      <c r="BP54" s="3">
        <v>4</v>
      </c>
      <c r="BQ54" s="3">
        <v>2</v>
      </c>
      <c r="BS54" s="3">
        <v>1.3000000268220901E-2</v>
      </c>
      <c r="BT54" s="3">
        <v>0.57499998807907104</v>
      </c>
      <c r="BU54" s="3">
        <v>3.0000000260770321E-3</v>
      </c>
      <c r="BV54" s="3">
        <v>0.48100000619888306</v>
      </c>
      <c r="BX54" s="3">
        <v>0</v>
      </c>
      <c r="BY54" s="3">
        <v>0</v>
      </c>
      <c r="BZ54" s="3">
        <v>0</v>
      </c>
      <c r="CA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0</v>
      </c>
      <c r="CI54" s="3">
        <v>0</v>
      </c>
      <c r="CJ54" s="3">
        <v>0</v>
      </c>
      <c r="CK54" s="3">
        <v>0</v>
      </c>
      <c r="CM54" s="3">
        <v>0</v>
      </c>
      <c r="CN54" s="3">
        <v>0</v>
      </c>
      <c r="CO54" s="3">
        <v>0</v>
      </c>
      <c r="CP54" s="3">
        <v>0</v>
      </c>
      <c r="CR54" s="3">
        <v>4.01</v>
      </c>
      <c r="CS54" s="3">
        <v>4.016</v>
      </c>
      <c r="CT54" s="3">
        <v>4.016</v>
      </c>
      <c r="CU54" s="3">
        <v>4.0149999999999997</v>
      </c>
    </row>
    <row r="55" spans="1:99" s="3" customFormat="1" x14ac:dyDescent="0.35">
      <c r="A55" s="2" t="s">
        <v>53</v>
      </c>
      <c r="B55" s="2">
        <v>3.6666666666666665</v>
      </c>
      <c r="C55" s="2" t="s">
        <v>167</v>
      </c>
      <c r="D55" s="2" t="s">
        <v>403</v>
      </c>
      <c r="F55" s="3">
        <v>4.0039999999999996</v>
      </c>
      <c r="G55" s="3">
        <v>4.0010000000000003</v>
      </c>
      <c r="H55" s="3">
        <v>0.36699999999999999</v>
      </c>
      <c r="I55" s="3">
        <v>4.01</v>
      </c>
      <c r="K55" s="3">
        <v>3.9820000000000002</v>
      </c>
      <c r="L55" s="3">
        <v>3.9830000000000001</v>
      </c>
      <c r="M55" s="3">
        <v>1000</v>
      </c>
      <c r="N55" s="3">
        <v>4</v>
      </c>
      <c r="P55" s="3">
        <v>3.5509999375790358</v>
      </c>
      <c r="Q55" s="3">
        <v>3.8170000519603491</v>
      </c>
      <c r="R55" s="3">
        <v>1000</v>
      </c>
      <c r="S55" s="3">
        <v>3.733000298961997</v>
      </c>
      <c r="U55" s="3">
        <v>7</v>
      </c>
      <c r="V55" s="3">
        <v>8</v>
      </c>
      <c r="W55" s="3">
        <v>1000</v>
      </c>
      <c r="X55" s="3">
        <v>12</v>
      </c>
      <c r="Z55" s="3">
        <v>3.9820000000000002</v>
      </c>
      <c r="AA55" s="3">
        <v>3.9830000000000001</v>
      </c>
      <c r="AB55" s="3">
        <v>1000</v>
      </c>
      <c r="AC55" s="3">
        <v>4</v>
      </c>
      <c r="AE55" s="3">
        <v>3.5509999375790358</v>
      </c>
      <c r="AF55" s="3">
        <v>3.8170000519603491</v>
      </c>
      <c r="AG55" s="3">
        <v>1000</v>
      </c>
      <c r="AH55" s="3">
        <v>3.733000298961997</v>
      </c>
      <c r="AJ55" s="3">
        <v>7</v>
      </c>
      <c r="AK55" s="3">
        <v>8</v>
      </c>
      <c r="AL55" s="3">
        <v>1000</v>
      </c>
      <c r="AM55" s="3">
        <v>12</v>
      </c>
      <c r="AO55" s="3">
        <v>1</v>
      </c>
      <c r="AP55" s="3">
        <v>1</v>
      </c>
      <c r="AQ55" s="3">
        <v>1000</v>
      </c>
      <c r="AR55" s="3">
        <v>1</v>
      </c>
      <c r="AT55" s="3">
        <v>1.4000000432133675E-2</v>
      </c>
      <c r="AU55" s="3">
        <v>9.9999997764825821E-3</v>
      </c>
      <c r="AV55" s="3">
        <v>1000</v>
      </c>
      <c r="AW55" s="3">
        <v>9.9999997764825821E-3</v>
      </c>
      <c r="AY55" s="3">
        <v>2.8670000000000004</v>
      </c>
      <c r="AZ55" s="3">
        <v>2.1330000000000005</v>
      </c>
      <c r="BA55" s="3">
        <v>1000</v>
      </c>
      <c r="BB55" s="3">
        <v>1.667</v>
      </c>
      <c r="BD55" s="3">
        <v>2.4179999232292175</v>
      </c>
      <c r="BE55" s="3">
        <v>2.2829999923706055</v>
      </c>
      <c r="BF55" s="3">
        <v>1000</v>
      </c>
      <c r="BG55" s="3">
        <v>1.7000000476837158</v>
      </c>
      <c r="BI55" s="3">
        <v>4</v>
      </c>
      <c r="BJ55" s="3">
        <v>4</v>
      </c>
      <c r="BK55" s="3">
        <v>1000</v>
      </c>
      <c r="BL55" s="3">
        <v>5</v>
      </c>
      <c r="BN55" s="3">
        <v>4</v>
      </c>
      <c r="BO55" s="3">
        <v>3</v>
      </c>
      <c r="BP55" s="3">
        <v>1000</v>
      </c>
      <c r="BQ55" s="3">
        <v>4</v>
      </c>
      <c r="BS55" s="3">
        <v>0.6470000147819519</v>
      </c>
      <c r="BT55" s="3">
        <v>0.47699999809265137</v>
      </c>
      <c r="BU55" s="3">
        <v>1000</v>
      </c>
      <c r="BV55" s="3">
        <v>0.50999999046325684</v>
      </c>
      <c r="BX55" s="3">
        <v>0</v>
      </c>
      <c r="BY55" s="3">
        <v>0.4</v>
      </c>
      <c r="BZ55" s="3">
        <v>1000</v>
      </c>
      <c r="CA55" s="3">
        <v>0.41599999999999993</v>
      </c>
      <c r="CC55" s="3">
        <v>0</v>
      </c>
      <c r="CD55" s="3">
        <v>0.39999999664723873</v>
      </c>
      <c r="CE55" s="3">
        <v>1000</v>
      </c>
      <c r="CF55" s="3">
        <v>0.38300013542175293</v>
      </c>
      <c r="CH55" s="3">
        <v>0</v>
      </c>
      <c r="CI55" s="3">
        <v>1</v>
      </c>
      <c r="CJ55" s="3">
        <v>1000</v>
      </c>
      <c r="CK55" s="3">
        <v>1</v>
      </c>
      <c r="CM55" s="3">
        <v>0</v>
      </c>
      <c r="CN55" s="3">
        <v>1</v>
      </c>
      <c r="CO55" s="3">
        <v>1000</v>
      </c>
      <c r="CP55" s="3">
        <v>1</v>
      </c>
      <c r="CR55" s="3">
        <v>4.0039999999999996</v>
      </c>
      <c r="CS55" s="3">
        <v>9.9999997764825821E-3</v>
      </c>
      <c r="CT55" s="3">
        <v>1000</v>
      </c>
      <c r="CU55" s="3">
        <v>3.3599998950958252</v>
      </c>
    </row>
    <row r="56" spans="1:99" s="3" customFormat="1" x14ac:dyDescent="0.35">
      <c r="A56" s="2" t="s">
        <v>54</v>
      </c>
      <c r="B56" s="2">
        <v>10.916666666666666</v>
      </c>
      <c r="C56" s="2" t="s">
        <v>167</v>
      </c>
      <c r="D56" s="2" t="s">
        <v>403</v>
      </c>
      <c r="F56" s="3">
        <v>4.0019999999999998</v>
      </c>
      <c r="G56" s="3">
        <v>4.0140000000000002</v>
      </c>
      <c r="H56" s="3">
        <v>4.016</v>
      </c>
      <c r="I56" s="3">
        <v>4.0110000000000001</v>
      </c>
      <c r="K56" s="3">
        <v>3.9330000000000003</v>
      </c>
      <c r="L56" s="3">
        <v>3.9819999999999998</v>
      </c>
      <c r="M56" s="3">
        <v>4</v>
      </c>
      <c r="N56" s="3">
        <v>3.8320000000000003</v>
      </c>
      <c r="P56" s="3">
        <v>3.7020000172778964</v>
      </c>
      <c r="Q56" s="3">
        <v>3.2839995920658112</v>
      </c>
      <c r="R56" s="3">
        <v>3.6840003039687872</v>
      </c>
      <c r="S56" s="3">
        <v>3.6320001985877752</v>
      </c>
      <c r="U56" s="3">
        <v>10</v>
      </c>
      <c r="V56" s="3">
        <v>12</v>
      </c>
      <c r="W56" s="3">
        <v>11</v>
      </c>
      <c r="X56" s="3">
        <v>13</v>
      </c>
      <c r="Z56" s="3">
        <v>3.9330000000000003</v>
      </c>
      <c r="AA56" s="3">
        <v>3.3490000000000002</v>
      </c>
      <c r="AB56" s="3">
        <v>3.4179999999999997</v>
      </c>
      <c r="AC56" s="3">
        <v>3.8320000000000003</v>
      </c>
      <c r="AE56" s="3">
        <v>3.7020000172778964</v>
      </c>
      <c r="AF56" s="3">
        <v>2.9009996950626373</v>
      </c>
      <c r="AG56" s="3">
        <v>3.3000002410262823</v>
      </c>
      <c r="AH56" s="3">
        <v>3.6320001985877752</v>
      </c>
      <c r="AJ56" s="3">
        <v>10</v>
      </c>
      <c r="AK56" s="3">
        <v>10</v>
      </c>
      <c r="AL56" s="3">
        <v>10</v>
      </c>
      <c r="AM56" s="3">
        <v>13</v>
      </c>
      <c r="AO56" s="3">
        <v>1</v>
      </c>
      <c r="AP56" s="3">
        <v>3</v>
      </c>
      <c r="AQ56" s="3">
        <v>4</v>
      </c>
      <c r="AR56" s="3">
        <v>1</v>
      </c>
      <c r="AT56" s="3">
        <v>4.999999888241291E-3</v>
      </c>
      <c r="AU56" s="3">
        <v>0.25299999117851257</v>
      </c>
      <c r="AV56" s="3">
        <v>9.9999997764825821E-3</v>
      </c>
      <c r="AW56" s="3">
        <v>9.9999997764825821E-3</v>
      </c>
      <c r="AY56" s="3">
        <v>0.24999999999999978</v>
      </c>
      <c r="AZ56" s="3">
        <v>4.9999999999999822E-2</v>
      </c>
      <c r="BA56" s="3">
        <v>0</v>
      </c>
      <c r="BB56" s="3">
        <v>0.50000000000000044</v>
      </c>
      <c r="BD56" s="3">
        <v>0</v>
      </c>
      <c r="BE56" s="3">
        <v>0</v>
      </c>
      <c r="BF56" s="3">
        <v>0</v>
      </c>
      <c r="BG56" s="3">
        <v>0.4160001277923584</v>
      </c>
      <c r="BI56" s="3">
        <v>0</v>
      </c>
      <c r="BJ56" s="3">
        <v>0</v>
      </c>
      <c r="BK56" s="3">
        <v>0</v>
      </c>
      <c r="BL56" s="3">
        <v>2</v>
      </c>
      <c r="BN56" s="3">
        <v>1</v>
      </c>
      <c r="BO56" s="3">
        <v>2</v>
      </c>
      <c r="BP56" s="3">
        <v>0</v>
      </c>
      <c r="BQ56" s="3">
        <v>3</v>
      </c>
      <c r="BS56" s="3">
        <v>4.0019999999999998</v>
      </c>
      <c r="BT56" s="3">
        <v>4.0140000000000002</v>
      </c>
      <c r="BU56" s="3">
        <v>4.016</v>
      </c>
      <c r="BV56" s="3">
        <v>0.67599999904632568</v>
      </c>
      <c r="BX56" s="3">
        <v>0.44999999999999996</v>
      </c>
      <c r="BY56" s="3">
        <v>0.18299999999999983</v>
      </c>
      <c r="BZ56" s="3">
        <v>1.7000000000000348E-2</v>
      </c>
      <c r="CA56" s="3">
        <v>8.2999999999999963E-2</v>
      </c>
      <c r="CC56" s="3">
        <v>0.84999995958060026</v>
      </c>
      <c r="CD56" s="3">
        <v>0</v>
      </c>
      <c r="CE56" s="3">
        <v>0</v>
      </c>
      <c r="CF56" s="3">
        <v>0.11600005626678467</v>
      </c>
      <c r="CH56" s="3">
        <v>2</v>
      </c>
      <c r="CI56" s="3">
        <v>0</v>
      </c>
      <c r="CJ56" s="3">
        <v>0</v>
      </c>
      <c r="CK56" s="3">
        <v>1</v>
      </c>
      <c r="CM56" s="3">
        <v>2</v>
      </c>
      <c r="CN56" s="3">
        <v>1</v>
      </c>
      <c r="CO56" s="3">
        <v>1</v>
      </c>
      <c r="CP56" s="3">
        <v>1</v>
      </c>
      <c r="CR56" s="3">
        <v>4.999999888241291E-3</v>
      </c>
      <c r="CS56" s="3">
        <v>4.0140000000000002</v>
      </c>
      <c r="CT56" s="3">
        <v>4.016</v>
      </c>
      <c r="CU56" s="3">
        <v>1.1599999666213989</v>
      </c>
    </row>
    <row r="57" spans="1:99" s="3" customFormat="1" x14ac:dyDescent="0.35">
      <c r="A57" s="2" t="s">
        <v>55</v>
      </c>
      <c r="B57" s="2">
        <v>6.416666666666667</v>
      </c>
      <c r="C57" s="2" t="s">
        <v>168</v>
      </c>
      <c r="D57" s="2" t="s">
        <v>403</v>
      </c>
      <c r="F57" s="3">
        <v>2.9099999999999997</v>
      </c>
      <c r="G57" s="3">
        <v>1000</v>
      </c>
      <c r="H57" s="3">
        <v>4.0270000000000001</v>
      </c>
      <c r="I57" s="3">
        <v>0.96499999999999986</v>
      </c>
      <c r="K57" s="3">
        <v>2.617</v>
      </c>
      <c r="L57" s="3">
        <v>1000</v>
      </c>
      <c r="M57" s="3">
        <v>3.8319999999999999</v>
      </c>
      <c r="N57" s="3">
        <v>1000</v>
      </c>
      <c r="P57" s="3">
        <v>2.1670001400634646</v>
      </c>
      <c r="Q57" s="3">
        <v>1000</v>
      </c>
      <c r="R57" s="3">
        <v>3.4159996034577489</v>
      </c>
      <c r="S57" s="3">
        <v>1000</v>
      </c>
      <c r="U57" s="3">
        <v>4</v>
      </c>
      <c r="V57" s="3">
        <v>1000</v>
      </c>
      <c r="W57" s="3">
        <v>14</v>
      </c>
      <c r="X57" s="3">
        <v>1000</v>
      </c>
      <c r="Z57" s="3">
        <v>2.617</v>
      </c>
      <c r="AA57" s="3">
        <v>1000</v>
      </c>
      <c r="AB57" s="3">
        <v>3.3150000000000004</v>
      </c>
      <c r="AC57" s="3">
        <v>1000</v>
      </c>
      <c r="AE57" s="3">
        <v>2.1670001400634646</v>
      </c>
      <c r="AF57" s="3">
        <v>1000</v>
      </c>
      <c r="AG57" s="3">
        <v>3.0489997388795018</v>
      </c>
      <c r="AH57" s="3">
        <v>1000</v>
      </c>
      <c r="AJ57" s="3">
        <v>4</v>
      </c>
      <c r="AK57" s="3">
        <v>1000</v>
      </c>
      <c r="AL57" s="3">
        <v>12</v>
      </c>
      <c r="AM57" s="3">
        <v>1000</v>
      </c>
      <c r="AO57" s="3">
        <v>2</v>
      </c>
      <c r="AP57" s="3">
        <v>1000</v>
      </c>
      <c r="AQ57" s="3">
        <v>4</v>
      </c>
      <c r="AR57" s="3">
        <v>1000</v>
      </c>
      <c r="AT57" s="3">
        <v>4.999999888241291E-3</v>
      </c>
      <c r="AU57" s="3">
        <v>1000</v>
      </c>
      <c r="AV57" s="3">
        <v>6.0000000521540642E-3</v>
      </c>
      <c r="AW57" s="3">
        <v>1000</v>
      </c>
      <c r="AY57" s="3">
        <v>0</v>
      </c>
      <c r="AZ57" s="3">
        <v>1000</v>
      </c>
      <c r="BA57" s="3">
        <v>0.33299999999999996</v>
      </c>
      <c r="BB57" s="3">
        <v>1000</v>
      </c>
      <c r="BD57" s="3">
        <v>0</v>
      </c>
      <c r="BE57" s="3">
        <v>1000</v>
      </c>
      <c r="BF57" s="3">
        <v>0.18299996852874756</v>
      </c>
      <c r="BG57" s="3">
        <v>1000</v>
      </c>
      <c r="BI57" s="3">
        <v>0</v>
      </c>
      <c r="BJ57" s="3">
        <v>1000</v>
      </c>
      <c r="BK57" s="3">
        <v>1</v>
      </c>
      <c r="BL57" s="3">
        <v>1000</v>
      </c>
      <c r="BN57" s="3">
        <v>0</v>
      </c>
      <c r="BO57" s="3">
        <v>1000</v>
      </c>
      <c r="BP57" s="3">
        <v>3</v>
      </c>
      <c r="BQ57" s="3">
        <v>1000</v>
      </c>
      <c r="BS57" s="3">
        <v>4.0259999999999998</v>
      </c>
      <c r="BT57" s="3">
        <v>1000</v>
      </c>
      <c r="BU57" s="3">
        <v>1.621999979019165</v>
      </c>
      <c r="BV57" s="3">
        <v>1000</v>
      </c>
      <c r="BX57" s="3">
        <v>0.43400000000000016</v>
      </c>
      <c r="BY57" s="3">
        <v>1000</v>
      </c>
      <c r="BZ57" s="3">
        <v>0.48299999999999998</v>
      </c>
      <c r="CA57" s="3">
        <v>1000</v>
      </c>
      <c r="CC57" s="3">
        <v>0.3670000433921814</v>
      </c>
      <c r="CD57" s="3">
        <v>1000</v>
      </c>
      <c r="CE57" s="3">
        <v>0.66600002069026232</v>
      </c>
      <c r="CF57" s="3">
        <v>1000</v>
      </c>
      <c r="CH57" s="3">
        <v>1</v>
      </c>
      <c r="CI57" s="3">
        <v>1000</v>
      </c>
      <c r="CJ57" s="3">
        <v>2</v>
      </c>
      <c r="CK57" s="3">
        <v>1000</v>
      </c>
      <c r="CM57" s="3">
        <v>4</v>
      </c>
      <c r="CN57" s="3">
        <v>1000</v>
      </c>
      <c r="CO57" s="3">
        <v>3</v>
      </c>
      <c r="CP57" s="3">
        <v>1000</v>
      </c>
      <c r="CR57" s="3">
        <v>0.7720000147819519</v>
      </c>
      <c r="CS57" s="3">
        <v>1000</v>
      </c>
      <c r="CT57" s="3">
        <v>6.0000000521540642E-3</v>
      </c>
      <c r="CU57" s="3">
        <v>1000</v>
      </c>
    </row>
    <row r="58" spans="1:99" s="3" customFormat="1" x14ac:dyDescent="0.35">
      <c r="A58" s="2" t="s">
        <v>56</v>
      </c>
      <c r="B58" s="2">
        <v>9.0833333333333339</v>
      </c>
      <c r="C58" s="2" t="s">
        <v>167</v>
      </c>
      <c r="D58" s="2" t="s">
        <v>403</v>
      </c>
      <c r="F58" s="3">
        <v>1.4119999999999999</v>
      </c>
      <c r="G58" s="3">
        <v>4.0019999999999998</v>
      </c>
      <c r="H58" s="3">
        <v>4.0110000000000001</v>
      </c>
      <c r="I58" s="3">
        <v>0</v>
      </c>
      <c r="K58" s="3">
        <v>1000</v>
      </c>
      <c r="L58" s="3">
        <v>3.5819999999999999</v>
      </c>
      <c r="M58" s="3">
        <v>3.9830000000000001</v>
      </c>
      <c r="N58" s="3">
        <v>1000</v>
      </c>
      <c r="P58" s="3">
        <v>1000</v>
      </c>
      <c r="Q58" s="3">
        <v>3.3319998681545258</v>
      </c>
      <c r="R58" s="3">
        <v>3.6499999184161425</v>
      </c>
      <c r="S58" s="3">
        <v>1000</v>
      </c>
      <c r="U58" s="3">
        <v>1000</v>
      </c>
      <c r="V58" s="3">
        <v>6</v>
      </c>
      <c r="W58" s="3">
        <v>10</v>
      </c>
      <c r="X58" s="3">
        <v>1000</v>
      </c>
      <c r="Z58" s="3">
        <v>1000</v>
      </c>
      <c r="AA58" s="3">
        <v>3.4489999999999998</v>
      </c>
      <c r="AB58" s="3">
        <v>3.9830000000000001</v>
      </c>
      <c r="AC58" s="3">
        <v>1000</v>
      </c>
      <c r="AE58" s="3">
        <v>1000</v>
      </c>
      <c r="AF58" s="3">
        <v>3.3319998681545258</v>
      </c>
      <c r="AG58" s="3">
        <v>3.6499999184161425</v>
      </c>
      <c r="AH58" s="3">
        <v>1000</v>
      </c>
      <c r="AJ58" s="3">
        <v>1000</v>
      </c>
      <c r="AK58" s="3">
        <v>6</v>
      </c>
      <c r="AL58" s="3">
        <v>10</v>
      </c>
      <c r="AM58" s="3">
        <v>1000</v>
      </c>
      <c r="AO58" s="3">
        <v>1000</v>
      </c>
      <c r="AP58" s="3">
        <v>2</v>
      </c>
      <c r="AQ58" s="3">
        <v>1</v>
      </c>
      <c r="AR58" s="3">
        <v>1000</v>
      </c>
      <c r="AT58" s="3">
        <v>1000</v>
      </c>
      <c r="AU58" s="3">
        <v>0.40599998831748962</v>
      </c>
      <c r="AV58" s="3">
        <v>1.6000000759959221E-2</v>
      </c>
      <c r="AW58" s="3">
        <v>1000</v>
      </c>
      <c r="AY58" s="3">
        <v>1000</v>
      </c>
      <c r="AZ58" s="3">
        <v>0.7669999999999999</v>
      </c>
      <c r="BA58" s="3">
        <v>1.1000000000000001</v>
      </c>
      <c r="BB58" s="3">
        <v>1000</v>
      </c>
      <c r="BD58" s="3">
        <v>1000</v>
      </c>
      <c r="BE58" s="3">
        <v>0.64999997615814209</v>
      </c>
      <c r="BF58" s="3">
        <v>1.0339999198913574</v>
      </c>
      <c r="BG58" s="3">
        <v>1000</v>
      </c>
      <c r="BI58" s="3">
        <v>1000</v>
      </c>
      <c r="BJ58" s="3">
        <v>2</v>
      </c>
      <c r="BK58" s="3">
        <v>3</v>
      </c>
      <c r="BL58" s="3">
        <v>1000</v>
      </c>
      <c r="BN58" s="3">
        <v>1000</v>
      </c>
      <c r="BO58" s="3">
        <v>2</v>
      </c>
      <c r="BP58" s="3">
        <v>5</v>
      </c>
      <c r="BQ58" s="3">
        <v>1000</v>
      </c>
      <c r="BS58" s="3">
        <v>1000</v>
      </c>
      <c r="BT58" s="3">
        <v>0.90600001811981201</v>
      </c>
      <c r="BU58" s="3">
        <v>0.33300000429153442</v>
      </c>
      <c r="BV58" s="3">
        <v>1000</v>
      </c>
      <c r="BX58" s="3">
        <v>1000</v>
      </c>
      <c r="BY58" s="3">
        <v>2.1659999999999999</v>
      </c>
      <c r="BZ58" s="3">
        <v>0.14999999999999991</v>
      </c>
      <c r="CA58" s="3">
        <v>1000</v>
      </c>
      <c r="CC58" s="3">
        <v>1000</v>
      </c>
      <c r="CD58" s="3">
        <v>2.0159999132156372</v>
      </c>
      <c r="CE58" s="3">
        <v>0.19899988174438477</v>
      </c>
      <c r="CF58" s="3">
        <v>1000</v>
      </c>
      <c r="CH58" s="3">
        <v>1000</v>
      </c>
      <c r="CI58" s="3">
        <v>1</v>
      </c>
      <c r="CJ58" s="3">
        <v>1</v>
      </c>
      <c r="CK58" s="3">
        <v>1000</v>
      </c>
      <c r="CM58" s="3">
        <v>1000</v>
      </c>
      <c r="CN58" s="3">
        <v>2</v>
      </c>
      <c r="CO58" s="3">
        <v>1</v>
      </c>
      <c r="CP58" s="3">
        <v>1000</v>
      </c>
      <c r="CR58" s="3">
        <v>1000</v>
      </c>
      <c r="CS58" s="3">
        <v>1.9220000505447388</v>
      </c>
      <c r="CT58" s="3">
        <v>2.7160000801086426</v>
      </c>
      <c r="CU58" s="3">
        <v>1000</v>
      </c>
    </row>
    <row r="59" spans="1:99" s="3" customFormat="1" x14ac:dyDescent="0.35">
      <c r="A59" s="2" t="s">
        <v>57</v>
      </c>
      <c r="B59" s="2">
        <v>9.5</v>
      </c>
      <c r="C59" s="2" t="s">
        <v>168</v>
      </c>
      <c r="D59" s="2" t="s">
        <v>403</v>
      </c>
      <c r="F59" s="3">
        <v>2.1209999999999996</v>
      </c>
      <c r="G59" s="3">
        <v>4.024</v>
      </c>
      <c r="H59" s="3">
        <v>4.0110000000000001</v>
      </c>
      <c r="I59" s="3">
        <v>4.0129999999999999</v>
      </c>
      <c r="K59" s="3">
        <v>1.75</v>
      </c>
      <c r="L59" s="3">
        <v>3.7990000000000004</v>
      </c>
      <c r="M59" s="3">
        <v>3.9660000000000002</v>
      </c>
      <c r="N59" s="3">
        <v>3.6989999999999994</v>
      </c>
      <c r="P59" s="3">
        <v>1.5329999923706055</v>
      </c>
      <c r="Q59" s="3">
        <v>3.1150002777576447</v>
      </c>
      <c r="R59" s="3">
        <v>3.3490000795572996</v>
      </c>
      <c r="S59" s="3">
        <v>2.8980002403259277</v>
      </c>
      <c r="U59" s="3">
        <v>3</v>
      </c>
      <c r="V59" s="3">
        <v>7</v>
      </c>
      <c r="W59" s="3">
        <v>11</v>
      </c>
      <c r="X59" s="3">
        <v>14</v>
      </c>
      <c r="Z59" s="3">
        <v>1.633</v>
      </c>
      <c r="AA59" s="3">
        <v>3.2320000000000002</v>
      </c>
      <c r="AB59" s="3">
        <v>3.3489999999999998</v>
      </c>
      <c r="AC59" s="3">
        <v>2.8829999999999996</v>
      </c>
      <c r="AE59" s="3">
        <v>1.5329999923706055</v>
      </c>
      <c r="AF59" s="3">
        <v>2.9980002641677856</v>
      </c>
      <c r="AG59" s="3">
        <v>3.0819999873638153</v>
      </c>
      <c r="AH59" s="3">
        <v>2.2830002307891846</v>
      </c>
      <c r="AJ59" s="3">
        <v>3</v>
      </c>
      <c r="AK59" s="3">
        <v>6</v>
      </c>
      <c r="AL59" s="3">
        <v>9</v>
      </c>
      <c r="AM59" s="3">
        <v>11</v>
      </c>
      <c r="AO59" s="3">
        <v>3</v>
      </c>
      <c r="AP59" s="3">
        <v>3</v>
      </c>
      <c r="AQ59" s="3">
        <v>3</v>
      </c>
      <c r="AR59" s="3">
        <v>2</v>
      </c>
      <c r="AT59" s="3">
        <v>0.40299999713897705</v>
      </c>
      <c r="AU59" s="3">
        <v>0.35100001096725464</v>
      </c>
      <c r="AV59" s="3">
        <v>0.24799999594688416</v>
      </c>
      <c r="AW59" s="3">
        <v>0.30500000715255737</v>
      </c>
      <c r="AY59" s="3">
        <v>3.300000000000014E-2</v>
      </c>
      <c r="AZ59" s="3">
        <v>0.2330000000000001</v>
      </c>
      <c r="BA59" s="3">
        <v>1.6000000000000014E-2</v>
      </c>
      <c r="BB59" s="3">
        <v>1.2330000000000001</v>
      </c>
      <c r="BD59" s="3">
        <v>0</v>
      </c>
      <c r="BE59" s="3">
        <v>0</v>
      </c>
      <c r="BF59" s="3">
        <v>0</v>
      </c>
      <c r="BG59" s="3">
        <v>1.232999861240387</v>
      </c>
      <c r="BI59" s="3">
        <v>0</v>
      </c>
      <c r="BJ59" s="3">
        <v>0</v>
      </c>
      <c r="BK59" s="3">
        <v>0</v>
      </c>
      <c r="BL59" s="3">
        <v>6</v>
      </c>
      <c r="BN59" s="3">
        <v>1</v>
      </c>
      <c r="BO59" s="3">
        <v>1</v>
      </c>
      <c r="BP59" s="3">
        <v>1</v>
      </c>
      <c r="BQ59" s="3">
        <v>3</v>
      </c>
      <c r="BS59" s="3">
        <v>4.0209999999999999</v>
      </c>
      <c r="BT59" s="3">
        <v>4.024</v>
      </c>
      <c r="BU59" s="3">
        <v>4.0110000000000001</v>
      </c>
      <c r="BV59" s="3">
        <v>0.58799999952316284</v>
      </c>
      <c r="BX59" s="3">
        <v>0</v>
      </c>
      <c r="BY59" s="3">
        <v>0</v>
      </c>
      <c r="BZ59" s="3">
        <v>0</v>
      </c>
      <c r="CA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0</v>
      </c>
      <c r="CI59" s="3">
        <v>0</v>
      </c>
      <c r="CJ59" s="3">
        <v>0</v>
      </c>
      <c r="CK59" s="3">
        <v>0</v>
      </c>
      <c r="CM59" s="3">
        <v>0</v>
      </c>
      <c r="CN59" s="3">
        <v>0</v>
      </c>
      <c r="CO59" s="3">
        <v>0</v>
      </c>
      <c r="CP59" s="3">
        <v>0</v>
      </c>
      <c r="CR59" s="3">
        <v>4.0209999999999999</v>
      </c>
      <c r="CS59" s="3">
        <v>4.024</v>
      </c>
      <c r="CT59" s="3">
        <v>4.0110000000000001</v>
      </c>
      <c r="CU59" s="3">
        <v>4.0129999999999999</v>
      </c>
    </row>
    <row r="60" spans="1:99" s="3" customFormat="1" x14ac:dyDescent="0.35">
      <c r="A60" s="2" t="s">
        <v>58</v>
      </c>
      <c r="B60" s="2">
        <v>9.5833333333333339</v>
      </c>
      <c r="C60" s="2" t="s">
        <v>168</v>
      </c>
      <c r="D60" s="2" t="s">
        <v>403</v>
      </c>
      <c r="F60" s="3">
        <v>4.0090000000000003</v>
      </c>
      <c r="G60" s="3">
        <v>4.0019999999999998</v>
      </c>
      <c r="H60" s="3">
        <v>4.0110000000000001</v>
      </c>
      <c r="I60" s="3">
        <v>4.0199999999999996</v>
      </c>
      <c r="K60" s="3">
        <v>3.9989999999999997</v>
      </c>
      <c r="L60" s="3">
        <v>3.9990000000000006</v>
      </c>
      <c r="M60" s="3">
        <v>3.9990000000000001</v>
      </c>
      <c r="N60" s="3">
        <v>3.9990000000000001</v>
      </c>
      <c r="P60" s="3">
        <v>3.2000001072883606</v>
      </c>
      <c r="Q60" s="3">
        <v>3.8999999503139406</v>
      </c>
      <c r="R60" s="3">
        <v>3.898000180721283</v>
      </c>
      <c r="S60" s="3">
        <v>3.6499998215585947</v>
      </c>
      <c r="U60" s="3">
        <v>6</v>
      </c>
      <c r="V60" s="3">
        <v>4</v>
      </c>
      <c r="W60" s="3">
        <v>7</v>
      </c>
      <c r="X60" s="3">
        <v>10</v>
      </c>
      <c r="Z60" s="3">
        <v>3.9989999999999997</v>
      </c>
      <c r="AA60" s="3">
        <v>3.9990000000000006</v>
      </c>
      <c r="AB60" s="3">
        <v>3.9990000000000001</v>
      </c>
      <c r="AC60" s="3">
        <v>3.7160000000000002</v>
      </c>
      <c r="AE60" s="3">
        <v>3.2000001072883606</v>
      </c>
      <c r="AF60" s="3">
        <v>3.8999999503139406</v>
      </c>
      <c r="AG60" s="3">
        <v>3.898000180721283</v>
      </c>
      <c r="AH60" s="3">
        <v>3.4329998195171356</v>
      </c>
      <c r="AJ60" s="3">
        <v>6</v>
      </c>
      <c r="AK60" s="3">
        <v>4</v>
      </c>
      <c r="AL60" s="3">
        <v>7</v>
      </c>
      <c r="AM60" s="3">
        <v>9</v>
      </c>
      <c r="AO60" s="3">
        <v>1</v>
      </c>
      <c r="AP60" s="3">
        <v>1</v>
      </c>
      <c r="AQ60" s="3">
        <v>1</v>
      </c>
      <c r="AR60" s="3">
        <v>2</v>
      </c>
      <c r="AT60" s="3">
        <v>0.17100000381469727</v>
      </c>
      <c r="AU60" s="3">
        <v>2.0000000949949026E-3</v>
      </c>
      <c r="AV60" s="3">
        <v>0</v>
      </c>
      <c r="AW60" s="3">
        <v>0.31200000643730164</v>
      </c>
      <c r="AY60" s="3">
        <v>0.9689999999999992</v>
      </c>
      <c r="AZ60" s="3">
        <v>0.95000000000000018</v>
      </c>
      <c r="BA60" s="3">
        <v>1.8660000000000003</v>
      </c>
      <c r="BB60" s="3">
        <v>1.2830000000000001</v>
      </c>
      <c r="BD60" s="3">
        <v>0.56700015068054199</v>
      </c>
      <c r="BE60" s="3">
        <v>1.6329998970031738</v>
      </c>
      <c r="BF60" s="3">
        <v>1.7660001516342163</v>
      </c>
      <c r="BG60" s="3">
        <v>1.8659999072551727</v>
      </c>
      <c r="BI60" s="3">
        <v>1</v>
      </c>
      <c r="BJ60" s="3">
        <v>1</v>
      </c>
      <c r="BK60" s="3">
        <v>2</v>
      </c>
      <c r="BL60" s="3">
        <v>3</v>
      </c>
      <c r="BN60" s="3">
        <v>9</v>
      </c>
      <c r="BO60" s="3">
        <v>1</v>
      </c>
      <c r="BP60" s="3">
        <v>3</v>
      </c>
      <c r="BQ60" s="3">
        <v>4</v>
      </c>
      <c r="BS60" s="3">
        <v>3.437000036239624</v>
      </c>
      <c r="BT60" s="3">
        <v>2.1010000705718994</v>
      </c>
      <c r="BU60" s="3">
        <v>1.715999960899353</v>
      </c>
      <c r="BV60" s="3">
        <v>0.31200000643730164</v>
      </c>
      <c r="BX60" s="3">
        <v>0.15000000000000002</v>
      </c>
      <c r="BY60" s="3">
        <v>0</v>
      </c>
      <c r="BZ60" s="3">
        <v>0.1160000000000001</v>
      </c>
      <c r="CA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0</v>
      </c>
      <c r="CI60" s="3">
        <v>0</v>
      </c>
      <c r="CJ60" s="3">
        <v>0</v>
      </c>
      <c r="CK60" s="3">
        <v>0</v>
      </c>
      <c r="CM60" s="3">
        <v>7</v>
      </c>
      <c r="CN60" s="3">
        <v>0</v>
      </c>
      <c r="CO60" s="3">
        <v>1</v>
      </c>
      <c r="CP60" s="3">
        <v>0</v>
      </c>
      <c r="CR60" s="3">
        <v>4.0090000000000003</v>
      </c>
      <c r="CS60" s="3">
        <v>4.0019999999999998</v>
      </c>
      <c r="CT60" s="3">
        <v>4.0110000000000001</v>
      </c>
      <c r="CU60" s="3">
        <v>4.0199999999999996</v>
      </c>
    </row>
    <row r="61" spans="1:99" s="3" customFormat="1" x14ac:dyDescent="0.35">
      <c r="A61" s="2" t="s">
        <v>59</v>
      </c>
      <c r="B61" s="2">
        <v>4.583333333333333</v>
      </c>
      <c r="C61" s="2" t="s">
        <v>168</v>
      </c>
      <c r="D61" s="2" t="s">
        <v>403</v>
      </c>
      <c r="F61" s="3">
        <v>4.01</v>
      </c>
      <c r="G61" s="3">
        <v>1.8679999999999999</v>
      </c>
      <c r="H61" s="3">
        <v>1.1680000000000001</v>
      </c>
      <c r="I61" s="3">
        <v>4.0149999999999997</v>
      </c>
      <c r="K61" s="3">
        <v>3.6490000000000005</v>
      </c>
      <c r="L61" s="3">
        <v>1000</v>
      </c>
      <c r="M61" s="3">
        <v>1000</v>
      </c>
      <c r="N61" s="3">
        <v>3.9989999999999997</v>
      </c>
      <c r="P61" s="3">
        <v>3.4660000503063202</v>
      </c>
      <c r="Q61" s="3">
        <v>1000</v>
      </c>
      <c r="R61" s="3">
        <v>1000</v>
      </c>
      <c r="S61" s="3">
        <v>3.4690004391595721</v>
      </c>
      <c r="U61" s="3">
        <v>8</v>
      </c>
      <c r="V61" s="3">
        <v>1000</v>
      </c>
      <c r="W61" s="3">
        <v>1000</v>
      </c>
      <c r="X61" s="3">
        <v>14</v>
      </c>
      <c r="Z61" s="3">
        <v>3.6490000000000005</v>
      </c>
      <c r="AA61" s="3">
        <v>1000</v>
      </c>
      <c r="AB61" s="3">
        <v>1000</v>
      </c>
      <c r="AC61" s="3">
        <v>3.8659999999999997</v>
      </c>
      <c r="AE61" s="3">
        <v>3.4660000503063202</v>
      </c>
      <c r="AF61" s="3">
        <v>1000</v>
      </c>
      <c r="AG61" s="3">
        <v>1000</v>
      </c>
      <c r="AH61" s="3">
        <v>3.4690004391595721</v>
      </c>
      <c r="AJ61" s="3">
        <v>8</v>
      </c>
      <c r="AK61" s="3">
        <v>1000</v>
      </c>
      <c r="AL61" s="3">
        <v>1000</v>
      </c>
      <c r="AM61" s="3">
        <v>14</v>
      </c>
      <c r="AO61" s="3">
        <v>1</v>
      </c>
      <c r="AP61" s="3">
        <v>1000</v>
      </c>
      <c r="AQ61" s="3">
        <v>1000</v>
      </c>
      <c r="AR61" s="3">
        <v>2</v>
      </c>
      <c r="AT61" s="3">
        <v>0.36899998784065247</v>
      </c>
      <c r="AU61" s="3">
        <v>1000</v>
      </c>
      <c r="AV61" s="3">
        <v>1000</v>
      </c>
      <c r="AW61" s="3">
        <v>4.999999888241291E-3</v>
      </c>
      <c r="AY61" s="3">
        <v>0.28399999999999981</v>
      </c>
      <c r="AZ61" s="3">
        <v>1000</v>
      </c>
      <c r="BA61" s="3">
        <v>1000</v>
      </c>
      <c r="BB61" s="3">
        <v>0.83299999999999996</v>
      </c>
      <c r="BD61" s="3">
        <v>0.18299984931945801</v>
      </c>
      <c r="BE61" s="3">
        <v>1000</v>
      </c>
      <c r="BF61" s="3">
        <v>1000</v>
      </c>
      <c r="BG61" s="3">
        <v>0.8510001003742218</v>
      </c>
      <c r="BI61" s="3">
        <v>1</v>
      </c>
      <c r="BJ61" s="3">
        <v>1000</v>
      </c>
      <c r="BK61" s="3">
        <v>1000</v>
      </c>
      <c r="BL61" s="3">
        <v>3</v>
      </c>
      <c r="BN61" s="3">
        <v>3</v>
      </c>
      <c r="BO61" s="3">
        <v>1000</v>
      </c>
      <c r="BP61" s="3">
        <v>1000</v>
      </c>
      <c r="BQ61" s="3">
        <v>5</v>
      </c>
      <c r="BS61" s="3">
        <v>2.502000093460083</v>
      </c>
      <c r="BT61" s="3">
        <v>1000</v>
      </c>
      <c r="BU61" s="3">
        <v>1000</v>
      </c>
      <c r="BV61" s="3">
        <v>0.43799999356269836</v>
      </c>
      <c r="BX61" s="3">
        <v>1.3830000000000002</v>
      </c>
      <c r="BY61" s="3">
        <v>1000</v>
      </c>
      <c r="BZ61" s="3">
        <v>1000</v>
      </c>
      <c r="CA61" s="3">
        <v>0.71599999999999975</v>
      </c>
      <c r="CC61" s="3">
        <v>1.8159998655319214</v>
      </c>
      <c r="CD61" s="3">
        <v>1000</v>
      </c>
      <c r="CE61" s="3">
        <v>1000</v>
      </c>
      <c r="CF61" s="3">
        <v>0.98300027847290039</v>
      </c>
      <c r="CH61" s="3">
        <v>2</v>
      </c>
      <c r="CI61" s="3">
        <v>1000</v>
      </c>
      <c r="CJ61" s="3">
        <v>1000</v>
      </c>
      <c r="CK61" s="3">
        <v>3</v>
      </c>
      <c r="CM61" s="3">
        <v>2</v>
      </c>
      <c r="CN61" s="3">
        <v>1000</v>
      </c>
      <c r="CO61" s="3">
        <v>1000</v>
      </c>
      <c r="CP61" s="3">
        <v>2</v>
      </c>
      <c r="CR61" s="3">
        <v>0.98500001430511475</v>
      </c>
      <c r="CS61" s="3">
        <v>1000</v>
      </c>
      <c r="CT61" s="3">
        <v>1000</v>
      </c>
      <c r="CU61" s="3">
        <v>1.9210000038146973</v>
      </c>
    </row>
    <row r="62" spans="1:99" s="3" customFormat="1" x14ac:dyDescent="0.35">
      <c r="A62" s="2" t="s">
        <v>60</v>
      </c>
      <c r="B62" s="2">
        <v>13</v>
      </c>
      <c r="C62" s="2" t="s">
        <v>167</v>
      </c>
      <c r="D62" s="2" t="s">
        <v>403</v>
      </c>
      <c r="F62" s="3">
        <v>4.0110000000000001</v>
      </c>
      <c r="G62" s="3">
        <v>4.01</v>
      </c>
      <c r="H62" s="3">
        <v>4.01</v>
      </c>
      <c r="I62" s="3">
        <v>4.01</v>
      </c>
      <c r="K62" s="3">
        <v>3.9990000000000006</v>
      </c>
      <c r="L62" s="3">
        <v>3.9990000000000006</v>
      </c>
      <c r="M62" s="3">
        <v>3.9820000000000002</v>
      </c>
      <c r="N62" s="3">
        <v>3.9990000000000006</v>
      </c>
      <c r="P62" s="3">
        <v>3.8969997372478247</v>
      </c>
      <c r="Q62" s="3">
        <v>3.696999391540885</v>
      </c>
      <c r="R62" s="3">
        <v>3.8149999994784594</v>
      </c>
      <c r="S62" s="3">
        <v>3.7660001257900149</v>
      </c>
      <c r="U62" s="3">
        <v>7</v>
      </c>
      <c r="V62" s="3">
        <v>15</v>
      </c>
      <c r="W62" s="3">
        <v>11</v>
      </c>
      <c r="X62" s="3">
        <v>6</v>
      </c>
      <c r="Z62" s="3">
        <v>3.9990000000000006</v>
      </c>
      <c r="AA62" s="3">
        <v>3.9990000000000006</v>
      </c>
      <c r="AB62" s="3">
        <v>3.9820000000000002</v>
      </c>
      <c r="AC62" s="3">
        <v>3.9990000000000006</v>
      </c>
      <c r="AE62" s="3">
        <v>3.8969997372478247</v>
      </c>
      <c r="AF62" s="3">
        <v>3.696999391540885</v>
      </c>
      <c r="AG62" s="3">
        <v>3.8149999994784594</v>
      </c>
      <c r="AH62" s="3">
        <v>3.7660001257900149</v>
      </c>
      <c r="AJ62" s="3">
        <v>7</v>
      </c>
      <c r="AK62" s="3">
        <v>15</v>
      </c>
      <c r="AL62" s="3">
        <v>11</v>
      </c>
      <c r="AM62" s="3">
        <v>6</v>
      </c>
      <c r="AO62" s="3">
        <v>1</v>
      </c>
      <c r="AP62" s="3">
        <v>1</v>
      </c>
      <c r="AQ62" s="3">
        <v>1</v>
      </c>
      <c r="AR62" s="3">
        <v>1</v>
      </c>
      <c r="AT62" s="3">
        <v>9.9999997764825821E-3</v>
      </c>
      <c r="AU62" s="3">
        <v>9.9999997764825821E-3</v>
      </c>
      <c r="AV62" s="3">
        <v>1.6000000759959221E-2</v>
      </c>
      <c r="AW62" s="3">
        <v>2.0000000949949026E-3</v>
      </c>
      <c r="AY62" s="3">
        <v>1.8339999999999999</v>
      </c>
      <c r="AZ62" s="3">
        <v>0.21699999999999997</v>
      </c>
      <c r="BA62" s="3">
        <v>1.7990000000000002</v>
      </c>
      <c r="BB62" s="3">
        <v>1.1500000000000001</v>
      </c>
      <c r="BD62" s="3">
        <v>1.5490000247955322</v>
      </c>
      <c r="BE62" s="3">
        <v>0.26599988341331482</v>
      </c>
      <c r="BF62" s="3">
        <v>1.5830002129077911</v>
      </c>
      <c r="BG62" s="3">
        <v>0.96700000762939453</v>
      </c>
      <c r="BI62" s="3">
        <v>3</v>
      </c>
      <c r="BJ62" s="3">
        <v>2</v>
      </c>
      <c r="BK62" s="3">
        <v>5</v>
      </c>
      <c r="BL62" s="3">
        <v>3</v>
      </c>
      <c r="BN62" s="3">
        <v>4</v>
      </c>
      <c r="BO62" s="3">
        <v>3</v>
      </c>
      <c r="BP62" s="3">
        <v>2</v>
      </c>
      <c r="BQ62" s="3">
        <v>2</v>
      </c>
      <c r="BS62" s="3">
        <v>0.34299999475479126</v>
      </c>
      <c r="BT62" s="3">
        <v>0.31000000238418579</v>
      </c>
      <c r="BU62" s="3">
        <v>0.43299999833106995</v>
      </c>
      <c r="BV62" s="3">
        <v>2.5510001182556152</v>
      </c>
      <c r="BX62" s="3">
        <v>0.55000000000000027</v>
      </c>
      <c r="BY62" s="3">
        <v>0.58300000000000018</v>
      </c>
      <c r="BZ62" s="3">
        <v>0</v>
      </c>
      <c r="CA62" s="3">
        <v>0</v>
      </c>
      <c r="CC62" s="3">
        <v>0.54999971389770508</v>
      </c>
      <c r="CD62" s="3">
        <v>0.73299992084503174</v>
      </c>
      <c r="CE62" s="3">
        <v>0</v>
      </c>
      <c r="CF62" s="3">
        <v>0</v>
      </c>
      <c r="CH62" s="3">
        <v>1</v>
      </c>
      <c r="CI62" s="3">
        <v>1</v>
      </c>
      <c r="CJ62" s="3">
        <v>0</v>
      </c>
      <c r="CK62" s="3">
        <v>0</v>
      </c>
      <c r="CM62" s="3">
        <v>1</v>
      </c>
      <c r="CN62" s="3">
        <v>1</v>
      </c>
      <c r="CO62" s="3">
        <v>0</v>
      </c>
      <c r="CP62" s="3">
        <v>0</v>
      </c>
      <c r="CR62" s="3">
        <v>3.4590001106262207</v>
      </c>
      <c r="CS62" s="3">
        <v>1.9259999990463257</v>
      </c>
      <c r="CT62" s="3">
        <v>4.01</v>
      </c>
      <c r="CU62" s="3">
        <v>4.01</v>
      </c>
    </row>
    <row r="63" spans="1:99" s="3" customFormat="1" x14ac:dyDescent="0.35">
      <c r="A63" s="2" t="s">
        <v>61</v>
      </c>
      <c r="B63" s="2">
        <v>9.8333333333333339</v>
      </c>
      <c r="C63" s="2" t="s">
        <v>168</v>
      </c>
      <c r="D63" s="2" t="s">
        <v>403</v>
      </c>
      <c r="F63" s="3">
        <v>4.0090000000000003</v>
      </c>
      <c r="G63" s="3">
        <v>4.0149999999999997</v>
      </c>
      <c r="H63" s="3">
        <v>4.0060000000000002</v>
      </c>
      <c r="I63" s="3">
        <v>4.0110000000000001</v>
      </c>
      <c r="K63" s="3">
        <v>3.9830000000000001</v>
      </c>
      <c r="L63" s="3">
        <v>3.9990000000000001</v>
      </c>
      <c r="M63" s="3">
        <v>3.9990000000000006</v>
      </c>
      <c r="N63" s="3">
        <v>3.7989999999999999</v>
      </c>
      <c r="P63" s="3">
        <v>3.5810000225901604</v>
      </c>
      <c r="Q63" s="3">
        <v>3.6660006884485483</v>
      </c>
      <c r="R63" s="3">
        <v>3.4989998976234347</v>
      </c>
      <c r="S63" s="3">
        <v>3.3479999005794525</v>
      </c>
      <c r="U63" s="3">
        <v>8</v>
      </c>
      <c r="V63" s="3">
        <v>14</v>
      </c>
      <c r="W63" s="3">
        <v>14</v>
      </c>
      <c r="X63" s="3">
        <v>9</v>
      </c>
      <c r="Z63" s="3">
        <v>3.9830000000000001</v>
      </c>
      <c r="AA63" s="3">
        <v>3.9990000000000001</v>
      </c>
      <c r="AB63" s="3">
        <v>3.9990000000000006</v>
      </c>
      <c r="AC63" s="3">
        <v>3.6989999999999998</v>
      </c>
      <c r="AE63" s="3">
        <v>3.5810000225901604</v>
      </c>
      <c r="AF63" s="3">
        <v>3.6660006884485483</v>
      </c>
      <c r="AG63" s="3">
        <v>3.4989998976234347</v>
      </c>
      <c r="AH63" s="3">
        <v>3.3479999005794525</v>
      </c>
      <c r="AJ63" s="3">
        <v>8</v>
      </c>
      <c r="AK63" s="3">
        <v>14</v>
      </c>
      <c r="AL63" s="3">
        <v>14</v>
      </c>
      <c r="AM63" s="3">
        <v>9</v>
      </c>
      <c r="AO63" s="3">
        <v>1</v>
      </c>
      <c r="AP63" s="3">
        <v>1</v>
      </c>
      <c r="AQ63" s="3">
        <v>1</v>
      </c>
      <c r="AR63" s="3">
        <v>2</v>
      </c>
      <c r="AT63" s="3">
        <v>6.3000001013278961E-2</v>
      </c>
      <c r="AU63" s="3">
        <v>1.2000000104308128E-2</v>
      </c>
      <c r="AV63" s="3">
        <v>2.0000000949949026E-3</v>
      </c>
      <c r="AW63" s="3">
        <v>0.35899999737739563</v>
      </c>
      <c r="AY63" s="3">
        <v>1.8489999999999995</v>
      </c>
      <c r="AZ63" s="3">
        <v>1.5680000000000001</v>
      </c>
      <c r="BA63" s="3">
        <v>2.3330000000000002</v>
      </c>
      <c r="BB63" s="3">
        <v>1.4989999999999997</v>
      </c>
      <c r="BD63" s="3">
        <v>1.6820000410079956</v>
      </c>
      <c r="BE63" s="3">
        <v>1.8500002920627594</v>
      </c>
      <c r="BF63" s="3">
        <v>2.0830000936985016</v>
      </c>
      <c r="BG63" s="3">
        <v>1.4660000503063202</v>
      </c>
      <c r="BI63" s="3">
        <v>3</v>
      </c>
      <c r="BJ63" s="3">
        <v>7</v>
      </c>
      <c r="BK63" s="3">
        <v>8</v>
      </c>
      <c r="BL63" s="3">
        <v>5</v>
      </c>
      <c r="BN63" s="3">
        <v>4</v>
      </c>
      <c r="BO63" s="3">
        <v>5</v>
      </c>
      <c r="BP63" s="3">
        <v>6</v>
      </c>
      <c r="BQ63" s="3">
        <v>2</v>
      </c>
      <c r="BS63" s="3">
        <v>0.71299999952316284</v>
      </c>
      <c r="BT63" s="3">
        <v>0.39500001072883606</v>
      </c>
      <c r="BU63" s="3">
        <v>0.45199999213218689</v>
      </c>
      <c r="BV63" s="3">
        <v>0.35899999737739563</v>
      </c>
      <c r="BX63" s="3">
        <v>0.18399999999999972</v>
      </c>
      <c r="BY63" s="3">
        <v>0</v>
      </c>
      <c r="BZ63" s="3">
        <v>4.9999999999999822E-2</v>
      </c>
      <c r="CA63" s="3">
        <v>0.46599999999999975</v>
      </c>
      <c r="CC63" s="3">
        <v>0</v>
      </c>
      <c r="CD63" s="3">
        <v>0</v>
      </c>
      <c r="CE63" s="3">
        <v>0.29999995231628418</v>
      </c>
      <c r="CF63" s="3">
        <v>0.44900012016296387</v>
      </c>
      <c r="CH63" s="3">
        <v>0</v>
      </c>
      <c r="CI63" s="3">
        <v>0</v>
      </c>
      <c r="CJ63" s="3">
        <v>1</v>
      </c>
      <c r="CK63" s="3">
        <v>1</v>
      </c>
      <c r="CM63" s="3">
        <v>1</v>
      </c>
      <c r="CN63" s="3">
        <v>1</v>
      </c>
      <c r="CO63" s="3">
        <v>3</v>
      </c>
      <c r="CP63" s="3">
        <v>1</v>
      </c>
      <c r="CR63" s="3">
        <v>4.0090000000000003</v>
      </c>
      <c r="CS63" s="3">
        <v>4.0149999999999997</v>
      </c>
      <c r="CT63" s="3">
        <v>3.6840000152587891</v>
      </c>
      <c r="CU63" s="3">
        <v>1.6089999675750732</v>
      </c>
    </row>
    <row r="64" spans="1:99" s="3" customFormat="1" x14ac:dyDescent="0.35">
      <c r="A64" s="2" t="s">
        <v>62</v>
      </c>
      <c r="B64" s="2">
        <v>9.8333333333333339</v>
      </c>
      <c r="C64" s="2" t="s">
        <v>167</v>
      </c>
      <c r="D64" s="2" t="s">
        <v>403</v>
      </c>
      <c r="F64" s="3">
        <v>4.0090000000000003</v>
      </c>
      <c r="G64" s="3">
        <v>4.0110000000000001</v>
      </c>
      <c r="H64" s="3">
        <v>4.016</v>
      </c>
      <c r="I64" s="3">
        <v>4.0010000000000003</v>
      </c>
      <c r="K64" s="3">
        <v>3.9650000000000003</v>
      </c>
      <c r="L64" s="3">
        <v>3.9989999999999997</v>
      </c>
      <c r="M64" s="3">
        <v>3.9990000000000006</v>
      </c>
      <c r="N64" s="3">
        <v>3.9830000000000001</v>
      </c>
      <c r="P64" s="3">
        <v>3.316000122576952</v>
      </c>
      <c r="Q64" s="3">
        <v>3.4640002623200417</v>
      </c>
      <c r="R64" s="3">
        <v>3.7520000378135592</v>
      </c>
      <c r="S64" s="3">
        <v>3.5699995746836066</v>
      </c>
      <c r="U64" s="3">
        <v>9</v>
      </c>
      <c r="V64" s="3">
        <v>7</v>
      </c>
      <c r="W64" s="3">
        <v>13</v>
      </c>
      <c r="X64" s="3">
        <v>10</v>
      </c>
      <c r="Z64" s="3">
        <v>3.9650000000000003</v>
      </c>
      <c r="AA64" s="3">
        <v>3.9989999999999997</v>
      </c>
      <c r="AB64" s="3">
        <v>3.9990000000000006</v>
      </c>
      <c r="AC64" s="3">
        <v>3.9830000000000001</v>
      </c>
      <c r="AE64" s="3">
        <v>3.316000122576952</v>
      </c>
      <c r="AF64" s="3">
        <v>3.4640002623200417</v>
      </c>
      <c r="AG64" s="3">
        <v>3.7520000378135592</v>
      </c>
      <c r="AH64" s="3">
        <v>3.5699995746836066</v>
      </c>
      <c r="AJ64" s="3">
        <v>9</v>
      </c>
      <c r="AK64" s="3">
        <v>7</v>
      </c>
      <c r="AL64" s="3">
        <v>13</v>
      </c>
      <c r="AM64" s="3">
        <v>10</v>
      </c>
      <c r="AO64" s="3">
        <v>1</v>
      </c>
      <c r="AP64" s="3">
        <v>1</v>
      </c>
      <c r="AQ64" s="3">
        <v>1</v>
      </c>
      <c r="AR64" s="3">
        <v>1</v>
      </c>
      <c r="AT64" s="3">
        <v>3.7999998778104782E-2</v>
      </c>
      <c r="AU64" s="3">
        <v>1.0999999940395355E-2</v>
      </c>
      <c r="AV64" s="3">
        <v>2.0000000949949026E-3</v>
      </c>
      <c r="AW64" s="3">
        <v>7.0000002160668373E-3</v>
      </c>
      <c r="AY64" s="3">
        <v>2.867</v>
      </c>
      <c r="AZ64" s="3">
        <v>1.617</v>
      </c>
      <c r="BA64" s="3">
        <v>0.8829999999999999</v>
      </c>
      <c r="BB64" s="3">
        <v>1.1340000000000003</v>
      </c>
      <c r="BD64" s="3">
        <v>2.8829999156296253</v>
      </c>
      <c r="BE64" s="3">
        <v>1.8319999575614929</v>
      </c>
      <c r="BF64" s="3">
        <v>0.98399996757507324</v>
      </c>
      <c r="BG64" s="3">
        <v>1.2190000712871552</v>
      </c>
      <c r="BI64" s="3">
        <v>6</v>
      </c>
      <c r="BJ64" s="3">
        <v>3</v>
      </c>
      <c r="BK64" s="3">
        <v>3</v>
      </c>
      <c r="BL64" s="3">
        <v>3</v>
      </c>
      <c r="BN64" s="3">
        <v>3</v>
      </c>
      <c r="BO64" s="3">
        <v>2</v>
      </c>
      <c r="BP64" s="3">
        <v>1</v>
      </c>
      <c r="BQ64" s="3">
        <v>3</v>
      </c>
      <c r="BS64" s="3">
        <v>3.7999998778104782E-2</v>
      </c>
      <c r="BT64" s="3">
        <v>0.41100001335144043</v>
      </c>
      <c r="BU64" s="3">
        <v>0.43500000238418579</v>
      </c>
      <c r="BV64" s="3">
        <v>0.37299999594688416</v>
      </c>
      <c r="BX64" s="3">
        <v>0.2669999999999999</v>
      </c>
      <c r="BY64" s="3">
        <v>0.46600000000000019</v>
      </c>
      <c r="BZ64" s="3">
        <v>0.30000000000000027</v>
      </c>
      <c r="CA64" s="3">
        <v>0.51599999999999968</v>
      </c>
      <c r="CC64" s="3">
        <v>0.20000004768371582</v>
      </c>
      <c r="CD64" s="3">
        <v>0.54900002479553223</v>
      </c>
      <c r="CE64" s="3">
        <v>0.26700019836425781</v>
      </c>
      <c r="CF64" s="3">
        <v>0.46599984169006348</v>
      </c>
      <c r="CH64" s="3">
        <v>1</v>
      </c>
      <c r="CI64" s="3">
        <v>1</v>
      </c>
      <c r="CJ64" s="3">
        <v>2</v>
      </c>
      <c r="CK64" s="3">
        <v>1</v>
      </c>
      <c r="CM64" s="3">
        <v>1</v>
      </c>
      <c r="CN64" s="3">
        <v>2</v>
      </c>
      <c r="CO64" s="3">
        <v>3</v>
      </c>
      <c r="CP64" s="3">
        <v>3</v>
      </c>
      <c r="CR64" s="3">
        <v>1.1710000038146973</v>
      </c>
      <c r="CS64" s="3">
        <v>2.9769999980926514</v>
      </c>
      <c r="CT64" s="3">
        <v>2.5179998874664307</v>
      </c>
      <c r="CU64" s="3">
        <v>2.6070001125335693</v>
      </c>
    </row>
    <row r="65" spans="1:99" s="3" customFormat="1" x14ac:dyDescent="0.35">
      <c r="A65" s="2" t="s">
        <v>63</v>
      </c>
      <c r="B65" s="2">
        <v>4.5</v>
      </c>
      <c r="C65" s="2" t="s">
        <v>168</v>
      </c>
      <c r="D65" s="2" t="s">
        <v>403</v>
      </c>
      <c r="F65" s="3">
        <v>4.0250000000000004</v>
      </c>
      <c r="G65" s="3">
        <v>4.0069999999999997</v>
      </c>
      <c r="H65" s="3">
        <v>4.01</v>
      </c>
      <c r="I65" s="3">
        <v>4.0049999999999999</v>
      </c>
      <c r="K65" s="3">
        <v>3.9990000000000001</v>
      </c>
      <c r="L65" s="3">
        <v>3.8</v>
      </c>
      <c r="M65" s="3">
        <v>3.665</v>
      </c>
      <c r="N65" s="3">
        <v>3.9990000000000001</v>
      </c>
      <c r="P65" s="3">
        <v>3.6509998142719269</v>
      </c>
      <c r="Q65" s="3">
        <v>3.350999653339386</v>
      </c>
      <c r="R65" s="3">
        <v>3.1320000886917114</v>
      </c>
      <c r="S65" s="3">
        <v>3.5020000040531158</v>
      </c>
      <c r="U65" s="3">
        <v>10</v>
      </c>
      <c r="V65" s="3">
        <v>8</v>
      </c>
      <c r="W65" s="3">
        <v>6</v>
      </c>
      <c r="X65" s="3">
        <v>9</v>
      </c>
      <c r="Z65" s="3">
        <v>3.9990000000000001</v>
      </c>
      <c r="AA65" s="3">
        <v>3.617</v>
      </c>
      <c r="AB65" s="3">
        <v>3.665</v>
      </c>
      <c r="AC65" s="3">
        <v>3.6829999999999998</v>
      </c>
      <c r="AE65" s="3">
        <v>3.6509998142719269</v>
      </c>
      <c r="AF65" s="3">
        <v>3.350999653339386</v>
      </c>
      <c r="AG65" s="3">
        <v>3.1320000886917114</v>
      </c>
      <c r="AH65" s="3">
        <v>3.4019999802112579</v>
      </c>
      <c r="AJ65" s="3">
        <v>10</v>
      </c>
      <c r="AK65" s="3">
        <v>8</v>
      </c>
      <c r="AL65" s="3">
        <v>6</v>
      </c>
      <c r="AM65" s="3">
        <v>8</v>
      </c>
      <c r="AO65" s="3">
        <v>1</v>
      </c>
      <c r="AP65" s="3">
        <v>2</v>
      </c>
      <c r="AQ65" s="3">
        <v>1</v>
      </c>
      <c r="AR65" s="3">
        <v>2</v>
      </c>
      <c r="AT65" s="3">
        <v>0</v>
      </c>
      <c r="AU65" s="3">
        <v>0.12700000405311584</v>
      </c>
      <c r="AV65" s="3">
        <v>0.32899999618530273</v>
      </c>
      <c r="AW65" s="3">
        <v>0</v>
      </c>
      <c r="AY65" s="3">
        <v>1.266</v>
      </c>
      <c r="AZ65" s="3">
        <v>2</v>
      </c>
      <c r="BA65" s="3">
        <v>1.8489999999999998</v>
      </c>
      <c r="BB65" s="3">
        <v>2.9160000000000004</v>
      </c>
      <c r="BD65" s="3">
        <v>1.0169999599456787</v>
      </c>
      <c r="BE65" s="3">
        <v>1.8839998841285706</v>
      </c>
      <c r="BF65" s="3">
        <v>1.2160001993179321</v>
      </c>
      <c r="BG65" s="3">
        <v>2.8509999215602875</v>
      </c>
      <c r="BI65" s="3">
        <v>1</v>
      </c>
      <c r="BJ65" s="3">
        <v>4</v>
      </c>
      <c r="BK65" s="3">
        <v>3</v>
      </c>
      <c r="BL65" s="3">
        <v>6</v>
      </c>
      <c r="BN65" s="3">
        <v>2</v>
      </c>
      <c r="BO65" s="3">
        <v>3</v>
      </c>
      <c r="BP65" s="3">
        <v>4</v>
      </c>
      <c r="BQ65" s="3">
        <v>3</v>
      </c>
      <c r="BS65" s="3">
        <v>1.5329999923706055</v>
      </c>
      <c r="BT65" s="3">
        <v>0.64399999380111694</v>
      </c>
      <c r="BU65" s="3">
        <v>1.312000036239624</v>
      </c>
      <c r="BV65" s="3">
        <v>0.40000000596046448</v>
      </c>
      <c r="BX65" s="3">
        <v>0.58400000000000007</v>
      </c>
      <c r="BY65" s="3">
        <v>6.7000000000000171E-2</v>
      </c>
      <c r="BZ65" s="3">
        <v>0.16700000000000026</v>
      </c>
      <c r="CA65" s="3">
        <v>0</v>
      </c>
      <c r="CC65" s="3">
        <v>0.3670000433921814</v>
      </c>
      <c r="CD65" s="3">
        <v>0</v>
      </c>
      <c r="CE65" s="3">
        <v>0.11699986457824707</v>
      </c>
      <c r="CF65" s="3">
        <v>0</v>
      </c>
      <c r="CH65" s="3">
        <v>2</v>
      </c>
      <c r="CI65" s="3">
        <v>0</v>
      </c>
      <c r="CJ65" s="3">
        <v>1</v>
      </c>
      <c r="CK65" s="3">
        <v>0</v>
      </c>
      <c r="CM65" s="3">
        <v>2</v>
      </c>
      <c r="CN65" s="3">
        <v>3</v>
      </c>
      <c r="CO65" s="3">
        <v>3</v>
      </c>
      <c r="CP65" s="3">
        <v>0</v>
      </c>
      <c r="CR65" s="3">
        <v>0.98299998044967651</v>
      </c>
      <c r="CS65" s="3">
        <v>4.0069999999999997</v>
      </c>
      <c r="CT65" s="3">
        <v>2.5780000686645508</v>
      </c>
      <c r="CU65" s="3">
        <v>4.0049999999999999</v>
      </c>
    </row>
    <row r="66" spans="1:99" s="3" customFormat="1" x14ac:dyDescent="0.35">
      <c r="A66" s="2" t="s">
        <v>64</v>
      </c>
      <c r="B66" s="2">
        <v>12</v>
      </c>
      <c r="C66" s="2" t="s">
        <v>167</v>
      </c>
      <c r="D66" s="2" t="s">
        <v>403</v>
      </c>
      <c r="F66" s="3">
        <v>4.016</v>
      </c>
      <c r="G66" s="3">
        <v>4.016</v>
      </c>
      <c r="H66" s="3">
        <v>4.0309999999999997</v>
      </c>
      <c r="I66" s="3">
        <v>4.0110000000000001</v>
      </c>
      <c r="K66" s="3">
        <v>4</v>
      </c>
      <c r="L66" s="3">
        <v>3.9990000000000001</v>
      </c>
      <c r="M66" s="3">
        <v>4.016</v>
      </c>
      <c r="N66" s="3">
        <v>3.9990000000000001</v>
      </c>
      <c r="P66" s="3">
        <v>3.8840001476928592</v>
      </c>
      <c r="Q66" s="3">
        <v>3.781999752856791</v>
      </c>
      <c r="R66" s="3">
        <v>3.8660001237876713</v>
      </c>
      <c r="S66" s="3">
        <v>3.533000061288476</v>
      </c>
      <c r="U66" s="3">
        <v>8</v>
      </c>
      <c r="V66" s="3">
        <v>6</v>
      </c>
      <c r="W66" s="3">
        <v>10</v>
      </c>
      <c r="X66" s="3">
        <v>10</v>
      </c>
      <c r="Z66" s="3">
        <v>4</v>
      </c>
      <c r="AA66" s="3">
        <v>3.9990000000000001</v>
      </c>
      <c r="AB66" s="3">
        <v>4.016</v>
      </c>
      <c r="AC66" s="3">
        <v>3.6660000000000004</v>
      </c>
      <c r="AE66" s="3">
        <v>3.8840001476928592</v>
      </c>
      <c r="AF66" s="3">
        <v>3.781999752856791</v>
      </c>
      <c r="AG66" s="3">
        <v>3.8660001237876713</v>
      </c>
      <c r="AH66" s="3">
        <v>3.533000061288476</v>
      </c>
      <c r="AJ66" s="3">
        <v>8</v>
      </c>
      <c r="AK66" s="3">
        <v>6</v>
      </c>
      <c r="AL66" s="3">
        <v>10</v>
      </c>
      <c r="AM66" s="3">
        <v>10</v>
      </c>
      <c r="AO66" s="3">
        <v>1</v>
      </c>
      <c r="AP66" s="3">
        <v>1</v>
      </c>
      <c r="AQ66" s="3">
        <v>1</v>
      </c>
      <c r="AR66" s="3">
        <v>3</v>
      </c>
      <c r="AT66" s="3">
        <v>4.999999888241291E-3</v>
      </c>
      <c r="AU66" s="3">
        <v>1.4999999664723873E-2</v>
      </c>
      <c r="AV66" s="3">
        <v>4.0000001899898052E-3</v>
      </c>
      <c r="AW66" s="3">
        <v>1.2000000104308128E-2</v>
      </c>
      <c r="AY66" s="3">
        <v>1.4</v>
      </c>
      <c r="AZ66" s="3">
        <v>2.6660000000000004</v>
      </c>
      <c r="BA66" s="3">
        <v>2.4009999999999998</v>
      </c>
      <c r="BB66" s="3">
        <v>1.6680000000000001</v>
      </c>
      <c r="BD66" s="3">
        <v>1.449999988079071</v>
      </c>
      <c r="BE66" s="3">
        <v>2.5989998579025269</v>
      </c>
      <c r="BF66" s="3">
        <v>2.349000096321106</v>
      </c>
      <c r="BG66" s="3">
        <v>1.7829999327659607</v>
      </c>
      <c r="BI66" s="3">
        <v>2</v>
      </c>
      <c r="BJ66" s="3">
        <v>3</v>
      </c>
      <c r="BK66" s="3">
        <v>7</v>
      </c>
      <c r="BL66" s="3">
        <v>4</v>
      </c>
      <c r="BN66" s="3">
        <v>2</v>
      </c>
      <c r="BO66" s="3">
        <v>3</v>
      </c>
      <c r="BP66" s="3">
        <v>3</v>
      </c>
      <c r="BQ66" s="3">
        <v>5</v>
      </c>
      <c r="BS66" s="3">
        <v>0.98900002241134644</v>
      </c>
      <c r="BT66" s="3">
        <v>0.54799997806549072</v>
      </c>
      <c r="BU66" s="3">
        <v>0.51999998092651367</v>
      </c>
      <c r="BV66" s="3">
        <v>0.49500000476837158</v>
      </c>
      <c r="BX66" s="3">
        <v>1.1999999999999997</v>
      </c>
      <c r="BY66" s="3">
        <v>0</v>
      </c>
      <c r="BZ66" s="3">
        <v>0</v>
      </c>
      <c r="CA66" s="3">
        <v>0.18300000000000002</v>
      </c>
      <c r="CC66" s="3">
        <v>1.2170000029727817</v>
      </c>
      <c r="CD66" s="3">
        <v>0</v>
      </c>
      <c r="CE66" s="3">
        <v>0</v>
      </c>
      <c r="CF66" s="3">
        <v>0.19999999739229679</v>
      </c>
      <c r="CH66" s="3">
        <v>2</v>
      </c>
      <c r="CI66" s="3">
        <v>0</v>
      </c>
      <c r="CJ66" s="3">
        <v>0</v>
      </c>
      <c r="CK66" s="3">
        <v>1</v>
      </c>
      <c r="CM66" s="3">
        <v>2</v>
      </c>
      <c r="CN66" s="3">
        <v>0</v>
      </c>
      <c r="CO66" s="3">
        <v>0</v>
      </c>
      <c r="CP66" s="3">
        <v>2</v>
      </c>
      <c r="CR66" s="3">
        <v>4.999999888241291E-3</v>
      </c>
      <c r="CS66" s="3">
        <v>4.016</v>
      </c>
      <c r="CT66" s="3">
        <v>4.0309999999999997</v>
      </c>
      <c r="CU66" s="3">
        <v>1.2000000104308128E-2</v>
      </c>
    </row>
    <row r="67" spans="1:99" s="3" customFormat="1" x14ac:dyDescent="0.35">
      <c r="A67" s="2" t="s">
        <v>65</v>
      </c>
      <c r="B67" s="2">
        <v>10.166666666666666</v>
      </c>
      <c r="C67" s="2" t="s">
        <v>168</v>
      </c>
      <c r="D67" s="2" t="s">
        <v>403</v>
      </c>
      <c r="F67" s="3">
        <v>4.0149999999999997</v>
      </c>
      <c r="G67" s="3">
        <v>4.016</v>
      </c>
      <c r="H67" s="3">
        <v>4.016</v>
      </c>
      <c r="I67" s="3">
        <v>4.016</v>
      </c>
      <c r="K67" s="3">
        <v>3.7830000000000004</v>
      </c>
      <c r="L67" s="3">
        <v>4</v>
      </c>
      <c r="M67" s="3">
        <v>4</v>
      </c>
      <c r="N67" s="3">
        <v>3.9979999999999998</v>
      </c>
      <c r="P67" s="3">
        <v>3.0959993340075016</v>
      </c>
      <c r="Q67" s="3">
        <v>3.3169998954981565</v>
      </c>
      <c r="R67" s="3">
        <v>3.3000000640749931</v>
      </c>
      <c r="S67" s="3">
        <v>3.4800002817064524</v>
      </c>
      <c r="U67" s="3">
        <v>14</v>
      </c>
      <c r="V67" s="3">
        <v>9</v>
      </c>
      <c r="W67" s="3">
        <v>15</v>
      </c>
      <c r="X67" s="3">
        <v>12</v>
      </c>
      <c r="Z67" s="3">
        <v>4</v>
      </c>
      <c r="AA67" s="3">
        <v>4</v>
      </c>
      <c r="AB67" s="3">
        <v>3.9</v>
      </c>
      <c r="AC67" s="3">
        <v>3.8479999999999999</v>
      </c>
      <c r="AE67" s="3">
        <v>3.0959993340075016</v>
      </c>
      <c r="AF67" s="3">
        <v>3.3169998954981565</v>
      </c>
      <c r="AG67" s="3">
        <v>3.3000000640749931</v>
      </c>
      <c r="AH67" s="3">
        <v>3.4800002817064524</v>
      </c>
      <c r="AJ67" s="3">
        <v>14</v>
      </c>
      <c r="AK67" s="3">
        <v>9</v>
      </c>
      <c r="AL67" s="3">
        <v>15</v>
      </c>
      <c r="AM67" s="3">
        <v>12</v>
      </c>
      <c r="AO67" s="3">
        <v>1</v>
      </c>
      <c r="AP67" s="3">
        <v>1</v>
      </c>
      <c r="AQ67" s="3">
        <v>1</v>
      </c>
      <c r="AR67" s="3">
        <v>5</v>
      </c>
      <c r="AT67" s="3">
        <v>8.999999612569809E-3</v>
      </c>
      <c r="AU67" s="3">
        <v>1.4000000432133675E-2</v>
      </c>
      <c r="AV67" s="3">
        <v>0.10499999672174454</v>
      </c>
      <c r="AW67" s="3">
        <v>1.2000000104308128E-2</v>
      </c>
      <c r="AY67" s="3">
        <v>1.216999999999999</v>
      </c>
      <c r="AZ67" s="3">
        <v>2.3489999999999998</v>
      </c>
      <c r="BA67" s="3">
        <v>1.3979999999999999</v>
      </c>
      <c r="BB67" s="3">
        <v>0.93200000000000016</v>
      </c>
      <c r="BD67" s="3">
        <v>1.3310000598430634</v>
      </c>
      <c r="BE67" s="3">
        <v>2.4339998662471771</v>
      </c>
      <c r="BF67" s="3">
        <v>1.5680001080036163</v>
      </c>
      <c r="BG67" s="3">
        <v>0.99900004267692566</v>
      </c>
      <c r="BI67" s="3">
        <v>5</v>
      </c>
      <c r="BJ67" s="3">
        <v>6</v>
      </c>
      <c r="BK67" s="3">
        <v>7</v>
      </c>
      <c r="BL67" s="3">
        <v>4</v>
      </c>
      <c r="BN67" s="3">
        <v>12</v>
      </c>
      <c r="BO67" s="3">
        <v>10</v>
      </c>
      <c r="BP67" s="3">
        <v>10</v>
      </c>
      <c r="BQ67" s="3">
        <v>13</v>
      </c>
      <c r="BS67" s="3">
        <v>0.49300000071525574</v>
      </c>
      <c r="BT67" s="3">
        <v>0.49799999594688416</v>
      </c>
      <c r="BU67" s="3">
        <v>0.4050000011920929</v>
      </c>
      <c r="BV67" s="3">
        <v>0.460999995470047</v>
      </c>
      <c r="BX67" s="3">
        <v>0.33400000000000052</v>
      </c>
      <c r="BY67" s="3">
        <v>1.6000000000000014E-2</v>
      </c>
      <c r="BZ67" s="3">
        <v>0</v>
      </c>
      <c r="CA67" s="3">
        <v>0</v>
      </c>
      <c r="CC67" s="3">
        <v>0.5</v>
      </c>
      <c r="CD67" s="3">
        <v>0</v>
      </c>
      <c r="CE67" s="3">
        <v>0</v>
      </c>
      <c r="CF67" s="3">
        <v>0</v>
      </c>
      <c r="CH67" s="3">
        <v>2</v>
      </c>
      <c r="CI67" s="3">
        <v>0</v>
      </c>
      <c r="CJ67" s="3">
        <v>0</v>
      </c>
      <c r="CK67" s="3">
        <v>0</v>
      </c>
      <c r="CM67" s="3">
        <v>6</v>
      </c>
      <c r="CN67" s="3">
        <v>1</v>
      </c>
      <c r="CO67" s="3">
        <v>0</v>
      </c>
      <c r="CP67" s="3">
        <v>0</v>
      </c>
      <c r="CR67" s="3">
        <v>2.0590000152587891</v>
      </c>
      <c r="CS67" s="3">
        <v>4.016</v>
      </c>
      <c r="CT67" s="3">
        <v>4.016</v>
      </c>
      <c r="CU67" s="3">
        <v>4.016</v>
      </c>
    </row>
    <row r="68" spans="1:99" s="3" customFormat="1" x14ac:dyDescent="0.35">
      <c r="A68" s="2" t="s">
        <v>66</v>
      </c>
      <c r="B68" s="2">
        <v>5.333333333333333</v>
      </c>
      <c r="C68" s="2" t="s">
        <v>168</v>
      </c>
      <c r="D68" s="2" t="s">
        <v>403</v>
      </c>
      <c r="F68" s="3">
        <v>4.0110000000000001</v>
      </c>
      <c r="G68" s="3">
        <v>4.016</v>
      </c>
      <c r="H68" s="3">
        <v>4.0039999999999996</v>
      </c>
      <c r="I68" s="3">
        <v>4.01</v>
      </c>
      <c r="K68" s="3">
        <v>3.9660000000000002</v>
      </c>
      <c r="L68" s="3">
        <v>4</v>
      </c>
      <c r="M68" s="3">
        <v>3.9820000000000002</v>
      </c>
      <c r="N68" s="3">
        <v>3.9990000000000001</v>
      </c>
      <c r="P68" s="3">
        <v>2.298999847844243</v>
      </c>
      <c r="Q68" s="3">
        <v>1.7010001912713051</v>
      </c>
      <c r="R68" s="3">
        <v>2.1530003696680069</v>
      </c>
      <c r="S68" s="3">
        <v>3.2489996701478958</v>
      </c>
      <c r="U68" s="3">
        <v>13</v>
      </c>
      <c r="V68" s="3">
        <v>13</v>
      </c>
      <c r="W68" s="3">
        <v>14</v>
      </c>
      <c r="X68" s="3">
        <v>11</v>
      </c>
      <c r="Z68" s="3">
        <v>3.9660000000000002</v>
      </c>
      <c r="AA68" s="3">
        <v>3.4990000000000006</v>
      </c>
      <c r="AB68" s="3">
        <v>3.9820000000000002</v>
      </c>
      <c r="AC68" s="3">
        <v>3.9489999999999998</v>
      </c>
      <c r="AE68" s="3">
        <v>2.298999847844243</v>
      </c>
      <c r="AF68" s="3">
        <v>1.7010001912713051</v>
      </c>
      <c r="AG68" s="3">
        <v>2.1530003696680069</v>
      </c>
      <c r="AH68" s="3">
        <v>3.2489996701478958</v>
      </c>
      <c r="AJ68" s="3">
        <v>13</v>
      </c>
      <c r="AK68" s="3">
        <v>13</v>
      </c>
      <c r="AL68" s="3">
        <v>14</v>
      </c>
      <c r="AM68" s="3">
        <v>11</v>
      </c>
      <c r="AO68" s="3">
        <v>1</v>
      </c>
      <c r="AP68" s="3">
        <v>8</v>
      </c>
      <c r="AQ68" s="3">
        <v>1</v>
      </c>
      <c r="AR68" s="3">
        <v>2</v>
      </c>
      <c r="AT68" s="3">
        <v>1.6000000759959221E-2</v>
      </c>
      <c r="AU68" s="3">
        <v>3.9999999105930328E-2</v>
      </c>
      <c r="AV68" s="3">
        <v>0.21600000560283661</v>
      </c>
      <c r="AW68" s="3">
        <v>7.2999998927116394E-2</v>
      </c>
      <c r="AY68" s="3">
        <v>0.13499999999999962</v>
      </c>
      <c r="AZ68" s="3">
        <v>0.1659999999999997</v>
      </c>
      <c r="BA68" s="3">
        <v>0.71699999999999986</v>
      </c>
      <c r="BB68" s="3">
        <v>1.032</v>
      </c>
      <c r="BD68" s="3">
        <v>9.9999995902180672E-2</v>
      </c>
      <c r="BE68" s="3">
        <v>0</v>
      </c>
      <c r="BF68" s="3">
        <v>0.53500008583068848</v>
      </c>
      <c r="BG68" s="3">
        <v>1.0659999847412109</v>
      </c>
      <c r="BI68" s="3">
        <v>1</v>
      </c>
      <c r="BJ68" s="3">
        <v>0</v>
      </c>
      <c r="BK68" s="3">
        <v>3</v>
      </c>
      <c r="BL68" s="3">
        <v>2</v>
      </c>
      <c r="BN68" s="3">
        <v>7</v>
      </c>
      <c r="BO68" s="3">
        <v>8</v>
      </c>
      <c r="BP68" s="3">
        <v>4</v>
      </c>
      <c r="BQ68" s="3">
        <v>2</v>
      </c>
      <c r="BS68" s="3">
        <v>1.6000000759959221E-2</v>
      </c>
      <c r="BT68" s="3">
        <v>4.016</v>
      </c>
      <c r="BU68" s="3">
        <v>3.0309998989105225</v>
      </c>
      <c r="BV68" s="3">
        <v>2.8389999866485596</v>
      </c>
      <c r="BX68" s="3">
        <v>0</v>
      </c>
      <c r="BY68" s="3">
        <v>0.5149999999999999</v>
      </c>
      <c r="BZ68" s="3">
        <v>0</v>
      </c>
      <c r="CA68" s="3">
        <v>0</v>
      </c>
      <c r="CC68" s="3">
        <v>0</v>
      </c>
      <c r="CD68" s="3">
        <v>0.38399998098611832</v>
      </c>
      <c r="CE68" s="3">
        <v>0</v>
      </c>
      <c r="CF68" s="3">
        <v>0</v>
      </c>
      <c r="CH68" s="3">
        <v>0</v>
      </c>
      <c r="CI68" s="3">
        <v>2</v>
      </c>
      <c r="CJ68" s="3">
        <v>0</v>
      </c>
      <c r="CK68" s="3">
        <v>0</v>
      </c>
      <c r="CM68" s="3">
        <v>0</v>
      </c>
      <c r="CN68" s="3">
        <v>9</v>
      </c>
      <c r="CO68" s="3">
        <v>0</v>
      </c>
      <c r="CP68" s="3">
        <v>0</v>
      </c>
      <c r="CR68" s="3">
        <v>4.0110000000000001</v>
      </c>
      <c r="CS68" s="3">
        <v>3.9999999105930328E-2</v>
      </c>
      <c r="CT68" s="3">
        <v>4.0039999999999996</v>
      </c>
      <c r="CU68" s="3">
        <v>4.01</v>
      </c>
    </row>
    <row r="69" spans="1:99" s="3" customFormat="1" x14ac:dyDescent="0.35">
      <c r="A69" s="2" t="s">
        <v>67</v>
      </c>
      <c r="B69" s="2">
        <v>11.083333333333334</v>
      </c>
      <c r="C69" s="2" t="s">
        <v>167</v>
      </c>
      <c r="D69" s="2" t="s">
        <v>403</v>
      </c>
      <c r="F69" s="3">
        <v>4.0149999999999997</v>
      </c>
      <c r="G69" s="3">
        <v>4.016</v>
      </c>
      <c r="H69" s="3">
        <v>4.01</v>
      </c>
      <c r="I69" s="3">
        <v>4.0149999999999997</v>
      </c>
      <c r="K69" s="3">
        <v>3.9989999999999997</v>
      </c>
      <c r="L69" s="3">
        <v>3.9989999999999997</v>
      </c>
      <c r="M69" s="3">
        <v>3.9820000000000002</v>
      </c>
      <c r="N69" s="3">
        <v>4</v>
      </c>
      <c r="P69" s="3">
        <v>3.8660006476566195</v>
      </c>
      <c r="Q69" s="3">
        <v>3.9159999648109078</v>
      </c>
      <c r="R69" s="3">
        <v>3.8480000477284193</v>
      </c>
      <c r="S69" s="3">
        <v>3.8489996902644634</v>
      </c>
      <c r="U69" s="3">
        <v>9</v>
      </c>
      <c r="V69" s="3">
        <v>6</v>
      </c>
      <c r="W69" s="3">
        <v>9</v>
      </c>
      <c r="X69" s="3">
        <v>10</v>
      </c>
      <c r="Z69" s="3">
        <v>3.9989999999999997</v>
      </c>
      <c r="AA69" s="3">
        <v>3.9989999999999997</v>
      </c>
      <c r="AB69" s="3">
        <v>3.9820000000000002</v>
      </c>
      <c r="AC69" s="3">
        <v>4</v>
      </c>
      <c r="AE69" s="3">
        <v>3.8660006476566195</v>
      </c>
      <c r="AF69" s="3">
        <v>3.9159999648109078</v>
      </c>
      <c r="AG69" s="3">
        <v>3.8480000477284193</v>
      </c>
      <c r="AH69" s="3">
        <v>3.8489996902644634</v>
      </c>
      <c r="AJ69" s="3">
        <v>9</v>
      </c>
      <c r="AK69" s="3">
        <v>6</v>
      </c>
      <c r="AL69" s="3">
        <v>9</v>
      </c>
      <c r="AM69" s="3">
        <v>10</v>
      </c>
      <c r="AO69" s="3">
        <v>1</v>
      </c>
      <c r="AP69" s="3">
        <v>1</v>
      </c>
      <c r="AQ69" s="3">
        <v>1</v>
      </c>
      <c r="AR69" s="3">
        <v>1</v>
      </c>
      <c r="AT69" s="3">
        <v>4.999999888241291E-3</v>
      </c>
      <c r="AU69" s="3">
        <v>8.0000003799796104E-3</v>
      </c>
      <c r="AV69" s="3">
        <v>1.4000000432133675E-2</v>
      </c>
      <c r="AW69" s="3">
        <v>1.3000000268220901E-2</v>
      </c>
      <c r="AY69" s="3">
        <v>1.8839999999999992</v>
      </c>
      <c r="AZ69" s="3">
        <v>1.6660000000000001</v>
      </c>
      <c r="BA69" s="3">
        <v>2.4170000000000003</v>
      </c>
      <c r="BB69" s="3">
        <v>1.4660000000000004</v>
      </c>
      <c r="BD69" s="3">
        <v>2.184000551700592</v>
      </c>
      <c r="BE69" s="3">
        <v>1.4830000400543213</v>
      </c>
      <c r="BF69" s="3">
        <v>2.3829999566078186</v>
      </c>
      <c r="BG69" s="3">
        <v>1.2339999675750732</v>
      </c>
      <c r="BI69" s="3">
        <v>6</v>
      </c>
      <c r="BJ69" s="3">
        <v>3</v>
      </c>
      <c r="BK69" s="3">
        <v>5</v>
      </c>
      <c r="BL69" s="3">
        <v>4</v>
      </c>
      <c r="BN69" s="3">
        <v>3</v>
      </c>
      <c r="BO69" s="3">
        <v>3</v>
      </c>
      <c r="BP69" s="3">
        <v>2</v>
      </c>
      <c r="BQ69" s="3">
        <v>3</v>
      </c>
      <c r="BS69" s="3">
        <v>0.70499998331069946</v>
      </c>
      <c r="BT69" s="3">
        <v>2.4900000095367432</v>
      </c>
      <c r="BU69" s="3">
        <v>0.61299997568130493</v>
      </c>
      <c r="BV69" s="3">
        <v>1.7130000591278076</v>
      </c>
      <c r="BX69" s="3">
        <v>0.24900000000000011</v>
      </c>
      <c r="BY69" s="3">
        <v>0.23399999999999999</v>
      </c>
      <c r="BZ69" s="3">
        <v>0.28300000000000014</v>
      </c>
      <c r="CA69" s="3">
        <v>0.43299999999999961</v>
      </c>
      <c r="CC69" s="3">
        <v>0</v>
      </c>
      <c r="CD69" s="3">
        <v>0</v>
      </c>
      <c r="CE69" s="3">
        <v>0</v>
      </c>
      <c r="CF69" s="3">
        <v>0</v>
      </c>
      <c r="CH69" s="3">
        <v>0</v>
      </c>
      <c r="CI69" s="3">
        <v>0</v>
      </c>
      <c r="CJ69" s="3">
        <v>0</v>
      </c>
      <c r="CK69" s="3">
        <v>0</v>
      </c>
      <c r="CM69" s="3">
        <v>1</v>
      </c>
      <c r="CN69" s="3">
        <v>1</v>
      </c>
      <c r="CO69" s="3">
        <v>1</v>
      </c>
      <c r="CP69" s="3">
        <v>2</v>
      </c>
      <c r="CR69" s="3">
        <v>4.0149999999999997</v>
      </c>
      <c r="CS69" s="3">
        <v>4.016</v>
      </c>
      <c r="CT69" s="3">
        <v>4.01</v>
      </c>
      <c r="CU69" s="3">
        <v>4.0149999999999997</v>
      </c>
    </row>
    <row r="70" spans="1:99" s="3" customFormat="1" x14ac:dyDescent="0.35">
      <c r="A70" s="2" t="s">
        <v>68</v>
      </c>
      <c r="B70" s="2">
        <v>7.666666666666667</v>
      </c>
      <c r="C70" s="2" t="s">
        <v>167</v>
      </c>
      <c r="D70" s="2" t="s">
        <v>403</v>
      </c>
      <c r="F70" s="3">
        <v>4.0149999999999997</v>
      </c>
      <c r="G70" s="3">
        <v>4.0110000000000001</v>
      </c>
      <c r="H70" s="3">
        <v>4.0149999999999997</v>
      </c>
      <c r="I70" s="3">
        <v>4.0110000000000001</v>
      </c>
      <c r="K70" s="3">
        <v>3.0669999999999997</v>
      </c>
      <c r="L70" s="3">
        <v>3.7990000000000004</v>
      </c>
      <c r="M70" s="3">
        <v>3.8490000000000002</v>
      </c>
      <c r="N70" s="3">
        <v>3.9660000000000002</v>
      </c>
      <c r="P70" s="3">
        <v>2.582000270485878</v>
      </c>
      <c r="Q70" s="3">
        <v>1.0820003598928452</v>
      </c>
      <c r="R70" s="3">
        <v>1.0680000185966492</v>
      </c>
      <c r="S70" s="3">
        <v>1.6670002192258835</v>
      </c>
      <c r="U70" s="3">
        <v>8</v>
      </c>
      <c r="V70" s="3">
        <v>8</v>
      </c>
      <c r="W70" s="3">
        <v>5</v>
      </c>
      <c r="X70" s="3">
        <v>8</v>
      </c>
      <c r="Z70" s="3">
        <v>3.1669999999999998</v>
      </c>
      <c r="AA70" s="3">
        <v>3.9320000000000004</v>
      </c>
      <c r="AB70" s="3">
        <v>3.4989999999999997</v>
      </c>
      <c r="AC70" s="3">
        <v>3.7490000000000001</v>
      </c>
      <c r="AE70" s="3">
        <v>2.582000270485878</v>
      </c>
      <c r="AF70" s="3">
        <v>1.0820003598928452</v>
      </c>
      <c r="AG70" s="3">
        <v>1.0680000185966492</v>
      </c>
      <c r="AH70" s="3">
        <v>1.6670002192258835</v>
      </c>
      <c r="AJ70" s="3">
        <v>8</v>
      </c>
      <c r="AK70" s="3">
        <v>8</v>
      </c>
      <c r="AL70" s="3">
        <v>5</v>
      </c>
      <c r="AM70" s="3">
        <v>8</v>
      </c>
      <c r="AO70" s="3">
        <v>5</v>
      </c>
      <c r="AP70" s="3">
        <v>1</v>
      </c>
      <c r="AQ70" s="3">
        <v>2</v>
      </c>
      <c r="AR70" s="3">
        <v>3</v>
      </c>
      <c r="AT70" s="3">
        <v>0.18400000035762787</v>
      </c>
      <c r="AU70" s="3">
        <v>0.10999999940395355</v>
      </c>
      <c r="AV70" s="3">
        <v>0.38400000333786011</v>
      </c>
      <c r="AW70" s="3">
        <v>4.5000001788139343E-2</v>
      </c>
      <c r="AY70" s="3">
        <v>8.4000000000000075E-2</v>
      </c>
      <c r="AZ70" s="3">
        <v>0</v>
      </c>
      <c r="BA70" s="3">
        <v>0.30000000000000004</v>
      </c>
      <c r="BB70" s="3">
        <v>0.58300000000000041</v>
      </c>
      <c r="BD70" s="3">
        <v>0</v>
      </c>
      <c r="BE70" s="3">
        <v>0</v>
      </c>
      <c r="BF70" s="3">
        <v>0.46699994802474976</v>
      </c>
      <c r="BG70" s="3">
        <v>0.86600005626678467</v>
      </c>
      <c r="BI70" s="3">
        <v>0</v>
      </c>
      <c r="BJ70" s="3">
        <v>0</v>
      </c>
      <c r="BK70" s="3">
        <v>3</v>
      </c>
      <c r="BL70" s="3">
        <v>4</v>
      </c>
      <c r="BN70" s="3">
        <v>2</v>
      </c>
      <c r="BO70" s="3">
        <v>1</v>
      </c>
      <c r="BP70" s="3">
        <v>8</v>
      </c>
      <c r="BQ70" s="3">
        <v>15</v>
      </c>
      <c r="BS70" s="3">
        <v>4.0149999999999997</v>
      </c>
      <c r="BT70" s="3">
        <v>4.0110000000000001</v>
      </c>
      <c r="BU70" s="3">
        <v>0.38400000333786011</v>
      </c>
      <c r="BV70" s="3">
        <v>1.0279999971389771</v>
      </c>
      <c r="BX70" s="3">
        <v>0.49999999999999978</v>
      </c>
      <c r="BY70" s="3">
        <v>0.55100000000000005</v>
      </c>
      <c r="BZ70" s="3">
        <v>0.10099999999999987</v>
      </c>
      <c r="CA70" s="3">
        <v>0.15100000000000002</v>
      </c>
      <c r="CC70" s="3">
        <v>0.21600008010864258</v>
      </c>
      <c r="CD70" s="3">
        <v>0.31599998474121094</v>
      </c>
      <c r="CE70" s="3">
        <v>0</v>
      </c>
      <c r="CF70" s="3">
        <v>0.13400006294250488</v>
      </c>
      <c r="CH70" s="3">
        <v>1</v>
      </c>
      <c r="CI70" s="3">
        <v>2</v>
      </c>
      <c r="CJ70" s="3">
        <v>0</v>
      </c>
      <c r="CK70" s="3">
        <v>1</v>
      </c>
      <c r="CM70" s="3">
        <v>10</v>
      </c>
      <c r="CN70" s="3">
        <v>18</v>
      </c>
      <c r="CO70" s="3">
        <v>7</v>
      </c>
      <c r="CP70" s="3">
        <v>9</v>
      </c>
      <c r="CR70" s="3">
        <v>3.75</v>
      </c>
      <c r="CS70" s="3">
        <v>1.3259999752044678</v>
      </c>
      <c r="CT70" s="3">
        <v>4.0149999999999997</v>
      </c>
      <c r="CU70" s="3">
        <v>2.7939999103546143</v>
      </c>
    </row>
    <row r="71" spans="1:99" s="3" customFormat="1" x14ac:dyDescent="0.35">
      <c r="A71" s="2" t="s">
        <v>69</v>
      </c>
      <c r="B71" s="2">
        <v>5.5</v>
      </c>
      <c r="C71" s="2" t="s">
        <v>167</v>
      </c>
      <c r="D71" s="2" t="s">
        <v>403</v>
      </c>
      <c r="F71" s="3">
        <v>4.016</v>
      </c>
      <c r="G71" s="3">
        <v>1000</v>
      </c>
      <c r="H71" s="3">
        <v>2.8980000000000001</v>
      </c>
      <c r="I71" s="3">
        <v>0.43399999999999972</v>
      </c>
      <c r="K71" s="3">
        <v>3.266</v>
      </c>
      <c r="L71" s="3">
        <v>1000</v>
      </c>
      <c r="M71" s="3">
        <v>2.7989999999999999</v>
      </c>
      <c r="N71" s="3">
        <v>1000</v>
      </c>
      <c r="P71" s="3">
        <v>0.64999997615814209</v>
      </c>
      <c r="Q71" s="3">
        <v>1000</v>
      </c>
      <c r="R71" s="3">
        <v>1.6809996366500854</v>
      </c>
      <c r="S71" s="3">
        <v>1000</v>
      </c>
      <c r="U71" s="3">
        <v>4</v>
      </c>
      <c r="V71" s="3">
        <v>1000</v>
      </c>
      <c r="W71" s="3">
        <v>8</v>
      </c>
      <c r="X71" s="3">
        <v>1000</v>
      </c>
      <c r="Z71" s="3">
        <v>3.266</v>
      </c>
      <c r="AA71" s="3">
        <v>1000</v>
      </c>
      <c r="AB71" s="3">
        <v>2.7989999999999999</v>
      </c>
      <c r="AC71" s="3">
        <v>1000</v>
      </c>
      <c r="AE71" s="3">
        <v>0.64999997615814209</v>
      </c>
      <c r="AF71" s="3">
        <v>1000</v>
      </c>
      <c r="AG71" s="3">
        <v>1.6809996366500854</v>
      </c>
      <c r="AH71" s="3">
        <v>1000</v>
      </c>
      <c r="AJ71" s="3">
        <v>4</v>
      </c>
      <c r="AK71" s="3">
        <v>1000</v>
      </c>
      <c r="AL71" s="3">
        <v>8</v>
      </c>
      <c r="AM71" s="3">
        <v>1000</v>
      </c>
      <c r="AO71" s="3">
        <v>1</v>
      </c>
      <c r="AP71" s="3">
        <v>1000</v>
      </c>
      <c r="AQ71" s="3">
        <v>1</v>
      </c>
      <c r="AR71" s="3">
        <v>1000</v>
      </c>
      <c r="AT71" s="3">
        <v>0.82099997997283936</v>
      </c>
      <c r="AU71" s="3">
        <v>1000</v>
      </c>
      <c r="AV71" s="3">
        <v>1.2009999752044678</v>
      </c>
      <c r="AW71" s="3">
        <v>1000</v>
      </c>
      <c r="AY71" s="3">
        <v>0.13200000000000034</v>
      </c>
      <c r="AZ71" s="3">
        <v>1000</v>
      </c>
      <c r="BA71" s="3">
        <v>0.18300000000000005</v>
      </c>
      <c r="BB71" s="3">
        <v>1000</v>
      </c>
      <c r="BD71" s="3">
        <v>0</v>
      </c>
      <c r="BE71" s="3">
        <v>1000</v>
      </c>
      <c r="BF71" s="3">
        <v>0</v>
      </c>
      <c r="BG71" s="3">
        <v>1000</v>
      </c>
      <c r="BI71" s="3">
        <v>0</v>
      </c>
      <c r="BJ71" s="3">
        <v>1000</v>
      </c>
      <c r="BK71" s="3">
        <v>0</v>
      </c>
      <c r="BL71" s="3">
        <v>1000</v>
      </c>
      <c r="BN71" s="3">
        <v>9</v>
      </c>
      <c r="BO71" s="3">
        <v>1000</v>
      </c>
      <c r="BP71" s="3">
        <v>6</v>
      </c>
      <c r="BQ71" s="3">
        <v>1000</v>
      </c>
      <c r="BS71" s="3">
        <v>4.016</v>
      </c>
      <c r="BT71" s="3">
        <v>1000</v>
      </c>
      <c r="BU71" s="3">
        <v>4.016</v>
      </c>
      <c r="BV71" s="3">
        <v>1000</v>
      </c>
      <c r="BX71" s="3">
        <v>3.4000000000000363E-2</v>
      </c>
      <c r="BY71" s="3">
        <v>1000</v>
      </c>
      <c r="BZ71" s="3">
        <v>0.68199999999999994</v>
      </c>
      <c r="CA71" s="3">
        <v>1000</v>
      </c>
      <c r="CC71" s="3">
        <v>0</v>
      </c>
      <c r="CD71" s="3">
        <v>1000</v>
      </c>
      <c r="CE71" s="3">
        <v>0.61599993705749512</v>
      </c>
      <c r="CF71" s="3">
        <v>1000</v>
      </c>
      <c r="CH71" s="3">
        <v>0</v>
      </c>
      <c r="CI71" s="3">
        <v>1000</v>
      </c>
      <c r="CJ71" s="3">
        <v>2</v>
      </c>
      <c r="CK71" s="3">
        <v>1000</v>
      </c>
      <c r="CM71" s="3">
        <v>9</v>
      </c>
      <c r="CN71" s="3">
        <v>1000</v>
      </c>
      <c r="CO71" s="3">
        <v>8</v>
      </c>
      <c r="CP71" s="3">
        <v>1000</v>
      </c>
      <c r="CR71" s="3">
        <v>4.016</v>
      </c>
      <c r="CS71" s="3">
        <v>1000</v>
      </c>
      <c r="CT71" s="3">
        <v>3.0510001182556152</v>
      </c>
      <c r="CU71" s="3">
        <v>1000</v>
      </c>
    </row>
    <row r="72" spans="1:99" s="3" customFormat="1" x14ac:dyDescent="0.35">
      <c r="A72" s="2" t="s">
        <v>70</v>
      </c>
      <c r="B72" s="2">
        <v>6.166666666666667</v>
      </c>
      <c r="C72" s="2" t="s">
        <v>168</v>
      </c>
      <c r="D72" s="2" t="s">
        <v>403</v>
      </c>
      <c r="F72" s="3">
        <v>4.0090000000000003</v>
      </c>
      <c r="G72" s="3">
        <v>4.0149999999999997</v>
      </c>
      <c r="H72" s="3">
        <v>4.01</v>
      </c>
      <c r="I72" s="3">
        <v>0.97500000000000009</v>
      </c>
      <c r="K72" s="3">
        <v>3.5819999999999999</v>
      </c>
      <c r="L72" s="3">
        <v>3.9989999999999997</v>
      </c>
      <c r="M72" s="3">
        <v>3.9830000000000001</v>
      </c>
      <c r="N72" s="3">
        <v>1000</v>
      </c>
      <c r="P72" s="3">
        <v>2.8989995419979095</v>
      </c>
      <c r="Q72" s="3">
        <v>3.0820001326501369</v>
      </c>
      <c r="R72" s="3">
        <v>3.3839996103197336</v>
      </c>
      <c r="S72" s="3">
        <v>1000</v>
      </c>
      <c r="U72" s="3">
        <v>8</v>
      </c>
      <c r="V72" s="3">
        <v>10</v>
      </c>
      <c r="W72" s="3">
        <v>9</v>
      </c>
      <c r="X72" s="3">
        <v>1000</v>
      </c>
      <c r="Z72" s="3">
        <v>3.4489999999999998</v>
      </c>
      <c r="AA72" s="3">
        <v>3.9989999999999997</v>
      </c>
      <c r="AB72" s="3">
        <v>3.7</v>
      </c>
      <c r="AC72" s="3">
        <v>1000</v>
      </c>
      <c r="AE72" s="3">
        <v>2.8989995419979095</v>
      </c>
      <c r="AF72" s="3">
        <v>3.0820001326501369</v>
      </c>
      <c r="AG72" s="3">
        <v>3.3839996103197336</v>
      </c>
      <c r="AH72" s="3">
        <v>1000</v>
      </c>
      <c r="AJ72" s="3">
        <v>8</v>
      </c>
      <c r="AK72" s="3">
        <v>10</v>
      </c>
      <c r="AL72" s="3">
        <v>9</v>
      </c>
      <c r="AM72" s="3">
        <v>1000</v>
      </c>
      <c r="AO72" s="3">
        <v>2</v>
      </c>
      <c r="AP72" s="3">
        <v>1</v>
      </c>
      <c r="AQ72" s="3">
        <v>2</v>
      </c>
      <c r="AR72" s="3">
        <v>1000</v>
      </c>
      <c r="AT72" s="3">
        <v>0.44600000977516174</v>
      </c>
      <c r="AU72" s="3">
        <v>1.3000000268220901E-2</v>
      </c>
      <c r="AV72" s="3">
        <v>1.2000000104308128E-2</v>
      </c>
      <c r="AW72" s="3">
        <v>1000</v>
      </c>
      <c r="AY72" s="3">
        <v>0.89900000000000002</v>
      </c>
      <c r="AZ72" s="3">
        <v>1.5</v>
      </c>
      <c r="BA72" s="3">
        <v>1.133</v>
      </c>
      <c r="BB72" s="3">
        <v>1000</v>
      </c>
      <c r="BD72" s="3">
        <v>0.88199973106384277</v>
      </c>
      <c r="BE72" s="3">
        <v>1.4169999659061432</v>
      </c>
      <c r="BF72" s="3">
        <v>1.2509998083114624</v>
      </c>
      <c r="BG72" s="3">
        <v>1000</v>
      </c>
      <c r="BI72" s="3">
        <v>2</v>
      </c>
      <c r="BJ72" s="3">
        <v>4</v>
      </c>
      <c r="BK72" s="3">
        <v>4</v>
      </c>
      <c r="BL72" s="3">
        <v>1000</v>
      </c>
      <c r="BN72" s="3">
        <v>2</v>
      </c>
      <c r="BO72" s="3">
        <v>3</v>
      </c>
      <c r="BP72" s="3">
        <v>2</v>
      </c>
      <c r="BQ72" s="3">
        <v>1000</v>
      </c>
      <c r="BS72" s="3">
        <v>1.8459999561309814</v>
      </c>
      <c r="BT72" s="3">
        <v>0.42899999022483826</v>
      </c>
      <c r="BU72" s="3">
        <v>1.2450000047683716</v>
      </c>
      <c r="BV72" s="3">
        <v>1000</v>
      </c>
      <c r="BX72" s="3">
        <v>0.56700000000000017</v>
      </c>
      <c r="BY72" s="3">
        <v>0</v>
      </c>
      <c r="BZ72" s="3">
        <v>0.53300000000000047</v>
      </c>
      <c r="CA72" s="3">
        <v>1000</v>
      </c>
      <c r="CC72" s="3">
        <v>0.40100002288818359</v>
      </c>
      <c r="CD72" s="3">
        <v>0</v>
      </c>
      <c r="CE72" s="3">
        <v>0.61699998378753662</v>
      </c>
      <c r="CF72" s="3">
        <v>1000</v>
      </c>
      <c r="CH72" s="3">
        <v>2</v>
      </c>
      <c r="CI72" s="3">
        <v>0</v>
      </c>
      <c r="CJ72" s="3">
        <v>2</v>
      </c>
      <c r="CK72" s="3">
        <v>1000</v>
      </c>
      <c r="CM72" s="3">
        <v>5</v>
      </c>
      <c r="CN72" s="3">
        <v>2</v>
      </c>
      <c r="CO72" s="3">
        <v>3</v>
      </c>
      <c r="CP72" s="3">
        <v>1000</v>
      </c>
      <c r="CR72" s="3">
        <v>1.3619999885559082</v>
      </c>
      <c r="CS72" s="3">
        <v>4.0149999999999997</v>
      </c>
      <c r="CT72" s="3">
        <v>0.79600000381469727</v>
      </c>
      <c r="CU72" s="3">
        <v>1000</v>
      </c>
    </row>
    <row r="73" spans="1:99" s="3" customFormat="1" x14ac:dyDescent="0.35">
      <c r="A73" s="2" t="s">
        <v>71</v>
      </c>
      <c r="B73" s="2">
        <v>8.5</v>
      </c>
      <c r="C73" s="2" t="s">
        <v>167</v>
      </c>
      <c r="D73" s="2" t="s">
        <v>403</v>
      </c>
      <c r="F73" s="3">
        <v>1.9500000000000002</v>
      </c>
      <c r="G73" s="3">
        <v>2.0960000000000001</v>
      </c>
      <c r="H73" s="3">
        <v>4.0049999999999999</v>
      </c>
      <c r="I73" s="3">
        <v>2.778</v>
      </c>
      <c r="K73" s="3">
        <v>1000</v>
      </c>
      <c r="L73" s="3">
        <v>2.0830000000000002</v>
      </c>
      <c r="M73" s="3">
        <v>3.9830000000000001</v>
      </c>
      <c r="N73" s="3">
        <v>2.766</v>
      </c>
      <c r="P73" s="3">
        <v>1000</v>
      </c>
      <c r="Q73" s="3">
        <v>0.98400032520294189</v>
      </c>
      <c r="R73" s="3">
        <v>0.46600019931793213</v>
      </c>
      <c r="S73" s="3">
        <v>0.91600006259977818</v>
      </c>
      <c r="U73" s="3">
        <v>1000</v>
      </c>
      <c r="V73" s="3">
        <v>5</v>
      </c>
      <c r="W73" s="3">
        <v>3</v>
      </c>
      <c r="X73" s="3">
        <v>5</v>
      </c>
      <c r="Z73" s="3">
        <v>1000</v>
      </c>
      <c r="AA73" s="3">
        <v>1.7329999999999999</v>
      </c>
      <c r="AB73" s="3">
        <v>3.4160000000000008</v>
      </c>
      <c r="AC73" s="3">
        <v>2.1830000000000003</v>
      </c>
      <c r="AE73" s="3">
        <v>1000</v>
      </c>
      <c r="AF73" s="3">
        <v>0.76700019836425781</v>
      </c>
      <c r="AG73" s="3">
        <v>0.46600019931793213</v>
      </c>
      <c r="AH73" s="3">
        <v>0.91600006259977818</v>
      </c>
      <c r="AJ73" s="3">
        <v>1000</v>
      </c>
      <c r="AK73" s="3">
        <v>3</v>
      </c>
      <c r="AL73" s="3">
        <v>3</v>
      </c>
      <c r="AM73" s="3">
        <v>5</v>
      </c>
      <c r="AO73" s="3">
        <v>1000</v>
      </c>
      <c r="AP73" s="3">
        <v>3</v>
      </c>
      <c r="AQ73" s="3">
        <v>5</v>
      </c>
      <c r="AR73" s="3">
        <v>6</v>
      </c>
      <c r="AT73" s="3">
        <v>1000</v>
      </c>
      <c r="AU73" s="3">
        <v>2.3059999942779541</v>
      </c>
      <c r="AV73" s="3">
        <v>1.3600000143051147</v>
      </c>
      <c r="AW73" s="3">
        <v>1.2000000104308128E-2</v>
      </c>
      <c r="AY73" s="3">
        <v>1000</v>
      </c>
      <c r="AZ73" s="3">
        <v>0.24900000000000055</v>
      </c>
      <c r="BA73" s="3">
        <v>0.2169999999999995</v>
      </c>
      <c r="BB73" s="3">
        <v>0.16699999999999982</v>
      </c>
      <c r="BD73" s="3">
        <v>1000</v>
      </c>
      <c r="BE73" s="3">
        <v>0.11600017547607422</v>
      </c>
      <c r="BF73" s="3">
        <v>0</v>
      </c>
      <c r="BG73" s="3">
        <v>0</v>
      </c>
      <c r="BI73" s="3">
        <v>1000</v>
      </c>
      <c r="BJ73" s="3">
        <v>1</v>
      </c>
      <c r="BK73" s="3">
        <v>0</v>
      </c>
      <c r="BL73" s="3">
        <v>0</v>
      </c>
      <c r="BN73" s="3">
        <v>1000</v>
      </c>
      <c r="BO73" s="3">
        <v>4</v>
      </c>
      <c r="BP73" s="3">
        <v>7</v>
      </c>
      <c r="BQ73" s="3">
        <v>5</v>
      </c>
      <c r="BS73" s="3">
        <v>1000</v>
      </c>
      <c r="BT73" s="3">
        <v>3.872999906539917</v>
      </c>
      <c r="BU73" s="3">
        <v>4.0049999999999999</v>
      </c>
      <c r="BV73" s="3">
        <v>4.0110000000000001</v>
      </c>
      <c r="BX73" s="3">
        <v>1000</v>
      </c>
      <c r="BY73" s="3">
        <v>0</v>
      </c>
      <c r="BZ73" s="3">
        <v>0</v>
      </c>
      <c r="CA73" s="3">
        <v>0</v>
      </c>
      <c r="CC73" s="3">
        <v>1000</v>
      </c>
      <c r="CD73" s="3">
        <v>0</v>
      </c>
      <c r="CE73" s="3">
        <v>0</v>
      </c>
      <c r="CF73" s="3">
        <v>0</v>
      </c>
      <c r="CH73" s="3">
        <v>1000</v>
      </c>
      <c r="CI73" s="3">
        <v>0</v>
      </c>
      <c r="CJ73" s="3">
        <v>0</v>
      </c>
      <c r="CK73" s="3">
        <v>0</v>
      </c>
      <c r="CM73" s="3">
        <v>1000</v>
      </c>
      <c r="CN73" s="3">
        <v>0</v>
      </c>
      <c r="CO73" s="3">
        <v>1</v>
      </c>
      <c r="CP73" s="3">
        <v>0</v>
      </c>
      <c r="CR73" s="3">
        <v>1000</v>
      </c>
      <c r="CS73" s="3">
        <v>4.0019999999999998</v>
      </c>
      <c r="CT73" s="3">
        <v>4.0049999999999999</v>
      </c>
      <c r="CU73" s="3">
        <v>4.0110000000000001</v>
      </c>
    </row>
    <row r="74" spans="1:99" s="3" customFormat="1" x14ac:dyDescent="0.35">
      <c r="A74" s="2" t="s">
        <v>72</v>
      </c>
      <c r="B74" s="2">
        <v>6.416666666666667</v>
      </c>
      <c r="C74" s="2" t="s">
        <v>168</v>
      </c>
      <c r="D74" s="2" t="s">
        <v>403</v>
      </c>
      <c r="F74" s="3">
        <v>1000</v>
      </c>
      <c r="G74" s="3">
        <v>4.0069999999999997</v>
      </c>
      <c r="H74" s="3">
        <v>4.008</v>
      </c>
      <c r="I74" s="3">
        <v>0</v>
      </c>
      <c r="K74" s="3">
        <v>1000</v>
      </c>
      <c r="L74" s="3">
        <v>3.9980000000000002</v>
      </c>
      <c r="M74" s="3">
        <v>3.9990000000000001</v>
      </c>
      <c r="N74" s="3">
        <v>1000</v>
      </c>
      <c r="P74" s="3">
        <v>1000</v>
      </c>
      <c r="Q74" s="3">
        <v>3.5999999595806003</v>
      </c>
      <c r="R74" s="3">
        <v>3.8469999553635716</v>
      </c>
      <c r="S74" s="3">
        <v>1000</v>
      </c>
      <c r="U74" s="3">
        <v>1000</v>
      </c>
      <c r="V74" s="3">
        <v>9</v>
      </c>
      <c r="W74" s="3">
        <v>9</v>
      </c>
      <c r="X74" s="3">
        <v>1000</v>
      </c>
      <c r="Z74" s="3">
        <v>1000</v>
      </c>
      <c r="AA74" s="3">
        <v>3.9980000000000002</v>
      </c>
      <c r="AB74" s="3">
        <v>3.9990000000000001</v>
      </c>
      <c r="AC74" s="3">
        <v>1000</v>
      </c>
      <c r="AE74" s="3">
        <v>1000</v>
      </c>
      <c r="AF74" s="3">
        <v>3.5999999595806003</v>
      </c>
      <c r="AG74" s="3">
        <v>3.8469999553635716</v>
      </c>
      <c r="AH74" s="3">
        <v>1000</v>
      </c>
      <c r="AJ74" s="3">
        <v>1000</v>
      </c>
      <c r="AK74" s="3">
        <v>9</v>
      </c>
      <c r="AL74" s="3">
        <v>9</v>
      </c>
      <c r="AM74" s="3">
        <v>1000</v>
      </c>
      <c r="AO74" s="3">
        <v>1000</v>
      </c>
      <c r="AP74" s="3">
        <v>1</v>
      </c>
      <c r="AQ74" s="3">
        <v>1</v>
      </c>
      <c r="AR74" s="3">
        <v>1000</v>
      </c>
      <c r="AT74" s="3">
        <v>1000</v>
      </c>
      <c r="AU74" s="3">
        <v>4.999999888241291E-3</v>
      </c>
      <c r="AV74" s="3">
        <v>6.0000000521540642E-3</v>
      </c>
      <c r="AW74" s="3">
        <v>1000</v>
      </c>
      <c r="AY74" s="3">
        <v>1000</v>
      </c>
      <c r="AZ74" s="3">
        <v>0.61500000000000044</v>
      </c>
      <c r="BA74" s="3">
        <v>0</v>
      </c>
      <c r="BB74" s="3">
        <v>1000</v>
      </c>
      <c r="BD74" s="3">
        <v>1000</v>
      </c>
      <c r="BE74" s="3">
        <v>0.76600003242492676</v>
      </c>
      <c r="BF74" s="3">
        <v>0</v>
      </c>
      <c r="BG74" s="3">
        <v>1000</v>
      </c>
      <c r="BI74" s="3">
        <v>1000</v>
      </c>
      <c r="BJ74" s="3">
        <v>2</v>
      </c>
      <c r="BK74" s="3">
        <v>0</v>
      </c>
      <c r="BL74" s="3">
        <v>1000</v>
      </c>
      <c r="BN74" s="3">
        <v>1000</v>
      </c>
      <c r="BO74" s="3">
        <v>5</v>
      </c>
      <c r="BP74" s="3">
        <v>0</v>
      </c>
      <c r="BQ74" s="3">
        <v>1000</v>
      </c>
      <c r="BS74" s="3">
        <v>1000</v>
      </c>
      <c r="BT74" s="3">
        <v>1.687999963760376</v>
      </c>
      <c r="BU74" s="3">
        <v>4.008</v>
      </c>
      <c r="BV74" s="3">
        <v>1000</v>
      </c>
      <c r="BX74" s="3">
        <v>1000</v>
      </c>
      <c r="BY74" s="3">
        <v>1.6000000000000014E-2</v>
      </c>
      <c r="BZ74" s="3">
        <v>2</v>
      </c>
      <c r="CA74" s="3">
        <v>1000</v>
      </c>
      <c r="CC74" s="3">
        <v>1000</v>
      </c>
      <c r="CD74" s="3">
        <v>0</v>
      </c>
      <c r="CE74" s="3">
        <v>2.5320001365616918</v>
      </c>
      <c r="CF74" s="3">
        <v>1000</v>
      </c>
      <c r="CH74" s="3">
        <v>1000</v>
      </c>
      <c r="CI74" s="3">
        <v>0</v>
      </c>
      <c r="CJ74" s="3">
        <v>5</v>
      </c>
      <c r="CK74" s="3">
        <v>1000</v>
      </c>
      <c r="CM74" s="3">
        <v>1000</v>
      </c>
      <c r="CN74" s="3">
        <v>6</v>
      </c>
      <c r="CO74" s="3">
        <v>5</v>
      </c>
      <c r="CP74" s="3">
        <v>1000</v>
      </c>
      <c r="CR74" s="3">
        <v>1000</v>
      </c>
      <c r="CS74" s="3">
        <v>4.0069999999999997</v>
      </c>
      <c r="CT74" s="3">
        <v>6.0000000521540642E-3</v>
      </c>
      <c r="CU74" s="3">
        <v>1000</v>
      </c>
    </row>
    <row r="75" spans="1:99" s="3" customFormat="1" x14ac:dyDescent="0.35">
      <c r="A75" s="2" t="s">
        <v>73</v>
      </c>
      <c r="B75" s="2">
        <v>11.333333333333334</v>
      </c>
      <c r="C75" s="2" t="s">
        <v>167</v>
      </c>
      <c r="D75" s="2" t="s">
        <v>403</v>
      </c>
      <c r="F75" s="3">
        <v>4.0110000000000001</v>
      </c>
      <c r="G75" s="3">
        <v>4.01</v>
      </c>
      <c r="H75" s="3">
        <v>3.9849999999999999</v>
      </c>
      <c r="I75" s="3">
        <v>4.01</v>
      </c>
      <c r="K75" s="3">
        <v>3.9820000000000002</v>
      </c>
      <c r="L75" s="3">
        <v>3.4649999999999999</v>
      </c>
      <c r="M75" s="3">
        <v>3.9490000000000003</v>
      </c>
      <c r="N75" s="3">
        <v>3.7320000000000002</v>
      </c>
      <c r="P75" s="3">
        <v>3.716999975964427</v>
      </c>
      <c r="Q75" s="3">
        <v>1.981000155210495</v>
      </c>
      <c r="R75" s="3">
        <v>2.9500000178813934</v>
      </c>
      <c r="S75" s="3">
        <v>2.8969999477267265</v>
      </c>
      <c r="U75" s="3">
        <v>12</v>
      </c>
      <c r="V75" s="3">
        <v>7</v>
      </c>
      <c r="W75" s="3">
        <v>11</v>
      </c>
      <c r="X75" s="3">
        <v>13</v>
      </c>
      <c r="Z75" s="3">
        <v>3.9820000000000002</v>
      </c>
      <c r="AA75" s="3">
        <v>3.282</v>
      </c>
      <c r="AB75" s="3">
        <v>3.9490000000000003</v>
      </c>
      <c r="AC75" s="3">
        <v>3.7320000000000002</v>
      </c>
      <c r="AE75" s="3">
        <v>3.716999975964427</v>
      </c>
      <c r="AF75" s="3">
        <v>1.981000155210495</v>
      </c>
      <c r="AG75" s="3">
        <v>2.9500000178813934</v>
      </c>
      <c r="AH75" s="3">
        <v>2.8969999477267265</v>
      </c>
      <c r="AJ75" s="3">
        <v>12</v>
      </c>
      <c r="AK75" s="3">
        <v>7</v>
      </c>
      <c r="AL75" s="3">
        <v>11</v>
      </c>
      <c r="AM75" s="3">
        <v>13</v>
      </c>
      <c r="AO75" s="3">
        <v>1</v>
      </c>
      <c r="AP75" s="3">
        <v>2</v>
      </c>
      <c r="AQ75" s="3">
        <v>1</v>
      </c>
      <c r="AR75" s="3">
        <v>1</v>
      </c>
      <c r="AT75" s="3">
        <v>1.4000000432133675E-2</v>
      </c>
      <c r="AU75" s="3">
        <v>0.40099999308586121</v>
      </c>
      <c r="AV75" s="3">
        <v>0.20800000429153442</v>
      </c>
      <c r="AW75" s="3">
        <v>9.7999997437000275E-2</v>
      </c>
      <c r="AY75" s="3">
        <v>2.5190000000000001</v>
      </c>
      <c r="AZ75" s="3">
        <v>0.64900000000000002</v>
      </c>
      <c r="BA75" s="3">
        <v>1.9819999999999998</v>
      </c>
      <c r="BB75" s="3">
        <v>1.7499999999999993</v>
      </c>
      <c r="BD75" s="3">
        <v>2.3849997222423553</v>
      </c>
      <c r="BE75" s="3">
        <v>0.49899998307228088</v>
      </c>
      <c r="BF75" s="3">
        <v>1.6500000059604645</v>
      </c>
      <c r="BG75" s="3">
        <v>2.1150000393390656</v>
      </c>
      <c r="BI75" s="3">
        <v>7</v>
      </c>
      <c r="BJ75" s="3">
        <v>1</v>
      </c>
      <c r="BK75" s="3">
        <v>5</v>
      </c>
      <c r="BL75" s="3">
        <v>9</v>
      </c>
      <c r="BN75" s="3">
        <v>9</v>
      </c>
      <c r="BO75" s="3">
        <v>5</v>
      </c>
      <c r="BP75" s="3">
        <v>10</v>
      </c>
      <c r="BQ75" s="3">
        <v>14</v>
      </c>
      <c r="BS75" s="3">
        <v>0.44699999690055847</v>
      </c>
      <c r="BT75" s="3">
        <v>0.40099999308586121</v>
      </c>
      <c r="BU75" s="3">
        <v>0.34099999070167542</v>
      </c>
      <c r="BV75" s="3">
        <v>0.414000004529953</v>
      </c>
      <c r="BX75" s="3">
        <v>0.20000000000000018</v>
      </c>
      <c r="BY75" s="3">
        <v>0.76499999999999946</v>
      </c>
      <c r="BZ75" s="3">
        <v>0.30000000000000004</v>
      </c>
      <c r="CA75" s="3">
        <v>0</v>
      </c>
      <c r="CC75" s="3">
        <v>0.15000009536743164</v>
      </c>
      <c r="CD75" s="3">
        <v>0.96500003337860107</v>
      </c>
      <c r="CE75" s="3">
        <v>0.33299994468688965</v>
      </c>
      <c r="CF75" s="3">
        <v>0</v>
      </c>
      <c r="CH75" s="3">
        <v>1</v>
      </c>
      <c r="CI75" s="3">
        <v>3</v>
      </c>
      <c r="CJ75" s="3">
        <v>1</v>
      </c>
      <c r="CK75" s="3">
        <v>0</v>
      </c>
      <c r="CM75" s="3">
        <v>2</v>
      </c>
      <c r="CN75" s="3">
        <v>3</v>
      </c>
      <c r="CO75" s="3">
        <v>1</v>
      </c>
      <c r="CP75" s="3">
        <v>3</v>
      </c>
      <c r="CR75" s="3">
        <v>2.496999979019165</v>
      </c>
      <c r="CS75" s="3">
        <v>1.0839999914169312</v>
      </c>
      <c r="CT75" s="3">
        <v>1.5410000085830688</v>
      </c>
      <c r="CU75" s="3">
        <v>4.01</v>
      </c>
    </row>
    <row r="76" spans="1:99" s="3" customFormat="1" x14ac:dyDescent="0.35">
      <c r="A76" s="2" t="s">
        <v>74</v>
      </c>
      <c r="B76" s="2">
        <v>5.5</v>
      </c>
      <c r="C76" s="2" t="s">
        <v>168</v>
      </c>
      <c r="D76" s="2" t="s">
        <v>403</v>
      </c>
      <c r="F76" s="3">
        <v>4.0090000000000003</v>
      </c>
      <c r="G76" s="3">
        <v>4.0149999999999997</v>
      </c>
      <c r="H76" s="3">
        <v>3.044</v>
      </c>
      <c r="I76" s="3">
        <v>4.0110000000000001</v>
      </c>
      <c r="K76" s="3">
        <v>3.9819999999999998</v>
      </c>
      <c r="L76" s="3">
        <v>3.6820000000000004</v>
      </c>
      <c r="M76" s="3">
        <v>3.0150000000000001</v>
      </c>
      <c r="N76" s="3">
        <v>3.5500000000000003</v>
      </c>
      <c r="P76" s="3">
        <v>3.3489998951554298</v>
      </c>
      <c r="Q76" s="3">
        <v>3.3829996585845947</v>
      </c>
      <c r="R76" s="3">
        <v>2.7810001689940691</v>
      </c>
      <c r="S76" s="3">
        <v>2.9660001397132874</v>
      </c>
      <c r="U76" s="3">
        <v>6</v>
      </c>
      <c r="V76" s="3">
        <v>9</v>
      </c>
      <c r="W76" s="3">
        <v>8</v>
      </c>
      <c r="X76" s="3">
        <v>11</v>
      </c>
      <c r="Z76" s="3">
        <v>3.6979999999999995</v>
      </c>
      <c r="AA76" s="3">
        <v>3.6660000000000004</v>
      </c>
      <c r="AB76" s="3">
        <v>2.6819999999999999</v>
      </c>
      <c r="AC76" s="3">
        <v>3.5500000000000003</v>
      </c>
      <c r="AE76" s="3">
        <v>3.3489998951554298</v>
      </c>
      <c r="AF76" s="3">
        <v>3.3829996585845947</v>
      </c>
      <c r="AG76" s="3">
        <v>2.5150001365691423</v>
      </c>
      <c r="AH76" s="3">
        <v>2.9660001397132874</v>
      </c>
      <c r="AJ76" s="3">
        <v>6</v>
      </c>
      <c r="AK76" s="3">
        <v>9</v>
      </c>
      <c r="AL76" s="3">
        <v>7</v>
      </c>
      <c r="AM76" s="3">
        <v>11</v>
      </c>
      <c r="AO76" s="3">
        <v>2</v>
      </c>
      <c r="AP76" s="3">
        <v>1</v>
      </c>
      <c r="AQ76" s="3">
        <v>2</v>
      </c>
      <c r="AR76" s="3">
        <v>1</v>
      </c>
      <c r="AT76" s="3">
        <v>1.0999999940395355E-2</v>
      </c>
      <c r="AU76" s="3">
        <v>0.35199999809265137</v>
      </c>
      <c r="AV76" s="3">
        <v>1.6000000759959221E-2</v>
      </c>
      <c r="AW76" s="3">
        <v>0.44499999284744263</v>
      </c>
      <c r="AY76" s="3">
        <v>1.7659999999999998</v>
      </c>
      <c r="AZ76" s="3">
        <v>1.7160000000000002</v>
      </c>
      <c r="BA76" s="3">
        <v>1.1320000000000001</v>
      </c>
      <c r="BB76" s="3">
        <v>0.76700000000000002</v>
      </c>
      <c r="BD76" s="3">
        <v>2.0829998254776001</v>
      </c>
      <c r="BE76" s="3">
        <v>1.5670000910758972</v>
      </c>
      <c r="BF76" s="3">
        <v>1.0990000367164612</v>
      </c>
      <c r="BG76" s="3">
        <v>0.76600015163421631</v>
      </c>
      <c r="BI76" s="3">
        <v>4</v>
      </c>
      <c r="BJ76" s="3">
        <v>2</v>
      </c>
      <c r="BK76" s="3">
        <v>3</v>
      </c>
      <c r="BL76" s="3">
        <v>4</v>
      </c>
      <c r="BN76" s="3">
        <v>5</v>
      </c>
      <c r="BO76" s="3">
        <v>3</v>
      </c>
      <c r="BP76" s="3">
        <v>2</v>
      </c>
      <c r="BQ76" s="3">
        <v>3</v>
      </c>
      <c r="BS76" s="3">
        <v>0.57700002193450928</v>
      </c>
      <c r="BT76" s="3">
        <v>0.7850000262260437</v>
      </c>
      <c r="BU76" s="3">
        <v>0.53200000524520874</v>
      </c>
      <c r="BV76" s="3">
        <v>0.72899997234344482</v>
      </c>
      <c r="BX76" s="3">
        <v>0</v>
      </c>
      <c r="BY76" s="3">
        <v>0.7170000000000003</v>
      </c>
      <c r="BZ76" s="3">
        <v>0</v>
      </c>
      <c r="CA76" s="3">
        <v>0</v>
      </c>
      <c r="CC76" s="3">
        <v>0</v>
      </c>
      <c r="CD76" s="3">
        <v>0.73299992084503174</v>
      </c>
      <c r="CE76" s="3">
        <v>0</v>
      </c>
      <c r="CF76" s="3">
        <v>0</v>
      </c>
      <c r="CH76" s="3">
        <v>0</v>
      </c>
      <c r="CI76" s="3">
        <v>2</v>
      </c>
      <c r="CJ76" s="3">
        <v>0</v>
      </c>
      <c r="CK76" s="3">
        <v>0</v>
      </c>
      <c r="CM76" s="3">
        <v>0</v>
      </c>
      <c r="CN76" s="3">
        <v>3</v>
      </c>
      <c r="CO76" s="3">
        <v>0</v>
      </c>
      <c r="CP76" s="3">
        <v>0</v>
      </c>
      <c r="CR76" s="3">
        <v>4.0090000000000003</v>
      </c>
      <c r="CS76" s="3">
        <v>1.7020000219345093</v>
      </c>
      <c r="CT76" s="3">
        <v>4.0110000000000001</v>
      </c>
      <c r="CU76" s="3">
        <v>4.0110000000000001</v>
      </c>
    </row>
    <row r="77" spans="1:99" s="3" customFormat="1" x14ac:dyDescent="0.35">
      <c r="A77" s="2" t="s">
        <v>75</v>
      </c>
      <c r="B77" s="2">
        <v>2.8333333333333335</v>
      </c>
      <c r="C77" s="2" t="s">
        <v>167</v>
      </c>
      <c r="D77" s="2" t="s">
        <v>403</v>
      </c>
      <c r="F77" s="3">
        <v>4.0110000000000001</v>
      </c>
      <c r="G77" s="3">
        <v>1000</v>
      </c>
      <c r="H77" s="3">
        <v>1000</v>
      </c>
      <c r="I77" s="3">
        <v>2.0580000000000007</v>
      </c>
      <c r="K77" s="3">
        <v>3.9489999999999998</v>
      </c>
      <c r="L77" s="3">
        <v>1000</v>
      </c>
      <c r="M77" s="3">
        <v>1000</v>
      </c>
      <c r="N77" s="3">
        <v>1.8660000000000001</v>
      </c>
      <c r="P77" s="3">
        <v>2.4830000624060631</v>
      </c>
      <c r="Q77" s="3">
        <v>1000</v>
      </c>
      <c r="R77" s="3">
        <v>1000</v>
      </c>
      <c r="S77" s="3">
        <v>1.2830004077404737</v>
      </c>
      <c r="U77" s="3">
        <v>12</v>
      </c>
      <c r="V77" s="3">
        <v>1000</v>
      </c>
      <c r="W77" s="3">
        <v>1000</v>
      </c>
      <c r="X77" s="3">
        <v>5</v>
      </c>
      <c r="Z77" s="3">
        <v>3.85</v>
      </c>
      <c r="AA77" s="3">
        <v>1000</v>
      </c>
      <c r="AB77" s="3">
        <v>1000</v>
      </c>
      <c r="AC77" s="3">
        <v>1.7320000000000002</v>
      </c>
      <c r="AE77" s="3">
        <v>2.4830000624060631</v>
      </c>
      <c r="AF77" s="3">
        <v>1000</v>
      </c>
      <c r="AG77" s="3">
        <v>1000</v>
      </c>
      <c r="AH77" s="3">
        <v>1.2830004077404737</v>
      </c>
      <c r="AJ77" s="3">
        <v>12</v>
      </c>
      <c r="AK77" s="3">
        <v>1000</v>
      </c>
      <c r="AL77" s="3">
        <v>1000</v>
      </c>
      <c r="AM77" s="3">
        <v>5</v>
      </c>
      <c r="AO77" s="3">
        <v>4</v>
      </c>
      <c r="AP77" s="3">
        <v>1000</v>
      </c>
      <c r="AQ77" s="3">
        <v>1000</v>
      </c>
      <c r="AR77" s="3">
        <v>4</v>
      </c>
      <c r="AT77" s="3">
        <v>1.0999999940395355E-2</v>
      </c>
      <c r="AU77" s="3">
        <v>1000</v>
      </c>
      <c r="AV77" s="3">
        <v>1000</v>
      </c>
      <c r="AW77" s="3">
        <v>1.4000000432133675E-2</v>
      </c>
      <c r="AY77" s="3">
        <v>0.26600000000000001</v>
      </c>
      <c r="AZ77" s="3">
        <v>1000</v>
      </c>
      <c r="BA77" s="3">
        <v>1000</v>
      </c>
      <c r="BB77" s="3">
        <v>0</v>
      </c>
      <c r="BD77" s="3">
        <v>0.3340001106262207</v>
      </c>
      <c r="BE77" s="3">
        <v>1000</v>
      </c>
      <c r="BF77" s="3">
        <v>1000</v>
      </c>
      <c r="BG77" s="3">
        <v>0</v>
      </c>
      <c r="BI77" s="3">
        <v>2</v>
      </c>
      <c r="BJ77" s="3">
        <v>1000</v>
      </c>
      <c r="BK77" s="3">
        <v>1000</v>
      </c>
      <c r="BL77" s="3">
        <v>0</v>
      </c>
      <c r="BN77" s="3">
        <v>3</v>
      </c>
      <c r="BO77" s="3">
        <v>1000</v>
      </c>
      <c r="BP77" s="3">
        <v>1000</v>
      </c>
      <c r="BQ77" s="3">
        <v>0</v>
      </c>
      <c r="BS77" s="3">
        <v>1.343999981880188</v>
      </c>
      <c r="BT77" s="3">
        <v>1000</v>
      </c>
      <c r="BU77" s="3">
        <v>1000</v>
      </c>
      <c r="BV77" s="3">
        <v>4.0410000000000004</v>
      </c>
      <c r="BX77" s="3">
        <v>0</v>
      </c>
      <c r="BY77" s="3">
        <v>1000</v>
      </c>
      <c r="BZ77" s="3">
        <v>1000</v>
      </c>
      <c r="CA77" s="3">
        <v>0</v>
      </c>
      <c r="CC77" s="3">
        <v>0</v>
      </c>
      <c r="CD77" s="3">
        <v>1000</v>
      </c>
      <c r="CE77" s="3">
        <v>1000</v>
      </c>
      <c r="CF77" s="3">
        <v>0</v>
      </c>
      <c r="CH77" s="3">
        <v>0</v>
      </c>
      <c r="CI77" s="3">
        <v>1000</v>
      </c>
      <c r="CJ77" s="3">
        <v>1000</v>
      </c>
      <c r="CK77" s="3">
        <v>0</v>
      </c>
      <c r="CM77" s="3">
        <v>1</v>
      </c>
      <c r="CN77" s="3">
        <v>1000</v>
      </c>
      <c r="CO77" s="3">
        <v>1000</v>
      </c>
      <c r="CP77" s="3">
        <v>0</v>
      </c>
      <c r="CR77" s="3">
        <v>4.0110000000000001</v>
      </c>
      <c r="CS77" s="3">
        <v>1000</v>
      </c>
      <c r="CT77" s="3">
        <v>1000</v>
      </c>
      <c r="CU77" s="3">
        <v>4.0410000000000004</v>
      </c>
    </row>
    <row r="78" spans="1:99" s="3" customFormat="1" x14ac:dyDescent="0.35">
      <c r="A78" s="2" t="s">
        <v>76</v>
      </c>
      <c r="B78" s="2">
        <v>8.6666666666666661</v>
      </c>
      <c r="C78" s="2" t="s">
        <v>167</v>
      </c>
      <c r="D78" s="2" t="s">
        <v>403</v>
      </c>
      <c r="F78" s="3">
        <v>2.8</v>
      </c>
      <c r="G78" s="3">
        <v>4.0110000000000001</v>
      </c>
      <c r="H78" s="3">
        <v>3.056</v>
      </c>
      <c r="I78" s="3">
        <v>4.0110000000000001</v>
      </c>
      <c r="K78" s="3">
        <v>2.7989999999999999</v>
      </c>
      <c r="L78" s="3">
        <v>3.9820000000000002</v>
      </c>
      <c r="M78" s="3">
        <v>3.0489999999999999</v>
      </c>
      <c r="N78" s="3">
        <v>3.9820000000000002</v>
      </c>
      <c r="P78" s="3">
        <v>2.7170000543119386</v>
      </c>
      <c r="Q78" s="3">
        <v>3.8170000929385424</v>
      </c>
      <c r="R78" s="3">
        <v>2.7670000484213233</v>
      </c>
      <c r="S78" s="3">
        <v>3.8309999089688063</v>
      </c>
      <c r="U78" s="3">
        <v>5</v>
      </c>
      <c r="V78" s="3">
        <v>11</v>
      </c>
      <c r="W78" s="3">
        <v>9</v>
      </c>
      <c r="X78" s="3">
        <v>10</v>
      </c>
      <c r="Z78" s="3">
        <v>2.7989999999999999</v>
      </c>
      <c r="AA78" s="3">
        <v>3.9820000000000002</v>
      </c>
      <c r="AB78" s="3">
        <v>2.3330000000000002</v>
      </c>
      <c r="AC78" s="3">
        <v>3.9820000000000002</v>
      </c>
      <c r="AE78" s="3">
        <v>2.7170000543119386</v>
      </c>
      <c r="AF78" s="3">
        <v>3.8170000929385424</v>
      </c>
      <c r="AG78" s="3">
        <v>2.067000119946897</v>
      </c>
      <c r="AH78" s="3">
        <v>3.8309999089688063</v>
      </c>
      <c r="AJ78" s="3">
        <v>5</v>
      </c>
      <c r="AK78" s="3">
        <v>11</v>
      </c>
      <c r="AL78" s="3">
        <v>8</v>
      </c>
      <c r="AM78" s="3">
        <v>10</v>
      </c>
      <c r="AO78" s="3">
        <v>1</v>
      </c>
      <c r="AP78" s="3">
        <v>1</v>
      </c>
      <c r="AQ78" s="3">
        <v>2</v>
      </c>
      <c r="AR78" s="3">
        <v>1</v>
      </c>
      <c r="AT78" s="3">
        <v>1.0000000474974513E-3</v>
      </c>
      <c r="AU78" s="3">
        <v>1.6000000759959221E-2</v>
      </c>
      <c r="AV78" s="3">
        <v>7.0000002160668373E-3</v>
      </c>
      <c r="AW78" s="3">
        <v>1.4000000432133675E-2</v>
      </c>
      <c r="AY78" s="3">
        <v>0.99899999999999989</v>
      </c>
      <c r="AZ78" s="3">
        <v>2.3320000000000003</v>
      </c>
      <c r="BA78" s="3">
        <v>0.76600000000000013</v>
      </c>
      <c r="BB78" s="3">
        <v>1.4660000000000002</v>
      </c>
      <c r="BD78" s="3">
        <v>1.1500000357627869</v>
      </c>
      <c r="BE78" s="3">
        <v>2.1840000152587891</v>
      </c>
      <c r="BF78" s="3">
        <v>0.60000014305114746</v>
      </c>
      <c r="BG78" s="3">
        <v>1.6490000486373901</v>
      </c>
      <c r="BI78" s="3">
        <v>2</v>
      </c>
      <c r="BJ78" s="3">
        <v>6</v>
      </c>
      <c r="BK78" s="3">
        <v>2</v>
      </c>
      <c r="BL78" s="3">
        <v>4</v>
      </c>
      <c r="BN78" s="3">
        <v>4</v>
      </c>
      <c r="BO78" s="3">
        <v>3</v>
      </c>
      <c r="BP78" s="3">
        <v>2</v>
      </c>
      <c r="BQ78" s="3">
        <v>3</v>
      </c>
      <c r="BS78" s="3">
        <v>0.64999997615814209</v>
      </c>
      <c r="BT78" s="3">
        <v>1.1319999694824219</v>
      </c>
      <c r="BU78" s="3">
        <v>2.122999906539917</v>
      </c>
      <c r="BV78" s="3">
        <v>0.52999997138977051</v>
      </c>
      <c r="BX78" s="3">
        <v>1.6000000000000014E-2</v>
      </c>
      <c r="BY78" s="3">
        <v>0.19999999999999973</v>
      </c>
      <c r="BZ78" s="3">
        <v>0.16700000000000026</v>
      </c>
      <c r="CA78" s="3">
        <v>9.9999999999999645E-2</v>
      </c>
      <c r="CC78" s="3">
        <v>0</v>
      </c>
      <c r="CD78" s="3">
        <v>0</v>
      </c>
      <c r="CE78" s="3">
        <v>0.13400006294250488</v>
      </c>
      <c r="CF78" s="3">
        <v>0</v>
      </c>
      <c r="CH78" s="3">
        <v>0</v>
      </c>
      <c r="CI78" s="3">
        <v>0</v>
      </c>
      <c r="CJ78" s="3">
        <v>1</v>
      </c>
      <c r="CK78" s="3">
        <v>0</v>
      </c>
      <c r="CM78" s="3">
        <v>1</v>
      </c>
      <c r="CN78" s="3">
        <v>1</v>
      </c>
      <c r="CO78" s="3">
        <v>4</v>
      </c>
      <c r="CP78" s="3">
        <v>1</v>
      </c>
      <c r="CR78" s="3">
        <v>4.01</v>
      </c>
      <c r="CS78" s="3">
        <v>4.0110000000000001</v>
      </c>
      <c r="CT78" s="3">
        <v>2.9059998989105225</v>
      </c>
      <c r="CU78" s="3">
        <v>4.0110000000000001</v>
      </c>
    </row>
    <row r="79" spans="1:99" s="3" customFormat="1" x14ac:dyDescent="0.35">
      <c r="A79" s="2" t="s">
        <v>77</v>
      </c>
      <c r="B79" s="2">
        <v>5.583333333333333</v>
      </c>
      <c r="C79" s="2" t="s">
        <v>168</v>
      </c>
      <c r="D79" s="2" t="s">
        <v>403</v>
      </c>
      <c r="F79" s="3">
        <v>0.45000000000000018</v>
      </c>
      <c r="G79" s="3">
        <v>1.5549999999999997</v>
      </c>
      <c r="H79" s="3">
        <v>1.8520000000000003</v>
      </c>
      <c r="I79" s="3">
        <v>4.016</v>
      </c>
      <c r="K79" s="3">
        <v>1000</v>
      </c>
      <c r="L79" s="3">
        <v>1000</v>
      </c>
      <c r="M79" s="3">
        <v>1000</v>
      </c>
      <c r="N79" s="3">
        <v>3.9999999999999996</v>
      </c>
      <c r="P79" s="3">
        <v>1000</v>
      </c>
      <c r="Q79" s="3">
        <v>1000</v>
      </c>
      <c r="R79" s="3">
        <v>1000</v>
      </c>
      <c r="S79" s="3">
        <v>3.7820000508800149</v>
      </c>
      <c r="U79" s="3">
        <v>1000</v>
      </c>
      <c r="V79" s="3">
        <v>1000</v>
      </c>
      <c r="W79" s="3">
        <v>1000</v>
      </c>
      <c r="X79" s="3">
        <v>10</v>
      </c>
      <c r="Z79" s="3">
        <v>1000</v>
      </c>
      <c r="AA79" s="3">
        <v>1000</v>
      </c>
      <c r="AB79" s="3">
        <v>1000</v>
      </c>
      <c r="AC79" s="3">
        <v>3.9999999999999996</v>
      </c>
      <c r="AE79" s="3">
        <v>1000</v>
      </c>
      <c r="AF79" s="3">
        <v>1000</v>
      </c>
      <c r="AG79" s="3">
        <v>1000</v>
      </c>
      <c r="AH79" s="3">
        <v>3.7820000508800149</v>
      </c>
      <c r="AJ79" s="3">
        <v>1000</v>
      </c>
      <c r="AK79" s="3">
        <v>1000</v>
      </c>
      <c r="AL79" s="3">
        <v>1000</v>
      </c>
      <c r="AM79" s="3">
        <v>10</v>
      </c>
      <c r="AO79" s="3">
        <v>1000</v>
      </c>
      <c r="AP79" s="3">
        <v>1000</v>
      </c>
      <c r="AQ79" s="3">
        <v>1000</v>
      </c>
      <c r="AR79" s="3">
        <v>1</v>
      </c>
      <c r="AT79" s="3">
        <v>1000</v>
      </c>
      <c r="AU79" s="3">
        <v>1000</v>
      </c>
      <c r="AV79" s="3">
        <v>1000</v>
      </c>
      <c r="AW79" s="3">
        <v>1.4999999664723873E-2</v>
      </c>
      <c r="AY79" s="3">
        <v>1000</v>
      </c>
      <c r="AZ79" s="3">
        <v>1000</v>
      </c>
      <c r="BA79" s="3">
        <v>1000</v>
      </c>
      <c r="BB79" s="3">
        <v>1.7169999999999996</v>
      </c>
      <c r="BD79" s="3">
        <v>1000</v>
      </c>
      <c r="BE79" s="3">
        <v>1000</v>
      </c>
      <c r="BF79" s="3">
        <v>1000</v>
      </c>
      <c r="BG79" s="3">
        <v>1.9330002069473267</v>
      </c>
      <c r="BI79" s="3">
        <v>1000</v>
      </c>
      <c r="BJ79" s="3">
        <v>1000</v>
      </c>
      <c r="BK79" s="3">
        <v>1000</v>
      </c>
      <c r="BL79" s="3">
        <v>6</v>
      </c>
      <c r="BN79" s="3">
        <v>1000</v>
      </c>
      <c r="BO79" s="3">
        <v>1000</v>
      </c>
      <c r="BP79" s="3">
        <v>1000</v>
      </c>
      <c r="BQ79" s="3">
        <v>3</v>
      </c>
      <c r="BS79" s="3">
        <v>1000</v>
      </c>
      <c r="BT79" s="3">
        <v>1000</v>
      </c>
      <c r="BU79" s="3">
        <v>1000</v>
      </c>
      <c r="BV79" s="3">
        <v>1.1319999694824219</v>
      </c>
      <c r="BX79" s="3">
        <v>1000</v>
      </c>
      <c r="BY79" s="3">
        <v>1000</v>
      </c>
      <c r="BZ79" s="3">
        <v>1000</v>
      </c>
      <c r="CA79" s="3">
        <v>1.1329999999999998</v>
      </c>
      <c r="CC79" s="3">
        <v>1000</v>
      </c>
      <c r="CD79" s="3">
        <v>1000</v>
      </c>
      <c r="CE79" s="3">
        <v>1000</v>
      </c>
      <c r="CF79" s="3">
        <v>0.64899969100952148</v>
      </c>
      <c r="CH79" s="3">
        <v>1000</v>
      </c>
      <c r="CI79" s="3">
        <v>1000</v>
      </c>
      <c r="CJ79" s="3">
        <v>1000</v>
      </c>
      <c r="CK79" s="3">
        <v>2</v>
      </c>
      <c r="CM79" s="3">
        <v>1000</v>
      </c>
      <c r="CN79" s="3">
        <v>1000</v>
      </c>
      <c r="CO79" s="3">
        <v>1000</v>
      </c>
      <c r="CP79" s="3">
        <v>3</v>
      </c>
      <c r="CR79" s="3">
        <v>1000</v>
      </c>
      <c r="CS79" s="3">
        <v>1000</v>
      </c>
      <c r="CT79" s="3">
        <v>1000</v>
      </c>
      <c r="CU79" s="3">
        <v>2.065000057220459</v>
      </c>
    </row>
    <row r="80" spans="1:99" s="3" customFormat="1" x14ac:dyDescent="0.35">
      <c r="A80" s="2" t="s">
        <v>78</v>
      </c>
      <c r="B80" s="2">
        <v>3</v>
      </c>
      <c r="C80" s="2" t="s">
        <v>168</v>
      </c>
      <c r="D80" s="2" t="s">
        <v>403</v>
      </c>
      <c r="F80" s="3">
        <v>1000</v>
      </c>
      <c r="G80" s="3">
        <v>1000</v>
      </c>
      <c r="H80" s="3">
        <v>0.61699999999999999</v>
      </c>
      <c r="I80" s="3">
        <v>0</v>
      </c>
      <c r="K80" s="3">
        <v>1000</v>
      </c>
      <c r="L80" s="3">
        <v>1000</v>
      </c>
      <c r="M80" s="3">
        <v>1000</v>
      </c>
      <c r="N80" s="3">
        <v>1000</v>
      </c>
      <c r="P80" s="3">
        <v>1000</v>
      </c>
      <c r="Q80" s="3">
        <v>1000</v>
      </c>
      <c r="R80" s="3">
        <v>1000</v>
      </c>
      <c r="S80" s="3">
        <v>1000</v>
      </c>
      <c r="U80" s="3">
        <v>1000</v>
      </c>
      <c r="V80" s="3">
        <v>1000</v>
      </c>
      <c r="W80" s="3">
        <v>1000</v>
      </c>
      <c r="X80" s="3">
        <v>1000</v>
      </c>
      <c r="Z80" s="3">
        <v>1000</v>
      </c>
      <c r="AA80" s="3">
        <v>1000</v>
      </c>
      <c r="AB80" s="3">
        <v>1000</v>
      </c>
      <c r="AC80" s="3">
        <v>1000</v>
      </c>
      <c r="AE80" s="3">
        <v>1000</v>
      </c>
      <c r="AF80" s="3">
        <v>1000</v>
      </c>
      <c r="AG80" s="3">
        <v>1000</v>
      </c>
      <c r="AH80" s="3">
        <v>1000</v>
      </c>
      <c r="AJ80" s="3">
        <v>1000</v>
      </c>
      <c r="AK80" s="3">
        <v>1000</v>
      </c>
      <c r="AL80" s="3">
        <v>1000</v>
      </c>
      <c r="AM80" s="3">
        <v>1000</v>
      </c>
      <c r="AO80" s="3">
        <v>1000</v>
      </c>
      <c r="AP80" s="3">
        <v>1000</v>
      </c>
      <c r="AQ80" s="3">
        <v>1000</v>
      </c>
      <c r="AR80" s="3">
        <v>1000</v>
      </c>
      <c r="AT80" s="3">
        <v>1000</v>
      </c>
      <c r="AU80" s="3">
        <v>1000</v>
      </c>
      <c r="AV80" s="3">
        <v>1000</v>
      </c>
      <c r="AW80" s="3">
        <v>1000</v>
      </c>
      <c r="AY80" s="3">
        <v>1000</v>
      </c>
      <c r="AZ80" s="3">
        <v>1000</v>
      </c>
      <c r="BA80" s="3">
        <v>1000</v>
      </c>
      <c r="BB80" s="3">
        <v>1000</v>
      </c>
      <c r="BD80" s="3">
        <v>1000</v>
      </c>
      <c r="BE80" s="3">
        <v>1000</v>
      </c>
      <c r="BF80" s="3">
        <v>1000</v>
      </c>
      <c r="BG80" s="3">
        <v>1000</v>
      </c>
      <c r="BI80" s="3">
        <v>1000</v>
      </c>
      <c r="BJ80" s="3">
        <v>1000</v>
      </c>
      <c r="BK80" s="3">
        <v>1000</v>
      </c>
      <c r="BL80" s="3">
        <v>1000</v>
      </c>
      <c r="BN80" s="3">
        <v>1000</v>
      </c>
      <c r="BO80" s="3">
        <v>1000</v>
      </c>
      <c r="BP80" s="3">
        <v>1000</v>
      </c>
      <c r="BQ80" s="3">
        <v>1000</v>
      </c>
      <c r="BS80" s="3">
        <v>1000</v>
      </c>
      <c r="BT80" s="3">
        <v>1000</v>
      </c>
      <c r="BU80" s="3">
        <v>1000</v>
      </c>
      <c r="BV80" s="3">
        <v>1000</v>
      </c>
      <c r="BX80" s="3">
        <v>1000</v>
      </c>
      <c r="BY80" s="3">
        <v>1000</v>
      </c>
      <c r="BZ80" s="3">
        <v>1000</v>
      </c>
      <c r="CA80" s="3">
        <v>1000</v>
      </c>
      <c r="CC80" s="3">
        <v>1000</v>
      </c>
      <c r="CD80" s="3">
        <v>1000</v>
      </c>
      <c r="CE80" s="3">
        <v>1000</v>
      </c>
      <c r="CF80" s="3">
        <v>1000</v>
      </c>
      <c r="CH80" s="3">
        <v>1000</v>
      </c>
      <c r="CI80" s="3">
        <v>1000</v>
      </c>
      <c r="CJ80" s="3">
        <v>1000</v>
      </c>
      <c r="CK80" s="3">
        <v>1000</v>
      </c>
      <c r="CM80" s="3">
        <v>1000</v>
      </c>
      <c r="CN80" s="3">
        <v>1000</v>
      </c>
      <c r="CO80" s="3">
        <v>1000</v>
      </c>
      <c r="CP80" s="3">
        <v>1000</v>
      </c>
      <c r="CR80" s="3">
        <v>1000</v>
      </c>
      <c r="CS80" s="3">
        <v>1000</v>
      </c>
      <c r="CT80" s="3">
        <v>1000</v>
      </c>
      <c r="CU80" s="3">
        <v>1000</v>
      </c>
    </row>
    <row r="81" spans="1:99" s="3" customFormat="1" x14ac:dyDescent="0.35">
      <c r="A81" s="2" t="s">
        <v>79</v>
      </c>
      <c r="B81" s="2">
        <v>10.5</v>
      </c>
      <c r="C81" s="2" t="s">
        <v>168</v>
      </c>
      <c r="D81" s="2" t="s">
        <v>403</v>
      </c>
      <c r="F81" s="3">
        <v>4.01</v>
      </c>
      <c r="G81" s="3">
        <v>4.01</v>
      </c>
      <c r="H81" s="3">
        <v>4.0010000000000003</v>
      </c>
      <c r="I81" s="3">
        <v>4.0090000000000003</v>
      </c>
      <c r="K81" s="3">
        <v>3.9989999999999997</v>
      </c>
      <c r="L81" s="3">
        <v>3.9990000000000001</v>
      </c>
      <c r="M81" s="3">
        <v>3.9830000000000001</v>
      </c>
      <c r="N81" s="3">
        <v>3.8329999999999997</v>
      </c>
      <c r="P81" s="3">
        <v>2.3320004553534091</v>
      </c>
      <c r="Q81" s="3">
        <v>3.0999997556209564</v>
      </c>
      <c r="R81" s="3">
        <v>3.0999999383930117</v>
      </c>
      <c r="S81" s="3">
        <v>2.7490000538527966</v>
      </c>
      <c r="U81" s="3">
        <v>11</v>
      </c>
      <c r="V81" s="3">
        <v>11</v>
      </c>
      <c r="W81" s="3">
        <v>8</v>
      </c>
      <c r="X81" s="3">
        <v>14</v>
      </c>
      <c r="Z81" s="3">
        <v>3.0840000000000001</v>
      </c>
      <c r="AA81" s="3">
        <v>3.8819999999999997</v>
      </c>
      <c r="AB81" s="3">
        <v>3.016</v>
      </c>
      <c r="AC81" s="3">
        <v>3.6829999999999998</v>
      </c>
      <c r="AE81" s="3">
        <v>2.0160004496574402</v>
      </c>
      <c r="AF81" s="3">
        <v>3.0999997556209564</v>
      </c>
      <c r="AG81" s="3">
        <v>2.4999999403953552</v>
      </c>
      <c r="AH81" s="3">
        <v>2.7490000538527966</v>
      </c>
      <c r="AJ81" s="3">
        <v>10</v>
      </c>
      <c r="AK81" s="3">
        <v>11</v>
      </c>
      <c r="AL81" s="3">
        <v>6</v>
      </c>
      <c r="AM81" s="3">
        <v>14</v>
      </c>
      <c r="AO81" s="3">
        <v>8</v>
      </c>
      <c r="AP81" s="3">
        <v>3</v>
      </c>
      <c r="AQ81" s="3">
        <v>4</v>
      </c>
      <c r="AR81" s="3">
        <v>5</v>
      </c>
      <c r="AT81" s="3">
        <v>0.50300002098083496</v>
      </c>
      <c r="AU81" s="3">
        <v>0.22499999403953552</v>
      </c>
      <c r="AV81" s="3">
        <v>0.75199997425079346</v>
      </c>
      <c r="AW81" s="3">
        <v>1.3000000268220901E-2</v>
      </c>
      <c r="AY81" s="3">
        <v>0.91800000000000093</v>
      </c>
      <c r="AZ81" s="3">
        <v>0.83300000000000007</v>
      </c>
      <c r="BA81" s="3">
        <v>1.333</v>
      </c>
      <c r="BB81" s="3">
        <v>1.4</v>
      </c>
      <c r="BD81" s="3">
        <v>1.1830001473426819</v>
      </c>
      <c r="BE81" s="3">
        <v>0.6829998791217804</v>
      </c>
      <c r="BF81" s="3">
        <v>1.6499999761581421</v>
      </c>
      <c r="BG81" s="3">
        <v>1.4000000171363354</v>
      </c>
      <c r="BI81" s="3">
        <v>5</v>
      </c>
      <c r="BJ81" s="3">
        <v>2</v>
      </c>
      <c r="BK81" s="3">
        <v>3</v>
      </c>
      <c r="BL81" s="3">
        <v>6</v>
      </c>
      <c r="BN81" s="3">
        <v>17</v>
      </c>
      <c r="BO81" s="3">
        <v>3</v>
      </c>
      <c r="BP81" s="3">
        <v>4</v>
      </c>
      <c r="BQ81" s="3">
        <v>7</v>
      </c>
      <c r="BS81" s="3">
        <v>0.50300002098083496</v>
      </c>
      <c r="BT81" s="3">
        <v>0.22499999403953552</v>
      </c>
      <c r="BU81" s="3">
        <v>1.1189999580383301</v>
      </c>
      <c r="BV81" s="3">
        <v>1.3000000268220901E-2</v>
      </c>
      <c r="BX81" s="3">
        <v>0</v>
      </c>
      <c r="BY81" s="3">
        <v>0</v>
      </c>
      <c r="BZ81" s="3">
        <v>0</v>
      </c>
      <c r="CA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0</v>
      </c>
      <c r="CI81" s="3">
        <v>0</v>
      </c>
      <c r="CJ81" s="3">
        <v>0</v>
      </c>
      <c r="CK81" s="3">
        <v>0</v>
      </c>
      <c r="CM81" s="3">
        <v>0</v>
      </c>
      <c r="CN81" s="3">
        <v>0</v>
      </c>
      <c r="CO81" s="3">
        <v>1</v>
      </c>
      <c r="CP81" s="3">
        <v>0</v>
      </c>
      <c r="CR81" s="3">
        <v>4.01</v>
      </c>
      <c r="CS81" s="3">
        <v>4.01</v>
      </c>
      <c r="CT81" s="3">
        <v>4.0010000000000003</v>
      </c>
      <c r="CU81" s="3">
        <v>4.0090000000000003</v>
      </c>
    </row>
    <row r="82" spans="1:99" s="3" customFormat="1" x14ac:dyDescent="0.35">
      <c r="A82" s="2" t="s">
        <v>80</v>
      </c>
      <c r="B82" s="2">
        <v>8.5833333333333339</v>
      </c>
      <c r="C82" s="2" t="s">
        <v>168</v>
      </c>
      <c r="D82" s="2" t="s">
        <v>403</v>
      </c>
      <c r="F82" s="3">
        <v>4.016</v>
      </c>
      <c r="G82" s="3">
        <v>4.016</v>
      </c>
      <c r="H82" s="3">
        <v>4.032</v>
      </c>
      <c r="I82" s="3">
        <v>4.016</v>
      </c>
      <c r="K82" s="3">
        <v>3.9990000000000006</v>
      </c>
      <c r="L82" s="3">
        <v>3.9990000000000006</v>
      </c>
      <c r="M82" s="3">
        <v>4.016</v>
      </c>
      <c r="N82" s="3">
        <v>3.9979999999999998</v>
      </c>
      <c r="P82" s="3">
        <v>3.8009995725005865</v>
      </c>
      <c r="Q82" s="3">
        <v>3.748999735340476</v>
      </c>
      <c r="R82" s="3">
        <v>3.8830001095775515</v>
      </c>
      <c r="S82" s="3">
        <v>3.549000330734998</v>
      </c>
      <c r="U82" s="3">
        <v>13</v>
      </c>
      <c r="V82" s="3">
        <v>9</v>
      </c>
      <c r="W82" s="3">
        <v>9</v>
      </c>
      <c r="X82" s="3">
        <v>15</v>
      </c>
      <c r="Z82" s="3">
        <v>3.9990000000000006</v>
      </c>
      <c r="AA82" s="3">
        <v>3.9990000000000006</v>
      </c>
      <c r="AB82" s="3">
        <v>4.016</v>
      </c>
      <c r="AC82" s="3">
        <v>3.9979999999999998</v>
      </c>
      <c r="AE82" s="3">
        <v>3.8009995725005865</v>
      </c>
      <c r="AF82" s="3">
        <v>3.748999735340476</v>
      </c>
      <c r="AG82" s="3">
        <v>3.8830001095775515</v>
      </c>
      <c r="AH82" s="3">
        <v>3.549000330734998</v>
      </c>
      <c r="AJ82" s="3">
        <v>13</v>
      </c>
      <c r="AK82" s="3">
        <v>9</v>
      </c>
      <c r="AL82" s="3">
        <v>9</v>
      </c>
      <c r="AM82" s="3">
        <v>15</v>
      </c>
      <c r="AO82" s="3">
        <v>1</v>
      </c>
      <c r="AP82" s="3">
        <v>1</v>
      </c>
      <c r="AQ82" s="3">
        <v>1</v>
      </c>
      <c r="AR82" s="3">
        <v>1</v>
      </c>
      <c r="AT82" s="3">
        <v>9.9999997764825821E-3</v>
      </c>
      <c r="AU82" s="3">
        <v>9.9999997764825821E-3</v>
      </c>
      <c r="AV82" s="3">
        <v>2.0000000949949026E-3</v>
      </c>
      <c r="AW82" s="3">
        <v>4.0000001899898052E-3</v>
      </c>
      <c r="AY82" s="3">
        <v>1.7670000000000003</v>
      </c>
      <c r="AZ82" s="3">
        <v>1.45</v>
      </c>
      <c r="BA82" s="3">
        <v>1.716</v>
      </c>
      <c r="BB82" s="3">
        <v>0.7330000000000001</v>
      </c>
      <c r="BD82" s="3">
        <v>1.8830000162124634</v>
      </c>
      <c r="BE82" s="3">
        <v>1.3669999241828918</v>
      </c>
      <c r="BF82" s="3">
        <v>1.8990000227931887</v>
      </c>
      <c r="BG82" s="3">
        <v>0.68199995160102844</v>
      </c>
      <c r="BI82" s="3">
        <v>5</v>
      </c>
      <c r="BJ82" s="3">
        <v>3</v>
      </c>
      <c r="BK82" s="3">
        <v>3</v>
      </c>
      <c r="BL82" s="3">
        <v>4</v>
      </c>
      <c r="BN82" s="3">
        <v>3</v>
      </c>
      <c r="BO82" s="3">
        <v>2</v>
      </c>
      <c r="BP82" s="3">
        <v>3</v>
      </c>
      <c r="BQ82" s="3">
        <v>2</v>
      </c>
      <c r="BS82" s="3">
        <v>0.57599997520446777</v>
      </c>
      <c r="BT82" s="3">
        <v>0.47699999809265137</v>
      </c>
      <c r="BU82" s="3">
        <v>2.0000000949949026E-3</v>
      </c>
      <c r="BV82" s="3">
        <v>0.41999998688697815</v>
      </c>
      <c r="BX82" s="3">
        <v>0.46700000000000053</v>
      </c>
      <c r="BY82" s="3">
        <v>1.7000000000000348E-2</v>
      </c>
      <c r="BZ82" s="3">
        <v>0</v>
      </c>
      <c r="CA82" s="3">
        <v>0</v>
      </c>
      <c r="CC82" s="3">
        <v>0.43399977684020996</v>
      </c>
      <c r="CD82" s="3">
        <v>0</v>
      </c>
      <c r="CE82" s="3">
        <v>0</v>
      </c>
      <c r="CF82" s="3">
        <v>0</v>
      </c>
      <c r="CH82" s="3">
        <v>2</v>
      </c>
      <c r="CI82" s="3">
        <v>0</v>
      </c>
      <c r="CJ82" s="3">
        <v>0</v>
      </c>
      <c r="CK82" s="3">
        <v>0</v>
      </c>
      <c r="CM82" s="3">
        <v>2</v>
      </c>
      <c r="CN82" s="3">
        <v>1</v>
      </c>
      <c r="CO82" s="3">
        <v>0</v>
      </c>
      <c r="CP82" s="3">
        <v>0</v>
      </c>
      <c r="CR82" s="3">
        <v>3.5590000152587891</v>
      </c>
      <c r="CS82" s="3">
        <v>4.016</v>
      </c>
      <c r="CT82" s="3">
        <v>4.032</v>
      </c>
      <c r="CU82" s="3">
        <v>4.016</v>
      </c>
    </row>
    <row r="83" spans="1:99" s="3" customFormat="1" x14ac:dyDescent="0.35">
      <c r="A83" s="2" t="s">
        <v>81</v>
      </c>
      <c r="B83" s="2">
        <v>3.8333333333333335</v>
      </c>
      <c r="C83" s="2" t="s">
        <v>167</v>
      </c>
      <c r="D83" s="2" t="s">
        <v>403</v>
      </c>
      <c r="F83" s="3">
        <v>4.01</v>
      </c>
      <c r="G83" s="3">
        <v>4.016</v>
      </c>
      <c r="H83" s="3">
        <v>4.032</v>
      </c>
      <c r="I83" s="3">
        <v>4.0110000000000001</v>
      </c>
      <c r="K83" s="3">
        <v>3.9990000000000001</v>
      </c>
      <c r="L83" s="3">
        <v>3.9990000000000001</v>
      </c>
      <c r="M83" s="3">
        <v>4.016</v>
      </c>
      <c r="N83" s="3">
        <v>3.649</v>
      </c>
      <c r="P83" s="3">
        <v>3.7139997901394963</v>
      </c>
      <c r="Q83" s="3">
        <v>3.665999906254001</v>
      </c>
      <c r="R83" s="3">
        <v>3.7809998849406838</v>
      </c>
      <c r="S83" s="3">
        <v>3.6000000275671482</v>
      </c>
      <c r="U83" s="3">
        <v>6</v>
      </c>
      <c r="V83" s="3">
        <v>8</v>
      </c>
      <c r="W83" s="3">
        <v>10</v>
      </c>
      <c r="X83" s="3">
        <v>3</v>
      </c>
      <c r="Z83" s="3">
        <v>3.9990000000000001</v>
      </c>
      <c r="AA83" s="3">
        <v>3.9489999999999998</v>
      </c>
      <c r="AB83" s="3">
        <v>4.016</v>
      </c>
      <c r="AC83" s="3">
        <v>3.649</v>
      </c>
      <c r="AE83" s="3">
        <v>3.7139997901394963</v>
      </c>
      <c r="AF83" s="3">
        <v>3.665999906254001</v>
      </c>
      <c r="AG83" s="3">
        <v>3.7809998849406838</v>
      </c>
      <c r="AH83" s="3">
        <v>3.6000000275671482</v>
      </c>
      <c r="AJ83" s="3">
        <v>6</v>
      </c>
      <c r="AK83" s="3">
        <v>8</v>
      </c>
      <c r="AL83" s="3">
        <v>10</v>
      </c>
      <c r="AM83" s="3">
        <v>3</v>
      </c>
      <c r="AO83" s="3">
        <v>1</v>
      </c>
      <c r="AP83" s="3">
        <v>2</v>
      </c>
      <c r="AQ83" s="3">
        <v>1</v>
      </c>
      <c r="AR83" s="3">
        <v>1</v>
      </c>
      <c r="AT83" s="3">
        <v>6.0000000521540642E-3</v>
      </c>
      <c r="AU83" s="3">
        <v>1.0000000474974513E-3</v>
      </c>
      <c r="AV83" s="3">
        <v>8.0000003799796104E-3</v>
      </c>
      <c r="AW83" s="3">
        <v>8.999999612569809E-3</v>
      </c>
      <c r="AY83" s="3">
        <v>1.1989999999999998</v>
      </c>
      <c r="AZ83" s="3">
        <v>1.6830000000000001</v>
      </c>
      <c r="BA83" s="3">
        <v>0.56700000000000006</v>
      </c>
      <c r="BB83" s="3">
        <v>0.51600000000000001</v>
      </c>
      <c r="BD83" s="3">
        <v>1.2819998264312744</v>
      </c>
      <c r="BE83" s="3">
        <v>1.9339999556541443</v>
      </c>
      <c r="BF83" s="3">
        <v>0.18300008773803711</v>
      </c>
      <c r="BG83" s="3">
        <v>0</v>
      </c>
      <c r="BI83" s="3">
        <v>3</v>
      </c>
      <c r="BJ83" s="3">
        <v>4</v>
      </c>
      <c r="BK83" s="3">
        <v>1</v>
      </c>
      <c r="BL83" s="3">
        <v>0</v>
      </c>
      <c r="BN83" s="3">
        <v>4</v>
      </c>
      <c r="BO83" s="3">
        <v>3</v>
      </c>
      <c r="BP83" s="3">
        <v>4</v>
      </c>
      <c r="BQ83" s="3">
        <v>1</v>
      </c>
      <c r="BS83" s="3">
        <v>2.4890000820159912</v>
      </c>
      <c r="BT83" s="3">
        <v>0.50099998712539673</v>
      </c>
      <c r="BU83" s="3">
        <v>3.8410000801086426</v>
      </c>
      <c r="BV83" s="3">
        <v>4.0110000000000001</v>
      </c>
      <c r="BX83" s="3">
        <v>0.34999999999999987</v>
      </c>
      <c r="BY83" s="3">
        <v>0.33399999999999974</v>
      </c>
      <c r="BZ83" s="3">
        <v>0.2330000000000001</v>
      </c>
      <c r="CA83" s="3">
        <v>0</v>
      </c>
      <c r="CC83" s="3">
        <v>0.56600010395050049</v>
      </c>
      <c r="CD83" s="3">
        <v>0.44899988174438477</v>
      </c>
      <c r="CE83" s="3">
        <v>0.23300004005432129</v>
      </c>
      <c r="CF83" s="3">
        <v>0</v>
      </c>
      <c r="CH83" s="3">
        <v>1</v>
      </c>
      <c r="CI83" s="3">
        <v>1</v>
      </c>
      <c r="CJ83" s="3">
        <v>1</v>
      </c>
      <c r="CK83" s="3">
        <v>0</v>
      </c>
      <c r="CM83" s="3">
        <v>1</v>
      </c>
      <c r="CN83" s="3">
        <v>4</v>
      </c>
      <c r="CO83" s="3">
        <v>1</v>
      </c>
      <c r="CP83" s="3">
        <v>0</v>
      </c>
      <c r="CR83" s="3">
        <v>1.6729999780654907</v>
      </c>
      <c r="CS83" s="3">
        <v>3.4670000076293945</v>
      </c>
      <c r="CT83" s="3">
        <v>2.6749999523162842</v>
      </c>
      <c r="CU83" s="3">
        <v>4.0110000000000001</v>
      </c>
    </row>
    <row r="84" spans="1:99" s="3" customFormat="1" x14ac:dyDescent="0.35">
      <c r="A84" s="2" t="s">
        <v>82</v>
      </c>
      <c r="B84" s="2">
        <v>9.5</v>
      </c>
      <c r="C84" s="2" t="s">
        <v>167</v>
      </c>
      <c r="D84" s="2" t="s">
        <v>403</v>
      </c>
      <c r="F84" s="3">
        <v>4.016</v>
      </c>
      <c r="G84" s="3">
        <v>4.0060000000000002</v>
      </c>
      <c r="H84" s="3">
        <v>2.7159999999999997</v>
      </c>
      <c r="I84" s="3">
        <v>4.016</v>
      </c>
      <c r="K84" s="3">
        <v>3.7329999999999997</v>
      </c>
      <c r="L84" s="3">
        <v>3.3490000000000002</v>
      </c>
      <c r="M84" s="3">
        <v>2.2329999999999997</v>
      </c>
      <c r="N84" s="3">
        <v>3.9990000000000001</v>
      </c>
      <c r="P84" s="3">
        <v>1.8339999318122864</v>
      </c>
      <c r="Q84" s="3">
        <v>1.3500001709908247</v>
      </c>
      <c r="R84" s="3">
        <v>1.1670001745223999</v>
      </c>
      <c r="S84" s="3">
        <v>3.5670000989921391</v>
      </c>
      <c r="U84" s="3">
        <v>10</v>
      </c>
      <c r="V84" s="3">
        <v>4</v>
      </c>
      <c r="W84" s="3">
        <v>8</v>
      </c>
      <c r="X84" s="3">
        <v>9</v>
      </c>
      <c r="Z84" s="3">
        <v>2.8490000000000002</v>
      </c>
      <c r="AA84" s="3">
        <v>3.3149999999999999</v>
      </c>
      <c r="AB84" s="3">
        <v>1.4999999999999998</v>
      </c>
      <c r="AC84" s="3">
        <v>3.4320000000000004</v>
      </c>
      <c r="AE84" s="3">
        <v>1.7169999480247498</v>
      </c>
      <c r="AF84" s="3">
        <v>1.3500001709908247</v>
      </c>
      <c r="AG84" s="3">
        <v>1.0170000791549683</v>
      </c>
      <c r="AH84" s="3">
        <v>3.1170000513084233</v>
      </c>
      <c r="AJ84" s="3">
        <v>9</v>
      </c>
      <c r="AK84" s="3">
        <v>4</v>
      </c>
      <c r="AL84" s="3">
        <v>7</v>
      </c>
      <c r="AM84" s="3">
        <v>8</v>
      </c>
      <c r="AO84" s="3">
        <v>4</v>
      </c>
      <c r="AP84" s="3">
        <v>3</v>
      </c>
      <c r="AQ84" s="3">
        <v>3</v>
      </c>
      <c r="AR84" s="3">
        <v>3</v>
      </c>
      <c r="AT84" s="3">
        <v>0.30099999904632568</v>
      </c>
      <c r="AU84" s="3">
        <v>1.4000000432133675E-2</v>
      </c>
      <c r="AV84" s="3">
        <v>1.3839999437332153</v>
      </c>
      <c r="AW84" s="3">
        <v>4.0000001899898052E-3</v>
      </c>
      <c r="AY84" s="3">
        <v>0</v>
      </c>
      <c r="AZ84" s="3">
        <v>9.8999999999999755E-2</v>
      </c>
      <c r="BA84" s="3">
        <v>0.18299999999999983</v>
      </c>
      <c r="BB84" s="3">
        <v>0</v>
      </c>
      <c r="BD84" s="3">
        <v>0</v>
      </c>
      <c r="BE84" s="3">
        <v>0</v>
      </c>
      <c r="BF84" s="3">
        <v>0.18300008773803711</v>
      </c>
      <c r="BG84" s="3">
        <v>0</v>
      </c>
      <c r="BI84" s="3">
        <v>0</v>
      </c>
      <c r="BJ84" s="3">
        <v>0</v>
      </c>
      <c r="BK84" s="3">
        <v>1</v>
      </c>
      <c r="BL84" s="3">
        <v>0</v>
      </c>
      <c r="BN84" s="3">
        <v>1</v>
      </c>
      <c r="BO84" s="3">
        <v>6</v>
      </c>
      <c r="BP84" s="3">
        <v>1</v>
      </c>
      <c r="BQ84" s="3">
        <v>0</v>
      </c>
      <c r="BS84" s="3">
        <v>4.016</v>
      </c>
      <c r="BT84" s="3">
        <v>4.0060000000000002</v>
      </c>
      <c r="BU84" s="3">
        <v>2.7170000076293945</v>
      </c>
      <c r="BV84" s="3">
        <v>4.016</v>
      </c>
      <c r="BX84" s="3">
        <v>0.39999999999999947</v>
      </c>
      <c r="BY84" s="3">
        <v>0</v>
      </c>
      <c r="BZ84" s="3">
        <v>0</v>
      </c>
      <c r="CA84" s="3">
        <v>0</v>
      </c>
      <c r="CC84" s="3">
        <v>0.43400001525878906</v>
      </c>
      <c r="CD84" s="3">
        <v>0</v>
      </c>
      <c r="CE84" s="3">
        <v>0</v>
      </c>
      <c r="CF84" s="3">
        <v>0</v>
      </c>
      <c r="CH84" s="3">
        <v>3</v>
      </c>
      <c r="CI84" s="3">
        <v>0</v>
      </c>
      <c r="CJ84" s="3">
        <v>0</v>
      </c>
      <c r="CK84" s="3">
        <v>0</v>
      </c>
      <c r="CM84" s="3">
        <v>7</v>
      </c>
      <c r="CN84" s="3">
        <v>0</v>
      </c>
      <c r="CO84" s="3">
        <v>0</v>
      </c>
      <c r="CP84" s="3">
        <v>0</v>
      </c>
      <c r="CR84" s="3">
        <v>2.8010001182556152</v>
      </c>
      <c r="CS84" s="3">
        <v>4.0060000000000002</v>
      </c>
      <c r="CT84" s="3">
        <v>4.016</v>
      </c>
      <c r="CU84" s="3">
        <v>4.016</v>
      </c>
    </row>
    <row r="85" spans="1:99" s="3" customFormat="1" x14ac:dyDescent="0.35">
      <c r="A85" s="2" t="s">
        <v>83</v>
      </c>
      <c r="B85" s="2">
        <v>6.166666666666667</v>
      </c>
      <c r="C85" s="2" t="s">
        <v>168</v>
      </c>
      <c r="D85" s="2" t="s">
        <v>403</v>
      </c>
      <c r="F85" s="3">
        <v>4.0170000000000003</v>
      </c>
      <c r="G85" s="3">
        <v>4.0149999999999997</v>
      </c>
      <c r="H85" s="3">
        <v>4.0049999999999999</v>
      </c>
      <c r="I85" s="3">
        <v>4.016</v>
      </c>
      <c r="K85" s="3">
        <v>3.5829999999999997</v>
      </c>
      <c r="L85" s="3">
        <v>3.9829999999999997</v>
      </c>
      <c r="M85" s="3">
        <v>3.7160000000000002</v>
      </c>
      <c r="N85" s="3">
        <v>3.9660000000000002</v>
      </c>
      <c r="P85" s="3">
        <v>3.0819995999336243</v>
      </c>
      <c r="Q85" s="3">
        <v>3.3009998295456171</v>
      </c>
      <c r="R85" s="3">
        <v>2.8649995643645525</v>
      </c>
      <c r="S85" s="3">
        <v>3.1300000121118501</v>
      </c>
      <c r="U85" s="3">
        <v>7</v>
      </c>
      <c r="V85" s="3">
        <v>8</v>
      </c>
      <c r="W85" s="3">
        <v>8</v>
      </c>
      <c r="X85" s="3">
        <v>8</v>
      </c>
      <c r="Z85" s="3">
        <v>3.5829999999999997</v>
      </c>
      <c r="AA85" s="3">
        <v>3.1169999999999991</v>
      </c>
      <c r="AB85" s="3">
        <v>3.6989999999999998</v>
      </c>
      <c r="AC85" s="3">
        <v>3.4990000000000001</v>
      </c>
      <c r="AE85" s="3">
        <v>3.0819995999336243</v>
      </c>
      <c r="AF85" s="3">
        <v>2.7009999249130487</v>
      </c>
      <c r="AG85" s="3">
        <v>2.8649995643645525</v>
      </c>
      <c r="AH85" s="3">
        <v>3.1300000121118501</v>
      </c>
      <c r="AJ85" s="3">
        <v>7</v>
      </c>
      <c r="AK85" s="3">
        <v>7</v>
      </c>
      <c r="AL85" s="3">
        <v>8</v>
      </c>
      <c r="AM85" s="3">
        <v>8</v>
      </c>
      <c r="AO85" s="3">
        <v>1</v>
      </c>
      <c r="AP85" s="3">
        <v>3</v>
      </c>
      <c r="AQ85" s="3">
        <v>1</v>
      </c>
      <c r="AR85" s="3">
        <v>4</v>
      </c>
      <c r="AT85" s="3">
        <v>0.37999999523162842</v>
      </c>
      <c r="AU85" s="3">
        <v>2.7000000700354576E-2</v>
      </c>
      <c r="AV85" s="3">
        <v>1.6000000759959221E-2</v>
      </c>
      <c r="AW85" s="3">
        <v>1.0000000474974513E-3</v>
      </c>
      <c r="AY85" s="3">
        <v>1.1839999999999999</v>
      </c>
      <c r="AZ85" s="3">
        <v>0.96599999999999919</v>
      </c>
      <c r="BA85" s="3">
        <v>0.33299999999999974</v>
      </c>
      <c r="BB85" s="3">
        <v>0.35000000000000003</v>
      </c>
      <c r="BD85" s="3">
        <v>1.1000000238418579</v>
      </c>
      <c r="BE85" s="3">
        <v>1.5500000715255737</v>
      </c>
      <c r="BF85" s="3">
        <v>0</v>
      </c>
      <c r="BG85" s="3">
        <v>0.58299994468688965</v>
      </c>
      <c r="BI85" s="3">
        <v>2</v>
      </c>
      <c r="BJ85" s="3">
        <v>3</v>
      </c>
      <c r="BK85" s="3">
        <v>0</v>
      </c>
      <c r="BL85" s="3">
        <v>1</v>
      </c>
      <c r="BN85" s="3">
        <v>3</v>
      </c>
      <c r="BO85" s="3">
        <v>7</v>
      </c>
      <c r="BP85" s="3">
        <v>3</v>
      </c>
      <c r="BQ85" s="3">
        <v>3</v>
      </c>
      <c r="BS85" s="3">
        <v>0.89600002765655518</v>
      </c>
      <c r="BT85" s="3">
        <v>0.86000001430511475</v>
      </c>
      <c r="BU85" s="3">
        <v>4.0049999999999999</v>
      </c>
      <c r="BV85" s="3">
        <v>2.3340001106262207</v>
      </c>
      <c r="BX85" s="3">
        <v>5.0000000000000044E-2</v>
      </c>
      <c r="BY85" s="3">
        <v>1.7000000000000015E-2</v>
      </c>
      <c r="BZ85" s="3">
        <v>3.4000000000000252E-2</v>
      </c>
      <c r="CA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0</v>
      </c>
      <c r="CI85" s="3">
        <v>0</v>
      </c>
      <c r="CJ85" s="3">
        <v>0</v>
      </c>
      <c r="CK85" s="3">
        <v>0</v>
      </c>
      <c r="CM85" s="3">
        <v>1</v>
      </c>
      <c r="CN85" s="3">
        <v>2</v>
      </c>
      <c r="CO85" s="3">
        <v>1</v>
      </c>
      <c r="CP85" s="3">
        <v>1</v>
      </c>
      <c r="CR85" s="3">
        <v>4.0170000000000003</v>
      </c>
      <c r="CS85" s="3">
        <v>4.0149999999999997</v>
      </c>
      <c r="CT85" s="3">
        <v>4.0049999999999999</v>
      </c>
      <c r="CU85" s="3">
        <v>4.016</v>
      </c>
    </row>
    <row r="86" spans="1:99" s="3" customFormat="1" x14ac:dyDescent="0.35">
      <c r="A86" s="2" t="s">
        <v>84</v>
      </c>
      <c r="B86" s="2">
        <v>9</v>
      </c>
      <c r="C86" s="2" t="s">
        <v>168</v>
      </c>
      <c r="D86" s="2" t="s">
        <v>403</v>
      </c>
      <c r="F86" s="3">
        <v>4.0149999999999997</v>
      </c>
      <c r="G86" s="3">
        <v>4.016</v>
      </c>
      <c r="H86" s="3">
        <v>4.0110000000000001</v>
      </c>
      <c r="I86" s="3">
        <v>4.016</v>
      </c>
      <c r="K86" s="3">
        <v>3.8820000000000001</v>
      </c>
      <c r="L86" s="3">
        <v>3.9489999999999998</v>
      </c>
      <c r="M86" s="3">
        <v>4</v>
      </c>
      <c r="N86" s="3">
        <v>4.0149999999999997</v>
      </c>
      <c r="P86" s="3">
        <v>3.7810001196339726</v>
      </c>
      <c r="Q86" s="3">
        <v>3.3330000340938568</v>
      </c>
      <c r="R86" s="3">
        <v>3.7830002009868622</v>
      </c>
      <c r="S86" s="3">
        <v>3.5149999186396599</v>
      </c>
      <c r="U86" s="3">
        <v>7</v>
      </c>
      <c r="V86" s="3">
        <v>8</v>
      </c>
      <c r="W86" s="3">
        <v>8</v>
      </c>
      <c r="X86" s="3">
        <v>10</v>
      </c>
      <c r="Z86" s="3">
        <v>3.8820000000000001</v>
      </c>
      <c r="AA86" s="3">
        <v>3.9489999999999998</v>
      </c>
      <c r="AB86" s="3">
        <v>3.6829999999999998</v>
      </c>
      <c r="AC86" s="3">
        <v>4.0149999999999997</v>
      </c>
      <c r="AE86" s="3">
        <v>3.7810001196339726</v>
      </c>
      <c r="AF86" s="3">
        <v>3.3330000340938568</v>
      </c>
      <c r="AG86" s="3">
        <v>3.4830001890659332</v>
      </c>
      <c r="AH86" s="3">
        <v>3.5149999186396599</v>
      </c>
      <c r="AJ86" s="3">
        <v>7</v>
      </c>
      <c r="AK86" s="3">
        <v>8</v>
      </c>
      <c r="AL86" s="3">
        <v>7</v>
      </c>
      <c r="AM86" s="3">
        <v>10</v>
      </c>
      <c r="AO86" s="3">
        <v>1</v>
      </c>
      <c r="AP86" s="3">
        <v>2</v>
      </c>
      <c r="AQ86" s="3">
        <v>2</v>
      </c>
      <c r="AR86" s="3">
        <v>1</v>
      </c>
      <c r="AT86" s="3">
        <v>6.0000000521540642E-3</v>
      </c>
      <c r="AU86" s="3">
        <v>0</v>
      </c>
      <c r="AV86" s="3">
        <v>0</v>
      </c>
      <c r="AW86" s="3">
        <v>3.2999999821186066E-2</v>
      </c>
      <c r="AY86" s="3">
        <v>0</v>
      </c>
      <c r="AZ86" s="3">
        <v>6.6999999999999837E-2</v>
      </c>
      <c r="BA86" s="3">
        <v>0.3</v>
      </c>
      <c r="BB86" s="3">
        <v>4.9999999999999822E-2</v>
      </c>
      <c r="BD86" s="3">
        <v>0</v>
      </c>
      <c r="BE86" s="3">
        <v>0</v>
      </c>
      <c r="BF86" s="3">
        <v>0.30000001192092896</v>
      </c>
      <c r="BG86" s="3">
        <v>0</v>
      </c>
      <c r="BI86" s="3">
        <v>0</v>
      </c>
      <c r="BJ86" s="3">
        <v>0</v>
      </c>
      <c r="BK86" s="3">
        <v>1</v>
      </c>
      <c r="BL86" s="3">
        <v>0</v>
      </c>
      <c r="BN86" s="3">
        <v>0</v>
      </c>
      <c r="BO86" s="3">
        <v>2</v>
      </c>
      <c r="BP86" s="3">
        <v>1</v>
      </c>
      <c r="BQ86" s="3">
        <v>1</v>
      </c>
      <c r="BS86" s="3">
        <v>4.0149999999999997</v>
      </c>
      <c r="BT86" s="3">
        <v>4.016</v>
      </c>
      <c r="BU86" s="3">
        <v>0.33300000429153442</v>
      </c>
      <c r="BV86" s="3">
        <v>4.016</v>
      </c>
      <c r="BX86" s="3">
        <v>0</v>
      </c>
      <c r="BY86" s="3">
        <v>0</v>
      </c>
      <c r="BZ86" s="3">
        <v>0</v>
      </c>
      <c r="CA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0</v>
      </c>
      <c r="CI86" s="3">
        <v>0</v>
      </c>
      <c r="CJ86" s="3">
        <v>0</v>
      </c>
      <c r="CK86" s="3">
        <v>0</v>
      </c>
      <c r="CM86" s="3">
        <v>0</v>
      </c>
      <c r="CN86" s="3">
        <v>1</v>
      </c>
      <c r="CO86" s="3">
        <v>0</v>
      </c>
      <c r="CP86" s="3">
        <v>0</v>
      </c>
      <c r="CR86" s="3">
        <v>4.0149999999999997</v>
      </c>
      <c r="CS86" s="3">
        <v>4.016</v>
      </c>
      <c r="CT86" s="3">
        <v>4.0110000000000001</v>
      </c>
      <c r="CU86" s="3">
        <v>4.016</v>
      </c>
    </row>
    <row r="87" spans="1:99" s="3" customFormat="1" x14ac:dyDescent="0.35">
      <c r="A87" s="2" t="s">
        <v>85</v>
      </c>
      <c r="B87" s="2">
        <v>7.083333333333333</v>
      </c>
      <c r="C87" s="2" t="s">
        <v>168</v>
      </c>
      <c r="D87" s="2" t="s">
        <v>403</v>
      </c>
      <c r="F87" s="3">
        <v>4.0149999999999997</v>
      </c>
      <c r="G87" s="3">
        <v>4.0309999999999997</v>
      </c>
      <c r="H87" s="3">
        <v>4.0259999999999998</v>
      </c>
      <c r="I87" s="3">
        <v>4.0149999999999997</v>
      </c>
      <c r="K87" s="3">
        <v>3.9989999999999997</v>
      </c>
      <c r="L87" s="3">
        <v>3.9159999999999999</v>
      </c>
      <c r="M87" s="3">
        <v>3.9989999999999997</v>
      </c>
      <c r="N87" s="3">
        <v>3.9989999999999997</v>
      </c>
      <c r="P87" s="3">
        <v>3.7510002739727497</v>
      </c>
      <c r="Q87" s="3">
        <v>3.7649999633431435</v>
      </c>
      <c r="R87" s="3">
        <v>3.8819999471306801</v>
      </c>
      <c r="S87" s="3">
        <v>3.7830004207789898</v>
      </c>
      <c r="U87" s="3">
        <v>7</v>
      </c>
      <c r="V87" s="3">
        <v>9</v>
      </c>
      <c r="W87" s="3">
        <v>8</v>
      </c>
      <c r="X87" s="3">
        <v>12</v>
      </c>
      <c r="Z87" s="3">
        <v>3.9989999999999997</v>
      </c>
      <c r="AA87" s="3">
        <v>3.9159999999999999</v>
      </c>
      <c r="AB87" s="3">
        <v>3.9989999999999997</v>
      </c>
      <c r="AC87" s="3">
        <v>3.9989999999999997</v>
      </c>
      <c r="AE87" s="3">
        <v>3.7510002739727497</v>
      </c>
      <c r="AF87" s="3">
        <v>3.7649999633431435</v>
      </c>
      <c r="AG87" s="3">
        <v>3.8819999471306801</v>
      </c>
      <c r="AH87" s="3">
        <v>3.7830004207789898</v>
      </c>
      <c r="AJ87" s="3">
        <v>7</v>
      </c>
      <c r="AK87" s="3">
        <v>9</v>
      </c>
      <c r="AL87" s="3">
        <v>8</v>
      </c>
      <c r="AM87" s="3">
        <v>12</v>
      </c>
      <c r="AO87" s="3">
        <v>1</v>
      </c>
      <c r="AP87" s="3">
        <v>1</v>
      </c>
      <c r="AQ87" s="3">
        <v>1</v>
      </c>
      <c r="AR87" s="3">
        <v>1</v>
      </c>
      <c r="AT87" s="3">
        <v>3.7999998778104782E-2</v>
      </c>
      <c r="AU87" s="3">
        <v>1.0999999940395355E-2</v>
      </c>
      <c r="AV87" s="3">
        <v>1.0999999940395355E-2</v>
      </c>
      <c r="AW87" s="3">
        <v>1.3000000268220901E-2</v>
      </c>
      <c r="AY87" s="3">
        <v>2.9819999999999993</v>
      </c>
      <c r="AZ87" s="3">
        <v>2.4820000000000002</v>
      </c>
      <c r="BA87" s="3">
        <v>2.2829999999999999</v>
      </c>
      <c r="BB87" s="3">
        <v>2.4149999999999996</v>
      </c>
      <c r="BD87" s="3">
        <v>2.8680002689361572</v>
      </c>
      <c r="BE87" s="3">
        <v>2.6489999890327454</v>
      </c>
      <c r="BF87" s="3">
        <v>2.1499998569488525</v>
      </c>
      <c r="BG87" s="3">
        <v>2.4170003533363342</v>
      </c>
      <c r="BI87" s="3">
        <v>5</v>
      </c>
      <c r="BJ87" s="3">
        <v>6</v>
      </c>
      <c r="BK87" s="3">
        <v>4</v>
      </c>
      <c r="BL87" s="3">
        <v>8</v>
      </c>
      <c r="BN87" s="3">
        <v>2</v>
      </c>
      <c r="BO87" s="3">
        <v>3</v>
      </c>
      <c r="BP87" s="3">
        <v>2</v>
      </c>
      <c r="BQ87" s="3">
        <v>4</v>
      </c>
      <c r="BS87" s="3">
        <v>0.53799998760223389</v>
      </c>
      <c r="BT87" s="3">
        <v>0.56099998950958252</v>
      </c>
      <c r="BU87" s="3">
        <v>0.49500000476837158</v>
      </c>
      <c r="BV87" s="3">
        <v>0.52899998426437378</v>
      </c>
      <c r="BX87" s="3">
        <v>0</v>
      </c>
      <c r="BY87" s="3">
        <v>0</v>
      </c>
      <c r="BZ87" s="3">
        <v>0</v>
      </c>
      <c r="CA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0</v>
      </c>
      <c r="CI87" s="3">
        <v>0</v>
      </c>
      <c r="CJ87" s="3">
        <v>0</v>
      </c>
      <c r="CK87" s="3">
        <v>0</v>
      </c>
      <c r="CM87" s="3">
        <v>0</v>
      </c>
      <c r="CN87" s="3">
        <v>0</v>
      </c>
      <c r="CO87" s="3">
        <v>0</v>
      </c>
      <c r="CP87" s="3">
        <v>0</v>
      </c>
      <c r="CR87" s="3">
        <v>4.0149999999999997</v>
      </c>
      <c r="CS87" s="3">
        <v>4.0309999999999997</v>
      </c>
      <c r="CT87" s="3">
        <v>4.0259999999999998</v>
      </c>
      <c r="CU87" s="3">
        <v>4.0149999999999997</v>
      </c>
    </row>
    <row r="88" spans="1:99" s="3" customFormat="1" x14ac:dyDescent="0.35">
      <c r="A88" s="2" t="s">
        <v>86</v>
      </c>
      <c r="B88" s="2">
        <v>7.333333333333333</v>
      </c>
      <c r="C88" s="2" t="s">
        <v>167</v>
      </c>
      <c r="D88" s="2" t="s">
        <v>403</v>
      </c>
      <c r="F88" s="3">
        <v>4.0469999999999997</v>
      </c>
      <c r="G88" s="3">
        <v>4.016</v>
      </c>
      <c r="H88" s="3">
        <v>4.0149999999999997</v>
      </c>
      <c r="I88" s="3">
        <v>3.0479999999999996</v>
      </c>
      <c r="K88" s="3">
        <v>4.016</v>
      </c>
      <c r="L88" s="3">
        <v>3.9990000000000001</v>
      </c>
      <c r="M88" s="3">
        <v>3.9989999999999997</v>
      </c>
      <c r="N88" s="3">
        <v>3.0319999999999996</v>
      </c>
      <c r="P88" s="3">
        <v>3.6330000963062048</v>
      </c>
      <c r="Q88" s="3">
        <v>3.8829998840810731</v>
      </c>
      <c r="R88" s="3">
        <v>3.6470001847483218</v>
      </c>
      <c r="S88" s="3">
        <v>2.0999996662139893</v>
      </c>
      <c r="U88" s="3">
        <v>13</v>
      </c>
      <c r="V88" s="3">
        <v>8</v>
      </c>
      <c r="W88" s="3">
        <v>8</v>
      </c>
      <c r="X88" s="3">
        <v>7</v>
      </c>
      <c r="Z88" s="3">
        <v>3.8159999999999998</v>
      </c>
      <c r="AA88" s="3">
        <v>3.9990000000000001</v>
      </c>
      <c r="AB88" s="3">
        <v>3.9989999999999997</v>
      </c>
      <c r="AC88" s="3">
        <v>1.6999999999999995</v>
      </c>
      <c r="AE88" s="3">
        <v>3.4660000950098038</v>
      </c>
      <c r="AF88" s="3">
        <v>3.8829998840810731</v>
      </c>
      <c r="AG88" s="3">
        <v>3.6470001847483218</v>
      </c>
      <c r="AH88" s="3">
        <v>1.5170000791549683</v>
      </c>
      <c r="AJ88" s="3">
        <v>12</v>
      </c>
      <c r="AK88" s="3">
        <v>8</v>
      </c>
      <c r="AL88" s="3">
        <v>8</v>
      </c>
      <c r="AM88" s="3">
        <v>3</v>
      </c>
      <c r="AO88" s="3">
        <v>1</v>
      </c>
      <c r="AP88" s="3">
        <v>1</v>
      </c>
      <c r="AQ88" s="3">
        <v>1</v>
      </c>
      <c r="AR88" s="3">
        <v>3</v>
      </c>
      <c r="AT88" s="3">
        <v>0.20999999344348907</v>
      </c>
      <c r="AU88" s="3">
        <v>1.0000000474974513E-3</v>
      </c>
      <c r="AV88" s="3">
        <v>3.0000000260770321E-3</v>
      </c>
      <c r="AW88" s="3">
        <v>0.3580000102519989</v>
      </c>
      <c r="AY88" s="3">
        <v>0.41600000000000004</v>
      </c>
      <c r="AZ88" s="3">
        <v>2.5489999999999999</v>
      </c>
      <c r="BA88" s="3">
        <v>0.84900000000000009</v>
      </c>
      <c r="BB88" s="3">
        <v>1.234</v>
      </c>
      <c r="BD88" s="3">
        <v>0.51600000262260437</v>
      </c>
      <c r="BE88" s="3">
        <v>2.75</v>
      </c>
      <c r="BF88" s="3">
        <v>0.74799996614456177</v>
      </c>
      <c r="BG88" s="3">
        <v>1.4000000953674316</v>
      </c>
      <c r="BI88" s="3">
        <v>1</v>
      </c>
      <c r="BJ88" s="3">
        <v>4</v>
      </c>
      <c r="BK88" s="3">
        <v>2</v>
      </c>
      <c r="BL88" s="3">
        <v>2</v>
      </c>
      <c r="BN88" s="3">
        <v>4</v>
      </c>
      <c r="BO88" s="3">
        <v>3</v>
      </c>
      <c r="BP88" s="3">
        <v>2</v>
      </c>
      <c r="BQ88" s="3">
        <v>4</v>
      </c>
      <c r="BS88" s="3">
        <v>0.37700000405311584</v>
      </c>
      <c r="BT88" s="3">
        <v>0.55099999904632568</v>
      </c>
      <c r="BU88" s="3">
        <v>0.95300000905990601</v>
      </c>
      <c r="BV88" s="3">
        <v>2.5569999217987061</v>
      </c>
      <c r="BX88" s="3">
        <v>0.64900000000000002</v>
      </c>
      <c r="BY88" s="3">
        <v>0.20000000000000018</v>
      </c>
      <c r="BZ88" s="3">
        <v>0.46599999999999975</v>
      </c>
      <c r="CA88" s="3">
        <v>0</v>
      </c>
      <c r="CC88" s="3">
        <v>0.91700005531311035</v>
      </c>
      <c r="CD88" s="3">
        <v>0.26699995994567871</v>
      </c>
      <c r="CE88" s="3">
        <v>0.53299999237060547</v>
      </c>
      <c r="CF88" s="3">
        <v>0</v>
      </c>
      <c r="CH88" s="3">
        <v>2</v>
      </c>
      <c r="CI88" s="3">
        <v>1</v>
      </c>
      <c r="CJ88" s="3">
        <v>2</v>
      </c>
      <c r="CK88" s="3">
        <v>0</v>
      </c>
      <c r="CM88" s="3">
        <v>2</v>
      </c>
      <c r="CN88" s="3">
        <v>1</v>
      </c>
      <c r="CO88" s="3">
        <v>3</v>
      </c>
      <c r="CP88" s="3">
        <v>0</v>
      </c>
      <c r="CR88" s="3">
        <v>2.9930000305175781</v>
      </c>
      <c r="CS88" s="3">
        <v>3.0499999523162842</v>
      </c>
      <c r="CT88" s="3">
        <v>3.4019999504089355</v>
      </c>
      <c r="CU88" s="3">
        <v>4.0149999999999997</v>
      </c>
    </row>
    <row r="89" spans="1:99" s="3" customFormat="1" x14ac:dyDescent="0.35">
      <c r="A89" s="2" t="s">
        <v>87</v>
      </c>
      <c r="B89" s="2">
        <v>6.333333333333333</v>
      </c>
      <c r="C89" s="2" t="s">
        <v>167</v>
      </c>
      <c r="D89" s="2" t="s">
        <v>403</v>
      </c>
      <c r="F89" s="3">
        <v>4.0259999999999998</v>
      </c>
      <c r="G89" s="3">
        <v>4.0359999999999996</v>
      </c>
      <c r="H89" s="3">
        <v>4.0110000000000001</v>
      </c>
      <c r="I89" s="3">
        <v>4.0110000000000001</v>
      </c>
      <c r="K89" s="3">
        <v>4.016</v>
      </c>
      <c r="L89" s="3">
        <v>4.016</v>
      </c>
      <c r="M89" s="3">
        <v>3.9990000000000001</v>
      </c>
      <c r="N89" s="3">
        <v>3.9990000000000001</v>
      </c>
      <c r="P89" s="3">
        <v>3.7840004344470799</v>
      </c>
      <c r="Q89" s="3">
        <v>3.2989995554089546</v>
      </c>
      <c r="R89" s="3">
        <v>3.5169996400363743</v>
      </c>
      <c r="S89" s="3">
        <v>3.380999862216413</v>
      </c>
      <c r="U89" s="3">
        <v>8</v>
      </c>
      <c r="V89" s="3">
        <v>8</v>
      </c>
      <c r="W89" s="3">
        <v>10</v>
      </c>
      <c r="X89" s="3">
        <v>10</v>
      </c>
      <c r="Z89" s="3">
        <v>4.016</v>
      </c>
      <c r="AA89" s="3">
        <v>3.5150000000000006</v>
      </c>
      <c r="AB89" s="3">
        <v>3.9990000000000001</v>
      </c>
      <c r="AC89" s="3">
        <v>3.9990000000000001</v>
      </c>
      <c r="AE89" s="3">
        <v>3.7840004344470799</v>
      </c>
      <c r="AF89" s="3">
        <v>3.2989995554089546</v>
      </c>
      <c r="AG89" s="3">
        <v>3.5169996400363743</v>
      </c>
      <c r="AH89" s="3">
        <v>3.380999862216413</v>
      </c>
      <c r="AJ89" s="3">
        <v>8</v>
      </c>
      <c r="AK89" s="3">
        <v>8</v>
      </c>
      <c r="AL89" s="3">
        <v>10</v>
      </c>
      <c r="AM89" s="3">
        <v>10</v>
      </c>
      <c r="AO89" s="3">
        <v>1</v>
      </c>
      <c r="AP89" s="3">
        <v>3</v>
      </c>
      <c r="AQ89" s="3">
        <v>1</v>
      </c>
      <c r="AR89" s="3">
        <v>1</v>
      </c>
      <c r="AT89" s="3">
        <v>4.0000001899898052E-3</v>
      </c>
      <c r="AU89" s="3">
        <v>1.0999999940395355E-2</v>
      </c>
      <c r="AV89" s="3">
        <v>4.0000001899898052E-3</v>
      </c>
      <c r="AW89" s="3">
        <v>7.0000002160668373E-3</v>
      </c>
      <c r="AY89" s="3">
        <v>1.3330000000000006</v>
      </c>
      <c r="AZ89" s="3">
        <v>2.2670000000000008</v>
      </c>
      <c r="BA89" s="3">
        <v>2.8840000000000003</v>
      </c>
      <c r="BB89" s="3">
        <v>1.532</v>
      </c>
      <c r="BD89" s="3">
        <v>1.3680000682361424</v>
      </c>
      <c r="BE89" s="3">
        <v>2.1669998168945313</v>
      </c>
      <c r="BF89" s="3">
        <v>2.217999666929245</v>
      </c>
      <c r="BG89" s="3">
        <v>1.532999575138092</v>
      </c>
      <c r="BI89" s="3">
        <v>3</v>
      </c>
      <c r="BJ89" s="3">
        <v>5</v>
      </c>
      <c r="BK89" s="3">
        <v>8</v>
      </c>
      <c r="BL89" s="3">
        <v>5</v>
      </c>
      <c r="BN89" s="3">
        <v>5</v>
      </c>
      <c r="BO89" s="3">
        <v>5</v>
      </c>
      <c r="BP89" s="3">
        <v>6</v>
      </c>
      <c r="BQ89" s="3">
        <v>7</v>
      </c>
      <c r="BS89" s="3">
        <v>4.0000001899898052E-3</v>
      </c>
      <c r="BT89" s="3">
        <v>0.47699999809265137</v>
      </c>
      <c r="BU89" s="3">
        <v>0.41999998688697815</v>
      </c>
      <c r="BV89" s="3">
        <v>0.32400000095367432</v>
      </c>
      <c r="BX89" s="3">
        <v>0</v>
      </c>
      <c r="BY89" s="3">
        <v>0</v>
      </c>
      <c r="BZ89" s="3">
        <v>0</v>
      </c>
      <c r="CA89" s="3">
        <v>6.5999999999999837E-2</v>
      </c>
      <c r="CC89" s="3">
        <v>0</v>
      </c>
      <c r="CD89" s="3">
        <v>0</v>
      </c>
      <c r="CE89" s="3">
        <v>0</v>
      </c>
      <c r="CF89" s="3">
        <v>0</v>
      </c>
      <c r="CH89" s="3">
        <v>0</v>
      </c>
      <c r="CI89" s="3">
        <v>0</v>
      </c>
      <c r="CJ89" s="3">
        <v>0</v>
      </c>
      <c r="CK89" s="3">
        <v>0</v>
      </c>
      <c r="CM89" s="3">
        <v>0</v>
      </c>
      <c r="CN89" s="3">
        <v>0</v>
      </c>
      <c r="CO89" s="3">
        <v>0</v>
      </c>
      <c r="CP89" s="3">
        <v>3</v>
      </c>
      <c r="CR89" s="3">
        <v>4.0259999999999998</v>
      </c>
      <c r="CS89" s="3">
        <v>4.0359999999999996</v>
      </c>
      <c r="CT89" s="3">
        <v>4.0110000000000001</v>
      </c>
      <c r="CU89" s="3">
        <v>4.0110000000000001</v>
      </c>
    </row>
    <row r="90" spans="1:99" s="3" customFormat="1" x14ac:dyDescent="0.35">
      <c r="A90" s="2" t="s">
        <v>88</v>
      </c>
      <c r="B90" s="2">
        <v>6.916666666666667</v>
      </c>
      <c r="C90" s="2" t="s">
        <v>168</v>
      </c>
      <c r="D90" s="2" t="s">
        <v>403</v>
      </c>
      <c r="F90" s="3">
        <v>4.0049999999999999</v>
      </c>
      <c r="G90" s="3">
        <v>4.0140000000000002</v>
      </c>
      <c r="H90" s="3">
        <v>4.0149999999999997</v>
      </c>
      <c r="I90" s="3">
        <v>1.8519999999999999</v>
      </c>
      <c r="K90" s="3">
        <v>3.9830000000000001</v>
      </c>
      <c r="L90" s="3">
        <v>2.633</v>
      </c>
      <c r="M90" s="3">
        <v>3.9989999999999997</v>
      </c>
      <c r="N90" s="3">
        <v>1000</v>
      </c>
      <c r="P90" s="3">
        <v>3.8169998517259955</v>
      </c>
      <c r="Q90" s="3">
        <v>2.4979999363422394</v>
      </c>
      <c r="R90" s="3">
        <v>3.7640001932159066</v>
      </c>
      <c r="S90" s="3">
        <v>1000</v>
      </c>
      <c r="U90" s="3">
        <v>7</v>
      </c>
      <c r="V90" s="3">
        <v>9</v>
      </c>
      <c r="W90" s="3">
        <v>10</v>
      </c>
      <c r="X90" s="3">
        <v>1000</v>
      </c>
      <c r="Z90" s="3">
        <v>3.9830000000000001</v>
      </c>
      <c r="AA90" s="3">
        <v>2.649</v>
      </c>
      <c r="AB90" s="3">
        <v>3.9989999999999997</v>
      </c>
      <c r="AC90" s="3">
        <v>1000</v>
      </c>
      <c r="AE90" s="3">
        <v>3.8169998517259955</v>
      </c>
      <c r="AF90" s="3">
        <v>2.4979999363422394</v>
      </c>
      <c r="AG90" s="3">
        <v>3.7640001932159066</v>
      </c>
      <c r="AH90" s="3">
        <v>1000</v>
      </c>
      <c r="AJ90" s="3">
        <v>7</v>
      </c>
      <c r="AK90" s="3">
        <v>9</v>
      </c>
      <c r="AL90" s="3">
        <v>10</v>
      </c>
      <c r="AM90" s="3">
        <v>1000</v>
      </c>
      <c r="AO90" s="3">
        <v>1</v>
      </c>
      <c r="AP90" s="3">
        <v>1</v>
      </c>
      <c r="AQ90" s="3">
        <v>1</v>
      </c>
      <c r="AR90" s="3">
        <v>1000</v>
      </c>
      <c r="AT90" s="3">
        <v>7.0000002160668373E-3</v>
      </c>
      <c r="AU90" s="3">
        <v>0.33500000834465027</v>
      </c>
      <c r="AV90" s="3">
        <v>8.0000003799796104E-3</v>
      </c>
      <c r="AW90" s="3">
        <v>1000</v>
      </c>
      <c r="AY90" s="3">
        <v>2.3510000000000009</v>
      </c>
      <c r="AZ90" s="3">
        <v>0.56599999999999984</v>
      </c>
      <c r="BA90" s="3">
        <v>0.58300000000000018</v>
      </c>
      <c r="BB90" s="3">
        <v>1000</v>
      </c>
      <c r="BD90" s="3">
        <v>2.3670001327991486</v>
      </c>
      <c r="BE90" s="3">
        <v>0.65000009536743164</v>
      </c>
      <c r="BF90" s="3">
        <v>0.38300022482872009</v>
      </c>
      <c r="BG90" s="3">
        <v>1000</v>
      </c>
      <c r="BI90" s="3">
        <v>3</v>
      </c>
      <c r="BJ90" s="3">
        <v>3</v>
      </c>
      <c r="BK90" s="3">
        <v>3</v>
      </c>
      <c r="BL90" s="3">
        <v>1000</v>
      </c>
      <c r="BN90" s="3">
        <v>4</v>
      </c>
      <c r="BO90" s="3">
        <v>3</v>
      </c>
      <c r="BP90" s="3">
        <v>3</v>
      </c>
      <c r="BQ90" s="3">
        <v>1000</v>
      </c>
      <c r="BS90" s="3">
        <v>0.42399999499320984</v>
      </c>
      <c r="BT90" s="3">
        <v>0.5350000262260437</v>
      </c>
      <c r="BU90" s="3">
        <v>0.3580000102519989</v>
      </c>
      <c r="BV90" s="3">
        <v>1000</v>
      </c>
      <c r="BX90" s="3">
        <v>0.56699999999999995</v>
      </c>
      <c r="BY90" s="3">
        <v>0</v>
      </c>
      <c r="BZ90" s="3">
        <v>0</v>
      </c>
      <c r="CA90" s="3">
        <v>1000</v>
      </c>
      <c r="CC90" s="3">
        <v>0.71699988842010498</v>
      </c>
      <c r="CD90" s="3">
        <v>0</v>
      </c>
      <c r="CE90" s="3">
        <v>0</v>
      </c>
      <c r="CF90" s="3">
        <v>1000</v>
      </c>
      <c r="CH90" s="3">
        <v>1</v>
      </c>
      <c r="CI90" s="3">
        <v>0</v>
      </c>
      <c r="CJ90" s="3">
        <v>0</v>
      </c>
      <c r="CK90" s="3">
        <v>1000</v>
      </c>
      <c r="CM90" s="3">
        <v>1</v>
      </c>
      <c r="CN90" s="3">
        <v>0</v>
      </c>
      <c r="CO90" s="3">
        <v>0</v>
      </c>
      <c r="CP90" s="3">
        <v>1000</v>
      </c>
      <c r="CR90" s="3">
        <v>1.6230000257492065</v>
      </c>
      <c r="CS90" s="3">
        <v>4.0140000000000002</v>
      </c>
      <c r="CT90" s="3">
        <v>4.0149999999999997</v>
      </c>
      <c r="CU90" s="3">
        <v>1000</v>
      </c>
    </row>
    <row r="91" spans="1:99" s="3" customFormat="1" x14ac:dyDescent="0.35">
      <c r="A91" s="2" t="s">
        <v>89</v>
      </c>
      <c r="B91" s="2">
        <v>9.5</v>
      </c>
      <c r="C91" s="2" t="s">
        <v>167</v>
      </c>
      <c r="D91" s="2" t="s">
        <v>403</v>
      </c>
      <c r="F91" s="3">
        <v>4.0110000000000001</v>
      </c>
      <c r="G91" s="3">
        <v>4.016</v>
      </c>
      <c r="H91" s="3">
        <v>4.01</v>
      </c>
      <c r="I91" s="3">
        <v>4.0110000000000001</v>
      </c>
      <c r="K91" s="3">
        <v>3.8990000000000005</v>
      </c>
      <c r="L91" s="3">
        <v>3.9990000000000001</v>
      </c>
      <c r="M91" s="3">
        <v>3.9820000000000002</v>
      </c>
      <c r="N91" s="3">
        <v>3.9989999999999997</v>
      </c>
      <c r="P91" s="3">
        <v>3.6629997193813324</v>
      </c>
      <c r="Q91" s="3">
        <v>3.815000026486814</v>
      </c>
      <c r="R91" s="3">
        <v>3.6320007685571909</v>
      </c>
      <c r="S91" s="3">
        <v>3.4980003489181399</v>
      </c>
      <c r="U91" s="3">
        <v>9</v>
      </c>
      <c r="V91" s="3">
        <v>7</v>
      </c>
      <c r="W91" s="3">
        <v>13</v>
      </c>
      <c r="X91" s="3">
        <v>8</v>
      </c>
      <c r="Z91" s="3">
        <v>3.8490000000000002</v>
      </c>
      <c r="AA91" s="3">
        <v>3.9329999999999998</v>
      </c>
      <c r="AB91" s="3">
        <v>3.9820000000000002</v>
      </c>
      <c r="AC91" s="3">
        <v>3.7159999999999993</v>
      </c>
      <c r="AE91" s="3">
        <v>3.6629997193813324</v>
      </c>
      <c r="AF91" s="3">
        <v>3.815000026486814</v>
      </c>
      <c r="AG91" s="3">
        <v>3.6320007685571909</v>
      </c>
      <c r="AH91" s="3">
        <v>3.4980003489181399</v>
      </c>
      <c r="AJ91" s="3">
        <v>9</v>
      </c>
      <c r="AK91" s="3">
        <v>7</v>
      </c>
      <c r="AL91" s="3">
        <v>13</v>
      </c>
      <c r="AM91" s="3">
        <v>8</v>
      </c>
      <c r="AO91" s="3">
        <v>2</v>
      </c>
      <c r="AP91" s="3">
        <v>2</v>
      </c>
      <c r="AQ91" s="3">
        <v>1</v>
      </c>
      <c r="AR91" s="3">
        <v>2</v>
      </c>
      <c r="AT91" s="3">
        <v>0.14300000667572021</v>
      </c>
      <c r="AU91" s="3">
        <v>7.0000002160668373E-3</v>
      </c>
      <c r="AV91" s="3">
        <v>1.2000000104308128E-2</v>
      </c>
      <c r="AW91" s="3">
        <v>4.999999888241291E-3</v>
      </c>
      <c r="AY91" s="3">
        <v>1.1670000000000003</v>
      </c>
      <c r="AZ91" s="3">
        <v>2.1829999999999998</v>
      </c>
      <c r="BA91" s="3">
        <v>1.633</v>
      </c>
      <c r="BB91" s="3">
        <v>1.9169999999999998</v>
      </c>
      <c r="BD91" s="3">
        <v>1.2159999907016754</v>
      </c>
      <c r="BE91" s="3">
        <v>2.0160001516342163</v>
      </c>
      <c r="BF91" s="3">
        <v>1.4000004529953003</v>
      </c>
      <c r="BG91" s="3">
        <v>2.3820000886917114</v>
      </c>
      <c r="BI91" s="3">
        <v>3</v>
      </c>
      <c r="BJ91" s="3">
        <v>5</v>
      </c>
      <c r="BK91" s="3">
        <v>5</v>
      </c>
      <c r="BL91" s="3">
        <v>4</v>
      </c>
      <c r="BN91" s="3">
        <v>3</v>
      </c>
      <c r="BO91" s="3">
        <v>3</v>
      </c>
      <c r="BP91" s="3">
        <v>5</v>
      </c>
      <c r="BQ91" s="3">
        <v>4</v>
      </c>
      <c r="BS91" s="3">
        <v>0.29300001263618469</v>
      </c>
      <c r="BT91" s="3">
        <v>0.87300002574920654</v>
      </c>
      <c r="BU91" s="3">
        <v>0.67799997329711914</v>
      </c>
      <c r="BV91" s="3">
        <v>0.50499999523162842</v>
      </c>
      <c r="BX91" s="3">
        <v>1.115</v>
      </c>
      <c r="BY91" s="3">
        <v>0</v>
      </c>
      <c r="BZ91" s="3">
        <v>0</v>
      </c>
      <c r="CA91" s="3">
        <v>0</v>
      </c>
      <c r="CC91" s="3">
        <v>1.2489999532699585</v>
      </c>
      <c r="CD91" s="3">
        <v>0</v>
      </c>
      <c r="CE91" s="3">
        <v>0</v>
      </c>
      <c r="CF91" s="3">
        <v>0</v>
      </c>
      <c r="CH91" s="3">
        <v>2</v>
      </c>
      <c r="CI91" s="3">
        <v>0</v>
      </c>
      <c r="CJ91" s="3">
        <v>0</v>
      </c>
      <c r="CK91" s="3">
        <v>0</v>
      </c>
      <c r="CM91" s="3">
        <v>3</v>
      </c>
      <c r="CN91" s="3">
        <v>0</v>
      </c>
      <c r="CO91" s="3">
        <v>0</v>
      </c>
      <c r="CP91" s="3">
        <v>0</v>
      </c>
      <c r="CR91" s="3">
        <v>1.9759999513626099</v>
      </c>
      <c r="CS91" s="3">
        <v>4.016</v>
      </c>
      <c r="CT91" s="3">
        <v>4.01</v>
      </c>
      <c r="CU91" s="3">
        <v>4.0110000000000001</v>
      </c>
    </row>
    <row r="92" spans="1:99" s="3" customFormat="1" x14ac:dyDescent="0.35">
      <c r="A92" s="2" t="s">
        <v>90</v>
      </c>
      <c r="B92" s="2">
        <v>5.583333333333333</v>
      </c>
      <c r="C92" s="2" t="s">
        <v>168</v>
      </c>
      <c r="D92" s="2" t="s">
        <v>403</v>
      </c>
      <c r="F92" s="3">
        <v>4.0149999999999997</v>
      </c>
      <c r="G92" s="3">
        <v>4.0140000000000002</v>
      </c>
      <c r="H92" s="3">
        <v>4.0259999999999998</v>
      </c>
      <c r="I92" s="3">
        <v>4.0149999999999997</v>
      </c>
      <c r="K92" s="3">
        <v>3.9820000000000002</v>
      </c>
      <c r="L92" s="3">
        <v>3.915</v>
      </c>
      <c r="M92" s="3">
        <v>3.5659999999999998</v>
      </c>
      <c r="N92" s="3">
        <v>3.9990000000000001</v>
      </c>
      <c r="P92" s="3">
        <v>3.8669995106756687</v>
      </c>
      <c r="Q92" s="3">
        <v>3.7980001717805862</v>
      </c>
      <c r="R92" s="3">
        <v>3.5159996151924133</v>
      </c>
      <c r="S92" s="3">
        <v>3.2830002307891846</v>
      </c>
      <c r="U92" s="3">
        <v>8</v>
      </c>
      <c r="V92" s="3">
        <v>6</v>
      </c>
      <c r="W92" s="3">
        <v>4</v>
      </c>
      <c r="X92" s="3">
        <v>12</v>
      </c>
      <c r="Z92" s="3">
        <v>3.9820000000000002</v>
      </c>
      <c r="AA92" s="3">
        <v>3.899</v>
      </c>
      <c r="AB92" s="3">
        <v>3.5659999999999998</v>
      </c>
      <c r="AC92" s="3">
        <v>3.7650000000000001</v>
      </c>
      <c r="AE92" s="3">
        <v>3.8669995106756687</v>
      </c>
      <c r="AF92" s="3">
        <v>3.7980001717805862</v>
      </c>
      <c r="AG92" s="3">
        <v>3.5159996151924133</v>
      </c>
      <c r="AH92" s="3">
        <v>3.2830002307891846</v>
      </c>
      <c r="AJ92" s="3">
        <v>8</v>
      </c>
      <c r="AK92" s="3">
        <v>6</v>
      </c>
      <c r="AL92" s="3">
        <v>4</v>
      </c>
      <c r="AM92" s="3">
        <v>12</v>
      </c>
      <c r="AO92" s="3">
        <v>1</v>
      </c>
      <c r="AP92" s="3">
        <v>1</v>
      </c>
      <c r="AQ92" s="3">
        <v>1</v>
      </c>
      <c r="AR92" s="3">
        <v>2</v>
      </c>
      <c r="AT92" s="3">
        <v>8.999999612569809E-3</v>
      </c>
      <c r="AU92" s="3">
        <v>0.12399999797344208</v>
      </c>
      <c r="AV92" s="3">
        <v>0.44900000095367432</v>
      </c>
      <c r="AW92" s="3">
        <v>0.26800000667572021</v>
      </c>
      <c r="AY92" s="3">
        <v>0.76600000000000024</v>
      </c>
      <c r="AZ92" s="3">
        <v>2.1480000000000006</v>
      </c>
      <c r="BA92" s="3">
        <v>1.8660000000000001</v>
      </c>
      <c r="BB92" s="3">
        <v>1.0830000000000002</v>
      </c>
      <c r="BD92" s="3">
        <v>0</v>
      </c>
      <c r="BE92" s="3">
        <v>1.3659999370574951</v>
      </c>
      <c r="BF92" s="3">
        <v>1.7989999055862427</v>
      </c>
      <c r="BG92" s="3">
        <v>1.3340001702308655</v>
      </c>
      <c r="BI92" s="3">
        <v>0</v>
      </c>
      <c r="BJ92" s="3">
        <v>2</v>
      </c>
      <c r="BK92" s="3">
        <v>1</v>
      </c>
      <c r="BL92" s="3">
        <v>5</v>
      </c>
      <c r="BN92" s="3">
        <v>2</v>
      </c>
      <c r="BO92" s="3">
        <v>6</v>
      </c>
      <c r="BP92" s="3">
        <v>1</v>
      </c>
      <c r="BQ92" s="3">
        <v>5</v>
      </c>
      <c r="BS92" s="3">
        <v>4.0149999999999997</v>
      </c>
      <c r="BT92" s="3">
        <v>1.690000057220459</v>
      </c>
      <c r="BU92" s="3">
        <v>0.91600000858306885</v>
      </c>
      <c r="BV92" s="3">
        <v>0.91699999570846558</v>
      </c>
      <c r="BX92" s="3">
        <v>0.91599999999999981</v>
      </c>
      <c r="BY92" s="3">
        <v>0.41699999999999993</v>
      </c>
      <c r="BZ92" s="3">
        <v>0.53299999999999992</v>
      </c>
      <c r="CA92" s="3">
        <v>0.33199999999999996</v>
      </c>
      <c r="CC92" s="3">
        <v>0.79999983683228493</v>
      </c>
      <c r="CD92" s="3">
        <v>0</v>
      </c>
      <c r="CE92" s="3">
        <v>1.1499998569488525</v>
      </c>
      <c r="CF92" s="3">
        <v>0.39899998903274536</v>
      </c>
      <c r="CH92" s="3">
        <v>2</v>
      </c>
      <c r="CI92" s="3">
        <v>0</v>
      </c>
      <c r="CJ92" s="3">
        <v>1</v>
      </c>
      <c r="CK92" s="3">
        <v>1</v>
      </c>
      <c r="CM92" s="3">
        <v>3</v>
      </c>
      <c r="CN92" s="3">
        <v>2</v>
      </c>
      <c r="CO92" s="3">
        <v>1</v>
      </c>
      <c r="CP92" s="3">
        <v>2</v>
      </c>
      <c r="CR92" s="3">
        <v>8.999999612569809E-3</v>
      </c>
      <c r="CS92" s="3">
        <v>4.0140000000000002</v>
      </c>
      <c r="CT92" s="3">
        <v>2.8650000095367432</v>
      </c>
      <c r="CU92" s="3">
        <v>0.26800000667572021</v>
      </c>
    </row>
    <row r="93" spans="1:99" s="3" customFormat="1" x14ac:dyDescent="0.35">
      <c r="A93" s="2" t="s">
        <v>91</v>
      </c>
      <c r="B93" s="2">
        <v>10.75</v>
      </c>
      <c r="C93" s="2" t="s">
        <v>168</v>
      </c>
      <c r="D93" s="2" t="s">
        <v>403</v>
      </c>
      <c r="F93" s="3">
        <v>4.0149999999999997</v>
      </c>
      <c r="G93" s="3">
        <v>4.016</v>
      </c>
      <c r="H93" s="3">
        <v>4.016</v>
      </c>
      <c r="I93" s="3">
        <v>4.0469999999999997</v>
      </c>
      <c r="K93" s="3">
        <v>3.9990000000000001</v>
      </c>
      <c r="L93" s="3">
        <v>3.9989999999999997</v>
      </c>
      <c r="M93" s="3">
        <v>3.9989999999999997</v>
      </c>
      <c r="N93" s="3">
        <v>4.016</v>
      </c>
      <c r="P93" s="3">
        <v>3.9670000672340393</v>
      </c>
      <c r="Q93" s="3">
        <v>3.7650002101436257</v>
      </c>
      <c r="R93" s="3">
        <v>3.5340003781020641</v>
      </c>
      <c r="S93" s="3">
        <v>3.0650003235787153</v>
      </c>
      <c r="U93" s="3">
        <v>3</v>
      </c>
      <c r="V93" s="3">
        <v>11</v>
      </c>
      <c r="W93" s="3">
        <v>11</v>
      </c>
      <c r="X93" s="3">
        <v>12</v>
      </c>
      <c r="Z93" s="3">
        <v>3.9990000000000001</v>
      </c>
      <c r="AA93" s="3">
        <v>3.9489999999999998</v>
      </c>
      <c r="AB93" s="3">
        <v>3.9989999999999997</v>
      </c>
      <c r="AC93" s="3">
        <v>3.649</v>
      </c>
      <c r="AE93" s="3">
        <v>3.9670000672340393</v>
      </c>
      <c r="AF93" s="3">
        <v>3.7650002101436257</v>
      </c>
      <c r="AG93" s="3">
        <v>3.5340003781020641</v>
      </c>
      <c r="AH93" s="3">
        <v>3.0650003235787153</v>
      </c>
      <c r="AJ93" s="3">
        <v>3</v>
      </c>
      <c r="AK93" s="3">
        <v>11</v>
      </c>
      <c r="AL93" s="3">
        <v>11</v>
      </c>
      <c r="AM93" s="3">
        <v>12</v>
      </c>
      <c r="AO93" s="3">
        <v>1</v>
      </c>
      <c r="AP93" s="3">
        <v>2</v>
      </c>
      <c r="AQ93" s="3">
        <v>1</v>
      </c>
      <c r="AR93" s="3">
        <v>2</v>
      </c>
      <c r="AT93" s="3">
        <v>0</v>
      </c>
      <c r="AU93" s="3">
        <v>8.0000003799796104E-3</v>
      </c>
      <c r="AV93" s="3">
        <v>1.3000000268220901E-2</v>
      </c>
      <c r="AW93" s="3">
        <v>1.4000000432133675E-2</v>
      </c>
      <c r="AY93" s="3">
        <v>0</v>
      </c>
      <c r="AZ93" s="3">
        <v>0.41599999999999993</v>
      </c>
      <c r="BA93" s="3">
        <v>0.93299999999999983</v>
      </c>
      <c r="BB93" s="3">
        <v>0.66700000000000026</v>
      </c>
      <c r="BD93" s="3">
        <v>0</v>
      </c>
      <c r="BE93" s="3">
        <v>0.58299994468688965</v>
      </c>
      <c r="BF93" s="3">
        <v>1.0830000638961792</v>
      </c>
      <c r="BG93" s="3">
        <v>0.76600027084350586</v>
      </c>
      <c r="BI93" s="3">
        <v>0</v>
      </c>
      <c r="BJ93" s="3">
        <v>2</v>
      </c>
      <c r="BK93" s="3">
        <v>2</v>
      </c>
      <c r="BL93" s="3">
        <v>3</v>
      </c>
      <c r="BN93" s="3">
        <v>0</v>
      </c>
      <c r="BO93" s="3">
        <v>3</v>
      </c>
      <c r="BP93" s="3">
        <v>5</v>
      </c>
      <c r="BQ93" s="3">
        <v>1</v>
      </c>
      <c r="BS93" s="3">
        <v>4.0149999999999997</v>
      </c>
      <c r="BT93" s="3">
        <v>1.1749999523162842</v>
      </c>
      <c r="BU93" s="3">
        <v>1.5959999561309814</v>
      </c>
      <c r="BV93" s="3">
        <v>3.2300000190734863</v>
      </c>
      <c r="BX93" s="3">
        <v>0.59899999999999998</v>
      </c>
      <c r="BY93" s="3">
        <v>1.1169999999999995</v>
      </c>
      <c r="BZ93" s="3">
        <v>0.53300000000000003</v>
      </c>
      <c r="CA93" s="3">
        <v>0.51600000000000001</v>
      </c>
      <c r="CC93" s="3">
        <v>0.63300001621246338</v>
      </c>
      <c r="CD93" s="3">
        <v>1.0160001376643777</v>
      </c>
      <c r="CE93" s="3">
        <v>0.16699999570846558</v>
      </c>
      <c r="CF93" s="3">
        <v>0.64900007657706738</v>
      </c>
      <c r="CH93" s="3">
        <v>1</v>
      </c>
      <c r="CI93" s="3">
        <v>3</v>
      </c>
      <c r="CJ93" s="3">
        <v>1</v>
      </c>
      <c r="CK93" s="3">
        <v>2</v>
      </c>
      <c r="CM93" s="3">
        <v>1</v>
      </c>
      <c r="CN93" s="3">
        <v>4</v>
      </c>
      <c r="CO93" s="3">
        <v>3</v>
      </c>
      <c r="CP93" s="3">
        <v>3</v>
      </c>
      <c r="CR93" s="3">
        <v>0</v>
      </c>
      <c r="CS93" s="3">
        <v>8.0000003799796104E-3</v>
      </c>
      <c r="CT93" s="3">
        <v>0.81199997663497925</v>
      </c>
      <c r="CU93" s="3">
        <v>1.4000000432133675E-2</v>
      </c>
    </row>
    <row r="94" spans="1:99" s="3" customFormat="1" x14ac:dyDescent="0.35">
      <c r="A94" s="2" t="s">
        <v>92</v>
      </c>
      <c r="B94" s="2">
        <v>4.416666666666667</v>
      </c>
      <c r="C94" s="2" t="s">
        <v>168</v>
      </c>
      <c r="D94" s="2" t="s">
        <v>403</v>
      </c>
      <c r="F94" s="3">
        <v>1000</v>
      </c>
      <c r="G94" s="3">
        <v>0.87399999999999967</v>
      </c>
      <c r="H94" s="3">
        <v>4.0110000000000001</v>
      </c>
      <c r="I94" s="3">
        <v>3.2439999999999998</v>
      </c>
      <c r="K94" s="3">
        <v>1000</v>
      </c>
      <c r="L94" s="3">
        <v>1000</v>
      </c>
      <c r="M94" s="3">
        <v>3.734</v>
      </c>
      <c r="N94" s="3">
        <v>2.4830000000000005</v>
      </c>
      <c r="P94" s="3">
        <v>1000</v>
      </c>
      <c r="Q94" s="3">
        <v>1000</v>
      </c>
      <c r="R94" s="3">
        <v>0.79999995231628418</v>
      </c>
      <c r="S94" s="3">
        <v>1.1320001820567995</v>
      </c>
      <c r="U94" s="3">
        <v>1000</v>
      </c>
      <c r="V94" s="3">
        <v>1000</v>
      </c>
      <c r="W94" s="3">
        <v>3</v>
      </c>
      <c r="X94" s="3">
        <v>6</v>
      </c>
      <c r="Z94" s="3">
        <v>1000</v>
      </c>
      <c r="AA94" s="3">
        <v>1000</v>
      </c>
      <c r="AB94" s="3">
        <v>2.1850000000000005</v>
      </c>
      <c r="AC94" s="3">
        <v>1.85</v>
      </c>
      <c r="AE94" s="3">
        <v>1000</v>
      </c>
      <c r="AF94" s="3">
        <v>1000</v>
      </c>
      <c r="AG94" s="3">
        <v>0.79999995231628418</v>
      </c>
      <c r="AH94" s="3">
        <v>0.93200013437308371</v>
      </c>
      <c r="AJ94" s="3">
        <v>1000</v>
      </c>
      <c r="AK94" s="3">
        <v>1000</v>
      </c>
      <c r="AL94" s="3">
        <v>3</v>
      </c>
      <c r="AM94" s="3">
        <v>5</v>
      </c>
      <c r="AO94" s="3">
        <v>1000</v>
      </c>
      <c r="AP94" s="3">
        <v>1000</v>
      </c>
      <c r="AQ94" s="3">
        <v>11</v>
      </c>
      <c r="AR94" s="3">
        <v>8</v>
      </c>
      <c r="AT94" s="3">
        <v>1000</v>
      </c>
      <c r="AU94" s="3">
        <v>1000</v>
      </c>
      <c r="AV94" s="3">
        <v>1.1009999513626099</v>
      </c>
      <c r="AW94" s="3">
        <v>2.0000000949949026E-3</v>
      </c>
      <c r="AY94" s="3">
        <v>1000</v>
      </c>
      <c r="AZ94" s="3">
        <v>1000</v>
      </c>
      <c r="BA94" s="3">
        <v>0.28400000000000025</v>
      </c>
      <c r="BB94" s="3">
        <v>0.11599999999999999</v>
      </c>
      <c r="BD94" s="3">
        <v>1000</v>
      </c>
      <c r="BE94" s="3">
        <v>1000</v>
      </c>
      <c r="BF94" s="3">
        <v>0.13299989700317383</v>
      </c>
      <c r="BG94" s="3">
        <v>0</v>
      </c>
      <c r="BI94" s="3">
        <v>1000</v>
      </c>
      <c r="BJ94" s="3">
        <v>1000</v>
      </c>
      <c r="BK94" s="3">
        <v>1</v>
      </c>
      <c r="BL94" s="3">
        <v>0</v>
      </c>
      <c r="BN94" s="3">
        <v>1000</v>
      </c>
      <c r="BO94" s="3">
        <v>1000</v>
      </c>
      <c r="BP94" s="3">
        <v>9</v>
      </c>
      <c r="BQ94" s="3">
        <v>8</v>
      </c>
      <c r="BS94" s="3">
        <v>1000</v>
      </c>
      <c r="BT94" s="3">
        <v>1000</v>
      </c>
      <c r="BU94" s="3">
        <v>3.1180000305175781</v>
      </c>
      <c r="BV94" s="3">
        <v>4.01</v>
      </c>
      <c r="BX94" s="3">
        <v>1000</v>
      </c>
      <c r="BY94" s="3">
        <v>1000</v>
      </c>
      <c r="BZ94" s="3">
        <v>0.10099999999999998</v>
      </c>
      <c r="CA94" s="3">
        <v>0</v>
      </c>
      <c r="CC94" s="3">
        <v>1000</v>
      </c>
      <c r="CD94" s="3">
        <v>1000</v>
      </c>
      <c r="CE94" s="3">
        <v>0</v>
      </c>
      <c r="CF94" s="3">
        <v>0</v>
      </c>
      <c r="CH94" s="3">
        <v>1000</v>
      </c>
      <c r="CI94" s="3">
        <v>1000</v>
      </c>
      <c r="CJ94" s="3">
        <v>0</v>
      </c>
      <c r="CK94" s="3">
        <v>0</v>
      </c>
      <c r="CM94" s="3">
        <v>1000</v>
      </c>
      <c r="CN94" s="3">
        <v>1000</v>
      </c>
      <c r="CO94" s="3">
        <v>5</v>
      </c>
      <c r="CP94" s="3">
        <v>2</v>
      </c>
      <c r="CR94" s="3">
        <v>1000</v>
      </c>
      <c r="CS94" s="3">
        <v>1000</v>
      </c>
      <c r="CT94" s="3">
        <v>4.0110000000000001</v>
      </c>
      <c r="CU94" s="3">
        <v>4.01</v>
      </c>
    </row>
    <row r="95" spans="1:99" s="3" customFormat="1" x14ac:dyDescent="0.35">
      <c r="A95" s="2" t="s">
        <v>93</v>
      </c>
      <c r="B95" s="2">
        <v>6.666666666666667</v>
      </c>
      <c r="C95" s="2" t="s">
        <v>167</v>
      </c>
      <c r="D95" s="2" t="s">
        <v>403</v>
      </c>
      <c r="F95" s="3">
        <v>1.6</v>
      </c>
      <c r="G95" s="3">
        <v>0.79900000000000038</v>
      </c>
      <c r="H95" s="3">
        <v>1000</v>
      </c>
      <c r="I95" s="3">
        <v>2.1440000000000001</v>
      </c>
      <c r="K95" s="3">
        <v>1000</v>
      </c>
      <c r="L95" s="3">
        <v>1000</v>
      </c>
      <c r="M95" s="3">
        <v>1000</v>
      </c>
      <c r="N95" s="3">
        <v>1.4650000000000003</v>
      </c>
      <c r="P95" s="3">
        <v>1000</v>
      </c>
      <c r="Q95" s="3">
        <v>1000</v>
      </c>
      <c r="R95" s="3">
        <v>1000</v>
      </c>
      <c r="S95" s="3">
        <v>1.0320000648498535</v>
      </c>
      <c r="U95" s="3">
        <v>1000</v>
      </c>
      <c r="V95" s="3">
        <v>1000</v>
      </c>
      <c r="W95" s="3">
        <v>1000</v>
      </c>
      <c r="X95" s="3">
        <v>1</v>
      </c>
      <c r="Z95" s="3">
        <v>1000</v>
      </c>
      <c r="AA95" s="3">
        <v>1000</v>
      </c>
      <c r="AB95" s="3">
        <v>1000</v>
      </c>
      <c r="AC95" s="3">
        <v>1.0650000000000002</v>
      </c>
      <c r="AE95" s="3">
        <v>1000</v>
      </c>
      <c r="AF95" s="3">
        <v>1000</v>
      </c>
      <c r="AG95" s="3">
        <v>1000</v>
      </c>
      <c r="AH95" s="3">
        <v>1.0320000648498535</v>
      </c>
      <c r="AJ95" s="3">
        <v>1000</v>
      </c>
      <c r="AK95" s="3">
        <v>1000</v>
      </c>
      <c r="AL95" s="3">
        <v>1000</v>
      </c>
      <c r="AM95" s="3">
        <v>1</v>
      </c>
      <c r="AO95" s="3">
        <v>1000</v>
      </c>
      <c r="AP95" s="3">
        <v>1000</v>
      </c>
      <c r="AQ95" s="3">
        <v>1000</v>
      </c>
      <c r="AR95" s="3">
        <v>3</v>
      </c>
      <c r="AT95" s="3">
        <v>1000</v>
      </c>
      <c r="AU95" s="3">
        <v>1000</v>
      </c>
      <c r="AV95" s="3">
        <v>1000</v>
      </c>
      <c r="AW95" s="3">
        <v>2.246999979019165</v>
      </c>
      <c r="AY95" s="3">
        <v>1000</v>
      </c>
      <c r="AZ95" s="3">
        <v>1000</v>
      </c>
      <c r="BA95" s="3">
        <v>1000</v>
      </c>
      <c r="BB95" s="3">
        <v>0</v>
      </c>
      <c r="BD95" s="3">
        <v>1000</v>
      </c>
      <c r="BE95" s="3">
        <v>1000</v>
      </c>
      <c r="BF95" s="3">
        <v>1000</v>
      </c>
      <c r="BG95" s="3">
        <v>0</v>
      </c>
      <c r="BI95" s="3">
        <v>1000</v>
      </c>
      <c r="BJ95" s="3">
        <v>1000</v>
      </c>
      <c r="BK95" s="3">
        <v>1000</v>
      </c>
      <c r="BL95" s="3">
        <v>0</v>
      </c>
      <c r="BN95" s="3">
        <v>1000</v>
      </c>
      <c r="BO95" s="3">
        <v>1000</v>
      </c>
      <c r="BP95" s="3">
        <v>1000</v>
      </c>
      <c r="BQ95" s="3">
        <v>0</v>
      </c>
      <c r="BS95" s="3">
        <v>1000</v>
      </c>
      <c r="BT95" s="3">
        <v>1000</v>
      </c>
      <c r="BU95" s="3">
        <v>1000</v>
      </c>
      <c r="BV95" s="3">
        <v>4.008</v>
      </c>
      <c r="BX95" s="3">
        <v>1000</v>
      </c>
      <c r="BY95" s="3">
        <v>1000</v>
      </c>
      <c r="BZ95" s="3">
        <v>1000</v>
      </c>
      <c r="CA95" s="3">
        <v>0</v>
      </c>
      <c r="CC95" s="3">
        <v>1000</v>
      </c>
      <c r="CD95" s="3">
        <v>1000</v>
      </c>
      <c r="CE95" s="3">
        <v>1000</v>
      </c>
      <c r="CF95" s="3">
        <v>0</v>
      </c>
      <c r="CH95" s="3">
        <v>1000</v>
      </c>
      <c r="CI95" s="3">
        <v>1000</v>
      </c>
      <c r="CJ95" s="3">
        <v>1000</v>
      </c>
      <c r="CK95" s="3">
        <v>0</v>
      </c>
      <c r="CM95" s="3">
        <v>1000</v>
      </c>
      <c r="CN95" s="3">
        <v>1000</v>
      </c>
      <c r="CO95" s="3">
        <v>1000</v>
      </c>
      <c r="CP95" s="3">
        <v>0</v>
      </c>
      <c r="CR95" s="3">
        <v>1000</v>
      </c>
      <c r="CS95" s="3">
        <v>1000</v>
      </c>
      <c r="CT95" s="3">
        <v>1000</v>
      </c>
      <c r="CU95" s="3">
        <v>4.008</v>
      </c>
    </row>
    <row r="96" spans="1:99" s="5" customFormat="1" x14ac:dyDescent="0.35">
      <c r="A96" s="4" t="s">
        <v>94</v>
      </c>
      <c r="B96" s="4">
        <v>5.25</v>
      </c>
      <c r="C96" s="4" t="s">
        <v>168</v>
      </c>
      <c r="D96" s="4" t="s">
        <v>404</v>
      </c>
      <c r="F96" s="5">
        <v>1000</v>
      </c>
      <c r="G96" s="5">
        <v>1000</v>
      </c>
      <c r="H96" s="5">
        <v>1000</v>
      </c>
      <c r="I96" s="5">
        <v>2.456</v>
      </c>
      <c r="K96" s="5">
        <v>1000</v>
      </c>
      <c r="L96" s="5">
        <v>1000</v>
      </c>
      <c r="M96" s="5">
        <v>1000</v>
      </c>
      <c r="N96" s="5">
        <v>2.4499999999999997</v>
      </c>
      <c r="P96" s="5">
        <v>1000</v>
      </c>
      <c r="Q96" s="5">
        <v>1000</v>
      </c>
      <c r="R96" s="5">
        <v>1000</v>
      </c>
      <c r="S96" s="5">
        <v>2.2000002861022949</v>
      </c>
      <c r="U96" s="5">
        <v>1000</v>
      </c>
      <c r="V96" s="5">
        <v>1000</v>
      </c>
      <c r="W96" s="5">
        <v>1000</v>
      </c>
      <c r="X96" s="5">
        <v>7</v>
      </c>
      <c r="Z96" s="5">
        <v>1000</v>
      </c>
      <c r="AA96" s="5">
        <v>1000</v>
      </c>
      <c r="AB96" s="5">
        <v>1000</v>
      </c>
      <c r="AC96" s="5">
        <v>1.5509999999999997</v>
      </c>
      <c r="AE96" s="5">
        <v>1000</v>
      </c>
      <c r="AF96" s="5">
        <v>1000</v>
      </c>
      <c r="AG96" s="5">
        <v>1000</v>
      </c>
      <c r="AH96" s="5">
        <v>1.3330001831054688</v>
      </c>
      <c r="AJ96" s="5">
        <v>1000</v>
      </c>
      <c r="AK96" s="5">
        <v>1000</v>
      </c>
      <c r="AL96" s="5">
        <v>1000</v>
      </c>
      <c r="AM96" s="5">
        <v>5</v>
      </c>
      <c r="AO96" s="5">
        <v>1000</v>
      </c>
      <c r="AP96" s="5">
        <v>1000</v>
      </c>
      <c r="AQ96" s="5">
        <v>1000</v>
      </c>
      <c r="AR96" s="5">
        <v>2</v>
      </c>
      <c r="AT96" s="5">
        <v>1000</v>
      </c>
      <c r="AU96" s="5">
        <v>1000</v>
      </c>
      <c r="AV96" s="5">
        <v>1000</v>
      </c>
      <c r="AW96" s="5">
        <v>1.6599999666213989</v>
      </c>
      <c r="AY96" s="5">
        <v>1000</v>
      </c>
      <c r="AZ96" s="5">
        <v>1000</v>
      </c>
      <c r="BA96" s="5">
        <v>1000</v>
      </c>
      <c r="BB96" s="5">
        <v>0</v>
      </c>
      <c r="BD96" s="5">
        <v>1000</v>
      </c>
      <c r="BE96" s="5">
        <v>1000</v>
      </c>
      <c r="BF96" s="5">
        <v>1000</v>
      </c>
      <c r="BG96" s="5">
        <v>0</v>
      </c>
      <c r="BI96" s="5">
        <v>1000</v>
      </c>
      <c r="BJ96" s="5">
        <v>1000</v>
      </c>
      <c r="BK96" s="5">
        <v>1000</v>
      </c>
      <c r="BL96" s="5">
        <v>0</v>
      </c>
      <c r="BN96" s="5">
        <v>1000</v>
      </c>
      <c r="BO96" s="5">
        <v>1000</v>
      </c>
      <c r="BP96" s="5">
        <v>1000</v>
      </c>
      <c r="BQ96" s="5">
        <v>0</v>
      </c>
      <c r="BS96" s="5">
        <v>1000</v>
      </c>
      <c r="BT96" s="5">
        <v>1000</v>
      </c>
      <c r="BU96" s="5">
        <v>1000</v>
      </c>
      <c r="BV96" s="5">
        <v>4.016</v>
      </c>
      <c r="BX96" s="5">
        <v>1000</v>
      </c>
      <c r="BY96" s="5">
        <v>1000</v>
      </c>
      <c r="BZ96" s="5">
        <v>1000</v>
      </c>
      <c r="CA96" s="5">
        <v>6.5999999999999837E-2</v>
      </c>
      <c r="CC96" s="5">
        <v>1000</v>
      </c>
      <c r="CD96" s="5">
        <v>1000</v>
      </c>
      <c r="CE96" s="5">
        <v>1000</v>
      </c>
      <c r="CF96" s="5">
        <v>0.10000002384185791</v>
      </c>
      <c r="CH96" s="5">
        <v>1000</v>
      </c>
      <c r="CI96" s="5">
        <v>1000</v>
      </c>
      <c r="CJ96" s="5">
        <v>1000</v>
      </c>
      <c r="CK96" s="5">
        <v>1</v>
      </c>
      <c r="CM96" s="5">
        <v>1000</v>
      </c>
      <c r="CN96" s="5">
        <v>1000</v>
      </c>
      <c r="CO96" s="5">
        <v>1000</v>
      </c>
      <c r="CP96" s="5">
        <v>2</v>
      </c>
      <c r="CR96" s="5">
        <v>1000</v>
      </c>
      <c r="CS96" s="5">
        <v>1000</v>
      </c>
      <c r="CT96" s="5">
        <v>1000</v>
      </c>
      <c r="CU96" s="5">
        <v>1.6599999666213989</v>
      </c>
    </row>
    <row r="97" spans="1:99" s="5" customFormat="1" x14ac:dyDescent="0.35">
      <c r="A97" s="4" t="s">
        <v>95</v>
      </c>
      <c r="B97" s="4">
        <v>7.25</v>
      </c>
      <c r="C97" s="4" t="s">
        <v>168</v>
      </c>
      <c r="D97" s="4" t="s">
        <v>404</v>
      </c>
      <c r="F97" s="5">
        <v>0.41699999999999982</v>
      </c>
      <c r="G97" s="5">
        <v>1000</v>
      </c>
      <c r="H97" s="5">
        <v>1000</v>
      </c>
      <c r="I97" s="5">
        <v>2.0629999999999997</v>
      </c>
      <c r="K97" s="5">
        <v>1000</v>
      </c>
      <c r="L97" s="5">
        <v>1000</v>
      </c>
      <c r="M97" s="5">
        <v>1000</v>
      </c>
      <c r="N97" s="5">
        <v>2.0499999999999998</v>
      </c>
      <c r="P97" s="5">
        <v>1000</v>
      </c>
      <c r="Q97" s="5">
        <v>1000</v>
      </c>
      <c r="R97" s="5">
        <v>1000</v>
      </c>
      <c r="S97" s="5">
        <v>1.5669999122619629</v>
      </c>
      <c r="U97" s="5">
        <v>1000</v>
      </c>
      <c r="V97" s="5">
        <v>1000</v>
      </c>
      <c r="W97" s="5">
        <v>1000</v>
      </c>
      <c r="X97" s="5">
        <v>9</v>
      </c>
      <c r="Z97" s="5">
        <v>1000</v>
      </c>
      <c r="AA97" s="5">
        <v>1000</v>
      </c>
      <c r="AB97" s="5">
        <v>1000</v>
      </c>
      <c r="AC97" s="5">
        <v>1.7829999999999999</v>
      </c>
      <c r="AE97" s="5">
        <v>1000</v>
      </c>
      <c r="AF97" s="5">
        <v>1000</v>
      </c>
      <c r="AG97" s="5">
        <v>1000</v>
      </c>
      <c r="AH97" s="5">
        <v>1.432999849319458</v>
      </c>
      <c r="AJ97" s="5">
        <v>1000</v>
      </c>
      <c r="AK97" s="5">
        <v>1000</v>
      </c>
      <c r="AL97" s="5">
        <v>1000</v>
      </c>
      <c r="AM97" s="5">
        <v>8</v>
      </c>
      <c r="AO97" s="5">
        <v>1000</v>
      </c>
      <c r="AP97" s="5">
        <v>1000</v>
      </c>
      <c r="AQ97" s="5">
        <v>1000</v>
      </c>
      <c r="AR97" s="5">
        <v>3</v>
      </c>
      <c r="AT97" s="5">
        <v>1000</v>
      </c>
      <c r="AU97" s="5">
        <v>1000</v>
      </c>
      <c r="AV97" s="5">
        <v>1000</v>
      </c>
      <c r="AW97" s="5">
        <v>2.0190000534057617</v>
      </c>
      <c r="AY97" s="5">
        <v>1000</v>
      </c>
      <c r="AZ97" s="5">
        <v>1000</v>
      </c>
      <c r="BA97" s="5">
        <v>1000</v>
      </c>
      <c r="BB97" s="5">
        <v>0.25099999999999945</v>
      </c>
      <c r="BD97" s="5">
        <v>1000</v>
      </c>
      <c r="BE97" s="5">
        <v>1000</v>
      </c>
      <c r="BF97" s="5">
        <v>1000</v>
      </c>
      <c r="BG97" s="5">
        <v>0.21700000762939453</v>
      </c>
      <c r="BI97" s="5">
        <v>1000</v>
      </c>
      <c r="BJ97" s="5">
        <v>1000</v>
      </c>
      <c r="BK97" s="5">
        <v>1000</v>
      </c>
      <c r="BL97" s="5">
        <v>2</v>
      </c>
      <c r="BN97" s="5">
        <v>1000</v>
      </c>
      <c r="BO97" s="5">
        <v>1000</v>
      </c>
      <c r="BP97" s="5">
        <v>1000</v>
      </c>
      <c r="BQ97" s="5">
        <v>3</v>
      </c>
      <c r="BS97" s="5">
        <v>1000</v>
      </c>
      <c r="BT97" s="5">
        <v>1000</v>
      </c>
      <c r="BU97" s="5">
        <v>1000</v>
      </c>
      <c r="BV97" s="5">
        <v>3.7679998874664307</v>
      </c>
      <c r="BX97" s="5">
        <v>1000</v>
      </c>
      <c r="BY97" s="5">
        <v>1000</v>
      </c>
      <c r="BZ97" s="5">
        <v>1000</v>
      </c>
      <c r="CA97" s="5">
        <v>0.18400000000000016</v>
      </c>
      <c r="CC97" s="5">
        <v>1000</v>
      </c>
      <c r="CD97" s="5">
        <v>1000</v>
      </c>
      <c r="CE97" s="5">
        <v>1000</v>
      </c>
      <c r="CF97" s="5">
        <v>0.13299989700317383</v>
      </c>
      <c r="CH97" s="5">
        <v>1000</v>
      </c>
      <c r="CI97" s="5">
        <v>1000</v>
      </c>
      <c r="CJ97" s="5">
        <v>1000</v>
      </c>
      <c r="CK97" s="5">
        <v>1</v>
      </c>
      <c r="CM97" s="5">
        <v>1000</v>
      </c>
      <c r="CN97" s="5">
        <v>1000</v>
      </c>
      <c r="CO97" s="5">
        <v>1000</v>
      </c>
      <c r="CP97" s="5">
        <v>3</v>
      </c>
      <c r="CR97" s="5">
        <v>1000</v>
      </c>
      <c r="CS97" s="5">
        <v>1000</v>
      </c>
      <c r="CT97" s="5">
        <v>1000</v>
      </c>
      <c r="CU97" s="5">
        <v>3.6019999980926514</v>
      </c>
    </row>
    <row r="98" spans="1:99" s="5" customFormat="1" x14ac:dyDescent="0.35">
      <c r="A98" s="4" t="s">
        <v>96</v>
      </c>
      <c r="B98" s="4">
        <v>5.833333333333333</v>
      </c>
      <c r="C98" s="4" t="s">
        <v>168</v>
      </c>
      <c r="D98" s="4" t="s">
        <v>404</v>
      </c>
      <c r="F98" s="5">
        <v>2.3000000000000003</v>
      </c>
      <c r="G98" s="5">
        <v>4.0250000000000004</v>
      </c>
      <c r="H98" s="5">
        <v>2.6819999999999999</v>
      </c>
      <c r="I98" s="5">
        <v>2.0250000000000004</v>
      </c>
      <c r="K98" s="5">
        <v>2.2489999999999997</v>
      </c>
      <c r="L98" s="5">
        <v>3.9989999999999997</v>
      </c>
      <c r="M98" s="5">
        <v>2.6660000000000004</v>
      </c>
      <c r="N98" s="5">
        <v>2</v>
      </c>
      <c r="P98" s="5">
        <v>2.0659998916089535</v>
      </c>
      <c r="Q98" s="5">
        <v>3.8990001492202282</v>
      </c>
      <c r="R98" s="5">
        <v>1.9149999618530273</v>
      </c>
      <c r="S98" s="5">
        <v>1.1500000413507223</v>
      </c>
      <c r="U98" s="5">
        <v>7</v>
      </c>
      <c r="V98" s="5">
        <v>5</v>
      </c>
      <c r="W98" s="5">
        <v>7</v>
      </c>
      <c r="X98" s="5">
        <v>3</v>
      </c>
      <c r="Z98" s="5">
        <v>2.2489999999999997</v>
      </c>
      <c r="AA98" s="5">
        <v>3.9989999999999997</v>
      </c>
      <c r="AB98" s="5">
        <v>2.0500000000000003</v>
      </c>
      <c r="AC98" s="5">
        <v>1.35</v>
      </c>
      <c r="AE98" s="5">
        <v>2.0659998916089535</v>
      </c>
      <c r="AF98" s="5">
        <v>3.8990001492202282</v>
      </c>
      <c r="AG98" s="5">
        <v>1.9149999618530273</v>
      </c>
      <c r="AH98" s="5">
        <v>1.1500000413507223</v>
      </c>
      <c r="AJ98" s="5">
        <v>7</v>
      </c>
      <c r="AK98" s="5">
        <v>5</v>
      </c>
      <c r="AL98" s="5">
        <v>7</v>
      </c>
      <c r="AM98" s="5">
        <v>3</v>
      </c>
      <c r="AO98" s="5">
        <v>2</v>
      </c>
      <c r="AP98" s="5">
        <v>1</v>
      </c>
      <c r="AQ98" s="5">
        <v>2</v>
      </c>
      <c r="AR98" s="5">
        <v>3</v>
      </c>
      <c r="AT98" s="5">
        <v>5.000000074505806E-2</v>
      </c>
      <c r="AU98" s="5">
        <v>1.3000000268220901E-2</v>
      </c>
      <c r="AV98" s="5">
        <v>1.9769999980926514</v>
      </c>
      <c r="AW98" s="5">
        <v>2.500000037252903E-2</v>
      </c>
      <c r="AY98" s="5">
        <v>1.2490000000000001</v>
      </c>
      <c r="AZ98" s="5">
        <v>3.2670000000000003</v>
      </c>
      <c r="BA98" s="5">
        <v>0.86699999999999999</v>
      </c>
      <c r="BB98" s="5">
        <v>0.54999999999999993</v>
      </c>
      <c r="BD98" s="5">
        <v>1.1329998970031738</v>
      </c>
      <c r="BE98" s="5">
        <v>3.5490001440048218</v>
      </c>
      <c r="BF98" s="5">
        <v>0.51600003242492676</v>
      </c>
      <c r="BG98" s="5">
        <v>0.53300002217292786</v>
      </c>
      <c r="BI98" s="5">
        <v>4</v>
      </c>
      <c r="BJ98" s="5">
        <v>4</v>
      </c>
      <c r="BK98" s="5">
        <v>2</v>
      </c>
      <c r="BL98" s="5">
        <v>1</v>
      </c>
      <c r="BN98" s="5">
        <v>2</v>
      </c>
      <c r="BO98" s="5">
        <v>2</v>
      </c>
      <c r="BP98" s="5">
        <v>3</v>
      </c>
      <c r="BQ98" s="5">
        <v>2</v>
      </c>
      <c r="BS98" s="5">
        <v>2</v>
      </c>
      <c r="BT98" s="5">
        <v>0.37900000810623169</v>
      </c>
      <c r="BU98" s="5">
        <v>2.3610000610351563</v>
      </c>
      <c r="BV98" s="5">
        <v>0.44200000166893005</v>
      </c>
      <c r="BX98" s="5">
        <v>0</v>
      </c>
      <c r="BY98" s="5">
        <v>0.1</v>
      </c>
      <c r="BZ98" s="5">
        <v>0.1160000000000001</v>
      </c>
      <c r="CA98" s="5">
        <v>1.6000000000000014E-2</v>
      </c>
      <c r="CC98" s="5">
        <v>0</v>
      </c>
      <c r="CD98" s="5">
        <v>0</v>
      </c>
      <c r="CE98" s="5">
        <v>0</v>
      </c>
      <c r="CF98" s="5">
        <v>0</v>
      </c>
      <c r="CH98" s="5">
        <v>0</v>
      </c>
      <c r="CI98" s="5">
        <v>0</v>
      </c>
      <c r="CJ98" s="5">
        <v>0</v>
      </c>
      <c r="CK98" s="5">
        <v>0</v>
      </c>
      <c r="CM98" s="5">
        <v>0</v>
      </c>
      <c r="CN98" s="5">
        <v>2</v>
      </c>
      <c r="CO98" s="5">
        <v>1</v>
      </c>
      <c r="CP98" s="5">
        <v>2</v>
      </c>
      <c r="CR98" s="5">
        <v>4.0170000000000003</v>
      </c>
      <c r="CS98" s="5">
        <v>4.0250000000000004</v>
      </c>
      <c r="CT98" s="5">
        <v>4.01</v>
      </c>
      <c r="CU98" s="5">
        <v>4.016</v>
      </c>
    </row>
    <row r="99" spans="1:99" s="5" customFormat="1" x14ac:dyDescent="0.35">
      <c r="A99" s="4" t="s">
        <v>97</v>
      </c>
      <c r="B99" s="4">
        <v>7.25</v>
      </c>
      <c r="C99" s="4" t="s">
        <v>168</v>
      </c>
      <c r="D99" s="4" t="s">
        <v>404</v>
      </c>
      <c r="F99" s="5">
        <v>1000</v>
      </c>
      <c r="G99" s="5">
        <v>0.81699999999999973</v>
      </c>
      <c r="H99" s="5">
        <v>3.0319999999999996</v>
      </c>
      <c r="I99" s="5">
        <v>1.0499999999999998</v>
      </c>
      <c r="K99" s="5">
        <v>1000</v>
      </c>
      <c r="L99" s="5">
        <v>1000</v>
      </c>
      <c r="M99" s="5">
        <v>3.016</v>
      </c>
      <c r="N99" s="5">
        <v>1000</v>
      </c>
      <c r="P99" s="5">
        <v>1000</v>
      </c>
      <c r="Q99" s="5">
        <v>1000</v>
      </c>
      <c r="R99" s="5">
        <v>2.9149999618530273</v>
      </c>
      <c r="S99" s="5">
        <v>1000</v>
      </c>
      <c r="U99" s="5">
        <v>1000</v>
      </c>
      <c r="V99" s="5">
        <v>1000</v>
      </c>
      <c r="W99" s="5">
        <v>4</v>
      </c>
      <c r="X99" s="5">
        <v>1000</v>
      </c>
      <c r="Z99" s="5">
        <v>1000</v>
      </c>
      <c r="AA99" s="5">
        <v>1000</v>
      </c>
      <c r="AB99" s="5">
        <v>2.9660000000000002</v>
      </c>
      <c r="AC99" s="5">
        <v>1000</v>
      </c>
      <c r="AE99" s="5">
        <v>1000</v>
      </c>
      <c r="AF99" s="5">
        <v>1000</v>
      </c>
      <c r="AG99" s="5">
        <v>2.9149999618530273</v>
      </c>
      <c r="AH99" s="5">
        <v>1000</v>
      </c>
      <c r="AJ99" s="5">
        <v>1000</v>
      </c>
      <c r="AK99" s="5">
        <v>1000</v>
      </c>
      <c r="AL99" s="5">
        <v>4</v>
      </c>
      <c r="AM99" s="5">
        <v>1000</v>
      </c>
      <c r="AO99" s="5">
        <v>1000</v>
      </c>
      <c r="AP99" s="5">
        <v>1000</v>
      </c>
      <c r="AQ99" s="5">
        <v>1</v>
      </c>
      <c r="AR99" s="5">
        <v>1000</v>
      </c>
      <c r="AT99" s="5">
        <v>1000</v>
      </c>
      <c r="AU99" s="5">
        <v>1000</v>
      </c>
      <c r="AV99" s="5">
        <v>1.0279999971389771</v>
      </c>
      <c r="AW99" s="5">
        <v>1000</v>
      </c>
      <c r="AY99" s="5">
        <v>1000</v>
      </c>
      <c r="AZ99" s="5">
        <v>1000</v>
      </c>
      <c r="BA99" s="5">
        <v>1.6500000000000004</v>
      </c>
      <c r="BB99" s="5">
        <v>1000</v>
      </c>
      <c r="BD99" s="5">
        <v>1000</v>
      </c>
      <c r="BE99" s="5">
        <v>1000</v>
      </c>
      <c r="BF99" s="5">
        <v>1.7160000801086426</v>
      </c>
      <c r="BG99" s="5">
        <v>1000</v>
      </c>
      <c r="BI99" s="5">
        <v>1000</v>
      </c>
      <c r="BJ99" s="5">
        <v>1000</v>
      </c>
      <c r="BK99" s="5">
        <v>2</v>
      </c>
      <c r="BL99" s="5">
        <v>1000</v>
      </c>
      <c r="BN99" s="5">
        <v>1000</v>
      </c>
      <c r="BO99" s="5">
        <v>1000</v>
      </c>
      <c r="BP99" s="5">
        <v>1</v>
      </c>
      <c r="BQ99" s="5">
        <v>1000</v>
      </c>
      <c r="BS99" s="5">
        <v>1000</v>
      </c>
      <c r="BT99" s="5">
        <v>1000</v>
      </c>
      <c r="BU99" s="5">
        <v>2.2609999179840088</v>
      </c>
      <c r="BV99" s="5">
        <v>1000</v>
      </c>
      <c r="BX99" s="5">
        <v>1000</v>
      </c>
      <c r="BY99" s="5">
        <v>1000</v>
      </c>
      <c r="BZ99" s="5">
        <v>0</v>
      </c>
      <c r="CA99" s="5">
        <v>1000</v>
      </c>
      <c r="CC99" s="5">
        <v>1000</v>
      </c>
      <c r="CD99" s="5">
        <v>1000</v>
      </c>
      <c r="CE99" s="5">
        <v>0</v>
      </c>
      <c r="CF99" s="5">
        <v>1000</v>
      </c>
      <c r="CH99" s="5">
        <v>1000</v>
      </c>
      <c r="CI99" s="5">
        <v>1000</v>
      </c>
      <c r="CJ99" s="5">
        <v>0</v>
      </c>
      <c r="CK99" s="5">
        <v>1000</v>
      </c>
      <c r="CM99" s="5">
        <v>1000</v>
      </c>
      <c r="CN99" s="5">
        <v>1000</v>
      </c>
      <c r="CO99" s="5">
        <v>0</v>
      </c>
      <c r="CP99" s="5">
        <v>1000</v>
      </c>
      <c r="CR99" s="5">
        <v>1000</v>
      </c>
      <c r="CS99" s="5">
        <v>1000</v>
      </c>
      <c r="CT99" s="5">
        <v>4.01</v>
      </c>
      <c r="CU99" s="5">
        <v>1000</v>
      </c>
    </row>
    <row r="100" spans="1:99" s="5" customFormat="1" x14ac:dyDescent="0.35">
      <c r="A100" s="4" t="s">
        <v>98</v>
      </c>
      <c r="B100" s="4">
        <v>12.5</v>
      </c>
      <c r="C100" s="4" t="s">
        <v>168</v>
      </c>
      <c r="D100" s="4" t="s">
        <v>404</v>
      </c>
      <c r="F100" s="5">
        <v>4.0090000000000003</v>
      </c>
      <c r="G100" s="5">
        <v>2.9420000000000002</v>
      </c>
      <c r="H100" s="5">
        <v>4.008</v>
      </c>
      <c r="I100" s="5">
        <v>4.008</v>
      </c>
      <c r="K100" s="5">
        <v>3.9990000000000006</v>
      </c>
      <c r="L100" s="5">
        <v>2.9160000000000004</v>
      </c>
      <c r="M100" s="5">
        <v>3.7159999999999997</v>
      </c>
      <c r="N100" s="5">
        <v>3.9820000000000002</v>
      </c>
      <c r="P100" s="5">
        <v>3.9989999274257571</v>
      </c>
      <c r="Q100" s="5">
        <v>2.8150000181049109</v>
      </c>
      <c r="R100" s="5">
        <v>3.4830000102519989</v>
      </c>
      <c r="S100" s="5">
        <v>3.9819999579340219</v>
      </c>
      <c r="U100" s="5">
        <v>1</v>
      </c>
      <c r="V100" s="5">
        <v>5</v>
      </c>
      <c r="W100" s="5">
        <v>3</v>
      </c>
      <c r="X100" s="5">
        <v>1</v>
      </c>
      <c r="Z100" s="5">
        <v>3.9990000000000006</v>
      </c>
      <c r="AA100" s="5">
        <v>2.9320000000000004</v>
      </c>
      <c r="AB100" s="5">
        <v>3.7159999999999997</v>
      </c>
      <c r="AC100" s="5">
        <v>3.9820000000000002</v>
      </c>
      <c r="AE100" s="5">
        <v>3.9989999274257571</v>
      </c>
      <c r="AF100" s="5">
        <v>2.8150000181049109</v>
      </c>
      <c r="AG100" s="5">
        <v>3.4830000102519989</v>
      </c>
      <c r="AH100" s="5">
        <v>3.9819999579340219</v>
      </c>
      <c r="AJ100" s="5">
        <v>1</v>
      </c>
      <c r="AK100" s="5">
        <v>5</v>
      </c>
      <c r="AL100" s="5">
        <v>3</v>
      </c>
      <c r="AM100" s="5">
        <v>1</v>
      </c>
      <c r="AO100" s="5">
        <v>1</v>
      </c>
      <c r="AP100" s="5">
        <v>1</v>
      </c>
      <c r="AQ100" s="5">
        <v>1</v>
      </c>
      <c r="AR100" s="5">
        <v>1</v>
      </c>
      <c r="AT100" s="5">
        <v>2.0000000949949026E-3</v>
      </c>
      <c r="AU100" s="5">
        <v>9.9999997764825821E-3</v>
      </c>
      <c r="AV100" s="5">
        <v>0.31000000238418579</v>
      </c>
      <c r="AW100" s="5">
        <v>1.2000000104308128E-2</v>
      </c>
      <c r="AY100" s="5">
        <v>6.700000000000006E-2</v>
      </c>
      <c r="AZ100" s="5">
        <v>2.282</v>
      </c>
      <c r="BA100" s="5">
        <v>2.6500000000000004</v>
      </c>
      <c r="BB100" s="5">
        <v>3.9820000000000002</v>
      </c>
      <c r="BD100" s="5">
        <v>0</v>
      </c>
      <c r="BE100" s="5">
        <v>2.6650001611560583</v>
      </c>
      <c r="BF100" s="5">
        <v>2.25</v>
      </c>
      <c r="BG100" s="5">
        <v>3.9819999579340219</v>
      </c>
      <c r="BI100" s="5">
        <v>0</v>
      </c>
      <c r="BJ100" s="5">
        <v>4</v>
      </c>
      <c r="BK100" s="5">
        <v>2</v>
      </c>
      <c r="BL100" s="5">
        <v>1</v>
      </c>
      <c r="BN100" s="5">
        <v>1</v>
      </c>
      <c r="BO100" s="5">
        <v>2</v>
      </c>
      <c r="BP100" s="5">
        <v>3</v>
      </c>
      <c r="BQ100" s="5">
        <v>1</v>
      </c>
      <c r="BS100" s="5">
        <v>4.0090000000000003</v>
      </c>
      <c r="BT100" s="5">
        <v>9.9999997764825821E-3</v>
      </c>
      <c r="BU100" s="5">
        <v>0.31000000238418579</v>
      </c>
      <c r="BV100" s="5">
        <v>1.2000000104308128E-2</v>
      </c>
      <c r="BX100" s="5">
        <v>0</v>
      </c>
      <c r="BY100" s="5">
        <v>0</v>
      </c>
      <c r="BZ100" s="5">
        <v>0</v>
      </c>
      <c r="CA100" s="5">
        <v>0</v>
      </c>
      <c r="CC100" s="5">
        <v>0</v>
      </c>
      <c r="CD100" s="5">
        <v>0</v>
      </c>
      <c r="CE100" s="5">
        <v>0</v>
      </c>
      <c r="CF100" s="5">
        <v>0</v>
      </c>
      <c r="CH100" s="5">
        <v>0</v>
      </c>
      <c r="CI100" s="5">
        <v>0</v>
      </c>
      <c r="CJ100" s="5">
        <v>0</v>
      </c>
      <c r="CK100" s="5">
        <v>0</v>
      </c>
      <c r="CM100" s="5">
        <v>0</v>
      </c>
      <c r="CN100" s="5">
        <v>0</v>
      </c>
      <c r="CO100" s="5">
        <v>1</v>
      </c>
      <c r="CP100" s="5">
        <v>0</v>
      </c>
      <c r="CR100" s="5">
        <v>4.0090000000000003</v>
      </c>
      <c r="CS100" s="5">
        <v>4.024</v>
      </c>
      <c r="CT100" s="5">
        <v>4.008</v>
      </c>
      <c r="CU100" s="5">
        <v>4.008</v>
      </c>
    </row>
    <row r="101" spans="1:99" s="5" customFormat="1" x14ac:dyDescent="0.35">
      <c r="A101" s="4" t="s">
        <v>99</v>
      </c>
      <c r="B101" s="4">
        <v>6.083333333333333</v>
      </c>
      <c r="C101" s="4" t="s">
        <v>168</v>
      </c>
      <c r="D101" s="4" t="s">
        <v>404</v>
      </c>
      <c r="F101" s="5">
        <v>4.0090000000000003</v>
      </c>
      <c r="G101" s="5">
        <v>4.016</v>
      </c>
      <c r="H101" s="5">
        <v>4.0149999999999997</v>
      </c>
      <c r="I101" s="5">
        <v>4.01</v>
      </c>
      <c r="K101" s="5">
        <v>3.9830000000000001</v>
      </c>
      <c r="L101" s="5">
        <v>4</v>
      </c>
      <c r="M101" s="5">
        <v>4</v>
      </c>
      <c r="N101" s="5">
        <v>3.9990000000000001</v>
      </c>
      <c r="P101" s="5">
        <v>3.7490000873804092</v>
      </c>
      <c r="Q101" s="5">
        <v>3.7999998284503818</v>
      </c>
      <c r="R101" s="5">
        <v>3.4810000136494637</v>
      </c>
      <c r="S101" s="5">
        <v>3.6669996976852417</v>
      </c>
      <c r="U101" s="5">
        <v>5</v>
      </c>
      <c r="V101" s="5">
        <v>7</v>
      </c>
      <c r="W101" s="5">
        <v>11</v>
      </c>
      <c r="X101" s="5">
        <v>9</v>
      </c>
      <c r="Z101" s="5">
        <v>3.9830000000000001</v>
      </c>
      <c r="AA101" s="5">
        <v>4</v>
      </c>
      <c r="AB101" s="5">
        <v>3.6829999999999998</v>
      </c>
      <c r="AC101" s="5">
        <v>3.649</v>
      </c>
      <c r="AE101" s="5">
        <v>3.7490000873804092</v>
      </c>
      <c r="AF101" s="5">
        <v>3.7999998284503818</v>
      </c>
      <c r="AG101" s="5">
        <v>3.3140000104904175</v>
      </c>
      <c r="AH101" s="5">
        <v>3.4329997301101685</v>
      </c>
      <c r="AJ101" s="5">
        <v>5</v>
      </c>
      <c r="AK101" s="5">
        <v>7</v>
      </c>
      <c r="AL101" s="5">
        <v>10</v>
      </c>
      <c r="AM101" s="5">
        <v>8</v>
      </c>
      <c r="AO101" s="5">
        <v>1</v>
      </c>
      <c r="AP101" s="5">
        <v>1</v>
      </c>
      <c r="AQ101" s="5">
        <v>2</v>
      </c>
      <c r="AR101" s="5">
        <v>2</v>
      </c>
      <c r="AT101" s="5">
        <v>4.5000001788139343E-2</v>
      </c>
      <c r="AU101" s="5">
        <v>4.999999888241291E-3</v>
      </c>
      <c r="AV101" s="5">
        <v>0.42500001192092896</v>
      </c>
      <c r="AW101" s="5">
        <v>0</v>
      </c>
      <c r="AY101" s="5">
        <v>1.1669999999999998</v>
      </c>
      <c r="AZ101" s="5">
        <v>1.0149999999999995</v>
      </c>
      <c r="BA101" s="5">
        <v>0.93399999999999994</v>
      </c>
      <c r="BB101" s="5">
        <v>0.4330000000000005</v>
      </c>
      <c r="BD101" s="5">
        <v>1.1829999685287476</v>
      </c>
      <c r="BE101" s="5">
        <v>0.39999985694885254</v>
      </c>
      <c r="BF101" s="5">
        <v>0.79900002479553223</v>
      </c>
      <c r="BG101" s="5">
        <v>0</v>
      </c>
      <c r="BI101" s="5">
        <v>2</v>
      </c>
      <c r="BJ101" s="5">
        <v>2</v>
      </c>
      <c r="BK101" s="5">
        <v>3</v>
      </c>
      <c r="BL101" s="5">
        <v>0</v>
      </c>
      <c r="BN101" s="5">
        <v>2</v>
      </c>
      <c r="BO101" s="5">
        <v>4</v>
      </c>
      <c r="BP101" s="5">
        <v>5</v>
      </c>
      <c r="BQ101" s="5">
        <v>3</v>
      </c>
      <c r="BS101" s="5">
        <v>0.92799997329711914</v>
      </c>
      <c r="BT101" s="5">
        <v>1.6549999713897705</v>
      </c>
      <c r="BU101" s="5">
        <v>0.42500001192092896</v>
      </c>
      <c r="BV101" s="5">
        <v>4.01</v>
      </c>
      <c r="BX101" s="5">
        <v>8.4000000000000075E-2</v>
      </c>
      <c r="BY101" s="5">
        <v>0.15000000000000036</v>
      </c>
      <c r="BZ101" s="5">
        <v>0</v>
      </c>
      <c r="CA101" s="5">
        <v>0</v>
      </c>
      <c r="CC101" s="5">
        <v>0</v>
      </c>
      <c r="CD101" s="5">
        <v>0</v>
      </c>
      <c r="CE101" s="5">
        <v>0</v>
      </c>
      <c r="CF101" s="5">
        <v>0</v>
      </c>
      <c r="CH101" s="5">
        <v>0</v>
      </c>
      <c r="CI101" s="5">
        <v>0</v>
      </c>
      <c r="CJ101" s="5">
        <v>0</v>
      </c>
      <c r="CK101" s="5">
        <v>0</v>
      </c>
      <c r="CM101" s="5">
        <v>3</v>
      </c>
      <c r="CN101" s="5">
        <v>1</v>
      </c>
      <c r="CO101" s="5">
        <v>1</v>
      </c>
      <c r="CP101" s="5">
        <v>0</v>
      </c>
      <c r="CR101" s="5">
        <v>4.0090000000000003</v>
      </c>
      <c r="CS101" s="5">
        <v>4.016</v>
      </c>
      <c r="CT101" s="5">
        <v>4.0149999999999997</v>
      </c>
      <c r="CU101" s="5">
        <v>4.01</v>
      </c>
    </row>
    <row r="102" spans="1:99" s="5" customFormat="1" x14ac:dyDescent="0.35">
      <c r="A102" s="4" t="s">
        <v>100</v>
      </c>
      <c r="B102" s="4">
        <v>8.5</v>
      </c>
      <c r="C102" s="4" t="s">
        <v>168</v>
      </c>
      <c r="D102" s="4" t="s">
        <v>404</v>
      </c>
      <c r="F102" s="5">
        <v>4.01</v>
      </c>
      <c r="G102" s="5">
        <v>2.3140000000000001</v>
      </c>
      <c r="H102" s="5">
        <v>4.0039999999999996</v>
      </c>
      <c r="I102" s="5">
        <v>4.0090000000000003</v>
      </c>
      <c r="K102" s="5">
        <v>3.9319999999999999</v>
      </c>
      <c r="L102" s="5">
        <v>2.2829999999999999</v>
      </c>
      <c r="M102" s="5">
        <v>3.7989999999999999</v>
      </c>
      <c r="N102" s="5">
        <v>3.9830000000000001</v>
      </c>
      <c r="P102" s="5">
        <v>3.73400017619133</v>
      </c>
      <c r="Q102" s="5">
        <v>1.2999998331069946</v>
      </c>
      <c r="R102" s="5">
        <v>3.3999997973442078</v>
      </c>
      <c r="S102" s="5">
        <v>3.9830001033842564</v>
      </c>
      <c r="U102" s="5">
        <v>8</v>
      </c>
      <c r="V102" s="5">
        <v>6</v>
      </c>
      <c r="W102" s="5">
        <v>12</v>
      </c>
      <c r="X102" s="5">
        <v>1</v>
      </c>
      <c r="Z102" s="5">
        <v>3.9319999999999999</v>
      </c>
      <c r="AA102" s="5">
        <v>2.2829999999999999</v>
      </c>
      <c r="AB102" s="5">
        <v>3.7989999999999999</v>
      </c>
      <c r="AC102" s="5">
        <v>3.9830000000000001</v>
      </c>
      <c r="AE102" s="5">
        <v>3.73400017619133</v>
      </c>
      <c r="AF102" s="5">
        <v>1.2999998331069946</v>
      </c>
      <c r="AG102" s="5">
        <v>3.3999997973442078</v>
      </c>
      <c r="AH102" s="5">
        <v>3.9830001033842564</v>
      </c>
      <c r="AJ102" s="5">
        <v>8</v>
      </c>
      <c r="AK102" s="5">
        <v>6</v>
      </c>
      <c r="AL102" s="5">
        <v>12</v>
      </c>
      <c r="AM102" s="5">
        <v>1</v>
      </c>
      <c r="AO102" s="5">
        <v>1</v>
      </c>
      <c r="AP102" s="5">
        <v>1</v>
      </c>
      <c r="AQ102" s="5">
        <v>1</v>
      </c>
      <c r="AR102" s="5">
        <v>1</v>
      </c>
      <c r="AT102" s="5">
        <v>0.12999999523162842</v>
      </c>
      <c r="AU102" s="5">
        <v>1.8890000581741333</v>
      </c>
      <c r="AV102" s="5">
        <v>0.15999999642372131</v>
      </c>
      <c r="AW102" s="5">
        <v>8.999999612569809E-3</v>
      </c>
      <c r="AY102" s="5">
        <v>1.5990000000000002</v>
      </c>
      <c r="AZ102" s="5">
        <v>0.70000000000000018</v>
      </c>
      <c r="BA102" s="5">
        <v>2.282</v>
      </c>
      <c r="BB102" s="5">
        <v>0</v>
      </c>
      <c r="BD102" s="5">
        <v>1.6330001056194305</v>
      </c>
      <c r="BE102" s="5">
        <v>0.54999995231628418</v>
      </c>
      <c r="BF102" s="5">
        <v>2.1330000162124634</v>
      </c>
      <c r="BG102" s="5">
        <v>0</v>
      </c>
      <c r="BI102" s="5">
        <v>2</v>
      </c>
      <c r="BJ102" s="5">
        <v>3</v>
      </c>
      <c r="BK102" s="5">
        <v>6</v>
      </c>
      <c r="BL102" s="5">
        <v>0</v>
      </c>
      <c r="BN102" s="5">
        <v>3</v>
      </c>
      <c r="BO102" s="5">
        <v>3</v>
      </c>
      <c r="BP102" s="5">
        <v>3</v>
      </c>
      <c r="BQ102" s="5">
        <v>0</v>
      </c>
      <c r="BS102" s="5">
        <v>0.36399999260902405</v>
      </c>
      <c r="BT102" s="5">
        <v>3.1059999465942383</v>
      </c>
      <c r="BU102" s="5">
        <v>0.59399998188018799</v>
      </c>
      <c r="BV102" s="5">
        <v>4.0090000000000003</v>
      </c>
      <c r="BX102" s="5">
        <v>6.7000000000000254E-2</v>
      </c>
      <c r="BY102" s="5">
        <v>0</v>
      </c>
      <c r="BZ102" s="5">
        <v>4.9999999999999989E-2</v>
      </c>
      <c r="CA102" s="5">
        <v>3.9830000000000001</v>
      </c>
      <c r="CC102" s="5">
        <v>0.51699995994567871</v>
      </c>
      <c r="CD102" s="5">
        <v>0</v>
      </c>
      <c r="CE102" s="5">
        <v>0</v>
      </c>
      <c r="CF102" s="5">
        <v>3.9830001033842564</v>
      </c>
      <c r="CH102" s="5">
        <v>1</v>
      </c>
      <c r="CI102" s="5">
        <v>0</v>
      </c>
      <c r="CJ102" s="5">
        <v>0</v>
      </c>
      <c r="CK102" s="5">
        <v>1</v>
      </c>
      <c r="CM102" s="5">
        <v>2</v>
      </c>
      <c r="CN102" s="5">
        <v>1</v>
      </c>
      <c r="CO102" s="5">
        <v>1</v>
      </c>
      <c r="CP102" s="5">
        <v>1</v>
      </c>
      <c r="CR102" s="5">
        <v>3.2130000591278076</v>
      </c>
      <c r="CS102" s="5">
        <v>4.0030000000000001</v>
      </c>
      <c r="CT102" s="5">
        <v>4.0039999999999996</v>
      </c>
      <c r="CU102" s="5">
        <v>8.999999612569809E-3</v>
      </c>
    </row>
    <row r="103" spans="1:99" s="5" customFormat="1" x14ac:dyDescent="0.35">
      <c r="A103" s="4" t="s">
        <v>101</v>
      </c>
      <c r="B103" s="4">
        <v>6.583333333333333</v>
      </c>
      <c r="C103" s="4" t="s">
        <v>168</v>
      </c>
      <c r="D103" s="4" t="s">
        <v>404</v>
      </c>
      <c r="F103" s="5">
        <v>3.98</v>
      </c>
      <c r="G103" s="5">
        <v>4.01</v>
      </c>
      <c r="H103" s="5">
        <v>4.0090000000000003</v>
      </c>
      <c r="I103" s="5">
        <v>4.0010000000000003</v>
      </c>
      <c r="K103" s="5">
        <v>3.9489999999999998</v>
      </c>
      <c r="L103" s="5">
        <v>3.9830000000000001</v>
      </c>
      <c r="M103" s="5">
        <v>3.9990000000000001</v>
      </c>
      <c r="N103" s="5">
        <v>3.9820000000000002</v>
      </c>
      <c r="P103" s="5">
        <v>3.8820001073181629</v>
      </c>
      <c r="Q103" s="5">
        <v>3.6169997695833445</v>
      </c>
      <c r="R103" s="5">
        <v>3.3470001518726349</v>
      </c>
      <c r="S103" s="5">
        <v>3.8499998729676008</v>
      </c>
      <c r="U103" s="5">
        <v>5</v>
      </c>
      <c r="V103" s="5">
        <v>15</v>
      </c>
      <c r="W103" s="5">
        <v>13</v>
      </c>
      <c r="X103" s="5">
        <v>9</v>
      </c>
      <c r="Z103" s="5">
        <v>3.9489999999999998</v>
      </c>
      <c r="AA103" s="5">
        <v>3.9830000000000001</v>
      </c>
      <c r="AB103" s="5">
        <v>3.3319999999999999</v>
      </c>
      <c r="AC103" s="5">
        <v>3.9820000000000002</v>
      </c>
      <c r="AE103" s="5">
        <v>3.8820001073181629</v>
      </c>
      <c r="AF103" s="5">
        <v>3.6169997695833445</v>
      </c>
      <c r="AG103" s="5">
        <v>2.96300008893013</v>
      </c>
      <c r="AH103" s="5">
        <v>3.8499998729676008</v>
      </c>
      <c r="AJ103" s="5">
        <v>5</v>
      </c>
      <c r="AK103" s="5">
        <v>15</v>
      </c>
      <c r="AL103" s="5">
        <v>12</v>
      </c>
      <c r="AM103" s="5">
        <v>9</v>
      </c>
      <c r="AO103" s="5">
        <v>1</v>
      </c>
      <c r="AP103" s="5">
        <v>1</v>
      </c>
      <c r="AQ103" s="5">
        <v>2</v>
      </c>
      <c r="AR103" s="5">
        <v>1</v>
      </c>
      <c r="AT103" s="5">
        <v>2.4000000208616257E-2</v>
      </c>
      <c r="AU103" s="5">
        <v>1.2000000104308128E-2</v>
      </c>
      <c r="AV103" s="5">
        <v>0</v>
      </c>
      <c r="AW103" s="5">
        <v>1.4000000432133675E-2</v>
      </c>
      <c r="AY103" s="5">
        <v>3.5989999999999998</v>
      </c>
      <c r="AZ103" s="5">
        <v>1.5010000000000003</v>
      </c>
      <c r="BA103" s="5">
        <v>1.1159999999999997</v>
      </c>
      <c r="BB103" s="5">
        <v>2.3659999999999997</v>
      </c>
      <c r="BD103" s="5">
        <v>3.5660001039505005</v>
      </c>
      <c r="BE103" s="5">
        <v>1.6339997891336679</v>
      </c>
      <c r="BF103" s="5">
        <v>1.048000156879425</v>
      </c>
      <c r="BG103" s="5">
        <v>2.3499998152256012</v>
      </c>
      <c r="BI103" s="5">
        <v>4</v>
      </c>
      <c r="BJ103" s="5">
        <v>7</v>
      </c>
      <c r="BK103" s="5">
        <v>5</v>
      </c>
      <c r="BL103" s="5">
        <v>5</v>
      </c>
      <c r="BN103" s="5">
        <v>1</v>
      </c>
      <c r="BO103" s="5">
        <v>5</v>
      </c>
      <c r="BP103" s="5">
        <v>6</v>
      </c>
      <c r="BQ103" s="5">
        <v>4</v>
      </c>
      <c r="BS103" s="5">
        <v>0.35699999332427979</v>
      </c>
      <c r="BT103" s="5">
        <v>1.2000000104308128E-2</v>
      </c>
      <c r="BU103" s="5">
        <v>0.41600000858306885</v>
      </c>
      <c r="BV103" s="5">
        <v>0.47999998927116394</v>
      </c>
      <c r="BX103" s="5">
        <v>0</v>
      </c>
      <c r="BY103" s="5">
        <v>0</v>
      </c>
      <c r="BZ103" s="5">
        <v>0</v>
      </c>
      <c r="CA103" s="5">
        <v>0</v>
      </c>
      <c r="CC103" s="5">
        <v>0</v>
      </c>
      <c r="CD103" s="5">
        <v>0</v>
      </c>
      <c r="CE103" s="5">
        <v>0</v>
      </c>
      <c r="CF103" s="5">
        <v>0</v>
      </c>
      <c r="CH103" s="5">
        <v>0</v>
      </c>
      <c r="CI103" s="5">
        <v>0</v>
      </c>
      <c r="CJ103" s="5">
        <v>0</v>
      </c>
      <c r="CK103" s="5">
        <v>0</v>
      </c>
      <c r="CM103" s="5">
        <v>0</v>
      </c>
      <c r="CN103" s="5">
        <v>0</v>
      </c>
      <c r="CO103" s="5">
        <v>0</v>
      </c>
      <c r="CP103" s="5">
        <v>0</v>
      </c>
      <c r="CR103" s="5">
        <v>3.98</v>
      </c>
      <c r="CS103" s="5">
        <v>4.01</v>
      </c>
      <c r="CT103" s="5">
        <v>4.0090000000000003</v>
      </c>
      <c r="CU103" s="5">
        <v>4.0010000000000003</v>
      </c>
    </row>
    <row r="104" spans="1:99" s="5" customFormat="1" x14ac:dyDescent="0.35">
      <c r="A104" s="4" t="s">
        <v>102</v>
      </c>
      <c r="B104" s="4">
        <v>11.833333333333334</v>
      </c>
      <c r="C104" s="4" t="s">
        <v>168</v>
      </c>
      <c r="D104" s="4" t="s">
        <v>404</v>
      </c>
      <c r="F104" s="5">
        <v>4.01</v>
      </c>
      <c r="G104" s="5">
        <v>1000</v>
      </c>
      <c r="H104" s="5">
        <v>1000</v>
      </c>
      <c r="I104" s="5">
        <v>1.9319999999999995</v>
      </c>
      <c r="K104" s="5">
        <v>3.6320000000000001</v>
      </c>
      <c r="L104" s="5">
        <v>1000</v>
      </c>
      <c r="M104" s="5">
        <v>1000</v>
      </c>
      <c r="N104" s="5">
        <v>1000</v>
      </c>
      <c r="P104" s="5">
        <v>2.3999998811632395</v>
      </c>
      <c r="Q104" s="5">
        <v>1000</v>
      </c>
      <c r="R104" s="5">
        <v>1000</v>
      </c>
      <c r="S104" s="5">
        <v>1000</v>
      </c>
      <c r="U104" s="5">
        <v>9</v>
      </c>
      <c r="V104" s="5">
        <v>1000</v>
      </c>
      <c r="W104" s="5">
        <v>1000</v>
      </c>
      <c r="X104" s="5">
        <v>1000</v>
      </c>
      <c r="Z104" s="5">
        <v>2.8</v>
      </c>
      <c r="AA104" s="5">
        <v>1000</v>
      </c>
      <c r="AB104" s="5">
        <v>1000</v>
      </c>
      <c r="AC104" s="5">
        <v>1000</v>
      </c>
      <c r="AE104" s="5">
        <v>2.3999998811632395</v>
      </c>
      <c r="AF104" s="5">
        <v>1000</v>
      </c>
      <c r="AG104" s="5">
        <v>1000</v>
      </c>
      <c r="AH104" s="5">
        <v>1000</v>
      </c>
      <c r="AJ104" s="5">
        <v>9</v>
      </c>
      <c r="AK104" s="5">
        <v>1000</v>
      </c>
      <c r="AL104" s="5">
        <v>1000</v>
      </c>
      <c r="AM104" s="5">
        <v>1000</v>
      </c>
      <c r="AO104" s="5">
        <v>2</v>
      </c>
      <c r="AP104" s="5">
        <v>1000</v>
      </c>
      <c r="AQ104" s="5">
        <v>1000</v>
      </c>
      <c r="AR104" s="5">
        <v>1000</v>
      </c>
      <c r="AT104" s="5">
        <v>1.2000000104308128E-2</v>
      </c>
      <c r="AU104" s="5">
        <v>1000</v>
      </c>
      <c r="AV104" s="5">
        <v>1000</v>
      </c>
      <c r="AW104" s="5">
        <v>1000</v>
      </c>
      <c r="AY104" s="5">
        <v>1.1159999999999999</v>
      </c>
      <c r="AZ104" s="5">
        <v>1000</v>
      </c>
      <c r="BA104" s="5">
        <v>1000</v>
      </c>
      <c r="BB104" s="5">
        <v>1000</v>
      </c>
      <c r="BD104" s="5">
        <v>1.150999903678894</v>
      </c>
      <c r="BE104" s="5">
        <v>1000</v>
      </c>
      <c r="BF104" s="5">
        <v>1000</v>
      </c>
      <c r="BG104" s="5">
        <v>1000</v>
      </c>
      <c r="BI104" s="5">
        <v>3</v>
      </c>
      <c r="BJ104" s="5">
        <v>1000</v>
      </c>
      <c r="BK104" s="5">
        <v>1000</v>
      </c>
      <c r="BL104" s="5">
        <v>1000</v>
      </c>
      <c r="BN104" s="5">
        <v>3</v>
      </c>
      <c r="BO104" s="5">
        <v>1000</v>
      </c>
      <c r="BP104" s="5">
        <v>1000</v>
      </c>
      <c r="BQ104" s="5">
        <v>1000</v>
      </c>
      <c r="BS104" s="5">
        <v>1.1779999732971191</v>
      </c>
      <c r="BT104" s="5">
        <v>1000</v>
      </c>
      <c r="BU104" s="5">
        <v>1000</v>
      </c>
      <c r="BV104" s="5">
        <v>1000</v>
      </c>
      <c r="BX104" s="5">
        <v>0.63400000000000001</v>
      </c>
      <c r="BY104" s="5">
        <v>1000</v>
      </c>
      <c r="BZ104" s="5">
        <v>1000</v>
      </c>
      <c r="CA104" s="5">
        <v>1000</v>
      </c>
      <c r="CC104" s="5">
        <v>0.66600003279745579</v>
      </c>
      <c r="CD104" s="5">
        <v>1000</v>
      </c>
      <c r="CE104" s="5">
        <v>1000</v>
      </c>
      <c r="CF104" s="5">
        <v>1000</v>
      </c>
      <c r="CH104" s="5">
        <v>2</v>
      </c>
      <c r="CI104" s="5">
        <v>1000</v>
      </c>
      <c r="CJ104" s="5">
        <v>1000</v>
      </c>
      <c r="CK104" s="5">
        <v>1000</v>
      </c>
      <c r="CM104" s="5">
        <v>2</v>
      </c>
      <c r="CN104" s="5">
        <v>1000</v>
      </c>
      <c r="CO104" s="5">
        <v>1000</v>
      </c>
      <c r="CP104" s="5">
        <v>1000</v>
      </c>
      <c r="CR104" s="5">
        <v>1.2000000104308128E-2</v>
      </c>
      <c r="CS104" s="5">
        <v>1000</v>
      </c>
      <c r="CT104" s="5">
        <v>1000</v>
      </c>
      <c r="CU104" s="5">
        <v>1000</v>
      </c>
    </row>
    <row r="105" spans="1:99" s="5" customFormat="1" x14ac:dyDescent="0.35">
      <c r="A105" s="4" t="s">
        <v>103</v>
      </c>
      <c r="B105" s="4">
        <v>3.3333333333333335</v>
      </c>
      <c r="C105" s="4" t="s">
        <v>168</v>
      </c>
      <c r="D105" s="4" t="s">
        <v>404</v>
      </c>
      <c r="F105" s="5">
        <v>1.7330000000000001</v>
      </c>
      <c r="G105" s="5">
        <v>1000</v>
      </c>
      <c r="H105" s="5">
        <v>1000</v>
      </c>
      <c r="I105" s="5">
        <v>0</v>
      </c>
      <c r="K105" s="5">
        <v>1000</v>
      </c>
      <c r="L105" s="5">
        <v>1000</v>
      </c>
      <c r="M105" s="5">
        <v>1000</v>
      </c>
      <c r="N105" s="5">
        <v>1000</v>
      </c>
      <c r="P105" s="5">
        <v>1000</v>
      </c>
      <c r="Q105" s="5">
        <v>1000</v>
      </c>
      <c r="R105" s="5">
        <v>1000</v>
      </c>
      <c r="S105" s="5">
        <v>1000</v>
      </c>
      <c r="U105" s="5">
        <v>1000</v>
      </c>
      <c r="V105" s="5">
        <v>1000</v>
      </c>
      <c r="W105" s="5">
        <v>1000</v>
      </c>
      <c r="X105" s="5">
        <v>1000</v>
      </c>
      <c r="Z105" s="5">
        <v>1000</v>
      </c>
      <c r="AA105" s="5">
        <v>1000</v>
      </c>
      <c r="AB105" s="5">
        <v>1000</v>
      </c>
      <c r="AC105" s="5">
        <v>1000</v>
      </c>
      <c r="AE105" s="5">
        <v>1000</v>
      </c>
      <c r="AF105" s="5">
        <v>1000</v>
      </c>
      <c r="AG105" s="5">
        <v>1000</v>
      </c>
      <c r="AH105" s="5">
        <v>1000</v>
      </c>
      <c r="AJ105" s="5">
        <v>1000</v>
      </c>
      <c r="AK105" s="5">
        <v>1000</v>
      </c>
      <c r="AL105" s="5">
        <v>1000</v>
      </c>
      <c r="AM105" s="5">
        <v>1000</v>
      </c>
      <c r="AO105" s="5">
        <v>1000</v>
      </c>
      <c r="AP105" s="5">
        <v>1000</v>
      </c>
      <c r="AQ105" s="5">
        <v>1000</v>
      </c>
      <c r="AR105" s="5">
        <v>1000</v>
      </c>
      <c r="AT105" s="5">
        <v>1000</v>
      </c>
      <c r="AU105" s="5">
        <v>1000</v>
      </c>
      <c r="AV105" s="5">
        <v>1000</v>
      </c>
      <c r="AW105" s="5">
        <v>1000</v>
      </c>
      <c r="AY105" s="5">
        <v>1000</v>
      </c>
      <c r="AZ105" s="5">
        <v>1000</v>
      </c>
      <c r="BA105" s="5">
        <v>1000</v>
      </c>
      <c r="BB105" s="5">
        <v>1000</v>
      </c>
      <c r="BD105" s="5">
        <v>1000</v>
      </c>
      <c r="BE105" s="5">
        <v>1000</v>
      </c>
      <c r="BF105" s="5">
        <v>1000</v>
      </c>
      <c r="BG105" s="5">
        <v>1000</v>
      </c>
      <c r="BI105" s="5">
        <v>1000</v>
      </c>
      <c r="BJ105" s="5">
        <v>1000</v>
      </c>
      <c r="BK105" s="5">
        <v>1000</v>
      </c>
      <c r="BL105" s="5">
        <v>1000</v>
      </c>
      <c r="BN105" s="5">
        <v>1000</v>
      </c>
      <c r="BO105" s="5">
        <v>1000</v>
      </c>
      <c r="BP105" s="5">
        <v>1000</v>
      </c>
      <c r="BQ105" s="5">
        <v>1000</v>
      </c>
      <c r="BS105" s="5">
        <v>1000</v>
      </c>
      <c r="BT105" s="5">
        <v>1000</v>
      </c>
      <c r="BU105" s="5">
        <v>1000</v>
      </c>
      <c r="BV105" s="5">
        <v>1000</v>
      </c>
      <c r="BX105" s="5">
        <v>1000</v>
      </c>
      <c r="BY105" s="5">
        <v>1000</v>
      </c>
      <c r="BZ105" s="5">
        <v>1000</v>
      </c>
      <c r="CA105" s="5">
        <v>1000</v>
      </c>
      <c r="CC105" s="5">
        <v>1000</v>
      </c>
      <c r="CD105" s="5">
        <v>1000</v>
      </c>
      <c r="CE105" s="5">
        <v>1000</v>
      </c>
      <c r="CF105" s="5">
        <v>1000</v>
      </c>
      <c r="CH105" s="5">
        <v>1000</v>
      </c>
      <c r="CI105" s="5">
        <v>1000</v>
      </c>
      <c r="CJ105" s="5">
        <v>1000</v>
      </c>
      <c r="CK105" s="5">
        <v>1000</v>
      </c>
      <c r="CM105" s="5">
        <v>1000</v>
      </c>
      <c r="CN105" s="5">
        <v>1000</v>
      </c>
      <c r="CO105" s="5">
        <v>1000</v>
      </c>
      <c r="CP105" s="5">
        <v>1000</v>
      </c>
      <c r="CR105" s="5">
        <v>1000</v>
      </c>
      <c r="CS105" s="5">
        <v>1000</v>
      </c>
      <c r="CT105" s="5">
        <v>1000</v>
      </c>
      <c r="CU105" s="5">
        <v>1000</v>
      </c>
    </row>
    <row r="106" spans="1:99" s="5" customFormat="1" x14ac:dyDescent="0.35">
      <c r="A106" s="4" t="s">
        <v>104</v>
      </c>
      <c r="B106" s="4">
        <v>2.6666666666666665</v>
      </c>
      <c r="C106" s="4" t="s">
        <v>167</v>
      </c>
      <c r="D106" s="4" t="s">
        <v>404</v>
      </c>
      <c r="F106" s="5">
        <v>4.01</v>
      </c>
      <c r="G106" s="5">
        <v>4.016</v>
      </c>
      <c r="H106" s="5">
        <v>4.0149999999999997</v>
      </c>
      <c r="I106" s="5">
        <v>4.016</v>
      </c>
      <c r="K106" s="5">
        <v>3.9990000000000001</v>
      </c>
      <c r="L106" s="5">
        <v>3.9990000000000006</v>
      </c>
      <c r="M106" s="5">
        <v>3.9820000000000002</v>
      </c>
      <c r="N106" s="5">
        <v>3.9990000000000001</v>
      </c>
      <c r="P106" s="5">
        <v>3.4499997915700078</v>
      </c>
      <c r="Q106" s="5">
        <v>3.4809999803546816</v>
      </c>
      <c r="R106" s="5">
        <v>3.7669999562203884</v>
      </c>
      <c r="S106" s="5">
        <v>3.3819998791441321</v>
      </c>
      <c r="U106" s="5">
        <v>7</v>
      </c>
      <c r="V106" s="5">
        <v>10</v>
      </c>
      <c r="W106" s="5">
        <v>11</v>
      </c>
      <c r="X106" s="5">
        <v>10</v>
      </c>
      <c r="Z106" s="5">
        <v>3.5500000000000003</v>
      </c>
      <c r="AA106" s="5">
        <v>3.9990000000000006</v>
      </c>
      <c r="AB106" s="5">
        <v>3.9820000000000002</v>
      </c>
      <c r="AC106" s="5">
        <v>3.9990000000000001</v>
      </c>
      <c r="AE106" s="5">
        <v>3.4499997915700078</v>
      </c>
      <c r="AF106" s="5">
        <v>3.4809999803546816</v>
      </c>
      <c r="AG106" s="5">
        <v>3.7669999562203884</v>
      </c>
      <c r="AH106" s="5">
        <v>3.3819998791441321</v>
      </c>
      <c r="AJ106" s="5">
        <v>7</v>
      </c>
      <c r="AK106" s="5">
        <v>10</v>
      </c>
      <c r="AL106" s="5">
        <v>11</v>
      </c>
      <c r="AM106" s="5">
        <v>10</v>
      </c>
      <c r="AO106" s="5">
        <v>3</v>
      </c>
      <c r="AP106" s="5">
        <v>1</v>
      </c>
      <c r="AQ106" s="5">
        <v>1</v>
      </c>
      <c r="AR106" s="5">
        <v>1</v>
      </c>
      <c r="AT106" s="5">
        <v>6.0000000521540642E-3</v>
      </c>
      <c r="AU106" s="5">
        <v>2.0000000949949026E-3</v>
      </c>
      <c r="AV106" s="5">
        <v>4.8999998718500137E-2</v>
      </c>
      <c r="AW106" s="5">
        <v>7.0000002160668373E-3</v>
      </c>
      <c r="AY106" s="5">
        <v>1.9</v>
      </c>
      <c r="AZ106" s="5">
        <v>1.7159999999999993</v>
      </c>
      <c r="BA106" s="5">
        <v>3.2320000000000007</v>
      </c>
      <c r="BB106" s="5">
        <v>1.6</v>
      </c>
      <c r="BD106" s="5">
        <v>2.0820000767707825</v>
      </c>
      <c r="BE106" s="5">
        <v>2.1320000290870667</v>
      </c>
      <c r="BF106" s="5">
        <v>3.4329999685287476</v>
      </c>
      <c r="BG106" s="5">
        <v>1.3999999165534973</v>
      </c>
      <c r="BI106" s="5">
        <v>3</v>
      </c>
      <c r="BJ106" s="5">
        <v>5</v>
      </c>
      <c r="BK106" s="5">
        <v>10</v>
      </c>
      <c r="BL106" s="5">
        <v>3</v>
      </c>
      <c r="BN106" s="5">
        <v>3</v>
      </c>
      <c r="BO106" s="5">
        <v>5</v>
      </c>
      <c r="BP106" s="5">
        <v>4</v>
      </c>
      <c r="BQ106" s="5">
        <v>4</v>
      </c>
      <c r="BS106" s="5">
        <v>0.53899997472763062</v>
      </c>
      <c r="BT106" s="5">
        <v>0.5350000262260437</v>
      </c>
      <c r="BU106" s="5">
        <v>0.39899998903274536</v>
      </c>
      <c r="BV106" s="5">
        <v>0.68999999761581421</v>
      </c>
      <c r="BX106" s="5">
        <v>0</v>
      </c>
      <c r="BY106" s="5">
        <v>0.2330000000000001</v>
      </c>
      <c r="BZ106" s="5">
        <v>0</v>
      </c>
      <c r="CA106" s="5">
        <v>0</v>
      </c>
      <c r="CC106" s="5">
        <v>0</v>
      </c>
      <c r="CD106" s="5">
        <v>0</v>
      </c>
      <c r="CE106" s="5">
        <v>0</v>
      </c>
      <c r="CF106" s="5">
        <v>0</v>
      </c>
      <c r="CH106" s="5">
        <v>0</v>
      </c>
      <c r="CI106" s="5">
        <v>0</v>
      </c>
      <c r="CJ106" s="5">
        <v>0</v>
      </c>
      <c r="CK106" s="5">
        <v>0</v>
      </c>
      <c r="CM106" s="5">
        <v>0</v>
      </c>
      <c r="CN106" s="5">
        <v>1</v>
      </c>
      <c r="CO106" s="5">
        <v>1</v>
      </c>
      <c r="CP106" s="5">
        <v>2</v>
      </c>
      <c r="CR106" s="5">
        <v>4.01</v>
      </c>
      <c r="CS106" s="5">
        <v>4.016</v>
      </c>
      <c r="CT106" s="5">
        <v>4.0149999999999997</v>
      </c>
      <c r="CU106" s="5">
        <v>4.016</v>
      </c>
    </row>
    <row r="107" spans="1:99" s="5" customFormat="1" x14ac:dyDescent="0.35">
      <c r="A107" s="4" t="s">
        <v>105</v>
      </c>
      <c r="B107" s="4">
        <v>3.4166666666666665</v>
      </c>
      <c r="C107" s="4" t="s">
        <v>168</v>
      </c>
      <c r="D107" s="4" t="s">
        <v>404</v>
      </c>
      <c r="F107" s="5">
        <v>4.0019999999999998</v>
      </c>
      <c r="G107" s="5">
        <v>1000</v>
      </c>
      <c r="H107" s="5">
        <v>3.194</v>
      </c>
      <c r="I107" s="5">
        <v>2.8140000000000001</v>
      </c>
      <c r="K107" s="5">
        <v>3.9820000000000002</v>
      </c>
      <c r="L107" s="5">
        <v>1000</v>
      </c>
      <c r="M107" s="5">
        <v>3.1819999999999999</v>
      </c>
      <c r="N107" s="5">
        <v>2.8000000000000003</v>
      </c>
      <c r="P107" s="5">
        <v>3.6170000592246652</v>
      </c>
      <c r="Q107" s="5">
        <v>1000</v>
      </c>
      <c r="R107" s="5">
        <v>2.5330002000555396</v>
      </c>
      <c r="S107" s="5">
        <v>2.7000000458210707</v>
      </c>
      <c r="U107" s="5">
        <v>7</v>
      </c>
      <c r="V107" s="5">
        <v>1000</v>
      </c>
      <c r="W107" s="5">
        <v>5</v>
      </c>
      <c r="X107" s="5">
        <v>6</v>
      </c>
      <c r="Z107" s="5">
        <v>3.7650000000000001</v>
      </c>
      <c r="AA107" s="5">
        <v>1000</v>
      </c>
      <c r="AB107" s="5">
        <v>2.5660000000000003</v>
      </c>
      <c r="AC107" s="5">
        <v>2.5499999999999998</v>
      </c>
      <c r="AE107" s="5">
        <v>3.6170000592246652</v>
      </c>
      <c r="AF107" s="5">
        <v>1000</v>
      </c>
      <c r="AG107" s="5">
        <v>2.5330002000555396</v>
      </c>
      <c r="AH107" s="5">
        <v>2.7000000458210707</v>
      </c>
      <c r="AJ107" s="5">
        <v>7</v>
      </c>
      <c r="AK107" s="5">
        <v>1000</v>
      </c>
      <c r="AL107" s="5">
        <v>5</v>
      </c>
      <c r="AM107" s="5">
        <v>6</v>
      </c>
      <c r="AO107" s="5">
        <v>2</v>
      </c>
      <c r="AP107" s="5">
        <v>1000</v>
      </c>
      <c r="AQ107" s="5">
        <v>3</v>
      </c>
      <c r="AR107" s="5">
        <v>2</v>
      </c>
      <c r="AT107" s="5">
        <v>8.0000003799796104E-3</v>
      </c>
      <c r="AU107" s="5">
        <v>1000</v>
      </c>
      <c r="AV107" s="5">
        <v>7.0000002160668373E-3</v>
      </c>
      <c r="AW107" s="5">
        <v>1.4000000432133675E-2</v>
      </c>
      <c r="AY107" s="5">
        <v>0.25</v>
      </c>
      <c r="AZ107" s="5">
        <v>1000</v>
      </c>
      <c r="BA107" s="5">
        <v>0.44999999999999996</v>
      </c>
      <c r="BB107" s="5">
        <v>0</v>
      </c>
      <c r="BD107" s="5">
        <v>0.53299987316131592</v>
      </c>
      <c r="BE107" s="5">
        <v>1000</v>
      </c>
      <c r="BF107" s="5">
        <v>0.51700007915496826</v>
      </c>
      <c r="BG107" s="5">
        <v>0</v>
      </c>
      <c r="BI107" s="5">
        <v>1</v>
      </c>
      <c r="BJ107" s="5">
        <v>1000</v>
      </c>
      <c r="BK107" s="5">
        <v>2</v>
      </c>
      <c r="BL107" s="5">
        <v>0</v>
      </c>
      <c r="BN107" s="5">
        <v>1</v>
      </c>
      <c r="BO107" s="5">
        <v>1000</v>
      </c>
      <c r="BP107" s="5">
        <v>1</v>
      </c>
      <c r="BQ107" s="5">
        <v>0</v>
      </c>
      <c r="BS107" s="5">
        <v>1.7580000162124634</v>
      </c>
      <c r="BT107" s="5">
        <v>1000</v>
      </c>
      <c r="BU107" s="5">
        <v>1.3229999542236328</v>
      </c>
      <c r="BV107" s="5">
        <v>4.0110000000000001</v>
      </c>
      <c r="BX107" s="5">
        <v>0.61699999999999999</v>
      </c>
      <c r="BY107" s="5">
        <v>1000</v>
      </c>
      <c r="BZ107" s="5">
        <v>0</v>
      </c>
      <c r="CA107" s="5">
        <v>0</v>
      </c>
      <c r="CC107" s="5">
        <v>0.55099999904632568</v>
      </c>
      <c r="CD107" s="5">
        <v>1000</v>
      </c>
      <c r="CE107" s="5">
        <v>0</v>
      </c>
      <c r="CF107" s="5">
        <v>0</v>
      </c>
      <c r="CH107" s="5">
        <v>2</v>
      </c>
      <c r="CI107" s="5">
        <v>1000</v>
      </c>
      <c r="CJ107" s="5">
        <v>0</v>
      </c>
      <c r="CK107" s="5">
        <v>0</v>
      </c>
      <c r="CM107" s="5">
        <v>3</v>
      </c>
      <c r="CN107" s="5">
        <v>1000</v>
      </c>
      <c r="CO107" s="5">
        <v>0</v>
      </c>
      <c r="CP107" s="5">
        <v>1</v>
      </c>
      <c r="CR107" s="5">
        <v>1.0410000085830688</v>
      </c>
      <c r="CS107" s="5">
        <v>1000</v>
      </c>
      <c r="CT107" s="5">
        <v>4.0110000000000001</v>
      </c>
      <c r="CU107" s="5">
        <v>4.0110000000000001</v>
      </c>
    </row>
    <row r="108" spans="1:99" s="5" customFormat="1" x14ac:dyDescent="0.35">
      <c r="A108" s="4" t="s">
        <v>106</v>
      </c>
      <c r="B108" s="4">
        <v>4.583333333333333</v>
      </c>
      <c r="C108" s="4" t="s">
        <v>167</v>
      </c>
      <c r="D108" s="4" t="s">
        <v>404</v>
      </c>
      <c r="F108" s="5">
        <v>4.016</v>
      </c>
      <c r="G108" s="5">
        <v>4.016</v>
      </c>
      <c r="H108" s="5">
        <v>4.0149999999999997</v>
      </c>
      <c r="I108" s="5">
        <v>4.016</v>
      </c>
      <c r="K108" s="5">
        <v>3.3650000000000002</v>
      </c>
      <c r="L108" s="5">
        <v>3.3330000000000002</v>
      </c>
      <c r="M108" s="5">
        <v>3.9980000000000002</v>
      </c>
      <c r="N108" s="5">
        <v>3.9990000000000001</v>
      </c>
      <c r="P108" s="5">
        <v>3.0650002956390381</v>
      </c>
      <c r="Q108" s="5">
        <v>3.2149999141693115</v>
      </c>
      <c r="R108" s="5">
        <v>3.8810002545360476</v>
      </c>
      <c r="S108" s="5">
        <v>3.765000281855464</v>
      </c>
      <c r="U108" s="5">
        <v>9</v>
      </c>
      <c r="V108" s="5">
        <v>7</v>
      </c>
      <c r="W108" s="5">
        <v>8</v>
      </c>
      <c r="X108" s="5">
        <v>8</v>
      </c>
      <c r="Z108" s="5">
        <v>3.3149999999999999</v>
      </c>
      <c r="AA108" s="5">
        <v>3.3330000000000002</v>
      </c>
      <c r="AB108" s="5">
        <v>3.9980000000000002</v>
      </c>
      <c r="AC108" s="5">
        <v>3.9990000000000001</v>
      </c>
      <c r="AE108" s="5">
        <v>3.0650002956390381</v>
      </c>
      <c r="AF108" s="5">
        <v>3.2149999141693115</v>
      </c>
      <c r="AG108" s="5">
        <v>3.8810002545360476</v>
      </c>
      <c r="AH108" s="5">
        <v>3.765000281855464</v>
      </c>
      <c r="AJ108" s="5">
        <v>9</v>
      </c>
      <c r="AK108" s="5">
        <v>7</v>
      </c>
      <c r="AL108" s="5">
        <v>8</v>
      </c>
      <c r="AM108" s="5">
        <v>8</v>
      </c>
      <c r="AO108" s="5">
        <v>1</v>
      </c>
      <c r="AP108" s="5">
        <v>1</v>
      </c>
      <c r="AQ108" s="5">
        <v>1</v>
      </c>
      <c r="AR108" s="5">
        <v>1</v>
      </c>
      <c r="AT108" s="5">
        <v>0.70899999141693115</v>
      </c>
      <c r="AU108" s="5">
        <v>0.68400001525878906</v>
      </c>
      <c r="AV108" s="5">
        <v>2.0000000949949026E-3</v>
      </c>
      <c r="AW108" s="5">
        <v>1.4000000432133675E-2</v>
      </c>
      <c r="AY108" s="5">
        <v>1.5150000000000003</v>
      </c>
      <c r="AZ108" s="5">
        <v>1.5490000000000002</v>
      </c>
      <c r="BA108" s="5">
        <v>1.0160000000000005</v>
      </c>
      <c r="BB108" s="5">
        <v>1.948</v>
      </c>
      <c r="BD108" s="5">
        <v>1.4490002393722534</v>
      </c>
      <c r="BE108" s="5">
        <v>1.4320000410079956</v>
      </c>
      <c r="BF108" s="5">
        <v>0.23299998044967651</v>
      </c>
      <c r="BG108" s="5">
        <v>1.8150001764297485</v>
      </c>
      <c r="BI108" s="5">
        <v>4</v>
      </c>
      <c r="BJ108" s="5">
        <v>3</v>
      </c>
      <c r="BK108" s="5">
        <v>1</v>
      </c>
      <c r="BL108" s="5">
        <v>4</v>
      </c>
      <c r="BN108" s="5">
        <v>5</v>
      </c>
      <c r="BO108" s="5">
        <v>3</v>
      </c>
      <c r="BP108" s="5">
        <v>5</v>
      </c>
      <c r="BQ108" s="5">
        <v>4</v>
      </c>
      <c r="BS108" s="5">
        <v>0.70899999141693115</v>
      </c>
      <c r="BT108" s="5">
        <v>0.68400001525878906</v>
      </c>
      <c r="BU108" s="5">
        <v>0.63499999046325684</v>
      </c>
      <c r="BV108" s="5">
        <v>1.3140000104904175</v>
      </c>
      <c r="BX108" s="5">
        <v>0</v>
      </c>
      <c r="BY108" s="5">
        <v>0</v>
      </c>
      <c r="BZ108" s="5">
        <v>0</v>
      </c>
      <c r="CA108" s="5">
        <v>0</v>
      </c>
      <c r="CC108" s="5">
        <v>0</v>
      </c>
      <c r="CD108" s="5">
        <v>0</v>
      </c>
      <c r="CE108" s="5">
        <v>0</v>
      </c>
      <c r="CF108" s="5">
        <v>0</v>
      </c>
      <c r="CH108" s="5">
        <v>0</v>
      </c>
      <c r="CI108" s="5">
        <v>0</v>
      </c>
      <c r="CJ108" s="5">
        <v>0</v>
      </c>
      <c r="CK108" s="5">
        <v>0</v>
      </c>
      <c r="CM108" s="5">
        <v>0</v>
      </c>
      <c r="CN108" s="5">
        <v>0</v>
      </c>
      <c r="CO108" s="5">
        <v>0</v>
      </c>
      <c r="CP108" s="5">
        <v>0</v>
      </c>
      <c r="CR108" s="5">
        <v>4.016</v>
      </c>
      <c r="CS108" s="5">
        <v>4.016</v>
      </c>
      <c r="CT108" s="5">
        <v>4.0149999999999997</v>
      </c>
      <c r="CU108" s="5">
        <v>4.016</v>
      </c>
    </row>
    <row r="109" spans="1:99" s="5" customFormat="1" x14ac:dyDescent="0.35">
      <c r="A109" s="4" t="s">
        <v>107</v>
      </c>
      <c r="B109" s="4">
        <v>4.583333333333333</v>
      </c>
      <c r="C109" s="4" t="s">
        <v>168</v>
      </c>
      <c r="D109" s="4" t="s">
        <v>404</v>
      </c>
      <c r="F109" s="5">
        <v>3.0060000000000002</v>
      </c>
      <c r="G109" s="5">
        <v>1000</v>
      </c>
      <c r="H109" s="5">
        <v>2.9329999999999998</v>
      </c>
      <c r="I109" s="5">
        <v>0</v>
      </c>
      <c r="K109" s="5">
        <v>3</v>
      </c>
      <c r="L109" s="5">
        <v>1000</v>
      </c>
      <c r="M109" s="5">
        <v>2.4329999999999998</v>
      </c>
      <c r="N109" s="5">
        <v>1000</v>
      </c>
      <c r="P109" s="5">
        <v>1.0500000715255737</v>
      </c>
      <c r="Q109" s="5">
        <v>1000</v>
      </c>
      <c r="R109" s="5">
        <v>1.0169998705387115</v>
      </c>
      <c r="S109" s="5">
        <v>1000</v>
      </c>
      <c r="U109" s="5">
        <v>7</v>
      </c>
      <c r="V109" s="5">
        <v>1000</v>
      </c>
      <c r="W109" s="5">
        <v>3</v>
      </c>
      <c r="X109" s="5">
        <v>1000</v>
      </c>
      <c r="Z109" s="5">
        <v>2.0670000000000006</v>
      </c>
      <c r="AA109" s="5">
        <v>1000</v>
      </c>
      <c r="AB109" s="5">
        <v>1.633</v>
      </c>
      <c r="AC109" s="5">
        <v>1000</v>
      </c>
      <c r="AE109" s="5">
        <v>1.0500000715255737</v>
      </c>
      <c r="AF109" s="5">
        <v>1000</v>
      </c>
      <c r="AG109" s="5">
        <v>1.0169998705387115</v>
      </c>
      <c r="AH109" s="5">
        <v>1000</v>
      </c>
      <c r="AJ109" s="5">
        <v>7</v>
      </c>
      <c r="AK109" s="5">
        <v>1000</v>
      </c>
      <c r="AL109" s="5">
        <v>3</v>
      </c>
      <c r="AM109" s="5">
        <v>1000</v>
      </c>
      <c r="AO109" s="5">
        <v>5</v>
      </c>
      <c r="AP109" s="5">
        <v>1000</v>
      </c>
      <c r="AQ109" s="5">
        <v>4</v>
      </c>
      <c r="AR109" s="5">
        <v>1000</v>
      </c>
      <c r="AT109" s="5">
        <v>1.3370000123977661</v>
      </c>
      <c r="AU109" s="5">
        <v>1000</v>
      </c>
      <c r="AV109" s="5">
        <v>0.48399999737739563</v>
      </c>
      <c r="AW109" s="5">
        <v>1000</v>
      </c>
      <c r="AY109" s="5">
        <v>0</v>
      </c>
      <c r="AZ109" s="5">
        <v>1000</v>
      </c>
      <c r="BA109" s="5">
        <v>0</v>
      </c>
      <c r="BB109" s="5">
        <v>1000</v>
      </c>
      <c r="BD109" s="5">
        <v>0</v>
      </c>
      <c r="BE109" s="5">
        <v>1000</v>
      </c>
      <c r="BF109" s="5">
        <v>0</v>
      </c>
      <c r="BG109" s="5">
        <v>1000</v>
      </c>
      <c r="BI109" s="5">
        <v>0</v>
      </c>
      <c r="BJ109" s="5">
        <v>1000</v>
      </c>
      <c r="BK109" s="5">
        <v>0</v>
      </c>
      <c r="BL109" s="5">
        <v>1000</v>
      </c>
      <c r="BN109" s="5">
        <v>1</v>
      </c>
      <c r="BO109" s="5">
        <v>1000</v>
      </c>
      <c r="BP109" s="5">
        <v>0</v>
      </c>
      <c r="BQ109" s="5">
        <v>1000</v>
      </c>
      <c r="BS109" s="5">
        <v>4.0090000000000003</v>
      </c>
      <c r="BT109" s="5">
        <v>1000</v>
      </c>
      <c r="BU109" s="5">
        <v>4.016</v>
      </c>
      <c r="BV109" s="5">
        <v>1000</v>
      </c>
      <c r="BX109" s="5">
        <v>0</v>
      </c>
      <c r="BY109" s="5">
        <v>1000</v>
      </c>
      <c r="BZ109" s="5">
        <v>0</v>
      </c>
      <c r="CA109" s="5">
        <v>1000</v>
      </c>
      <c r="CC109" s="5">
        <v>0</v>
      </c>
      <c r="CD109" s="5">
        <v>1000</v>
      </c>
      <c r="CE109" s="5">
        <v>0</v>
      </c>
      <c r="CF109" s="5">
        <v>1000</v>
      </c>
      <c r="CH109" s="5">
        <v>0</v>
      </c>
      <c r="CI109" s="5">
        <v>1000</v>
      </c>
      <c r="CJ109" s="5">
        <v>0</v>
      </c>
      <c r="CK109" s="5">
        <v>1000</v>
      </c>
      <c r="CM109" s="5">
        <v>0</v>
      </c>
      <c r="CN109" s="5">
        <v>1000</v>
      </c>
      <c r="CO109" s="5">
        <v>0</v>
      </c>
      <c r="CP109" s="5">
        <v>1000</v>
      </c>
      <c r="CR109" s="5">
        <v>4.0090000000000003</v>
      </c>
      <c r="CS109" s="5">
        <v>1000</v>
      </c>
      <c r="CT109" s="5">
        <v>4.016</v>
      </c>
      <c r="CU109" s="5">
        <v>1000</v>
      </c>
    </row>
    <row r="110" spans="1:99" s="5" customFormat="1" x14ac:dyDescent="0.35">
      <c r="A110" s="4" t="s">
        <v>108</v>
      </c>
      <c r="B110" s="4">
        <v>5.75</v>
      </c>
      <c r="C110" s="4" t="s">
        <v>168</v>
      </c>
      <c r="D110" s="4" t="s">
        <v>404</v>
      </c>
      <c r="F110" s="5">
        <v>4.0039999999999996</v>
      </c>
      <c r="G110" s="5">
        <v>4.0039999999999996</v>
      </c>
      <c r="H110" s="5">
        <v>1.234</v>
      </c>
      <c r="I110" s="5">
        <v>0.65899999999999981</v>
      </c>
      <c r="K110" s="5">
        <v>4</v>
      </c>
      <c r="L110" s="5">
        <v>3.367</v>
      </c>
      <c r="M110" s="5">
        <v>1000</v>
      </c>
      <c r="N110" s="5">
        <v>1000</v>
      </c>
      <c r="P110" s="5">
        <v>3.9329997510649264</v>
      </c>
      <c r="Q110" s="5">
        <v>3.1490000357152894</v>
      </c>
      <c r="R110" s="5">
        <v>1000</v>
      </c>
      <c r="S110" s="5">
        <v>1000</v>
      </c>
      <c r="U110" s="5">
        <v>5</v>
      </c>
      <c r="V110" s="5">
        <v>6</v>
      </c>
      <c r="W110" s="5">
        <v>1000</v>
      </c>
      <c r="X110" s="5">
        <v>1000</v>
      </c>
      <c r="Z110" s="5">
        <v>4</v>
      </c>
      <c r="AA110" s="5">
        <v>3.367</v>
      </c>
      <c r="AB110" s="5">
        <v>1000</v>
      </c>
      <c r="AC110" s="5">
        <v>1000</v>
      </c>
      <c r="AE110" s="5">
        <v>3.9329997510649264</v>
      </c>
      <c r="AF110" s="5">
        <v>3.1490000357152894</v>
      </c>
      <c r="AG110" s="5">
        <v>1000</v>
      </c>
      <c r="AH110" s="5">
        <v>1000</v>
      </c>
      <c r="AJ110" s="5">
        <v>5</v>
      </c>
      <c r="AK110" s="5">
        <v>6</v>
      </c>
      <c r="AL110" s="5">
        <v>1000</v>
      </c>
      <c r="AM110" s="5">
        <v>1000</v>
      </c>
      <c r="AO110" s="5">
        <v>1</v>
      </c>
      <c r="AP110" s="5">
        <v>1</v>
      </c>
      <c r="AQ110" s="5">
        <v>1000</v>
      </c>
      <c r="AR110" s="5">
        <v>1000</v>
      </c>
      <c r="AT110" s="5">
        <v>3.0000000260770321E-3</v>
      </c>
      <c r="AU110" s="5">
        <v>1.0000000474974513E-3</v>
      </c>
      <c r="AV110" s="5">
        <v>1000</v>
      </c>
      <c r="AW110" s="5">
        <v>1000</v>
      </c>
      <c r="AY110" s="5">
        <v>0.7999999999999996</v>
      </c>
      <c r="AZ110" s="5">
        <v>2.1989999999999998</v>
      </c>
      <c r="BA110" s="5">
        <v>1000</v>
      </c>
      <c r="BB110" s="5">
        <v>1000</v>
      </c>
      <c r="BD110" s="5">
        <v>0.18299996852874756</v>
      </c>
      <c r="BE110" s="5">
        <v>2.2150000333786011</v>
      </c>
      <c r="BF110" s="5">
        <v>1000</v>
      </c>
      <c r="BG110" s="5">
        <v>1000</v>
      </c>
      <c r="BI110" s="5">
        <v>1</v>
      </c>
      <c r="BJ110" s="5">
        <v>4</v>
      </c>
      <c r="BK110" s="5">
        <v>1000</v>
      </c>
      <c r="BL110" s="5">
        <v>1000</v>
      </c>
      <c r="BN110" s="5">
        <v>4</v>
      </c>
      <c r="BO110" s="5">
        <v>1</v>
      </c>
      <c r="BP110" s="5">
        <v>1000</v>
      </c>
      <c r="BQ110" s="5">
        <v>1000</v>
      </c>
      <c r="BS110" s="5">
        <v>0.50300002098083496</v>
      </c>
      <c r="BT110" s="5">
        <v>0.51800000667572021</v>
      </c>
      <c r="BU110" s="5">
        <v>1000</v>
      </c>
      <c r="BV110" s="5">
        <v>1000</v>
      </c>
      <c r="BX110" s="5">
        <v>0</v>
      </c>
      <c r="BY110" s="5">
        <v>0.78500000000000014</v>
      </c>
      <c r="BZ110" s="5">
        <v>1000</v>
      </c>
      <c r="CA110" s="5">
        <v>1000</v>
      </c>
      <c r="CC110" s="5">
        <v>0</v>
      </c>
      <c r="CD110" s="5">
        <v>0.43400001525878906</v>
      </c>
      <c r="CE110" s="5">
        <v>1000</v>
      </c>
      <c r="CF110" s="5">
        <v>1000</v>
      </c>
      <c r="CH110" s="5">
        <v>0</v>
      </c>
      <c r="CI110" s="5">
        <v>1</v>
      </c>
      <c r="CJ110" s="5">
        <v>1000</v>
      </c>
      <c r="CK110" s="5">
        <v>1000</v>
      </c>
      <c r="CM110" s="5">
        <v>0</v>
      </c>
      <c r="CN110" s="5">
        <v>3</v>
      </c>
      <c r="CO110" s="5">
        <v>1000</v>
      </c>
      <c r="CP110" s="5">
        <v>1000</v>
      </c>
      <c r="CR110" s="5">
        <v>4.0039999999999996</v>
      </c>
      <c r="CS110" s="5">
        <v>2.8840000629425049</v>
      </c>
      <c r="CT110" s="5">
        <v>1000</v>
      </c>
      <c r="CU110" s="5">
        <v>1000</v>
      </c>
    </row>
    <row r="111" spans="1:99" s="5" customFormat="1" x14ac:dyDescent="0.35">
      <c r="A111" s="4" t="s">
        <v>109</v>
      </c>
      <c r="B111" s="4">
        <v>8.3333333333333339</v>
      </c>
      <c r="C111" s="4" t="s">
        <v>168</v>
      </c>
      <c r="D111" s="4" t="s">
        <v>404</v>
      </c>
      <c r="F111" s="5">
        <v>4.0149999999999997</v>
      </c>
      <c r="G111" s="5">
        <v>2.9430000000000001</v>
      </c>
      <c r="H111" s="5">
        <v>3.0640000000000001</v>
      </c>
      <c r="I111" s="5">
        <v>0</v>
      </c>
      <c r="K111" s="5">
        <v>2.65</v>
      </c>
      <c r="L111" s="5">
        <v>2.9330000000000003</v>
      </c>
      <c r="M111" s="5">
        <v>2.9159999999999999</v>
      </c>
      <c r="N111" s="5">
        <v>1000</v>
      </c>
      <c r="P111" s="5">
        <v>1.1680000424385071</v>
      </c>
      <c r="Q111" s="5">
        <v>2.1499999761581421</v>
      </c>
      <c r="R111" s="5">
        <v>2.2500001360895112</v>
      </c>
      <c r="S111" s="5">
        <v>1000</v>
      </c>
      <c r="U111" s="5">
        <v>5</v>
      </c>
      <c r="V111" s="5">
        <v>8</v>
      </c>
      <c r="W111" s="5">
        <v>10</v>
      </c>
      <c r="X111" s="5">
        <v>1000</v>
      </c>
      <c r="Z111" s="5">
        <v>1.7490000000000001</v>
      </c>
      <c r="AA111" s="5">
        <v>1.3660000000000001</v>
      </c>
      <c r="AB111" s="5">
        <v>1.9329999999999998</v>
      </c>
      <c r="AC111" s="5">
        <v>1000</v>
      </c>
      <c r="AE111" s="5">
        <v>1.1680000424385071</v>
      </c>
      <c r="AF111" s="5">
        <v>1.3659999370574951</v>
      </c>
      <c r="AG111" s="5">
        <v>1.7500001360895112</v>
      </c>
      <c r="AH111" s="5">
        <v>1000</v>
      </c>
      <c r="AJ111" s="5">
        <v>5</v>
      </c>
      <c r="AK111" s="5">
        <v>6</v>
      </c>
      <c r="AL111" s="5">
        <v>7</v>
      </c>
      <c r="AM111" s="5">
        <v>1000</v>
      </c>
      <c r="AO111" s="5">
        <v>1</v>
      </c>
      <c r="AP111" s="5">
        <v>2</v>
      </c>
      <c r="AQ111" s="5">
        <v>2</v>
      </c>
      <c r="AR111" s="5">
        <v>1000</v>
      </c>
      <c r="AT111" s="5">
        <v>0.91200000047683716</v>
      </c>
      <c r="AU111" s="5">
        <v>2.5559999942779541</v>
      </c>
      <c r="AV111" s="5">
        <v>1.0000000474974513E-3</v>
      </c>
      <c r="AW111" s="5">
        <v>1000</v>
      </c>
      <c r="AY111" s="5">
        <v>0.13299999999999979</v>
      </c>
      <c r="AZ111" s="5">
        <v>0.11700000000000044</v>
      </c>
      <c r="BA111" s="5">
        <v>8.3000000000000185E-2</v>
      </c>
      <c r="BB111" s="5">
        <v>1000</v>
      </c>
      <c r="BD111" s="5">
        <v>0.11700010299682617</v>
      </c>
      <c r="BE111" s="5">
        <v>0.16700005531311035</v>
      </c>
      <c r="BF111" s="5">
        <v>0</v>
      </c>
      <c r="BG111" s="5">
        <v>1000</v>
      </c>
      <c r="BI111" s="5">
        <v>1</v>
      </c>
      <c r="BJ111" s="5">
        <v>1</v>
      </c>
      <c r="BK111" s="5">
        <v>0</v>
      </c>
      <c r="BL111" s="5">
        <v>1000</v>
      </c>
      <c r="BN111" s="5">
        <v>1</v>
      </c>
      <c r="BO111" s="5">
        <v>1</v>
      </c>
      <c r="BP111" s="5">
        <v>2</v>
      </c>
      <c r="BQ111" s="5">
        <v>1000</v>
      </c>
      <c r="BS111" s="5">
        <v>1.8789999485015869</v>
      </c>
      <c r="BT111" s="5">
        <v>3.8389999866485596</v>
      </c>
      <c r="BU111" s="5">
        <v>4.0140000000000002</v>
      </c>
      <c r="BV111" s="5">
        <v>1000</v>
      </c>
      <c r="BX111" s="5">
        <v>0.43399999999999994</v>
      </c>
      <c r="BY111" s="5">
        <v>0.3660000000000001</v>
      </c>
      <c r="BZ111" s="5">
        <v>0.11699999999999999</v>
      </c>
      <c r="CA111" s="5">
        <v>1000</v>
      </c>
      <c r="CC111" s="5">
        <v>0.65000009536743164</v>
      </c>
      <c r="CD111" s="5">
        <v>0.18299984931945801</v>
      </c>
      <c r="CE111" s="5">
        <v>0.10000014305114746</v>
      </c>
      <c r="CF111" s="5">
        <v>1000</v>
      </c>
      <c r="CH111" s="5">
        <v>2</v>
      </c>
      <c r="CI111" s="5">
        <v>1</v>
      </c>
      <c r="CJ111" s="5">
        <v>1</v>
      </c>
      <c r="CK111" s="5">
        <v>1000</v>
      </c>
      <c r="CM111" s="5">
        <v>2</v>
      </c>
      <c r="CN111" s="5">
        <v>2</v>
      </c>
      <c r="CO111" s="5">
        <v>1</v>
      </c>
      <c r="CP111" s="5">
        <v>1000</v>
      </c>
      <c r="CR111" s="5">
        <v>1.1619999408721924</v>
      </c>
      <c r="CS111" s="5">
        <v>3.4730000495910645</v>
      </c>
      <c r="CT111" s="5">
        <v>2.5499999523162842</v>
      </c>
      <c r="CU111" s="5">
        <v>1000</v>
      </c>
    </row>
    <row r="112" spans="1:99" s="5" customFormat="1" x14ac:dyDescent="0.35">
      <c r="A112" s="4" t="s">
        <v>110</v>
      </c>
      <c r="B112" s="4">
        <v>3.8333333333333335</v>
      </c>
      <c r="C112" s="4" t="s">
        <v>167</v>
      </c>
      <c r="D112" s="4" t="s">
        <v>404</v>
      </c>
      <c r="F112" s="5">
        <v>1000</v>
      </c>
      <c r="G112" s="5">
        <v>1.7160000000000002</v>
      </c>
      <c r="H112" s="5">
        <v>2.4779999999999998</v>
      </c>
      <c r="I112" s="5">
        <v>0.43299999999999983</v>
      </c>
      <c r="K112" s="5">
        <v>1000</v>
      </c>
      <c r="L112" s="5">
        <v>1000</v>
      </c>
      <c r="M112" s="5">
        <v>1.4489999999999998</v>
      </c>
      <c r="N112" s="5">
        <v>1000</v>
      </c>
      <c r="P112" s="5">
        <v>1000</v>
      </c>
      <c r="Q112" s="5">
        <v>1000</v>
      </c>
      <c r="R112" s="5">
        <v>1.4159998297691345</v>
      </c>
      <c r="S112" s="5">
        <v>1000</v>
      </c>
      <c r="U112" s="5">
        <v>1000</v>
      </c>
      <c r="V112" s="5">
        <v>1000</v>
      </c>
      <c r="W112" s="5">
        <v>2</v>
      </c>
      <c r="X112" s="5">
        <v>1000</v>
      </c>
      <c r="Z112" s="5">
        <v>1000</v>
      </c>
      <c r="AA112" s="5">
        <v>1000</v>
      </c>
      <c r="AB112" s="5">
        <v>1.4489999999999998</v>
      </c>
      <c r="AC112" s="5">
        <v>1000</v>
      </c>
      <c r="AE112" s="5">
        <v>1000</v>
      </c>
      <c r="AF112" s="5">
        <v>1000</v>
      </c>
      <c r="AG112" s="5">
        <v>1.4159998297691345</v>
      </c>
      <c r="AH112" s="5">
        <v>1000</v>
      </c>
      <c r="AJ112" s="5">
        <v>1000</v>
      </c>
      <c r="AK112" s="5">
        <v>1000</v>
      </c>
      <c r="AL112" s="5">
        <v>2</v>
      </c>
      <c r="AM112" s="5">
        <v>1000</v>
      </c>
      <c r="AO112" s="5">
        <v>1000</v>
      </c>
      <c r="AP112" s="5">
        <v>1000</v>
      </c>
      <c r="AQ112" s="5">
        <v>2</v>
      </c>
      <c r="AR112" s="5">
        <v>1000</v>
      </c>
      <c r="AT112" s="5">
        <v>1000</v>
      </c>
      <c r="AU112" s="5">
        <v>1000</v>
      </c>
      <c r="AV112" s="5">
        <v>0.52899998426437378</v>
      </c>
      <c r="AW112" s="5">
        <v>1000</v>
      </c>
      <c r="AY112" s="5">
        <v>1000</v>
      </c>
      <c r="AZ112" s="5">
        <v>1000</v>
      </c>
      <c r="BA112" s="5">
        <v>0</v>
      </c>
      <c r="BB112" s="5">
        <v>1000</v>
      </c>
      <c r="BD112" s="5">
        <v>1000</v>
      </c>
      <c r="BE112" s="5">
        <v>1000</v>
      </c>
      <c r="BF112" s="5">
        <v>0</v>
      </c>
      <c r="BG112" s="5">
        <v>1000</v>
      </c>
      <c r="BI112" s="5">
        <v>1000</v>
      </c>
      <c r="BJ112" s="5">
        <v>1000</v>
      </c>
      <c r="BK112" s="5">
        <v>0</v>
      </c>
      <c r="BL112" s="5">
        <v>1000</v>
      </c>
      <c r="BN112" s="5">
        <v>1000</v>
      </c>
      <c r="BO112" s="5">
        <v>1000</v>
      </c>
      <c r="BP112" s="5">
        <v>0</v>
      </c>
      <c r="BQ112" s="5">
        <v>1000</v>
      </c>
      <c r="BS112" s="5">
        <v>1000</v>
      </c>
      <c r="BT112" s="5">
        <v>1000</v>
      </c>
      <c r="BU112" s="5">
        <v>4.0279999999999996</v>
      </c>
      <c r="BV112" s="5">
        <v>1000</v>
      </c>
      <c r="BX112" s="5">
        <v>1000</v>
      </c>
      <c r="BY112" s="5">
        <v>1000</v>
      </c>
      <c r="BZ112" s="5">
        <v>0</v>
      </c>
      <c r="CA112" s="5">
        <v>1000</v>
      </c>
      <c r="CC112" s="5">
        <v>1000</v>
      </c>
      <c r="CD112" s="5">
        <v>1000</v>
      </c>
      <c r="CE112" s="5">
        <v>0</v>
      </c>
      <c r="CF112" s="5">
        <v>1000</v>
      </c>
      <c r="CH112" s="5">
        <v>1000</v>
      </c>
      <c r="CI112" s="5">
        <v>1000</v>
      </c>
      <c r="CJ112" s="5">
        <v>0</v>
      </c>
      <c r="CK112" s="5">
        <v>1000</v>
      </c>
      <c r="CM112" s="5">
        <v>1000</v>
      </c>
      <c r="CN112" s="5">
        <v>1000</v>
      </c>
      <c r="CO112" s="5">
        <v>0</v>
      </c>
      <c r="CP112" s="5">
        <v>1000</v>
      </c>
      <c r="CR112" s="5">
        <v>1000</v>
      </c>
      <c r="CS112" s="5">
        <v>1000</v>
      </c>
      <c r="CT112" s="5">
        <v>4.0279999999999996</v>
      </c>
      <c r="CU112" s="5">
        <v>1000</v>
      </c>
    </row>
    <row r="113" spans="1:99" s="5" customFormat="1" x14ac:dyDescent="0.35">
      <c r="A113" s="4" t="s">
        <v>111</v>
      </c>
      <c r="B113" s="4">
        <v>10.416666666666666</v>
      </c>
      <c r="C113" s="4" t="s">
        <v>168</v>
      </c>
      <c r="D113" s="4" t="s">
        <v>404</v>
      </c>
      <c r="F113" s="5">
        <v>1000</v>
      </c>
      <c r="G113" s="5">
        <v>1000</v>
      </c>
      <c r="H113" s="5">
        <v>1.3289999999999997</v>
      </c>
      <c r="I113" s="5">
        <v>0</v>
      </c>
      <c r="K113" s="5">
        <v>1000</v>
      </c>
      <c r="L113" s="5">
        <v>1000</v>
      </c>
      <c r="M113" s="5">
        <v>1000</v>
      </c>
      <c r="N113" s="5">
        <v>1000</v>
      </c>
      <c r="P113" s="5">
        <v>1000</v>
      </c>
      <c r="Q113" s="5">
        <v>1000</v>
      </c>
      <c r="R113" s="5">
        <v>1000</v>
      </c>
      <c r="S113" s="5">
        <v>1000</v>
      </c>
      <c r="U113" s="5">
        <v>1000</v>
      </c>
      <c r="V113" s="5">
        <v>1000</v>
      </c>
      <c r="W113" s="5">
        <v>1000</v>
      </c>
      <c r="X113" s="5">
        <v>1000</v>
      </c>
      <c r="Z113" s="5">
        <v>1000</v>
      </c>
      <c r="AA113" s="5">
        <v>1000</v>
      </c>
      <c r="AB113" s="5">
        <v>1000</v>
      </c>
      <c r="AC113" s="5">
        <v>1000</v>
      </c>
      <c r="AE113" s="5">
        <v>1000</v>
      </c>
      <c r="AF113" s="5">
        <v>1000</v>
      </c>
      <c r="AG113" s="5">
        <v>1000</v>
      </c>
      <c r="AH113" s="5">
        <v>1000</v>
      </c>
      <c r="AJ113" s="5">
        <v>1000</v>
      </c>
      <c r="AK113" s="5">
        <v>1000</v>
      </c>
      <c r="AL113" s="5">
        <v>1000</v>
      </c>
      <c r="AM113" s="5">
        <v>1000</v>
      </c>
      <c r="AO113" s="5">
        <v>1000</v>
      </c>
      <c r="AP113" s="5">
        <v>1000</v>
      </c>
      <c r="AQ113" s="5">
        <v>1000</v>
      </c>
      <c r="AR113" s="5">
        <v>1000</v>
      </c>
      <c r="AT113" s="5">
        <v>1000</v>
      </c>
      <c r="AU113" s="5">
        <v>1000</v>
      </c>
      <c r="AV113" s="5">
        <v>1000</v>
      </c>
      <c r="AW113" s="5">
        <v>1000</v>
      </c>
      <c r="AY113" s="5">
        <v>1000</v>
      </c>
      <c r="AZ113" s="5">
        <v>1000</v>
      </c>
      <c r="BA113" s="5">
        <v>1000</v>
      </c>
      <c r="BB113" s="5">
        <v>1000</v>
      </c>
      <c r="BD113" s="5">
        <v>1000</v>
      </c>
      <c r="BE113" s="5">
        <v>1000</v>
      </c>
      <c r="BF113" s="5">
        <v>1000</v>
      </c>
      <c r="BG113" s="5">
        <v>1000</v>
      </c>
      <c r="BI113" s="5">
        <v>1000</v>
      </c>
      <c r="BJ113" s="5">
        <v>1000</v>
      </c>
      <c r="BK113" s="5">
        <v>1000</v>
      </c>
      <c r="BL113" s="5">
        <v>1000</v>
      </c>
      <c r="BN113" s="5">
        <v>1000</v>
      </c>
      <c r="BO113" s="5">
        <v>1000</v>
      </c>
      <c r="BP113" s="5">
        <v>1000</v>
      </c>
      <c r="BQ113" s="5">
        <v>1000</v>
      </c>
      <c r="BS113" s="5">
        <v>1000</v>
      </c>
      <c r="BT113" s="5">
        <v>1000</v>
      </c>
      <c r="BU113" s="5">
        <v>1000</v>
      </c>
      <c r="BV113" s="5">
        <v>1000</v>
      </c>
      <c r="BX113" s="5">
        <v>1000</v>
      </c>
      <c r="BY113" s="5">
        <v>1000</v>
      </c>
      <c r="BZ113" s="5">
        <v>1000</v>
      </c>
      <c r="CA113" s="5">
        <v>1000</v>
      </c>
      <c r="CC113" s="5">
        <v>1000</v>
      </c>
      <c r="CD113" s="5">
        <v>1000</v>
      </c>
      <c r="CE113" s="5">
        <v>1000</v>
      </c>
      <c r="CF113" s="5">
        <v>1000</v>
      </c>
      <c r="CH113" s="5">
        <v>1000</v>
      </c>
      <c r="CI113" s="5">
        <v>1000</v>
      </c>
      <c r="CJ113" s="5">
        <v>1000</v>
      </c>
      <c r="CK113" s="5">
        <v>1000</v>
      </c>
      <c r="CM113" s="5">
        <v>1000</v>
      </c>
      <c r="CN113" s="5">
        <v>1000</v>
      </c>
      <c r="CO113" s="5">
        <v>1000</v>
      </c>
      <c r="CP113" s="5">
        <v>1000</v>
      </c>
      <c r="CR113" s="5">
        <v>1000</v>
      </c>
      <c r="CS113" s="5">
        <v>1000</v>
      </c>
      <c r="CT113" s="5">
        <v>1000</v>
      </c>
      <c r="CU113" s="5">
        <v>1000</v>
      </c>
    </row>
    <row r="114" spans="1:99" s="5" customFormat="1" x14ac:dyDescent="0.35">
      <c r="A114" s="4" t="s">
        <v>112</v>
      </c>
      <c r="B114" s="4">
        <v>3.5833333333333335</v>
      </c>
      <c r="C114" s="4" t="s">
        <v>168</v>
      </c>
      <c r="D114" s="4" t="s">
        <v>404</v>
      </c>
      <c r="F114" s="5">
        <v>2.1669999999999998</v>
      </c>
      <c r="G114" s="5">
        <v>4.0359999999999996</v>
      </c>
      <c r="H114" s="5">
        <v>4.016</v>
      </c>
      <c r="I114" s="5">
        <v>0.64900000000000002</v>
      </c>
      <c r="K114" s="5">
        <v>2.1660000000000004</v>
      </c>
      <c r="L114" s="5">
        <v>3.8160000000000007</v>
      </c>
      <c r="M114" s="5">
        <v>3.399</v>
      </c>
      <c r="N114" s="5">
        <v>1000</v>
      </c>
      <c r="P114" s="5">
        <v>1.7340002059936523</v>
      </c>
      <c r="Q114" s="5">
        <v>3.6500003058463335</v>
      </c>
      <c r="R114" s="5">
        <v>2.9640003144741058</v>
      </c>
      <c r="S114" s="5">
        <v>1000</v>
      </c>
      <c r="U114" s="5">
        <v>5</v>
      </c>
      <c r="V114" s="5">
        <v>9</v>
      </c>
      <c r="W114" s="5">
        <v>9</v>
      </c>
      <c r="X114" s="5">
        <v>1000</v>
      </c>
      <c r="Z114" s="5">
        <v>2.1660000000000004</v>
      </c>
      <c r="AA114" s="5">
        <v>3.7990000000000004</v>
      </c>
      <c r="AB114" s="5">
        <v>2.6159999999999997</v>
      </c>
      <c r="AC114" s="5">
        <v>1000</v>
      </c>
      <c r="AE114" s="5">
        <v>1.7340002059936523</v>
      </c>
      <c r="AF114" s="5">
        <v>3.6500003058463335</v>
      </c>
      <c r="AG114" s="5">
        <v>2.2470003068447113</v>
      </c>
      <c r="AH114" s="5">
        <v>1000</v>
      </c>
      <c r="AJ114" s="5">
        <v>5</v>
      </c>
      <c r="AK114" s="5">
        <v>9</v>
      </c>
      <c r="AL114" s="5">
        <v>7</v>
      </c>
      <c r="AM114" s="5">
        <v>1000</v>
      </c>
      <c r="AO114" s="5">
        <v>1</v>
      </c>
      <c r="AP114" s="5">
        <v>2</v>
      </c>
      <c r="AQ114" s="5">
        <v>2</v>
      </c>
      <c r="AR114" s="5">
        <v>1000</v>
      </c>
      <c r="AT114" s="5">
        <v>2.2249999046325684</v>
      </c>
      <c r="AU114" s="5">
        <v>2.9999999329447746E-2</v>
      </c>
      <c r="AV114" s="5">
        <v>0.40400001406669617</v>
      </c>
      <c r="AW114" s="5">
        <v>1000</v>
      </c>
      <c r="AY114" s="5">
        <v>1.4000000000000008</v>
      </c>
      <c r="AZ114" s="5">
        <v>2.3990000000000005</v>
      </c>
      <c r="BA114" s="5">
        <v>0.64899999999999991</v>
      </c>
      <c r="BB114" s="5">
        <v>1000</v>
      </c>
      <c r="BD114" s="5">
        <v>1.4660000801086426</v>
      </c>
      <c r="BE114" s="5">
        <v>2.4330002665519714</v>
      </c>
      <c r="BF114" s="5">
        <v>0.74900007247924805</v>
      </c>
      <c r="BG114" s="5">
        <v>1000</v>
      </c>
      <c r="BI114" s="5">
        <v>3</v>
      </c>
      <c r="BJ114" s="5">
        <v>4</v>
      </c>
      <c r="BK114" s="5">
        <v>2</v>
      </c>
      <c r="BL114" s="5">
        <v>1000</v>
      </c>
      <c r="BN114" s="5">
        <v>3</v>
      </c>
      <c r="BO114" s="5">
        <v>4</v>
      </c>
      <c r="BP114" s="5">
        <v>2</v>
      </c>
      <c r="BQ114" s="5">
        <v>1000</v>
      </c>
      <c r="BS114" s="5">
        <v>2.5250000953674316</v>
      </c>
      <c r="BT114" s="5">
        <v>0.46399998664855957</v>
      </c>
      <c r="BU114" s="5">
        <v>0.83700001239776611</v>
      </c>
      <c r="BV114" s="5">
        <v>1000</v>
      </c>
      <c r="BX114" s="5">
        <v>0</v>
      </c>
      <c r="BY114" s="5">
        <v>0</v>
      </c>
      <c r="BZ114" s="5">
        <v>0.55000000000000027</v>
      </c>
      <c r="CA114" s="5">
        <v>1000</v>
      </c>
      <c r="CC114" s="5">
        <v>0</v>
      </c>
      <c r="CD114" s="5">
        <v>0</v>
      </c>
      <c r="CE114" s="5">
        <v>0.68300008773803711</v>
      </c>
      <c r="CF114" s="5">
        <v>1000</v>
      </c>
      <c r="CH114" s="5">
        <v>0</v>
      </c>
      <c r="CI114" s="5">
        <v>0</v>
      </c>
      <c r="CJ114" s="5">
        <v>2</v>
      </c>
      <c r="CK114" s="5">
        <v>1000</v>
      </c>
      <c r="CM114" s="5">
        <v>2</v>
      </c>
      <c r="CN114" s="5">
        <v>1</v>
      </c>
      <c r="CO114" s="5">
        <v>4</v>
      </c>
      <c r="CP114" s="5">
        <v>1000</v>
      </c>
      <c r="CR114" s="5">
        <v>4.0259999999999998</v>
      </c>
      <c r="CS114" s="5">
        <v>4.0359999999999996</v>
      </c>
      <c r="CT114" s="5">
        <v>1.7200000286102295</v>
      </c>
      <c r="CU114" s="5">
        <v>1000</v>
      </c>
    </row>
    <row r="115" spans="1:99" s="5" customFormat="1" x14ac:dyDescent="0.35">
      <c r="A115" s="4" t="s">
        <v>113</v>
      </c>
      <c r="B115" s="4">
        <v>4.583333333333333</v>
      </c>
      <c r="C115" s="4" t="s">
        <v>167</v>
      </c>
      <c r="D115" s="4" t="s">
        <v>404</v>
      </c>
      <c r="F115" s="5">
        <v>2.992</v>
      </c>
      <c r="G115" s="5">
        <v>4.0149999999999997</v>
      </c>
      <c r="H115" s="5">
        <v>1000</v>
      </c>
      <c r="I115" s="5">
        <v>1.5340000000000003</v>
      </c>
      <c r="K115" s="5">
        <v>2.9830000000000005</v>
      </c>
      <c r="L115" s="5">
        <v>3.9499999999999997</v>
      </c>
      <c r="M115" s="5">
        <v>1000</v>
      </c>
      <c r="N115" s="5">
        <v>1000</v>
      </c>
      <c r="P115" s="5">
        <v>2.3819999694824219</v>
      </c>
      <c r="Q115" s="5">
        <v>3.8359999433159828</v>
      </c>
      <c r="R115" s="5">
        <v>1000</v>
      </c>
      <c r="S115" s="5">
        <v>1000</v>
      </c>
      <c r="U115" s="5">
        <v>8</v>
      </c>
      <c r="V115" s="5">
        <v>8</v>
      </c>
      <c r="W115" s="5">
        <v>1000</v>
      </c>
      <c r="X115" s="5">
        <v>1000</v>
      </c>
      <c r="Z115" s="5">
        <v>2.5</v>
      </c>
      <c r="AA115" s="5">
        <v>3.9499999999999997</v>
      </c>
      <c r="AB115" s="5">
        <v>1000</v>
      </c>
      <c r="AC115" s="5">
        <v>1000</v>
      </c>
      <c r="AE115" s="5">
        <v>1.9149999618530273</v>
      </c>
      <c r="AF115" s="5">
        <v>3.8359999433159828</v>
      </c>
      <c r="AG115" s="5">
        <v>1000</v>
      </c>
      <c r="AH115" s="5">
        <v>1000</v>
      </c>
      <c r="AJ115" s="5">
        <v>7</v>
      </c>
      <c r="AK115" s="5">
        <v>8</v>
      </c>
      <c r="AL115" s="5">
        <v>1000</v>
      </c>
      <c r="AM115" s="5">
        <v>1000</v>
      </c>
      <c r="AO115" s="5">
        <v>1</v>
      </c>
      <c r="AP115" s="5">
        <v>1</v>
      </c>
      <c r="AQ115" s="5">
        <v>1000</v>
      </c>
      <c r="AR115" s="5">
        <v>1000</v>
      </c>
      <c r="AT115" s="5">
        <v>1.6399999856948853</v>
      </c>
      <c r="AU115" s="5">
        <v>1.0999999940395355E-2</v>
      </c>
      <c r="AV115" s="5">
        <v>1000</v>
      </c>
      <c r="AW115" s="5">
        <v>1000</v>
      </c>
      <c r="AY115" s="5">
        <v>0.68400000000000016</v>
      </c>
      <c r="AZ115" s="5">
        <v>1.4989999999999997</v>
      </c>
      <c r="BA115" s="5">
        <v>1000</v>
      </c>
      <c r="BB115" s="5">
        <v>1000</v>
      </c>
      <c r="BD115" s="5">
        <v>0.88299989700317383</v>
      </c>
      <c r="BE115" s="5">
        <v>1.7179999947547913</v>
      </c>
      <c r="BF115" s="5">
        <v>1000</v>
      </c>
      <c r="BG115" s="5">
        <v>1000</v>
      </c>
      <c r="BI115" s="5">
        <v>3</v>
      </c>
      <c r="BJ115" s="5">
        <v>4</v>
      </c>
      <c r="BK115" s="5">
        <v>1000</v>
      </c>
      <c r="BL115" s="5">
        <v>1000</v>
      </c>
      <c r="BN115" s="5">
        <v>3</v>
      </c>
      <c r="BO115" s="5">
        <v>3</v>
      </c>
      <c r="BP115" s="5">
        <v>1000</v>
      </c>
      <c r="BQ115" s="5">
        <v>1000</v>
      </c>
      <c r="BS115" s="5">
        <v>2.7390000820159912</v>
      </c>
      <c r="BT115" s="5">
        <v>0.81099998950958252</v>
      </c>
      <c r="BU115" s="5">
        <v>1000</v>
      </c>
      <c r="BV115" s="5">
        <v>1000</v>
      </c>
      <c r="BX115" s="5">
        <v>1.6000000000000014E-2</v>
      </c>
      <c r="BY115" s="5">
        <v>0</v>
      </c>
      <c r="BZ115" s="5">
        <v>1000</v>
      </c>
      <c r="CA115" s="5">
        <v>1000</v>
      </c>
      <c r="CC115" s="5">
        <v>0</v>
      </c>
      <c r="CD115" s="5">
        <v>0</v>
      </c>
      <c r="CE115" s="5">
        <v>1000</v>
      </c>
      <c r="CF115" s="5">
        <v>1000</v>
      </c>
      <c r="CH115" s="5">
        <v>0</v>
      </c>
      <c r="CI115" s="5">
        <v>0</v>
      </c>
      <c r="CJ115" s="5">
        <v>1000</v>
      </c>
      <c r="CK115" s="5">
        <v>1000</v>
      </c>
      <c r="CM115" s="5">
        <v>1</v>
      </c>
      <c r="CN115" s="5">
        <v>0</v>
      </c>
      <c r="CO115" s="5">
        <v>1000</v>
      </c>
      <c r="CP115" s="5">
        <v>1000</v>
      </c>
      <c r="CR115" s="5">
        <v>4.0149999999999997</v>
      </c>
      <c r="CS115" s="5">
        <v>4.0149999999999997</v>
      </c>
      <c r="CT115" s="5">
        <v>1000</v>
      </c>
      <c r="CU115" s="5">
        <v>1000</v>
      </c>
    </row>
    <row r="116" spans="1:99" s="5" customFormat="1" x14ac:dyDescent="0.35">
      <c r="A116" s="4" t="s">
        <v>114</v>
      </c>
      <c r="B116" s="4">
        <v>5.333333333333333</v>
      </c>
      <c r="C116" s="4" t="s">
        <v>168</v>
      </c>
      <c r="D116" s="4" t="s">
        <v>404</v>
      </c>
      <c r="F116" s="5">
        <v>4.0110000000000001</v>
      </c>
      <c r="G116" s="5">
        <v>2.94</v>
      </c>
      <c r="H116" s="5">
        <v>2.3740000000000001</v>
      </c>
      <c r="I116" s="5">
        <v>0.56699999999999973</v>
      </c>
      <c r="K116" s="5">
        <v>3.7330000000000001</v>
      </c>
      <c r="L116" s="5">
        <v>2.633</v>
      </c>
      <c r="M116" s="5">
        <v>2.3660000000000001</v>
      </c>
      <c r="N116" s="5">
        <v>1000</v>
      </c>
      <c r="P116" s="5">
        <v>3.201000195927918</v>
      </c>
      <c r="Q116" s="5">
        <v>2.6010000398382545</v>
      </c>
      <c r="R116" s="5">
        <v>1.7820001402869821</v>
      </c>
      <c r="S116" s="5">
        <v>1000</v>
      </c>
      <c r="U116" s="5">
        <v>10</v>
      </c>
      <c r="V116" s="5">
        <v>5</v>
      </c>
      <c r="W116" s="5">
        <v>6</v>
      </c>
      <c r="X116" s="5">
        <v>1000</v>
      </c>
      <c r="Z116" s="5">
        <v>3.4159999999999999</v>
      </c>
      <c r="AA116" s="5">
        <v>2.9329999999999998</v>
      </c>
      <c r="AB116" s="5">
        <v>2.3660000000000001</v>
      </c>
      <c r="AC116" s="5">
        <v>1000</v>
      </c>
      <c r="AE116" s="5">
        <v>3.201000195927918</v>
      </c>
      <c r="AF116" s="5">
        <v>2.6010000398382545</v>
      </c>
      <c r="AG116" s="5">
        <v>1.7820001402869821</v>
      </c>
      <c r="AH116" s="5">
        <v>1000</v>
      </c>
      <c r="AJ116" s="5">
        <v>10</v>
      </c>
      <c r="AK116" s="5">
        <v>5</v>
      </c>
      <c r="AL116" s="5">
        <v>6</v>
      </c>
      <c r="AM116" s="5">
        <v>1000</v>
      </c>
      <c r="AO116" s="5">
        <v>3</v>
      </c>
      <c r="AP116" s="5">
        <v>1</v>
      </c>
      <c r="AQ116" s="5">
        <v>1</v>
      </c>
      <c r="AR116" s="5">
        <v>1000</v>
      </c>
      <c r="AT116" s="5">
        <v>6.0000000521540642E-3</v>
      </c>
      <c r="AU116" s="5">
        <v>7.0000002160668373E-3</v>
      </c>
      <c r="AV116" s="5">
        <v>8.0000003799796104E-3</v>
      </c>
      <c r="AW116" s="5">
        <v>1000</v>
      </c>
      <c r="AY116" s="5">
        <v>1.4489999999999998</v>
      </c>
      <c r="AZ116" s="5">
        <v>0.21700000000000008</v>
      </c>
      <c r="BA116" s="5">
        <v>0.18300000000000016</v>
      </c>
      <c r="BB116" s="5">
        <v>1000</v>
      </c>
      <c r="BD116" s="5">
        <v>1.1500000953674316</v>
      </c>
      <c r="BE116" s="5">
        <v>0.46700000762939453</v>
      </c>
      <c r="BF116" s="5">
        <v>0.10000002384185791</v>
      </c>
      <c r="BG116" s="5">
        <v>1000</v>
      </c>
      <c r="BI116" s="5">
        <v>3</v>
      </c>
      <c r="BJ116" s="5">
        <v>1</v>
      </c>
      <c r="BK116" s="5">
        <v>1</v>
      </c>
      <c r="BL116" s="5">
        <v>1000</v>
      </c>
      <c r="BN116" s="5">
        <v>4</v>
      </c>
      <c r="BO116" s="5">
        <v>1</v>
      </c>
      <c r="BP116" s="5">
        <v>2</v>
      </c>
      <c r="BQ116" s="5">
        <v>1000</v>
      </c>
      <c r="BS116" s="5">
        <v>1.1059999465942383</v>
      </c>
      <c r="BT116" s="5">
        <v>1.3229999542236328</v>
      </c>
      <c r="BU116" s="5">
        <v>1.656999945640564</v>
      </c>
      <c r="BV116" s="5">
        <v>1000</v>
      </c>
      <c r="BX116" s="5">
        <v>0.50100000000000011</v>
      </c>
      <c r="BY116" s="5">
        <v>0.5</v>
      </c>
      <c r="BZ116" s="5">
        <v>0</v>
      </c>
      <c r="CA116" s="5">
        <v>1000</v>
      </c>
      <c r="CC116" s="5">
        <v>0.66699991840869188</v>
      </c>
      <c r="CD116" s="5">
        <v>0.50000002887099981</v>
      </c>
      <c r="CE116" s="5">
        <v>0</v>
      </c>
      <c r="CF116" s="5">
        <v>1000</v>
      </c>
      <c r="CH116" s="5">
        <v>3</v>
      </c>
      <c r="CI116" s="5">
        <v>1</v>
      </c>
      <c r="CJ116" s="5">
        <v>0</v>
      </c>
      <c r="CK116" s="5">
        <v>1000</v>
      </c>
      <c r="CM116" s="5">
        <v>4</v>
      </c>
      <c r="CN116" s="5">
        <v>1</v>
      </c>
      <c r="CO116" s="5">
        <v>1</v>
      </c>
      <c r="CP116" s="5">
        <v>1000</v>
      </c>
      <c r="CR116" s="5">
        <v>6.0000000521540642E-3</v>
      </c>
      <c r="CS116" s="5">
        <v>7.0000002160668373E-3</v>
      </c>
      <c r="CT116" s="5">
        <v>4.0060000000000002</v>
      </c>
      <c r="CU116" s="5">
        <v>1000</v>
      </c>
    </row>
    <row r="117" spans="1:99" s="5" customFormat="1" x14ac:dyDescent="0.35">
      <c r="A117" s="4" t="s">
        <v>115</v>
      </c>
      <c r="B117" s="4">
        <v>6</v>
      </c>
      <c r="C117" s="4" t="s">
        <v>168</v>
      </c>
      <c r="D117" s="4" t="s">
        <v>404</v>
      </c>
      <c r="F117" s="5">
        <v>2.742</v>
      </c>
      <c r="G117" s="5">
        <v>3.2240000000000002</v>
      </c>
      <c r="H117" s="5">
        <v>1.0089999999999999</v>
      </c>
      <c r="I117" s="5">
        <v>0</v>
      </c>
      <c r="K117" s="5">
        <v>2.65</v>
      </c>
      <c r="L117" s="5">
        <v>3.1680000000000001</v>
      </c>
      <c r="M117" s="5">
        <v>1000</v>
      </c>
      <c r="N117" s="5">
        <v>1000</v>
      </c>
      <c r="P117" s="5">
        <v>1.7819997668266296</v>
      </c>
      <c r="Q117" s="5">
        <v>2.8180003743618727</v>
      </c>
      <c r="R117" s="5">
        <v>1000</v>
      </c>
      <c r="S117" s="5">
        <v>1000</v>
      </c>
      <c r="U117" s="5">
        <v>3</v>
      </c>
      <c r="V117" s="5">
        <v>9</v>
      </c>
      <c r="W117" s="5">
        <v>1000</v>
      </c>
      <c r="X117" s="5">
        <v>1000</v>
      </c>
      <c r="Z117" s="5">
        <v>1.883</v>
      </c>
      <c r="AA117" s="5">
        <v>3.0670000000000002</v>
      </c>
      <c r="AB117" s="5">
        <v>1000</v>
      </c>
      <c r="AC117" s="5">
        <v>1000</v>
      </c>
      <c r="AE117" s="5">
        <v>1.7819997668266296</v>
      </c>
      <c r="AF117" s="5">
        <v>2.7180002313107252</v>
      </c>
      <c r="AG117" s="5">
        <v>1000</v>
      </c>
      <c r="AH117" s="5">
        <v>1000</v>
      </c>
      <c r="AJ117" s="5">
        <v>3</v>
      </c>
      <c r="AK117" s="5">
        <v>8</v>
      </c>
      <c r="AL117" s="5">
        <v>1000</v>
      </c>
      <c r="AM117" s="5">
        <v>1000</v>
      </c>
      <c r="AO117" s="5">
        <v>1</v>
      </c>
      <c r="AP117" s="5">
        <v>4</v>
      </c>
      <c r="AQ117" s="5">
        <v>1000</v>
      </c>
      <c r="AR117" s="5">
        <v>1000</v>
      </c>
      <c r="AT117" s="5">
        <v>0.9089999794960022</v>
      </c>
      <c r="AU117" s="5">
        <v>1.4000000432133675E-2</v>
      </c>
      <c r="AV117" s="5">
        <v>1000</v>
      </c>
      <c r="AW117" s="5">
        <v>1000</v>
      </c>
      <c r="AY117" s="5">
        <v>1.016</v>
      </c>
      <c r="AZ117" s="5">
        <v>0.28300000000000014</v>
      </c>
      <c r="BA117" s="5">
        <v>1000</v>
      </c>
      <c r="BB117" s="5">
        <v>1000</v>
      </c>
      <c r="BD117" s="5">
        <v>1.1330000758171082</v>
      </c>
      <c r="BE117" s="5">
        <v>0.33399999141693115</v>
      </c>
      <c r="BF117" s="5">
        <v>1000</v>
      </c>
      <c r="BG117" s="5">
        <v>1000</v>
      </c>
      <c r="BI117" s="5">
        <v>1</v>
      </c>
      <c r="BJ117" s="5">
        <v>1</v>
      </c>
      <c r="BK117" s="5">
        <v>1000</v>
      </c>
      <c r="BL117" s="5">
        <v>1000</v>
      </c>
      <c r="BN117" s="5">
        <v>1</v>
      </c>
      <c r="BO117" s="5">
        <v>2</v>
      </c>
      <c r="BP117" s="5">
        <v>1000</v>
      </c>
      <c r="BQ117" s="5">
        <v>1000</v>
      </c>
      <c r="BS117" s="5">
        <v>0.9089999794960022</v>
      </c>
      <c r="BT117" s="5">
        <v>1.8140000104904175</v>
      </c>
      <c r="BU117" s="5">
        <v>1000</v>
      </c>
      <c r="BV117" s="5">
        <v>1000</v>
      </c>
      <c r="BX117" s="5">
        <v>3.3000000000000029E-2</v>
      </c>
      <c r="BY117" s="5">
        <v>1.7000000000000348E-2</v>
      </c>
      <c r="BZ117" s="5">
        <v>1000</v>
      </c>
      <c r="CA117" s="5">
        <v>1000</v>
      </c>
      <c r="CC117" s="5">
        <v>0</v>
      </c>
      <c r="CD117" s="5">
        <v>0</v>
      </c>
      <c r="CE117" s="5">
        <v>1000</v>
      </c>
      <c r="CF117" s="5">
        <v>1000</v>
      </c>
      <c r="CH117" s="5">
        <v>0</v>
      </c>
      <c r="CI117" s="5">
        <v>0</v>
      </c>
      <c r="CJ117" s="5">
        <v>1000</v>
      </c>
      <c r="CK117" s="5">
        <v>1000</v>
      </c>
      <c r="CM117" s="5">
        <v>1</v>
      </c>
      <c r="CN117" s="5">
        <v>1</v>
      </c>
      <c r="CO117" s="5">
        <v>1000</v>
      </c>
      <c r="CP117" s="5">
        <v>1000</v>
      </c>
      <c r="CR117" s="5">
        <v>4.032</v>
      </c>
      <c r="CS117" s="5">
        <v>3.99</v>
      </c>
      <c r="CT117" s="5">
        <v>1000</v>
      </c>
      <c r="CU117" s="5">
        <v>1000</v>
      </c>
    </row>
    <row r="118" spans="1:99" s="5" customFormat="1" x14ac:dyDescent="0.35">
      <c r="A118" s="4" t="s">
        <v>116</v>
      </c>
      <c r="B118" s="4">
        <v>8.5833333333333339</v>
      </c>
      <c r="C118" s="4" t="s">
        <v>168</v>
      </c>
      <c r="D118" s="4" t="s">
        <v>404</v>
      </c>
      <c r="F118" s="5">
        <v>4.0060000000000002</v>
      </c>
      <c r="G118" s="5">
        <v>4.016</v>
      </c>
      <c r="H118" s="5">
        <v>4.016</v>
      </c>
      <c r="I118" s="5">
        <v>4.0129999999999999</v>
      </c>
      <c r="K118" s="5">
        <v>3.7329999999999997</v>
      </c>
      <c r="L118" s="5">
        <v>3.0990000000000002</v>
      </c>
      <c r="M118" s="5">
        <v>3.3159999999999998</v>
      </c>
      <c r="N118" s="5">
        <v>3.5989999999999998</v>
      </c>
      <c r="P118" s="5">
        <v>3.2810001075267792</v>
      </c>
      <c r="Q118" s="5">
        <v>2.9809997081756592</v>
      </c>
      <c r="R118" s="5">
        <v>2.7490001022815704</v>
      </c>
      <c r="S118" s="5">
        <v>2.3139998912811279</v>
      </c>
      <c r="U118" s="5">
        <v>10</v>
      </c>
      <c r="V118" s="5">
        <v>12</v>
      </c>
      <c r="W118" s="5">
        <v>7</v>
      </c>
      <c r="X118" s="5">
        <v>7</v>
      </c>
      <c r="Z118" s="5">
        <v>3.7329999999999997</v>
      </c>
      <c r="AA118" s="5">
        <v>3.3830000000000005</v>
      </c>
      <c r="AB118" s="5">
        <v>3.3159999999999998</v>
      </c>
      <c r="AC118" s="5">
        <v>2.9159999999999999</v>
      </c>
      <c r="AE118" s="5">
        <v>3.2810001075267792</v>
      </c>
      <c r="AF118" s="5">
        <v>2.9809997081756592</v>
      </c>
      <c r="AG118" s="5">
        <v>2.7490001022815704</v>
      </c>
      <c r="AH118" s="5">
        <v>1.7809998989105225</v>
      </c>
      <c r="AJ118" s="5">
        <v>10</v>
      </c>
      <c r="AK118" s="5">
        <v>12</v>
      </c>
      <c r="AL118" s="5">
        <v>7</v>
      </c>
      <c r="AM118" s="5">
        <v>6</v>
      </c>
      <c r="AO118" s="5">
        <v>1</v>
      </c>
      <c r="AP118" s="5">
        <v>1</v>
      </c>
      <c r="AQ118" s="5">
        <v>1</v>
      </c>
      <c r="AR118" s="5">
        <v>2</v>
      </c>
      <c r="AT118" s="5">
        <v>0.28099998831748962</v>
      </c>
      <c r="AU118" s="5">
        <v>0.6679999828338623</v>
      </c>
      <c r="AV118" s="5">
        <v>0.38199999928474426</v>
      </c>
      <c r="AW118" s="5">
        <v>0.41100001335144043</v>
      </c>
      <c r="AY118" s="5">
        <v>1.2819999999999996</v>
      </c>
      <c r="AZ118" s="5">
        <v>1.0830000000000004</v>
      </c>
      <c r="BA118" s="5">
        <v>1.4330000000000001</v>
      </c>
      <c r="BB118" s="5">
        <v>1.3320000000000003</v>
      </c>
      <c r="BD118" s="5">
        <v>1.2650000751018524</v>
      </c>
      <c r="BE118" s="5">
        <v>1.0329998731613159</v>
      </c>
      <c r="BF118" s="5">
        <v>1.4490000605583191</v>
      </c>
      <c r="BG118" s="5">
        <v>1.3319998979568481</v>
      </c>
      <c r="BI118" s="5">
        <v>3</v>
      </c>
      <c r="BJ118" s="5">
        <v>3</v>
      </c>
      <c r="BK118" s="5">
        <v>3</v>
      </c>
      <c r="BL118" s="5">
        <v>4</v>
      </c>
      <c r="BN118" s="5">
        <v>2</v>
      </c>
      <c r="BO118" s="5">
        <v>4</v>
      </c>
      <c r="BP118" s="5">
        <v>3</v>
      </c>
      <c r="BQ118" s="5">
        <v>4</v>
      </c>
      <c r="BS118" s="5">
        <v>0.28099998831748962</v>
      </c>
      <c r="BT118" s="5">
        <v>0.6679999828338623</v>
      </c>
      <c r="BU118" s="5">
        <v>0.7149999737739563</v>
      </c>
      <c r="BV118" s="5">
        <v>0.59399998188018799</v>
      </c>
      <c r="BX118" s="5">
        <v>1.2509999999999999</v>
      </c>
      <c r="BY118" s="5">
        <v>0.21599999999999986</v>
      </c>
      <c r="BZ118" s="5">
        <v>0.63300000000000001</v>
      </c>
      <c r="CA118" s="5">
        <v>0</v>
      </c>
      <c r="CC118" s="5">
        <v>1.5000001192092896</v>
      </c>
      <c r="CD118" s="5">
        <v>0.20000004768371582</v>
      </c>
      <c r="CE118" s="5">
        <v>0.86699998378753662</v>
      </c>
      <c r="CF118" s="5">
        <v>0</v>
      </c>
      <c r="CH118" s="5">
        <v>4</v>
      </c>
      <c r="CI118" s="5">
        <v>1</v>
      </c>
      <c r="CJ118" s="5">
        <v>1</v>
      </c>
      <c r="CK118" s="5">
        <v>0</v>
      </c>
      <c r="CM118" s="5">
        <v>3</v>
      </c>
      <c r="CN118" s="5">
        <v>4</v>
      </c>
      <c r="CO118" s="5">
        <v>3</v>
      </c>
      <c r="CP118" s="5">
        <v>0</v>
      </c>
      <c r="CR118" s="5">
        <v>1.4809999465942383</v>
      </c>
      <c r="CS118" s="5">
        <v>3.4839999675750732</v>
      </c>
      <c r="CT118" s="5">
        <v>1.4650000333786011</v>
      </c>
      <c r="CU118" s="5">
        <v>4.0129999999999999</v>
      </c>
    </row>
    <row r="119" spans="1:99" s="5" customFormat="1" x14ac:dyDescent="0.35">
      <c r="A119" s="4" t="s">
        <v>117</v>
      </c>
      <c r="B119" s="4">
        <v>10.25</v>
      </c>
      <c r="C119" s="4" t="s">
        <v>168</v>
      </c>
      <c r="D119" s="4" t="s">
        <v>404</v>
      </c>
      <c r="F119" s="5">
        <v>4.0060000000000002</v>
      </c>
      <c r="G119" s="5">
        <v>4.0060000000000002</v>
      </c>
      <c r="H119" s="5">
        <v>4.0140000000000002</v>
      </c>
      <c r="I119" s="5">
        <v>4.016</v>
      </c>
      <c r="K119" s="5">
        <v>3.9989999999999997</v>
      </c>
      <c r="L119" s="5">
        <v>3.9490000000000003</v>
      </c>
      <c r="M119" s="5">
        <v>3.9990000000000006</v>
      </c>
      <c r="N119" s="5">
        <v>3.9</v>
      </c>
      <c r="P119" s="5">
        <v>3.699999894015491</v>
      </c>
      <c r="Q119" s="5">
        <v>3.6980002373456955</v>
      </c>
      <c r="R119" s="5">
        <v>3.8499997165054083</v>
      </c>
      <c r="S119" s="5">
        <v>3.6490001967176795</v>
      </c>
      <c r="U119" s="5">
        <v>13</v>
      </c>
      <c r="V119" s="5">
        <v>12</v>
      </c>
      <c r="W119" s="5">
        <v>10</v>
      </c>
      <c r="X119" s="5">
        <v>13</v>
      </c>
      <c r="Z119" s="5">
        <v>3.9989999999999997</v>
      </c>
      <c r="AA119" s="5">
        <v>3.9490000000000003</v>
      </c>
      <c r="AB119" s="5">
        <v>3.9990000000000006</v>
      </c>
      <c r="AC119" s="5">
        <v>3.9</v>
      </c>
      <c r="AE119" s="5">
        <v>3.699999894015491</v>
      </c>
      <c r="AF119" s="5">
        <v>3.6980002373456955</v>
      </c>
      <c r="AG119" s="5">
        <v>3.8499997165054083</v>
      </c>
      <c r="AH119" s="5">
        <v>3.6490001967176795</v>
      </c>
      <c r="AJ119" s="5">
        <v>13</v>
      </c>
      <c r="AK119" s="5">
        <v>12</v>
      </c>
      <c r="AL119" s="5">
        <v>10</v>
      </c>
      <c r="AM119" s="5">
        <v>13</v>
      </c>
      <c r="AO119" s="5">
        <v>1</v>
      </c>
      <c r="AP119" s="5">
        <v>1</v>
      </c>
      <c r="AQ119" s="5">
        <v>1</v>
      </c>
      <c r="AR119" s="5">
        <v>1</v>
      </c>
      <c r="AT119" s="5">
        <v>4.999999888241291E-3</v>
      </c>
      <c r="AU119" s="5">
        <v>5.9000000357627869E-2</v>
      </c>
      <c r="AV119" s="5">
        <v>9.9999997764825821E-3</v>
      </c>
      <c r="AW119" s="5">
        <v>7.0000002160668373E-3</v>
      </c>
      <c r="AY119" s="5">
        <v>0.7669999999999999</v>
      </c>
      <c r="AZ119" s="5">
        <v>0.7829999999999997</v>
      </c>
      <c r="BA119" s="5">
        <v>0.88200000000000056</v>
      </c>
      <c r="BB119" s="5">
        <v>0.93299999999999972</v>
      </c>
      <c r="BD119" s="5">
        <v>0.6340000331401825</v>
      </c>
      <c r="BE119" s="5">
        <v>0.38399994373321533</v>
      </c>
      <c r="BF119" s="5">
        <v>0.81599974632263184</v>
      </c>
      <c r="BG119" s="5">
        <v>0.81600004434585571</v>
      </c>
      <c r="BI119" s="5">
        <v>2</v>
      </c>
      <c r="BJ119" s="5">
        <v>1</v>
      </c>
      <c r="BK119" s="5">
        <v>2</v>
      </c>
      <c r="BL119" s="5">
        <v>3</v>
      </c>
      <c r="BN119" s="5">
        <v>4</v>
      </c>
      <c r="BO119" s="5">
        <v>3</v>
      </c>
      <c r="BP119" s="5">
        <v>3</v>
      </c>
      <c r="BQ119" s="5">
        <v>3</v>
      </c>
      <c r="BS119" s="5">
        <v>0.43799999356269836</v>
      </c>
      <c r="BT119" s="5">
        <v>1.6080000400543213</v>
      </c>
      <c r="BU119" s="5">
        <v>2.8090000152587891</v>
      </c>
      <c r="BV119" s="5">
        <v>0.75700002908706665</v>
      </c>
      <c r="BX119" s="5">
        <v>0.74900000000000044</v>
      </c>
      <c r="BY119" s="5">
        <v>0.41699999999999982</v>
      </c>
      <c r="BZ119" s="5">
        <v>0.40100000000000025</v>
      </c>
      <c r="CA119" s="5">
        <v>0.96699999999999964</v>
      </c>
      <c r="CC119" s="5">
        <v>0.89999979734420776</v>
      </c>
      <c r="CD119" s="5">
        <v>0.49900007247924805</v>
      </c>
      <c r="CE119" s="5">
        <v>0.38300013542175293</v>
      </c>
      <c r="CF119" s="5">
        <v>1.1999999573454261</v>
      </c>
      <c r="CH119" s="5">
        <v>2</v>
      </c>
      <c r="CI119" s="5">
        <v>2</v>
      </c>
      <c r="CJ119" s="5">
        <v>2</v>
      </c>
      <c r="CK119" s="5">
        <v>3</v>
      </c>
      <c r="CM119" s="5">
        <v>2</v>
      </c>
      <c r="CN119" s="5">
        <v>2</v>
      </c>
      <c r="CO119" s="5">
        <v>2</v>
      </c>
      <c r="CP119" s="5">
        <v>3</v>
      </c>
      <c r="CR119" s="5">
        <v>0.93800002336502075</v>
      </c>
      <c r="CS119" s="5">
        <v>2.2920000553131104</v>
      </c>
      <c r="CT119" s="5">
        <v>0.87699997425079346</v>
      </c>
      <c r="CU119" s="5">
        <v>7.0000002160668373E-3</v>
      </c>
    </row>
    <row r="120" spans="1:99" s="5" customFormat="1" x14ac:dyDescent="0.35">
      <c r="A120" s="4" t="s">
        <v>118</v>
      </c>
      <c r="B120" s="4">
        <v>5.416666666666667</v>
      </c>
      <c r="C120" s="4" t="s">
        <v>168</v>
      </c>
      <c r="D120" s="4" t="s">
        <v>404</v>
      </c>
      <c r="F120" s="5">
        <v>0.89999999999999991</v>
      </c>
      <c r="G120" s="5">
        <v>0.98099999999999987</v>
      </c>
      <c r="H120" s="5">
        <v>1.9200000000000004</v>
      </c>
      <c r="I120" s="5">
        <v>3.1989999999999998</v>
      </c>
      <c r="K120" s="5">
        <v>1000</v>
      </c>
      <c r="L120" s="5">
        <v>1000</v>
      </c>
      <c r="M120" s="5">
        <v>1000</v>
      </c>
      <c r="N120" s="5">
        <v>2.1670000000000003</v>
      </c>
      <c r="P120" s="5">
        <v>1000</v>
      </c>
      <c r="Q120" s="5">
        <v>1000</v>
      </c>
      <c r="R120" s="5">
        <v>1000</v>
      </c>
      <c r="S120" s="5">
        <v>1.446999728679657</v>
      </c>
      <c r="U120" s="5">
        <v>1000</v>
      </c>
      <c r="V120" s="5">
        <v>1000</v>
      </c>
      <c r="W120" s="5">
        <v>1000</v>
      </c>
      <c r="X120" s="5">
        <v>8</v>
      </c>
      <c r="Z120" s="5">
        <v>1000</v>
      </c>
      <c r="AA120" s="5">
        <v>1000</v>
      </c>
      <c r="AB120" s="5">
        <v>1000</v>
      </c>
      <c r="AC120" s="5">
        <v>1.2490000000000003</v>
      </c>
      <c r="AE120" s="5">
        <v>1000</v>
      </c>
      <c r="AF120" s="5">
        <v>1000</v>
      </c>
      <c r="AG120" s="5">
        <v>1000</v>
      </c>
      <c r="AH120" s="5">
        <v>1.1809999346733093</v>
      </c>
      <c r="AJ120" s="5">
        <v>1000</v>
      </c>
      <c r="AK120" s="5">
        <v>1000</v>
      </c>
      <c r="AL120" s="5">
        <v>1000</v>
      </c>
      <c r="AM120" s="5">
        <v>6</v>
      </c>
      <c r="AO120" s="5">
        <v>1000</v>
      </c>
      <c r="AP120" s="5">
        <v>1000</v>
      </c>
      <c r="AQ120" s="5">
        <v>1000</v>
      </c>
      <c r="AR120" s="5">
        <v>6</v>
      </c>
      <c r="AT120" s="5">
        <v>1000</v>
      </c>
      <c r="AU120" s="5">
        <v>1000</v>
      </c>
      <c r="AV120" s="5">
        <v>1000</v>
      </c>
      <c r="AW120" s="5">
        <v>0.62099999189376831</v>
      </c>
      <c r="AY120" s="5">
        <v>1000</v>
      </c>
      <c r="AZ120" s="5">
        <v>1000</v>
      </c>
      <c r="BA120" s="5">
        <v>1000</v>
      </c>
      <c r="BB120" s="5">
        <v>0.23299999999999987</v>
      </c>
      <c r="BD120" s="5">
        <v>1000</v>
      </c>
      <c r="BE120" s="5">
        <v>1000</v>
      </c>
      <c r="BF120" s="5">
        <v>1000</v>
      </c>
      <c r="BG120" s="5">
        <v>0.31599998474121094</v>
      </c>
      <c r="BI120" s="5">
        <v>1000</v>
      </c>
      <c r="BJ120" s="5">
        <v>1000</v>
      </c>
      <c r="BK120" s="5">
        <v>1000</v>
      </c>
      <c r="BL120" s="5">
        <v>1</v>
      </c>
      <c r="BN120" s="5">
        <v>1000</v>
      </c>
      <c r="BO120" s="5">
        <v>1000</v>
      </c>
      <c r="BP120" s="5">
        <v>1000</v>
      </c>
      <c r="BQ120" s="5">
        <v>1</v>
      </c>
      <c r="BS120" s="5">
        <v>1000</v>
      </c>
      <c r="BT120" s="5">
        <v>1000</v>
      </c>
      <c r="BU120" s="5">
        <v>1000</v>
      </c>
      <c r="BV120" s="5">
        <v>1.3380000591278076</v>
      </c>
      <c r="BX120" s="5">
        <v>1000</v>
      </c>
      <c r="BY120" s="5">
        <v>1000</v>
      </c>
      <c r="BZ120" s="5">
        <v>1000</v>
      </c>
      <c r="CA120" s="5">
        <v>0</v>
      </c>
      <c r="CC120" s="5">
        <v>1000</v>
      </c>
      <c r="CD120" s="5">
        <v>1000</v>
      </c>
      <c r="CE120" s="5">
        <v>1000</v>
      </c>
      <c r="CF120" s="5">
        <v>0</v>
      </c>
      <c r="CH120" s="5">
        <v>1000</v>
      </c>
      <c r="CI120" s="5">
        <v>1000</v>
      </c>
      <c r="CJ120" s="5">
        <v>1000</v>
      </c>
      <c r="CK120" s="5">
        <v>0</v>
      </c>
      <c r="CM120" s="5">
        <v>1000</v>
      </c>
      <c r="CN120" s="5">
        <v>1000</v>
      </c>
      <c r="CO120" s="5">
        <v>1000</v>
      </c>
      <c r="CP120" s="5">
        <v>0</v>
      </c>
      <c r="CR120" s="5">
        <v>1000</v>
      </c>
      <c r="CS120" s="5">
        <v>1000</v>
      </c>
      <c r="CT120" s="5">
        <v>1000</v>
      </c>
      <c r="CU120" s="5">
        <v>4.0149999999999997</v>
      </c>
    </row>
    <row r="121" spans="1:99" s="5" customFormat="1" x14ac:dyDescent="0.35">
      <c r="A121" s="4" t="s">
        <v>119</v>
      </c>
      <c r="B121" s="4">
        <v>5.416666666666667</v>
      </c>
      <c r="C121" s="4" t="s">
        <v>168</v>
      </c>
      <c r="D121" s="4" t="s">
        <v>404</v>
      </c>
      <c r="F121" s="5">
        <v>4.01</v>
      </c>
      <c r="G121" s="5">
        <v>4.0019999999999998</v>
      </c>
      <c r="H121" s="5">
        <v>4.016</v>
      </c>
      <c r="I121" s="5">
        <v>4.0250000000000004</v>
      </c>
      <c r="K121" s="5">
        <v>3.9820000000000002</v>
      </c>
      <c r="L121" s="5">
        <v>3.25</v>
      </c>
      <c r="M121" s="5">
        <v>3.9990000000000001</v>
      </c>
      <c r="N121" s="5">
        <v>3.9990000000000001</v>
      </c>
      <c r="P121" s="5">
        <v>3.8989999704062939</v>
      </c>
      <c r="Q121" s="5">
        <v>2.9179999530315399</v>
      </c>
      <c r="R121" s="5">
        <v>3.8820000072009861</v>
      </c>
      <c r="S121" s="5">
        <v>3.849999831058085</v>
      </c>
      <c r="U121" s="5">
        <v>6</v>
      </c>
      <c r="V121" s="5">
        <v>7</v>
      </c>
      <c r="W121" s="5">
        <v>8</v>
      </c>
      <c r="X121" s="5">
        <v>10</v>
      </c>
      <c r="Z121" s="5">
        <v>3.9820000000000002</v>
      </c>
      <c r="AA121" s="5">
        <v>3.0169999999999999</v>
      </c>
      <c r="AB121" s="5">
        <v>3.9990000000000001</v>
      </c>
      <c r="AC121" s="5">
        <v>3.9990000000000001</v>
      </c>
      <c r="AE121" s="5">
        <v>3.8989999704062939</v>
      </c>
      <c r="AF121" s="5">
        <v>2.9179999530315399</v>
      </c>
      <c r="AG121" s="5">
        <v>3.8820000072009861</v>
      </c>
      <c r="AH121" s="5">
        <v>3.849999831058085</v>
      </c>
      <c r="AJ121" s="5">
        <v>6</v>
      </c>
      <c r="AK121" s="5">
        <v>7</v>
      </c>
      <c r="AL121" s="5">
        <v>8</v>
      </c>
      <c r="AM121" s="5">
        <v>10</v>
      </c>
      <c r="AO121" s="5">
        <v>1</v>
      </c>
      <c r="AP121" s="5">
        <v>1</v>
      </c>
      <c r="AQ121" s="5">
        <v>1</v>
      </c>
      <c r="AR121" s="5">
        <v>1</v>
      </c>
      <c r="AT121" s="5">
        <v>1.3000000268220901E-2</v>
      </c>
      <c r="AU121" s="5">
        <v>0.23800000548362732</v>
      </c>
      <c r="AV121" s="5">
        <v>4.0000001899898052E-3</v>
      </c>
      <c r="AW121" s="5">
        <v>1.4999999664723873E-2</v>
      </c>
      <c r="AY121" s="5">
        <v>0.53299999999999992</v>
      </c>
      <c r="AZ121" s="5">
        <v>1.1679999999999997</v>
      </c>
      <c r="BA121" s="5">
        <v>3.4169999999999998</v>
      </c>
      <c r="BB121" s="5">
        <v>2.1660000000000004</v>
      </c>
      <c r="BD121" s="5">
        <v>1.2170000486075878</v>
      </c>
      <c r="BE121" s="5">
        <v>1.668000191450119</v>
      </c>
      <c r="BF121" s="5">
        <v>3.4160000085830688</v>
      </c>
      <c r="BG121" s="5">
        <v>2.1169999241828918</v>
      </c>
      <c r="BI121" s="5">
        <v>2</v>
      </c>
      <c r="BJ121" s="5">
        <v>5</v>
      </c>
      <c r="BK121" s="5">
        <v>7</v>
      </c>
      <c r="BL121" s="5">
        <v>6</v>
      </c>
      <c r="BN121" s="5">
        <v>2</v>
      </c>
      <c r="BO121" s="5">
        <v>3</v>
      </c>
      <c r="BP121" s="5">
        <v>2</v>
      </c>
      <c r="BQ121" s="5">
        <v>3</v>
      </c>
      <c r="BS121" s="5">
        <v>1.3000000268220901E-2</v>
      </c>
      <c r="BT121" s="5">
        <v>0.23800000548362732</v>
      </c>
      <c r="BU121" s="5">
        <v>0.4869999885559082</v>
      </c>
      <c r="BV121" s="5">
        <v>0.5820000171661377</v>
      </c>
      <c r="BX121" s="5">
        <v>0</v>
      </c>
      <c r="BY121" s="5">
        <v>0.53299999999999992</v>
      </c>
      <c r="BZ121" s="5">
        <v>0</v>
      </c>
      <c r="CA121" s="5">
        <v>0</v>
      </c>
      <c r="CC121" s="5">
        <v>0</v>
      </c>
      <c r="CD121" s="5">
        <v>0.59999990463256836</v>
      </c>
      <c r="CE121" s="5">
        <v>0</v>
      </c>
      <c r="CF121" s="5">
        <v>0</v>
      </c>
      <c r="CH121" s="5">
        <v>0</v>
      </c>
      <c r="CI121" s="5">
        <v>1</v>
      </c>
      <c r="CJ121" s="5">
        <v>0</v>
      </c>
      <c r="CK121" s="5">
        <v>0</v>
      </c>
      <c r="CM121" s="5">
        <v>0</v>
      </c>
      <c r="CN121" s="5">
        <v>1</v>
      </c>
      <c r="CO121" s="5">
        <v>0</v>
      </c>
      <c r="CP121" s="5">
        <v>0</v>
      </c>
      <c r="CR121" s="5">
        <v>4.01</v>
      </c>
      <c r="CS121" s="5">
        <v>2.255000114440918</v>
      </c>
      <c r="CT121" s="5">
        <v>4.016</v>
      </c>
      <c r="CU121" s="5">
        <v>4.0250000000000004</v>
      </c>
    </row>
    <row r="122" spans="1:99" s="5" customFormat="1" x14ac:dyDescent="0.35">
      <c r="A122" s="4" t="s">
        <v>120</v>
      </c>
      <c r="B122" s="4">
        <v>8.5</v>
      </c>
      <c r="C122" s="4" t="s">
        <v>168</v>
      </c>
      <c r="D122" s="4" t="s">
        <v>404</v>
      </c>
      <c r="F122" s="5">
        <v>1.0500000000000003</v>
      </c>
      <c r="G122" s="5">
        <v>0.41599999999999993</v>
      </c>
      <c r="H122" s="5">
        <v>0.37599999999999945</v>
      </c>
      <c r="I122" s="5">
        <v>1.0190000000000001</v>
      </c>
      <c r="K122" s="5">
        <v>1000</v>
      </c>
      <c r="L122" s="5">
        <v>1000</v>
      </c>
      <c r="M122" s="5">
        <v>1000</v>
      </c>
      <c r="N122" s="5">
        <v>1000</v>
      </c>
      <c r="P122" s="5">
        <v>1000</v>
      </c>
      <c r="Q122" s="5">
        <v>1000</v>
      </c>
      <c r="R122" s="5">
        <v>1000</v>
      </c>
      <c r="S122" s="5">
        <v>1000</v>
      </c>
      <c r="U122" s="5">
        <v>1000</v>
      </c>
      <c r="V122" s="5">
        <v>1000</v>
      </c>
      <c r="W122" s="5">
        <v>1000</v>
      </c>
      <c r="X122" s="5">
        <v>1000</v>
      </c>
      <c r="Z122" s="5">
        <v>1000</v>
      </c>
      <c r="AA122" s="5">
        <v>1000</v>
      </c>
      <c r="AB122" s="5">
        <v>1000</v>
      </c>
      <c r="AC122" s="5">
        <v>1000</v>
      </c>
      <c r="AE122" s="5">
        <v>1000</v>
      </c>
      <c r="AF122" s="5">
        <v>1000</v>
      </c>
      <c r="AG122" s="5">
        <v>1000</v>
      </c>
      <c r="AH122" s="5">
        <v>1000</v>
      </c>
      <c r="AJ122" s="5">
        <v>1000</v>
      </c>
      <c r="AK122" s="5">
        <v>1000</v>
      </c>
      <c r="AL122" s="5">
        <v>1000</v>
      </c>
      <c r="AM122" s="5">
        <v>1000</v>
      </c>
      <c r="AO122" s="5">
        <v>1000</v>
      </c>
      <c r="AP122" s="5">
        <v>1000</v>
      </c>
      <c r="AQ122" s="5">
        <v>1000</v>
      </c>
      <c r="AR122" s="5">
        <v>1000</v>
      </c>
      <c r="AT122" s="5">
        <v>1000</v>
      </c>
      <c r="AU122" s="5">
        <v>1000</v>
      </c>
      <c r="AV122" s="5">
        <v>1000</v>
      </c>
      <c r="AW122" s="5">
        <v>1000</v>
      </c>
      <c r="AY122" s="5">
        <v>1000</v>
      </c>
      <c r="AZ122" s="5">
        <v>1000</v>
      </c>
      <c r="BA122" s="5">
        <v>1000</v>
      </c>
      <c r="BB122" s="5">
        <v>1000</v>
      </c>
      <c r="BD122" s="5">
        <v>1000</v>
      </c>
      <c r="BE122" s="5">
        <v>1000</v>
      </c>
      <c r="BF122" s="5">
        <v>1000</v>
      </c>
      <c r="BG122" s="5">
        <v>1000</v>
      </c>
      <c r="BI122" s="5">
        <v>1000</v>
      </c>
      <c r="BJ122" s="5">
        <v>1000</v>
      </c>
      <c r="BK122" s="5">
        <v>1000</v>
      </c>
      <c r="BL122" s="5">
        <v>1000</v>
      </c>
      <c r="BN122" s="5">
        <v>1000</v>
      </c>
      <c r="BO122" s="5">
        <v>1000</v>
      </c>
      <c r="BP122" s="5">
        <v>1000</v>
      </c>
      <c r="BQ122" s="5">
        <v>1000</v>
      </c>
      <c r="BS122" s="5">
        <v>1000</v>
      </c>
      <c r="BT122" s="5">
        <v>1000</v>
      </c>
      <c r="BU122" s="5">
        <v>1000</v>
      </c>
      <c r="BV122" s="5">
        <v>1000</v>
      </c>
      <c r="BX122" s="5">
        <v>1000</v>
      </c>
      <c r="BY122" s="5">
        <v>1000</v>
      </c>
      <c r="BZ122" s="5">
        <v>1000</v>
      </c>
      <c r="CA122" s="5">
        <v>1000</v>
      </c>
      <c r="CC122" s="5">
        <v>1000</v>
      </c>
      <c r="CD122" s="5">
        <v>1000</v>
      </c>
      <c r="CE122" s="5">
        <v>1000</v>
      </c>
      <c r="CF122" s="5">
        <v>1000</v>
      </c>
      <c r="CH122" s="5">
        <v>1000</v>
      </c>
      <c r="CI122" s="5">
        <v>1000</v>
      </c>
      <c r="CJ122" s="5">
        <v>1000</v>
      </c>
      <c r="CK122" s="5">
        <v>1000</v>
      </c>
      <c r="CM122" s="5">
        <v>1000</v>
      </c>
      <c r="CN122" s="5">
        <v>1000</v>
      </c>
      <c r="CO122" s="5">
        <v>1000</v>
      </c>
      <c r="CP122" s="5">
        <v>1000</v>
      </c>
      <c r="CR122" s="5">
        <v>1000</v>
      </c>
      <c r="CS122" s="5">
        <v>1000</v>
      </c>
      <c r="CT122" s="5">
        <v>1000</v>
      </c>
      <c r="CU122" s="5">
        <v>1000</v>
      </c>
    </row>
    <row r="123" spans="1:99" s="5" customFormat="1" x14ac:dyDescent="0.35">
      <c r="A123" s="4" t="s">
        <v>121</v>
      </c>
      <c r="B123" s="4">
        <v>9.3333333333333339</v>
      </c>
      <c r="C123" s="4" t="s">
        <v>168</v>
      </c>
      <c r="D123" s="4" t="s">
        <v>404</v>
      </c>
      <c r="F123" s="5">
        <v>4.0019999999999998</v>
      </c>
      <c r="G123" s="5">
        <v>4.016</v>
      </c>
      <c r="H123" s="5">
        <v>4.0250000000000004</v>
      </c>
      <c r="I123" s="5">
        <v>2.8380000000000001</v>
      </c>
      <c r="K123" s="5">
        <v>3.9990000000000001</v>
      </c>
      <c r="L123" s="5">
        <v>3.9990000000000006</v>
      </c>
      <c r="M123" s="5">
        <v>3.5660000000000003</v>
      </c>
      <c r="N123" s="5">
        <v>2.0990000000000002</v>
      </c>
      <c r="P123" s="5">
        <v>3.764999853563495</v>
      </c>
      <c r="Q123" s="5">
        <v>3.6830001214984804</v>
      </c>
      <c r="R123" s="5">
        <v>3.4319998919963837</v>
      </c>
      <c r="S123" s="5">
        <v>1.8829997777938843</v>
      </c>
      <c r="U123" s="5">
        <v>5</v>
      </c>
      <c r="V123" s="5">
        <v>7</v>
      </c>
      <c r="W123" s="5">
        <v>7</v>
      </c>
      <c r="X123" s="5">
        <v>3</v>
      </c>
      <c r="Z123" s="5">
        <v>3.9990000000000001</v>
      </c>
      <c r="AA123" s="5">
        <v>3.9990000000000006</v>
      </c>
      <c r="AB123" s="5">
        <v>3.5660000000000003</v>
      </c>
      <c r="AC123" s="5">
        <v>1.3830000000000002</v>
      </c>
      <c r="AE123" s="5">
        <v>3.764999853563495</v>
      </c>
      <c r="AF123" s="5">
        <v>3.6830001214984804</v>
      </c>
      <c r="AG123" s="5">
        <v>3.4319998919963837</v>
      </c>
      <c r="AH123" s="5">
        <v>1.2829997539520264</v>
      </c>
      <c r="AJ123" s="5">
        <v>5</v>
      </c>
      <c r="AK123" s="5">
        <v>7</v>
      </c>
      <c r="AL123" s="5">
        <v>7</v>
      </c>
      <c r="AM123" s="5">
        <v>2</v>
      </c>
      <c r="AO123" s="5">
        <v>1</v>
      </c>
      <c r="AP123" s="5">
        <v>1</v>
      </c>
      <c r="AQ123" s="5">
        <v>1</v>
      </c>
      <c r="AR123" s="5">
        <v>1</v>
      </c>
      <c r="AT123" s="5">
        <v>1.0000000474974513E-3</v>
      </c>
      <c r="AU123" s="5">
        <v>2.0000000949949026E-3</v>
      </c>
      <c r="AV123" s="5">
        <v>0.48399999737739563</v>
      </c>
      <c r="AW123" s="5">
        <v>1.8940000534057617</v>
      </c>
      <c r="AY123" s="5">
        <v>2.4659999999999997</v>
      </c>
      <c r="AZ123" s="5">
        <v>0.95000000000000018</v>
      </c>
      <c r="BA123" s="5">
        <v>1.1000000000000005</v>
      </c>
      <c r="BB123" s="5">
        <v>3.3000000000000362E-2</v>
      </c>
      <c r="BD123" s="5">
        <v>2.9819998145103455</v>
      </c>
      <c r="BE123" s="5">
        <v>1.4180002212524414</v>
      </c>
      <c r="BF123" s="5">
        <v>1.9670002162456512</v>
      </c>
      <c r="BG123" s="5">
        <v>0</v>
      </c>
      <c r="BI123" s="5">
        <v>3</v>
      </c>
      <c r="BJ123" s="5">
        <v>2</v>
      </c>
      <c r="BK123" s="5">
        <v>2</v>
      </c>
      <c r="BL123" s="5">
        <v>0</v>
      </c>
      <c r="BN123" s="5">
        <v>3</v>
      </c>
      <c r="BO123" s="5">
        <v>1</v>
      </c>
      <c r="BP123" s="5">
        <v>2</v>
      </c>
      <c r="BQ123" s="5">
        <v>1</v>
      </c>
      <c r="BS123" s="5">
        <v>0.98400002717971802</v>
      </c>
      <c r="BT123" s="5">
        <v>1.1009999513626099</v>
      </c>
      <c r="BU123" s="5">
        <v>0.48399999737739563</v>
      </c>
      <c r="BV123" s="5">
        <v>4.016</v>
      </c>
      <c r="BX123" s="5">
        <v>0</v>
      </c>
      <c r="BY123" s="5">
        <v>1.2169999999999999</v>
      </c>
      <c r="BZ123" s="5">
        <v>0.74900000000000011</v>
      </c>
      <c r="CA123" s="5">
        <v>0</v>
      </c>
      <c r="CC123" s="5">
        <v>0</v>
      </c>
      <c r="CD123" s="5">
        <v>1.6659998635295779</v>
      </c>
      <c r="CE123" s="5">
        <v>1.0659999847412109</v>
      </c>
      <c r="CF123" s="5">
        <v>0</v>
      </c>
      <c r="CH123" s="5">
        <v>0</v>
      </c>
      <c r="CI123" s="5">
        <v>2</v>
      </c>
      <c r="CJ123" s="5">
        <v>2</v>
      </c>
      <c r="CK123" s="5">
        <v>0</v>
      </c>
      <c r="CM123" s="5">
        <v>2</v>
      </c>
      <c r="CN123" s="5">
        <v>2</v>
      </c>
      <c r="CO123" s="5">
        <v>2</v>
      </c>
      <c r="CP123" s="5">
        <v>0</v>
      </c>
      <c r="CR123" s="5">
        <v>4.0019999999999998</v>
      </c>
      <c r="CS123" s="5">
        <v>2.0000000949949026E-3</v>
      </c>
      <c r="CT123" s="5">
        <v>2.5169999599456787</v>
      </c>
      <c r="CU123" s="5">
        <v>4.016</v>
      </c>
    </row>
    <row r="124" spans="1:99" s="5" customFormat="1" x14ac:dyDescent="0.35">
      <c r="A124" s="4" t="s">
        <v>122</v>
      </c>
      <c r="B124" s="4">
        <v>5.333333333333333</v>
      </c>
      <c r="C124" s="4" t="s">
        <v>168</v>
      </c>
      <c r="D124" s="4" t="s">
        <v>404</v>
      </c>
      <c r="F124" s="5">
        <v>4.0110000000000001</v>
      </c>
      <c r="G124" s="5">
        <v>4.016</v>
      </c>
      <c r="H124" s="5">
        <v>4.016</v>
      </c>
      <c r="I124" s="5">
        <v>4.016</v>
      </c>
      <c r="K124" s="5">
        <v>3.9989999999999997</v>
      </c>
      <c r="L124" s="5">
        <v>3.9990000000000001</v>
      </c>
      <c r="M124" s="5">
        <v>3.7650000000000001</v>
      </c>
      <c r="N124" s="5">
        <v>3.9660000000000002</v>
      </c>
      <c r="P124" s="5">
        <v>3.7500001443549991</v>
      </c>
      <c r="Q124" s="5">
        <v>3.6989994794130325</v>
      </c>
      <c r="R124" s="5">
        <v>3.5149996280670166</v>
      </c>
      <c r="S124" s="5">
        <v>3.3359999060630798</v>
      </c>
      <c r="U124" s="5">
        <v>10</v>
      </c>
      <c r="V124" s="5">
        <v>12</v>
      </c>
      <c r="W124" s="5">
        <v>7</v>
      </c>
      <c r="X124" s="5">
        <v>12</v>
      </c>
      <c r="Z124" s="5">
        <v>3.7329999999999997</v>
      </c>
      <c r="AA124" s="5">
        <v>3.6160000000000005</v>
      </c>
      <c r="AB124" s="5">
        <v>3.649</v>
      </c>
      <c r="AC124" s="5">
        <v>3.4660000000000002</v>
      </c>
      <c r="AE124" s="5">
        <v>3.5000001490116119</v>
      </c>
      <c r="AF124" s="5">
        <v>3.3489993363618851</v>
      </c>
      <c r="AG124" s="5">
        <v>3.5149996280670166</v>
      </c>
      <c r="AH124" s="5">
        <v>3.0859999060630798</v>
      </c>
      <c r="AJ124" s="5">
        <v>9</v>
      </c>
      <c r="AK124" s="5">
        <v>10</v>
      </c>
      <c r="AL124" s="5">
        <v>7</v>
      </c>
      <c r="AM124" s="5">
        <v>11</v>
      </c>
      <c r="AO124" s="5">
        <v>1</v>
      </c>
      <c r="AP124" s="5">
        <v>3</v>
      </c>
      <c r="AQ124" s="5">
        <v>1</v>
      </c>
      <c r="AR124" s="5">
        <v>2</v>
      </c>
      <c r="AT124" s="5">
        <v>0.27099999785423279</v>
      </c>
      <c r="AU124" s="5">
        <v>5.9000000357627869E-2</v>
      </c>
      <c r="AV124" s="5">
        <v>0.39899998903274536</v>
      </c>
      <c r="AW124" s="5">
        <v>0.38400000333786011</v>
      </c>
      <c r="AY124" s="5">
        <v>2.0160000000000009</v>
      </c>
      <c r="AZ124" s="5">
        <v>1.6819999999999995</v>
      </c>
      <c r="BA124" s="5">
        <v>1.8330000000000004</v>
      </c>
      <c r="BB124" s="5">
        <v>2.2320000000000002</v>
      </c>
      <c r="BD124" s="5">
        <v>1.9650000929832458</v>
      </c>
      <c r="BE124" s="5">
        <v>1.6659995317459106</v>
      </c>
      <c r="BF124" s="5">
        <v>1.964999794960022</v>
      </c>
      <c r="BG124" s="5">
        <v>2.1339998841285706</v>
      </c>
      <c r="BI124" s="5">
        <v>4</v>
      </c>
      <c r="BJ124" s="5">
        <v>4</v>
      </c>
      <c r="BK124" s="5">
        <v>4</v>
      </c>
      <c r="BL124" s="5">
        <v>6</v>
      </c>
      <c r="BN124" s="5">
        <v>3</v>
      </c>
      <c r="BO124" s="5">
        <v>4</v>
      </c>
      <c r="BP124" s="5">
        <v>3</v>
      </c>
      <c r="BQ124" s="5">
        <v>3</v>
      </c>
      <c r="BS124" s="5">
        <v>0.73799997568130493</v>
      </c>
      <c r="BT124" s="5">
        <v>0.52499997615814209</v>
      </c>
      <c r="BU124" s="5">
        <v>0.39899998903274536</v>
      </c>
      <c r="BV124" s="5">
        <v>0.38400000333786011</v>
      </c>
      <c r="BX124" s="5">
        <v>0.68399999999999994</v>
      </c>
      <c r="BY124" s="5">
        <v>0.11699999999999999</v>
      </c>
      <c r="BZ124" s="5">
        <v>0</v>
      </c>
      <c r="CA124" s="5">
        <v>0.41600000000000015</v>
      </c>
      <c r="CC124" s="5">
        <v>0.48399996757507324</v>
      </c>
      <c r="CD124" s="5">
        <v>0.18300008773803711</v>
      </c>
      <c r="CE124" s="5">
        <v>0</v>
      </c>
      <c r="CF124" s="5">
        <v>0.41700005531311035</v>
      </c>
      <c r="CH124" s="5">
        <v>1</v>
      </c>
      <c r="CI124" s="5">
        <v>1</v>
      </c>
      <c r="CJ124" s="5">
        <v>0</v>
      </c>
      <c r="CK124" s="5">
        <v>1</v>
      </c>
      <c r="CM124" s="5">
        <v>2</v>
      </c>
      <c r="CN124" s="5">
        <v>1</v>
      </c>
      <c r="CO124" s="5">
        <v>0</v>
      </c>
      <c r="CP124" s="5">
        <v>2</v>
      </c>
      <c r="CR124" s="5">
        <v>2.3870000839233398</v>
      </c>
      <c r="CS124" s="5">
        <v>3.2079999446868896</v>
      </c>
      <c r="CT124" s="5">
        <v>4.016</v>
      </c>
      <c r="CU124" s="5">
        <v>3.5829999446868896</v>
      </c>
    </row>
    <row r="125" spans="1:99" s="5" customFormat="1" x14ac:dyDescent="0.35">
      <c r="A125" s="4" t="s">
        <v>123</v>
      </c>
      <c r="B125" s="4">
        <v>10.25</v>
      </c>
      <c r="C125" s="4" t="s">
        <v>167</v>
      </c>
      <c r="D125" s="4" t="s">
        <v>404</v>
      </c>
      <c r="F125" s="5">
        <v>3.2450000000000001</v>
      </c>
      <c r="G125" s="5">
        <v>2.2319999999999993</v>
      </c>
      <c r="H125" s="5">
        <v>2.367</v>
      </c>
      <c r="I125" s="5">
        <v>4.0149999999999997</v>
      </c>
      <c r="K125" s="5">
        <v>3.016</v>
      </c>
      <c r="L125" s="5">
        <v>2.016</v>
      </c>
      <c r="M125" s="5">
        <v>1.9670000000000001</v>
      </c>
      <c r="N125" s="5">
        <v>3.665</v>
      </c>
      <c r="P125" s="5">
        <v>2.6690000593662262</v>
      </c>
      <c r="Q125" s="5">
        <v>1.7659999281167984</v>
      </c>
      <c r="R125" s="5">
        <v>1.683000236749649</v>
      </c>
      <c r="S125" s="5">
        <v>3.2520002722740173</v>
      </c>
      <c r="U125" s="5">
        <v>10</v>
      </c>
      <c r="V125" s="5">
        <v>3</v>
      </c>
      <c r="W125" s="5">
        <v>6</v>
      </c>
      <c r="X125" s="5">
        <v>16</v>
      </c>
      <c r="Z125" s="5">
        <v>3.016</v>
      </c>
      <c r="AA125" s="5">
        <v>1.9319999999999999</v>
      </c>
      <c r="AB125" s="5">
        <v>1.4340000000000002</v>
      </c>
      <c r="AC125" s="5">
        <v>3.665</v>
      </c>
      <c r="AE125" s="5">
        <v>2.6690000593662262</v>
      </c>
      <c r="AF125" s="5">
        <v>1.7659999281167984</v>
      </c>
      <c r="AG125" s="5">
        <v>1.2330001890659332</v>
      </c>
      <c r="AH125" s="5">
        <v>3.2520002722740173</v>
      </c>
      <c r="AJ125" s="5">
        <v>10</v>
      </c>
      <c r="AK125" s="5">
        <v>3</v>
      </c>
      <c r="AL125" s="5">
        <v>5</v>
      </c>
      <c r="AM125" s="5">
        <v>16</v>
      </c>
      <c r="AO125" s="5">
        <v>2</v>
      </c>
      <c r="AP125" s="5">
        <v>2</v>
      </c>
      <c r="AQ125" s="5">
        <v>3</v>
      </c>
      <c r="AR125" s="5">
        <v>1</v>
      </c>
      <c r="AT125" s="5">
        <v>0.29600000381469727</v>
      </c>
      <c r="AU125" s="5">
        <v>0.22100000083446503</v>
      </c>
      <c r="AV125" s="5">
        <v>0.37700000405311584</v>
      </c>
      <c r="AW125" s="5">
        <v>0.35600000619888306</v>
      </c>
      <c r="AY125" s="5">
        <v>1.8159999999999998</v>
      </c>
      <c r="AZ125" s="5">
        <v>1.7989999999999999</v>
      </c>
      <c r="BA125" s="5">
        <v>1.1000000000000003</v>
      </c>
      <c r="BB125" s="5">
        <v>1.3979999999999997</v>
      </c>
      <c r="BD125" s="5">
        <v>1.5840000212192535</v>
      </c>
      <c r="BE125" s="5">
        <v>1.7659999281167984</v>
      </c>
      <c r="BF125" s="5">
        <v>1.0830000936985016</v>
      </c>
      <c r="BG125" s="5">
        <v>1.2329999208450317</v>
      </c>
      <c r="BI125" s="5">
        <v>3</v>
      </c>
      <c r="BJ125" s="5">
        <v>3</v>
      </c>
      <c r="BK125" s="5">
        <v>4</v>
      </c>
      <c r="BL125" s="5">
        <v>5</v>
      </c>
      <c r="BN125" s="5">
        <v>3</v>
      </c>
      <c r="BO125" s="5">
        <v>1</v>
      </c>
      <c r="BP125" s="5">
        <v>2</v>
      </c>
      <c r="BQ125" s="5">
        <v>4</v>
      </c>
      <c r="BS125" s="5">
        <v>0.42899999022483826</v>
      </c>
      <c r="BT125" s="5">
        <v>0.22100000083446503</v>
      </c>
      <c r="BU125" s="5">
        <v>0.37700000405311584</v>
      </c>
      <c r="BV125" s="5">
        <v>0.63999998569488525</v>
      </c>
      <c r="BX125" s="5">
        <v>0</v>
      </c>
      <c r="BY125" s="5">
        <v>0</v>
      </c>
      <c r="BZ125" s="5">
        <v>0</v>
      </c>
      <c r="CA125" s="5">
        <v>0</v>
      </c>
      <c r="CC125" s="5">
        <v>0</v>
      </c>
      <c r="CD125" s="5">
        <v>0</v>
      </c>
      <c r="CE125" s="5">
        <v>0</v>
      </c>
      <c r="CF125" s="5">
        <v>0</v>
      </c>
      <c r="CH125" s="5">
        <v>0</v>
      </c>
      <c r="CI125" s="5">
        <v>0</v>
      </c>
      <c r="CJ125" s="5">
        <v>0</v>
      </c>
      <c r="CK125" s="5">
        <v>0</v>
      </c>
      <c r="CM125" s="5">
        <v>3</v>
      </c>
      <c r="CN125" s="5">
        <v>0</v>
      </c>
      <c r="CO125" s="5">
        <v>1</v>
      </c>
      <c r="CP125" s="5">
        <v>0</v>
      </c>
      <c r="CR125" s="5">
        <v>4.0110000000000001</v>
      </c>
      <c r="CS125" s="5">
        <v>4.0149999999999997</v>
      </c>
      <c r="CT125" s="5">
        <v>4.016</v>
      </c>
      <c r="CU125" s="5">
        <v>4.0149999999999997</v>
      </c>
    </row>
    <row r="126" spans="1:99" s="5" customFormat="1" x14ac:dyDescent="0.35">
      <c r="A126" s="4" t="s">
        <v>124</v>
      </c>
      <c r="B126" s="4">
        <v>5.25</v>
      </c>
      <c r="C126" s="4" t="s">
        <v>168</v>
      </c>
      <c r="D126" s="4" t="s">
        <v>404</v>
      </c>
      <c r="F126" s="5">
        <v>4.0309999999999997</v>
      </c>
      <c r="G126" s="5">
        <v>4.0250000000000004</v>
      </c>
      <c r="H126" s="5">
        <v>4.0110000000000001</v>
      </c>
      <c r="I126" s="5">
        <v>0</v>
      </c>
      <c r="K126" s="5">
        <v>3.7319999999999998</v>
      </c>
      <c r="L126" s="5">
        <v>3.9660000000000002</v>
      </c>
      <c r="M126" s="5">
        <v>3.35</v>
      </c>
      <c r="N126" s="5">
        <v>1000</v>
      </c>
      <c r="P126" s="5">
        <v>3.5339998006820679</v>
      </c>
      <c r="Q126" s="5">
        <v>3.6640004217624664</v>
      </c>
      <c r="R126" s="5">
        <v>3.1849997751414776</v>
      </c>
      <c r="S126" s="5">
        <v>1000</v>
      </c>
      <c r="U126" s="5">
        <v>9</v>
      </c>
      <c r="V126" s="5">
        <v>15</v>
      </c>
      <c r="W126" s="5">
        <v>7</v>
      </c>
      <c r="X126" s="5">
        <v>1000</v>
      </c>
      <c r="Z126" s="5">
        <v>3.7319999999999998</v>
      </c>
      <c r="AA126" s="5">
        <v>3.9660000000000002</v>
      </c>
      <c r="AB126" s="5">
        <v>3.0329999999999999</v>
      </c>
      <c r="AC126" s="5">
        <v>1000</v>
      </c>
      <c r="AE126" s="5">
        <v>3.5339998006820679</v>
      </c>
      <c r="AF126" s="5">
        <v>3.6640004217624664</v>
      </c>
      <c r="AG126" s="5">
        <v>2.9179997742176056</v>
      </c>
      <c r="AH126" s="5">
        <v>1000</v>
      </c>
      <c r="AJ126" s="5">
        <v>9</v>
      </c>
      <c r="AK126" s="5">
        <v>15</v>
      </c>
      <c r="AL126" s="5">
        <v>6</v>
      </c>
      <c r="AM126" s="5">
        <v>1000</v>
      </c>
      <c r="AO126" s="5">
        <v>1</v>
      </c>
      <c r="AP126" s="5">
        <v>1</v>
      </c>
      <c r="AQ126" s="5">
        <v>1</v>
      </c>
      <c r="AR126" s="5">
        <v>1000</v>
      </c>
      <c r="AT126" s="5">
        <v>0.34700000286102295</v>
      </c>
      <c r="AU126" s="5">
        <v>6.4999997615814209E-2</v>
      </c>
      <c r="AV126" s="5">
        <v>0.36700001358985901</v>
      </c>
      <c r="AW126" s="5">
        <v>1000</v>
      </c>
      <c r="AY126" s="5">
        <v>1.8000000000000003</v>
      </c>
      <c r="AZ126" s="5">
        <v>0.70000000000000018</v>
      </c>
      <c r="BA126" s="5">
        <v>1.0330000000000001</v>
      </c>
      <c r="BB126" s="5">
        <v>1000</v>
      </c>
      <c r="BD126" s="5">
        <v>1.8159998655319214</v>
      </c>
      <c r="BE126" s="5">
        <v>0.74900007247924805</v>
      </c>
      <c r="BF126" s="5">
        <v>1.184999942779541</v>
      </c>
      <c r="BG126" s="5">
        <v>1000</v>
      </c>
      <c r="BI126" s="5">
        <v>3</v>
      </c>
      <c r="BJ126" s="5">
        <v>4</v>
      </c>
      <c r="BK126" s="5">
        <v>3</v>
      </c>
      <c r="BL126" s="5">
        <v>1000</v>
      </c>
      <c r="BN126" s="5">
        <v>2</v>
      </c>
      <c r="BO126" s="5">
        <v>4</v>
      </c>
      <c r="BP126" s="5">
        <v>3</v>
      </c>
      <c r="BQ126" s="5">
        <v>1000</v>
      </c>
      <c r="BS126" s="5">
        <v>0.71399998664855957</v>
      </c>
      <c r="BT126" s="5">
        <v>0.78100001811981201</v>
      </c>
      <c r="BU126" s="5">
        <v>0.75</v>
      </c>
      <c r="BV126" s="5">
        <v>1000</v>
      </c>
      <c r="BX126" s="5">
        <v>4.9999999999999989E-2</v>
      </c>
      <c r="BY126" s="5">
        <v>0.15</v>
      </c>
      <c r="BZ126" s="5">
        <v>8.4000000000000075E-2</v>
      </c>
      <c r="CA126" s="5">
        <v>1000</v>
      </c>
      <c r="CC126" s="5">
        <v>0</v>
      </c>
      <c r="CD126" s="5">
        <v>0.16600000858306885</v>
      </c>
      <c r="CE126" s="5">
        <v>0</v>
      </c>
      <c r="CF126" s="5">
        <v>1000</v>
      </c>
      <c r="CH126" s="5">
        <v>0</v>
      </c>
      <c r="CI126" s="5">
        <v>1</v>
      </c>
      <c r="CJ126" s="5">
        <v>0</v>
      </c>
      <c r="CK126" s="5">
        <v>1000</v>
      </c>
      <c r="CM126" s="5">
        <v>1</v>
      </c>
      <c r="CN126" s="5">
        <v>1</v>
      </c>
      <c r="CO126" s="5">
        <v>1</v>
      </c>
      <c r="CP126" s="5">
        <v>1000</v>
      </c>
      <c r="CR126" s="5">
        <v>4.0309999999999997</v>
      </c>
      <c r="CS126" s="5">
        <v>6.4999997615814209E-2</v>
      </c>
      <c r="CT126" s="5">
        <v>4.0110000000000001</v>
      </c>
      <c r="CU126" s="5">
        <v>1000</v>
      </c>
    </row>
    <row r="127" spans="1:99" s="5" customFormat="1" x14ac:dyDescent="0.35">
      <c r="A127" s="4" t="s">
        <v>125</v>
      </c>
      <c r="B127" s="4">
        <v>11.333333333333334</v>
      </c>
      <c r="C127" s="4" t="s">
        <v>168</v>
      </c>
      <c r="D127" s="4" t="s">
        <v>404</v>
      </c>
      <c r="F127" s="5">
        <v>3.0969999999999995</v>
      </c>
      <c r="G127" s="5">
        <v>4.01</v>
      </c>
      <c r="H127" s="5">
        <v>2.468</v>
      </c>
      <c r="I127" s="5">
        <v>0</v>
      </c>
      <c r="K127" s="5">
        <v>3.0659999999999998</v>
      </c>
      <c r="L127" s="5">
        <v>3.399</v>
      </c>
      <c r="M127" s="5">
        <v>2.4660000000000002</v>
      </c>
      <c r="N127" s="5">
        <v>1000</v>
      </c>
      <c r="P127" s="5">
        <v>1.7660003453493118</v>
      </c>
      <c r="Q127" s="5">
        <v>1.3840000033378601</v>
      </c>
      <c r="R127" s="5">
        <v>1.4159999678377062</v>
      </c>
      <c r="S127" s="5">
        <v>1000</v>
      </c>
      <c r="U127" s="5">
        <v>10</v>
      </c>
      <c r="V127" s="5">
        <v>7</v>
      </c>
      <c r="W127" s="5">
        <v>6</v>
      </c>
      <c r="X127" s="5">
        <v>1000</v>
      </c>
      <c r="Z127" s="5">
        <v>2.0169999999999995</v>
      </c>
      <c r="AA127" s="5">
        <v>1.9830000000000001</v>
      </c>
      <c r="AB127" s="5">
        <v>2.4660000000000002</v>
      </c>
      <c r="AC127" s="5">
        <v>1000</v>
      </c>
      <c r="AE127" s="5">
        <v>1.3330003023147583</v>
      </c>
      <c r="AF127" s="5">
        <v>0.61799997091293335</v>
      </c>
      <c r="AG127" s="5">
        <v>1.4159999678377062</v>
      </c>
      <c r="AH127" s="5">
        <v>1000</v>
      </c>
      <c r="AJ127" s="5">
        <v>8</v>
      </c>
      <c r="AK127" s="5">
        <v>4</v>
      </c>
      <c r="AL127" s="5">
        <v>6</v>
      </c>
      <c r="AM127" s="5">
        <v>1000</v>
      </c>
      <c r="AO127" s="5">
        <v>7</v>
      </c>
      <c r="AP127" s="5">
        <v>3</v>
      </c>
      <c r="AQ127" s="5">
        <v>1</v>
      </c>
      <c r="AR127" s="5">
        <v>1000</v>
      </c>
      <c r="AT127" s="5">
        <v>0.4309999942779541</v>
      </c>
      <c r="AU127" s="5">
        <v>0.18299999833106995</v>
      </c>
      <c r="AV127" s="5">
        <v>2.0000000949949026E-3</v>
      </c>
      <c r="AW127" s="5">
        <v>1000</v>
      </c>
      <c r="AY127" s="5">
        <v>0.48399999999999999</v>
      </c>
      <c r="AZ127" s="5">
        <v>0.11699999999999997</v>
      </c>
      <c r="BA127" s="5">
        <v>0.1659999999999999</v>
      </c>
      <c r="BB127" s="5">
        <v>1000</v>
      </c>
      <c r="BD127" s="5">
        <v>0.40000003576278687</v>
      </c>
      <c r="BE127" s="5">
        <v>0</v>
      </c>
      <c r="BF127" s="5">
        <v>0</v>
      </c>
      <c r="BG127" s="5">
        <v>1000</v>
      </c>
      <c r="BI127" s="5">
        <v>2</v>
      </c>
      <c r="BJ127" s="5">
        <v>0</v>
      </c>
      <c r="BK127" s="5">
        <v>0</v>
      </c>
      <c r="BL127" s="5">
        <v>1000</v>
      </c>
      <c r="BN127" s="5">
        <v>6</v>
      </c>
      <c r="BO127" s="5">
        <v>5</v>
      </c>
      <c r="BP127" s="5">
        <v>7</v>
      </c>
      <c r="BQ127" s="5">
        <v>1000</v>
      </c>
      <c r="BS127" s="5">
        <v>0.6809999942779541</v>
      </c>
      <c r="BT127" s="5">
        <v>4.01</v>
      </c>
      <c r="BU127" s="5">
        <v>4.0110000000000001</v>
      </c>
      <c r="BV127" s="5">
        <v>1000</v>
      </c>
      <c r="BX127" s="5">
        <v>3.2999999999999918E-2</v>
      </c>
      <c r="BY127" s="5">
        <v>0</v>
      </c>
      <c r="BZ127" s="5">
        <v>0.58299999999999985</v>
      </c>
      <c r="CA127" s="5">
        <v>1000</v>
      </c>
      <c r="CC127" s="5">
        <v>0</v>
      </c>
      <c r="CD127" s="5">
        <v>0</v>
      </c>
      <c r="CE127" s="5">
        <v>0.5830000638961792</v>
      </c>
      <c r="CF127" s="5">
        <v>1000</v>
      </c>
      <c r="CH127" s="5">
        <v>0</v>
      </c>
      <c r="CI127" s="5">
        <v>0</v>
      </c>
      <c r="CJ127" s="5">
        <v>3</v>
      </c>
      <c r="CK127" s="5">
        <v>1000</v>
      </c>
      <c r="CM127" s="5">
        <v>1</v>
      </c>
      <c r="CN127" s="5">
        <v>1</v>
      </c>
      <c r="CO127" s="5">
        <v>5</v>
      </c>
      <c r="CP127" s="5">
        <v>1000</v>
      </c>
      <c r="CR127" s="5">
        <v>4.0129999999999999</v>
      </c>
      <c r="CS127" s="5">
        <v>4.01</v>
      </c>
      <c r="CT127" s="5">
        <v>1.2680000066757202</v>
      </c>
      <c r="CU127" s="5">
        <v>1000</v>
      </c>
    </row>
    <row r="128" spans="1:99" s="5" customFormat="1" x14ac:dyDescent="0.35">
      <c r="A128" s="4" t="s">
        <v>126</v>
      </c>
      <c r="B128" s="4">
        <v>7.25</v>
      </c>
      <c r="C128" s="4" t="s">
        <v>168</v>
      </c>
      <c r="D128" s="4" t="s">
        <v>404</v>
      </c>
      <c r="F128" s="5">
        <v>0.5</v>
      </c>
      <c r="G128" s="5">
        <v>4.016</v>
      </c>
      <c r="H128" s="5">
        <v>4.0259999999999998</v>
      </c>
      <c r="I128" s="5">
        <v>4.01</v>
      </c>
      <c r="K128" s="5">
        <v>1000</v>
      </c>
      <c r="L128" s="5">
        <v>3.4490000000000007</v>
      </c>
      <c r="M128" s="5">
        <v>4.016</v>
      </c>
      <c r="N128" s="5">
        <v>3.5990000000000002</v>
      </c>
      <c r="P128" s="5">
        <v>1000</v>
      </c>
      <c r="Q128" s="5">
        <v>3.89799988665618</v>
      </c>
      <c r="R128" s="5">
        <v>2.882000207901001</v>
      </c>
      <c r="S128" s="5">
        <v>2.9489998519420624</v>
      </c>
      <c r="U128" s="5">
        <v>1000</v>
      </c>
      <c r="V128" s="5">
        <v>7</v>
      </c>
      <c r="W128" s="5">
        <v>6</v>
      </c>
      <c r="X128" s="5">
        <v>10</v>
      </c>
      <c r="Z128" s="5">
        <v>1000</v>
      </c>
      <c r="AA128" s="5">
        <v>3.9990000000000006</v>
      </c>
      <c r="AB128" s="5">
        <v>3.282</v>
      </c>
      <c r="AC128" s="5">
        <v>1.966</v>
      </c>
      <c r="AE128" s="5">
        <v>1000</v>
      </c>
      <c r="AF128" s="5">
        <v>3.89799988665618</v>
      </c>
      <c r="AG128" s="5">
        <v>2.882000207901001</v>
      </c>
      <c r="AH128" s="5">
        <v>1.6829999387264252</v>
      </c>
      <c r="AJ128" s="5">
        <v>1000</v>
      </c>
      <c r="AK128" s="5">
        <v>7</v>
      </c>
      <c r="AL128" s="5">
        <v>6</v>
      </c>
      <c r="AM128" s="5">
        <v>7</v>
      </c>
      <c r="AO128" s="5">
        <v>1000</v>
      </c>
      <c r="AP128" s="5">
        <v>1</v>
      </c>
      <c r="AQ128" s="5">
        <v>2</v>
      </c>
      <c r="AR128" s="5">
        <v>6</v>
      </c>
      <c r="AT128" s="5">
        <v>1000</v>
      </c>
      <c r="AU128" s="5">
        <v>2.0000000949949026E-3</v>
      </c>
      <c r="AV128" s="5">
        <v>0.27700001001358032</v>
      </c>
      <c r="AW128" s="5">
        <v>0.43200001120567322</v>
      </c>
      <c r="AY128" s="5">
        <v>1000</v>
      </c>
      <c r="AZ128" s="5">
        <v>0</v>
      </c>
      <c r="BA128" s="5">
        <v>0.19999999999999996</v>
      </c>
      <c r="BB128" s="5">
        <v>3.2999999999999918E-2</v>
      </c>
      <c r="BD128" s="5">
        <v>1000</v>
      </c>
      <c r="BE128" s="5">
        <v>0</v>
      </c>
      <c r="BF128" s="5">
        <v>0.25</v>
      </c>
      <c r="BG128" s="5">
        <v>0</v>
      </c>
      <c r="BI128" s="5">
        <v>1000</v>
      </c>
      <c r="BJ128" s="5">
        <v>0</v>
      </c>
      <c r="BK128" s="5">
        <v>1</v>
      </c>
      <c r="BL128" s="5">
        <v>0</v>
      </c>
      <c r="BN128" s="5">
        <v>1000</v>
      </c>
      <c r="BO128" s="5">
        <v>0</v>
      </c>
      <c r="BP128" s="5">
        <v>1</v>
      </c>
      <c r="BQ128" s="5">
        <v>2</v>
      </c>
      <c r="BS128" s="5">
        <v>1000</v>
      </c>
      <c r="BT128" s="5">
        <v>4.016</v>
      </c>
      <c r="BU128" s="5">
        <v>0.27700001001358032</v>
      </c>
      <c r="BV128" s="5">
        <v>4.01</v>
      </c>
      <c r="BX128" s="5">
        <v>1000</v>
      </c>
      <c r="BY128" s="5">
        <v>0.99900000000000022</v>
      </c>
      <c r="BZ128" s="5">
        <v>0.40099999999999986</v>
      </c>
      <c r="CA128" s="5">
        <v>0.33300000000000007</v>
      </c>
      <c r="CC128" s="5">
        <v>1000</v>
      </c>
      <c r="CD128" s="5">
        <v>1.497999906539917</v>
      </c>
      <c r="CE128" s="5">
        <v>0.3330000638961792</v>
      </c>
      <c r="CF128" s="5">
        <v>0.51700010895729065</v>
      </c>
      <c r="CH128" s="5">
        <v>1000</v>
      </c>
      <c r="CI128" s="5">
        <v>4</v>
      </c>
      <c r="CJ128" s="5">
        <v>1</v>
      </c>
      <c r="CK128" s="5">
        <v>2</v>
      </c>
      <c r="CM128" s="5">
        <v>1000</v>
      </c>
      <c r="CN128" s="5">
        <v>8</v>
      </c>
      <c r="CO128" s="5">
        <v>4</v>
      </c>
      <c r="CP128" s="5">
        <v>5</v>
      </c>
      <c r="CR128" s="5">
        <v>1000</v>
      </c>
      <c r="CS128" s="5">
        <v>1.3190000057220459</v>
      </c>
      <c r="CT128" s="5">
        <v>1.9759999513626099</v>
      </c>
      <c r="CU128" s="5">
        <v>0.43200001120567322</v>
      </c>
    </row>
    <row r="129" spans="1:99" s="5" customFormat="1" x14ac:dyDescent="0.35">
      <c r="A129" s="4" t="s">
        <v>127</v>
      </c>
      <c r="B129" s="4">
        <v>4.25</v>
      </c>
      <c r="C129" s="4" t="s">
        <v>168</v>
      </c>
      <c r="D129" s="4" t="s">
        <v>404</v>
      </c>
      <c r="F129" s="5">
        <v>4</v>
      </c>
      <c r="G129" s="5">
        <v>4.0220000000000002</v>
      </c>
      <c r="H129" s="5">
        <v>4.0149999999999997</v>
      </c>
      <c r="I129" s="5">
        <v>4.016</v>
      </c>
      <c r="K129" s="5">
        <v>3.9820000000000002</v>
      </c>
      <c r="L129" s="5">
        <v>4.016</v>
      </c>
      <c r="M129" s="5">
        <v>3.9990000000000006</v>
      </c>
      <c r="N129" s="5">
        <v>3.9989999999999997</v>
      </c>
      <c r="P129" s="5">
        <v>3.7970002498477697</v>
      </c>
      <c r="Q129" s="5">
        <v>3.7639998197555542</v>
      </c>
      <c r="R129" s="5">
        <v>3.6819999555591494</v>
      </c>
      <c r="S129" s="5">
        <v>3.7170002572238445</v>
      </c>
      <c r="U129" s="5">
        <v>9</v>
      </c>
      <c r="V129" s="5">
        <v>12</v>
      </c>
      <c r="W129" s="5">
        <v>9</v>
      </c>
      <c r="X129" s="5">
        <v>9</v>
      </c>
      <c r="Z129" s="5">
        <v>3.9820000000000002</v>
      </c>
      <c r="AA129" s="5">
        <v>4.016</v>
      </c>
      <c r="AB129" s="5">
        <v>3.9990000000000006</v>
      </c>
      <c r="AC129" s="5">
        <v>3.9989999999999997</v>
      </c>
      <c r="AE129" s="5">
        <v>3.7970002498477697</v>
      </c>
      <c r="AF129" s="5">
        <v>3.7639998197555542</v>
      </c>
      <c r="AG129" s="5">
        <v>3.6819999555591494</v>
      </c>
      <c r="AH129" s="5">
        <v>3.7170002572238445</v>
      </c>
      <c r="AJ129" s="5">
        <v>9</v>
      </c>
      <c r="AK129" s="5">
        <v>12</v>
      </c>
      <c r="AL129" s="5">
        <v>9</v>
      </c>
      <c r="AM129" s="5">
        <v>9</v>
      </c>
      <c r="AO129" s="5">
        <v>1</v>
      </c>
      <c r="AP129" s="5">
        <v>1</v>
      </c>
      <c r="AQ129" s="5">
        <v>1</v>
      </c>
      <c r="AR129" s="5">
        <v>1</v>
      </c>
      <c r="AT129" s="5">
        <v>9.9999997764825821E-3</v>
      </c>
      <c r="AU129" s="5">
        <v>3.7000000476837158E-2</v>
      </c>
      <c r="AV129" s="5">
        <v>2.0000000949949026E-3</v>
      </c>
      <c r="AW129" s="5">
        <v>1.3000000268220901E-2</v>
      </c>
      <c r="AY129" s="5">
        <v>1.0649999999999995</v>
      </c>
      <c r="AZ129" s="5">
        <v>0.36699999999999994</v>
      </c>
      <c r="BA129" s="5">
        <v>0</v>
      </c>
      <c r="BB129" s="5">
        <v>0.20100000000000001</v>
      </c>
      <c r="BD129" s="5">
        <v>1.2150000333786011</v>
      </c>
      <c r="BE129" s="5">
        <v>0.21700000762939453</v>
      </c>
      <c r="BF129" s="5">
        <v>0</v>
      </c>
      <c r="BG129" s="5">
        <v>0.384000014513731</v>
      </c>
      <c r="BI129" s="5">
        <v>3</v>
      </c>
      <c r="BJ129" s="5">
        <v>1</v>
      </c>
      <c r="BK129" s="5">
        <v>0</v>
      </c>
      <c r="BL129" s="5">
        <v>1</v>
      </c>
      <c r="BN129" s="5">
        <v>5</v>
      </c>
      <c r="BO129" s="5">
        <v>4</v>
      </c>
      <c r="BP129" s="5">
        <v>0</v>
      </c>
      <c r="BQ129" s="5">
        <v>3</v>
      </c>
      <c r="BS129" s="5">
        <v>0.50999999046325684</v>
      </c>
      <c r="BT129" s="5">
        <v>1.3029999732971191</v>
      </c>
      <c r="BU129" s="5">
        <v>4.0149999999999997</v>
      </c>
      <c r="BV129" s="5">
        <v>1.3000000268220901E-2</v>
      </c>
      <c r="BX129" s="5">
        <v>1.4659999999999997</v>
      </c>
      <c r="BY129" s="5">
        <v>0.25</v>
      </c>
      <c r="BZ129" s="5">
        <v>0</v>
      </c>
      <c r="CA129" s="5">
        <v>0</v>
      </c>
      <c r="CC129" s="5">
        <v>1.5</v>
      </c>
      <c r="CD129" s="5">
        <v>0.25</v>
      </c>
      <c r="CE129" s="5">
        <v>0</v>
      </c>
      <c r="CF129" s="5">
        <v>0</v>
      </c>
      <c r="CH129" s="5">
        <v>2</v>
      </c>
      <c r="CI129" s="5">
        <v>1</v>
      </c>
      <c r="CJ129" s="5">
        <v>0</v>
      </c>
      <c r="CK129" s="5">
        <v>0</v>
      </c>
      <c r="CM129" s="5">
        <v>2</v>
      </c>
      <c r="CN129" s="5">
        <v>1</v>
      </c>
      <c r="CO129" s="5">
        <v>0</v>
      </c>
      <c r="CP129" s="5">
        <v>0</v>
      </c>
      <c r="CR129" s="5">
        <v>2.4760000705718994</v>
      </c>
      <c r="CS129" s="5">
        <v>3.6359999179840088</v>
      </c>
      <c r="CT129" s="5">
        <v>4.0149999999999997</v>
      </c>
      <c r="CU129" s="5">
        <v>4.016</v>
      </c>
    </row>
    <row r="130" spans="1:99" s="5" customFormat="1" x14ac:dyDescent="0.35">
      <c r="A130" s="4" t="s">
        <v>128</v>
      </c>
      <c r="B130" s="4">
        <v>9.8333333333333339</v>
      </c>
      <c r="C130" s="4" t="s">
        <v>168</v>
      </c>
      <c r="D130" s="4" t="s">
        <v>404</v>
      </c>
      <c r="F130" s="5">
        <v>3.0269999999999997</v>
      </c>
      <c r="G130" s="5">
        <v>1.1069999999999993</v>
      </c>
      <c r="H130" s="5">
        <v>3.1230000000000002</v>
      </c>
      <c r="I130" s="5">
        <v>2.82</v>
      </c>
      <c r="K130" s="5">
        <v>2.6830000000000003</v>
      </c>
      <c r="L130" s="5">
        <v>1000</v>
      </c>
      <c r="M130" s="5">
        <v>3.0840000000000005</v>
      </c>
      <c r="N130" s="5">
        <v>2.5989999999999998</v>
      </c>
      <c r="P130" s="5">
        <v>2.4660000205039978</v>
      </c>
      <c r="Q130" s="5">
        <v>1000</v>
      </c>
      <c r="R130" s="5">
        <v>2.2990001812577248</v>
      </c>
      <c r="S130" s="5">
        <v>2.5139997154474258</v>
      </c>
      <c r="U130" s="5">
        <v>5</v>
      </c>
      <c r="V130" s="5">
        <v>1000</v>
      </c>
      <c r="W130" s="5">
        <v>7</v>
      </c>
      <c r="X130" s="5">
        <v>6</v>
      </c>
      <c r="Z130" s="5">
        <v>2.6330000000000005</v>
      </c>
      <c r="AA130" s="5">
        <v>1000</v>
      </c>
      <c r="AB130" s="5">
        <v>2.3840000000000003</v>
      </c>
      <c r="AC130" s="5">
        <v>2.3489999999999998</v>
      </c>
      <c r="AE130" s="5">
        <v>2.4660000205039978</v>
      </c>
      <c r="AF130" s="5">
        <v>1000</v>
      </c>
      <c r="AG130" s="5">
        <v>2.2990001812577248</v>
      </c>
      <c r="AH130" s="5">
        <v>2.2479996830224991</v>
      </c>
      <c r="AJ130" s="5">
        <v>5</v>
      </c>
      <c r="AK130" s="5">
        <v>1000</v>
      </c>
      <c r="AL130" s="5">
        <v>7</v>
      </c>
      <c r="AM130" s="5">
        <v>5</v>
      </c>
      <c r="AO130" s="5">
        <v>2</v>
      </c>
      <c r="AP130" s="5">
        <v>1000</v>
      </c>
      <c r="AQ130" s="5">
        <v>3</v>
      </c>
      <c r="AR130" s="5">
        <v>1</v>
      </c>
      <c r="AT130" s="5">
        <v>0.32800000905990601</v>
      </c>
      <c r="AU130" s="5">
        <v>1000</v>
      </c>
      <c r="AV130" s="5">
        <v>1.0999999940395355E-2</v>
      </c>
      <c r="AW130" s="5">
        <v>0.22100000083446503</v>
      </c>
      <c r="AY130" s="5">
        <v>1.9670000000000001</v>
      </c>
      <c r="AZ130" s="5">
        <v>1000</v>
      </c>
      <c r="BA130" s="5">
        <v>0.53400000000000047</v>
      </c>
      <c r="BB130" s="5">
        <v>1.0169999999999999</v>
      </c>
      <c r="BD130" s="5">
        <v>1.949999988079071</v>
      </c>
      <c r="BE130" s="5">
        <v>1000</v>
      </c>
      <c r="BF130" s="5">
        <v>0.63300001621246338</v>
      </c>
      <c r="BG130" s="5">
        <v>1.0319997668266296</v>
      </c>
      <c r="BI130" s="5">
        <v>3</v>
      </c>
      <c r="BJ130" s="5">
        <v>1000</v>
      </c>
      <c r="BK130" s="5">
        <v>2</v>
      </c>
      <c r="BL130" s="5">
        <v>2</v>
      </c>
      <c r="BN130" s="5">
        <v>3</v>
      </c>
      <c r="BO130" s="5">
        <v>1000</v>
      </c>
      <c r="BP130" s="5">
        <v>2</v>
      </c>
      <c r="BQ130" s="5">
        <v>3</v>
      </c>
      <c r="BS130" s="5">
        <v>0.32800000905990601</v>
      </c>
      <c r="BT130" s="5">
        <v>1000</v>
      </c>
      <c r="BU130" s="5">
        <v>0.56099998950958252</v>
      </c>
      <c r="BV130" s="5">
        <v>0.68800002336502075</v>
      </c>
      <c r="BX130" s="5">
        <v>0</v>
      </c>
      <c r="BY130" s="5">
        <v>1000</v>
      </c>
      <c r="BZ130" s="5">
        <v>0.26600000000000001</v>
      </c>
      <c r="CA130" s="5">
        <v>0</v>
      </c>
      <c r="CC130" s="5">
        <v>0</v>
      </c>
      <c r="CD130" s="5">
        <v>1000</v>
      </c>
      <c r="CE130" s="5">
        <v>0.31700015068054199</v>
      </c>
      <c r="CF130" s="5">
        <v>0</v>
      </c>
      <c r="CH130" s="5">
        <v>0</v>
      </c>
      <c r="CI130" s="5">
        <v>1000</v>
      </c>
      <c r="CJ130" s="5">
        <v>1</v>
      </c>
      <c r="CK130" s="5">
        <v>0</v>
      </c>
      <c r="CM130" s="5">
        <v>0</v>
      </c>
      <c r="CN130" s="5">
        <v>1000</v>
      </c>
      <c r="CO130" s="5">
        <v>2</v>
      </c>
      <c r="CP130" s="5">
        <v>0</v>
      </c>
      <c r="CR130" s="5">
        <v>4.01</v>
      </c>
      <c r="CS130" s="5">
        <v>1000</v>
      </c>
      <c r="CT130" s="5">
        <v>2.2769999504089355</v>
      </c>
      <c r="CU130" s="5">
        <v>4.0149999999999997</v>
      </c>
    </row>
    <row r="131" spans="1:99" s="5" customFormat="1" x14ac:dyDescent="0.35">
      <c r="A131" s="4" t="s">
        <v>129</v>
      </c>
      <c r="B131" s="4">
        <v>9.8333333333333339</v>
      </c>
      <c r="C131" s="4" t="s">
        <v>168</v>
      </c>
      <c r="D131" s="4" t="s">
        <v>404</v>
      </c>
      <c r="F131" s="5">
        <v>4.01</v>
      </c>
      <c r="G131" s="5">
        <v>0.94199999999999973</v>
      </c>
      <c r="H131" s="5">
        <v>4.0149999999999997</v>
      </c>
      <c r="I131" s="5">
        <v>0.625</v>
      </c>
      <c r="K131" s="5">
        <v>3.7989999999999999</v>
      </c>
      <c r="L131" s="5">
        <v>1000</v>
      </c>
      <c r="M131" s="5">
        <v>3.3159999999999998</v>
      </c>
      <c r="N131" s="5">
        <v>1000</v>
      </c>
      <c r="P131" s="5">
        <v>3.3819995084777474</v>
      </c>
      <c r="Q131" s="5">
        <v>1000</v>
      </c>
      <c r="R131" s="5">
        <v>2.397000253200531</v>
      </c>
      <c r="S131" s="5">
        <v>1000</v>
      </c>
      <c r="U131" s="5">
        <v>14</v>
      </c>
      <c r="V131" s="5">
        <v>1000</v>
      </c>
      <c r="W131" s="5">
        <v>10</v>
      </c>
      <c r="X131" s="5">
        <v>1000</v>
      </c>
      <c r="Z131" s="5">
        <v>3.7989999999999999</v>
      </c>
      <c r="AA131" s="5">
        <v>1000</v>
      </c>
      <c r="AB131" s="5">
        <v>3.25</v>
      </c>
      <c r="AC131" s="5">
        <v>1000</v>
      </c>
      <c r="AE131" s="5">
        <v>3.3819995084777474</v>
      </c>
      <c r="AF131" s="5">
        <v>1000</v>
      </c>
      <c r="AG131" s="5">
        <v>2.397000253200531</v>
      </c>
      <c r="AH131" s="5">
        <v>1000</v>
      </c>
      <c r="AJ131" s="5">
        <v>14</v>
      </c>
      <c r="AK131" s="5">
        <v>1000</v>
      </c>
      <c r="AL131" s="5">
        <v>10</v>
      </c>
      <c r="AM131" s="5">
        <v>1000</v>
      </c>
      <c r="AO131" s="5">
        <v>1</v>
      </c>
      <c r="AP131" s="5">
        <v>1000</v>
      </c>
      <c r="AQ131" s="5">
        <v>2</v>
      </c>
      <c r="AR131" s="5">
        <v>1000</v>
      </c>
      <c r="AT131" s="5">
        <v>1.4999999664723873E-2</v>
      </c>
      <c r="AU131" s="5">
        <v>1000</v>
      </c>
      <c r="AV131" s="5">
        <v>0.72000002861022949</v>
      </c>
      <c r="AW131" s="5">
        <v>1000</v>
      </c>
      <c r="AY131" s="5">
        <v>1.7000000000000002</v>
      </c>
      <c r="AZ131" s="5">
        <v>1000</v>
      </c>
      <c r="BA131" s="5">
        <v>2.133</v>
      </c>
      <c r="BB131" s="5">
        <v>1000</v>
      </c>
      <c r="BD131" s="5">
        <v>1.4829998016357422</v>
      </c>
      <c r="BE131" s="5">
        <v>1000</v>
      </c>
      <c r="BF131" s="5">
        <v>1.5970004200935364</v>
      </c>
      <c r="BG131" s="5">
        <v>1000</v>
      </c>
      <c r="BI131" s="5">
        <v>6</v>
      </c>
      <c r="BJ131" s="5">
        <v>1000</v>
      </c>
      <c r="BK131" s="5">
        <v>6</v>
      </c>
      <c r="BL131" s="5">
        <v>1000</v>
      </c>
      <c r="BN131" s="5">
        <v>5</v>
      </c>
      <c r="BO131" s="5">
        <v>1000</v>
      </c>
      <c r="BP131" s="5">
        <v>4</v>
      </c>
      <c r="BQ131" s="5">
        <v>1000</v>
      </c>
      <c r="BS131" s="5">
        <v>0.39800000190734863</v>
      </c>
      <c r="BT131" s="5">
        <v>1000</v>
      </c>
      <c r="BU131" s="5">
        <v>0.72000002861022949</v>
      </c>
      <c r="BV131" s="5">
        <v>1000</v>
      </c>
      <c r="BX131" s="5">
        <v>0.29900000000000015</v>
      </c>
      <c r="BY131" s="5">
        <v>1000</v>
      </c>
      <c r="BZ131" s="5">
        <v>8.3000000000000185E-2</v>
      </c>
      <c r="CA131" s="5">
        <v>1000</v>
      </c>
      <c r="CC131" s="5">
        <v>0.28299999237060547</v>
      </c>
      <c r="CD131" s="5">
        <v>1000</v>
      </c>
      <c r="CE131" s="5">
        <v>0</v>
      </c>
      <c r="CF131" s="5">
        <v>1000</v>
      </c>
      <c r="CH131" s="5">
        <v>1</v>
      </c>
      <c r="CI131" s="5">
        <v>1000</v>
      </c>
      <c r="CJ131" s="5">
        <v>0</v>
      </c>
      <c r="CK131" s="5">
        <v>1000</v>
      </c>
      <c r="CM131" s="5">
        <v>3</v>
      </c>
      <c r="CN131" s="5">
        <v>1000</v>
      </c>
      <c r="CO131" s="5">
        <v>2</v>
      </c>
      <c r="CP131" s="5">
        <v>1000</v>
      </c>
      <c r="CR131" s="5">
        <v>3.497999906539917</v>
      </c>
      <c r="CS131" s="5">
        <v>1000</v>
      </c>
      <c r="CT131" s="5">
        <v>4.0149999999999997</v>
      </c>
      <c r="CU131" s="5">
        <v>1000</v>
      </c>
    </row>
    <row r="132" spans="1:99" s="5" customFormat="1" x14ac:dyDescent="0.35">
      <c r="A132" s="4" t="s">
        <v>130</v>
      </c>
      <c r="B132" s="4">
        <v>8.5</v>
      </c>
      <c r="C132" s="4" t="s">
        <v>168</v>
      </c>
      <c r="D132" s="4" t="s">
        <v>404</v>
      </c>
      <c r="F132" s="5">
        <v>2.7979999999999996</v>
      </c>
      <c r="G132" s="5">
        <v>4.01</v>
      </c>
      <c r="H132" s="5">
        <v>4.032</v>
      </c>
      <c r="I132" s="5">
        <v>4.01</v>
      </c>
      <c r="K132" s="5">
        <v>2.0830000000000002</v>
      </c>
      <c r="L132" s="5">
        <v>3.8000000000000003</v>
      </c>
      <c r="M132" s="5">
        <v>3.3320000000000007</v>
      </c>
      <c r="N132" s="5">
        <v>3.1659999999999999</v>
      </c>
      <c r="P132" s="5">
        <v>1.8510001768590882</v>
      </c>
      <c r="Q132" s="5">
        <v>1.884000301361084</v>
      </c>
      <c r="R132" s="5">
        <v>3.4669999163597822</v>
      </c>
      <c r="S132" s="5">
        <v>2.9479998461902142</v>
      </c>
      <c r="U132" s="5">
        <v>4</v>
      </c>
      <c r="V132" s="5">
        <v>7</v>
      </c>
      <c r="W132" s="5">
        <v>9</v>
      </c>
      <c r="X132" s="5">
        <v>7</v>
      </c>
      <c r="Z132" s="5">
        <v>2.0489999999999999</v>
      </c>
      <c r="AA132" s="5">
        <v>2.2660000000000005</v>
      </c>
      <c r="AB132" s="5">
        <v>2.4489999999999998</v>
      </c>
      <c r="AC132" s="5">
        <v>2.6990000000000003</v>
      </c>
      <c r="AE132" s="5">
        <v>1.8510001768590882</v>
      </c>
      <c r="AF132" s="5">
        <v>1.7340002655982971</v>
      </c>
      <c r="AG132" s="5">
        <v>2.2349999248981476</v>
      </c>
      <c r="AH132" s="5">
        <v>2.6149999015033245</v>
      </c>
      <c r="AJ132" s="5">
        <v>4</v>
      </c>
      <c r="AK132" s="5">
        <v>6</v>
      </c>
      <c r="AL132" s="5">
        <v>6</v>
      </c>
      <c r="AM132" s="5">
        <v>6</v>
      </c>
      <c r="AO132" s="5">
        <v>2</v>
      </c>
      <c r="AP132" s="5">
        <v>2</v>
      </c>
      <c r="AQ132" s="5">
        <v>2</v>
      </c>
      <c r="AR132" s="5">
        <v>2</v>
      </c>
      <c r="AT132" s="5">
        <v>1.0000000474974513E-3</v>
      </c>
      <c r="AU132" s="5">
        <v>0.74400001764297485</v>
      </c>
      <c r="AV132" s="5">
        <v>0.47999998927116394</v>
      </c>
      <c r="AW132" s="5">
        <v>1.3000000268220901E-2</v>
      </c>
      <c r="AY132" s="5">
        <v>1.3989999999999998</v>
      </c>
      <c r="AZ132" s="5">
        <v>1.3159999999999996</v>
      </c>
      <c r="BA132" s="5">
        <v>1.1339999999999997</v>
      </c>
      <c r="BB132" s="5">
        <v>0.99899999999999989</v>
      </c>
      <c r="BD132" s="5">
        <v>1.2840001583099365</v>
      </c>
      <c r="BE132" s="5">
        <v>1.3000002503395081</v>
      </c>
      <c r="BF132" s="5">
        <v>1.4510000050067902</v>
      </c>
      <c r="BG132" s="5">
        <v>1.0989999771118164</v>
      </c>
      <c r="BI132" s="5">
        <v>3</v>
      </c>
      <c r="BJ132" s="5">
        <v>3</v>
      </c>
      <c r="BK132" s="5">
        <v>3</v>
      </c>
      <c r="BL132" s="5">
        <v>4</v>
      </c>
      <c r="BN132" s="5">
        <v>4</v>
      </c>
      <c r="BO132" s="5">
        <v>2</v>
      </c>
      <c r="BP132" s="5">
        <v>4</v>
      </c>
      <c r="BQ132" s="5">
        <v>2</v>
      </c>
      <c r="BS132" s="5">
        <v>0.58399999141693115</v>
      </c>
      <c r="BT132" s="5">
        <v>0.74400001764297485</v>
      </c>
      <c r="BU132" s="5">
        <v>0.47999998927116394</v>
      </c>
      <c r="BV132" s="5">
        <v>0.66299998760223389</v>
      </c>
      <c r="BX132" s="5">
        <v>0</v>
      </c>
      <c r="BY132" s="5">
        <v>1.6000000000000014E-2</v>
      </c>
      <c r="BZ132" s="5">
        <v>0</v>
      </c>
      <c r="CA132" s="5">
        <v>0</v>
      </c>
      <c r="CC132" s="5">
        <v>0</v>
      </c>
      <c r="CD132" s="5">
        <v>0</v>
      </c>
      <c r="CE132" s="5">
        <v>0</v>
      </c>
      <c r="CF132" s="5">
        <v>0</v>
      </c>
      <c r="CH132" s="5">
        <v>0</v>
      </c>
      <c r="CI132" s="5">
        <v>0</v>
      </c>
      <c r="CJ132" s="5">
        <v>0</v>
      </c>
      <c r="CK132" s="5">
        <v>0</v>
      </c>
      <c r="CM132" s="5">
        <v>0</v>
      </c>
      <c r="CN132" s="5">
        <v>5</v>
      </c>
      <c r="CO132" s="5">
        <v>0</v>
      </c>
      <c r="CP132" s="5">
        <v>0</v>
      </c>
      <c r="CR132" s="5">
        <v>4.0309999999999997</v>
      </c>
      <c r="CS132" s="5">
        <v>4.01</v>
      </c>
      <c r="CT132" s="5">
        <v>4.032</v>
      </c>
      <c r="CU132" s="5">
        <v>4.01</v>
      </c>
    </row>
    <row r="133" spans="1:99" s="5" customFormat="1" x14ac:dyDescent="0.35">
      <c r="A133" s="4" t="s">
        <v>131</v>
      </c>
      <c r="B133" s="4">
        <v>12</v>
      </c>
      <c r="C133" s="4" t="s">
        <v>168</v>
      </c>
      <c r="D133" s="4" t="s">
        <v>404</v>
      </c>
      <c r="F133" s="5">
        <v>4.0019999999999998</v>
      </c>
      <c r="G133" s="5">
        <v>4.0149999999999997</v>
      </c>
      <c r="H133" s="5">
        <v>4.016</v>
      </c>
      <c r="I133" s="5">
        <v>2.4670000000000001</v>
      </c>
      <c r="K133" s="5">
        <v>3.5490000000000004</v>
      </c>
      <c r="L133" s="5">
        <v>3.6319999999999997</v>
      </c>
      <c r="M133" s="5">
        <v>3.3000000000000003</v>
      </c>
      <c r="N133" s="5">
        <v>2.4660000000000002</v>
      </c>
      <c r="P133" s="5">
        <v>3.4139999747276306</v>
      </c>
      <c r="Q133" s="5">
        <v>2.5659998655319214</v>
      </c>
      <c r="R133" s="5">
        <v>2.733000461012125</v>
      </c>
      <c r="S133" s="5">
        <v>1.5330000986577943</v>
      </c>
      <c r="U133" s="5">
        <v>5</v>
      </c>
      <c r="V133" s="5">
        <v>6</v>
      </c>
      <c r="W133" s="5">
        <v>6</v>
      </c>
      <c r="X133" s="5">
        <v>4</v>
      </c>
      <c r="Z133" s="5">
        <v>0</v>
      </c>
      <c r="AA133" s="5">
        <v>4.9999999999999822E-2</v>
      </c>
      <c r="AB133" s="5">
        <v>0.25</v>
      </c>
      <c r="AC133" s="5">
        <v>0.33400000000000002</v>
      </c>
      <c r="AE133" s="5">
        <v>0</v>
      </c>
      <c r="AF133" s="5">
        <v>0</v>
      </c>
      <c r="AG133" s="5">
        <v>0.2500000037252903</v>
      </c>
      <c r="AH133" s="5">
        <v>0.29999999899882823</v>
      </c>
      <c r="AJ133" s="5">
        <v>0</v>
      </c>
      <c r="AK133" s="5">
        <v>0</v>
      </c>
      <c r="AL133" s="5">
        <v>1</v>
      </c>
      <c r="AM133" s="5">
        <v>1</v>
      </c>
      <c r="AO133" s="5">
        <v>0</v>
      </c>
      <c r="AP133" s="5">
        <v>1</v>
      </c>
      <c r="AQ133" s="5">
        <v>1</v>
      </c>
      <c r="AR133" s="5">
        <v>2</v>
      </c>
      <c r="AT133" s="5">
        <v>4.0019999999999998</v>
      </c>
      <c r="AU133" s="5">
        <v>4.0149999999999997</v>
      </c>
      <c r="AV133" s="5">
        <v>8.999999612569809E-3</v>
      </c>
      <c r="AW133" s="5">
        <v>1.0000000474974513E-3</v>
      </c>
      <c r="AY133" s="5">
        <v>0</v>
      </c>
      <c r="AZ133" s="5">
        <v>0</v>
      </c>
      <c r="BA133" s="5">
        <v>0</v>
      </c>
      <c r="BB133" s="5">
        <v>0.3</v>
      </c>
      <c r="BD133" s="5">
        <v>0</v>
      </c>
      <c r="BE133" s="5">
        <v>0</v>
      </c>
      <c r="BF133" s="5">
        <v>0</v>
      </c>
      <c r="BG133" s="5">
        <v>0.29999999899882823</v>
      </c>
      <c r="BI133" s="5">
        <v>0</v>
      </c>
      <c r="BJ133" s="5">
        <v>0</v>
      </c>
      <c r="BK133" s="5">
        <v>0</v>
      </c>
      <c r="BL133" s="5">
        <v>1</v>
      </c>
      <c r="BN133" s="5">
        <v>0</v>
      </c>
      <c r="BO133" s="5">
        <v>0</v>
      </c>
      <c r="BP133" s="5">
        <v>0</v>
      </c>
      <c r="BQ133" s="5">
        <v>1</v>
      </c>
      <c r="BS133" s="5">
        <v>4.0019999999999998</v>
      </c>
      <c r="BT133" s="5">
        <v>4.0149999999999997</v>
      </c>
      <c r="BU133" s="5">
        <v>4.016</v>
      </c>
      <c r="BV133" s="5">
        <v>1.0000000474974513E-3</v>
      </c>
      <c r="BX133" s="5">
        <v>0</v>
      </c>
      <c r="BY133" s="5">
        <v>0</v>
      </c>
      <c r="BZ133" s="5">
        <v>0</v>
      </c>
      <c r="CA133" s="5">
        <v>0</v>
      </c>
      <c r="CC133" s="5">
        <v>0</v>
      </c>
      <c r="CD133" s="5">
        <v>0</v>
      </c>
      <c r="CE133" s="5">
        <v>0</v>
      </c>
      <c r="CF133" s="5">
        <v>0</v>
      </c>
      <c r="CH133" s="5">
        <v>0</v>
      </c>
      <c r="CI133" s="5">
        <v>0</v>
      </c>
      <c r="CJ133" s="5">
        <v>0</v>
      </c>
      <c r="CK133" s="5">
        <v>0</v>
      </c>
      <c r="CM133" s="5">
        <v>0</v>
      </c>
      <c r="CN133" s="5">
        <v>0</v>
      </c>
      <c r="CO133" s="5">
        <v>0</v>
      </c>
      <c r="CP133" s="5">
        <v>0</v>
      </c>
      <c r="CR133" s="5">
        <v>4.0019999999999998</v>
      </c>
      <c r="CS133" s="5">
        <v>4.0149999999999997</v>
      </c>
      <c r="CT133" s="5">
        <v>4.016</v>
      </c>
      <c r="CU133" s="5">
        <v>4.0259999999999998</v>
      </c>
    </row>
    <row r="134" spans="1:99" s="5" customFormat="1" x14ac:dyDescent="0.35">
      <c r="A134" s="4" t="s">
        <v>132</v>
      </c>
      <c r="B134" s="4">
        <v>10.666666666666666</v>
      </c>
      <c r="C134" s="4" t="s">
        <v>168</v>
      </c>
      <c r="D134" s="4" t="s">
        <v>404</v>
      </c>
      <c r="F134" s="5">
        <v>4.01</v>
      </c>
      <c r="G134" s="5">
        <v>3.0770000000000004</v>
      </c>
      <c r="H134" s="5">
        <v>4.0469999999999997</v>
      </c>
      <c r="I134" s="5">
        <v>0.33300000000000018</v>
      </c>
      <c r="K134" s="5">
        <v>3.766</v>
      </c>
      <c r="L134" s="5">
        <v>2.4820000000000002</v>
      </c>
      <c r="M134" s="5">
        <v>4.032</v>
      </c>
      <c r="N134" s="5">
        <v>1000</v>
      </c>
      <c r="P134" s="5">
        <v>3.2330000419169664</v>
      </c>
      <c r="Q134" s="5">
        <v>1.9490000307559967</v>
      </c>
      <c r="R134" s="5">
        <v>3.3980003371834755</v>
      </c>
      <c r="S134" s="5">
        <v>1000</v>
      </c>
      <c r="U134" s="5">
        <v>8</v>
      </c>
      <c r="V134" s="5">
        <v>4</v>
      </c>
      <c r="W134" s="5">
        <v>4</v>
      </c>
      <c r="X134" s="5">
        <v>1000</v>
      </c>
      <c r="Z134" s="5">
        <v>0.78400000000000025</v>
      </c>
      <c r="AA134" s="5">
        <v>2.2160000000000002</v>
      </c>
      <c r="AB134" s="5">
        <v>3.3820000000000001</v>
      </c>
      <c r="AC134" s="5">
        <v>1000</v>
      </c>
      <c r="AE134" s="5">
        <v>0.95000004768371582</v>
      </c>
      <c r="AF134" s="5">
        <v>1.9490000307559967</v>
      </c>
      <c r="AG134" s="5">
        <v>3.3980003371834755</v>
      </c>
      <c r="AH134" s="5">
        <v>1000</v>
      </c>
      <c r="AJ134" s="5">
        <v>3</v>
      </c>
      <c r="AK134" s="5">
        <v>4</v>
      </c>
      <c r="AL134" s="5">
        <v>4</v>
      </c>
      <c r="AM134" s="5">
        <v>1000</v>
      </c>
      <c r="AO134" s="5">
        <v>2</v>
      </c>
      <c r="AP134" s="5">
        <v>4</v>
      </c>
      <c r="AQ134" s="5">
        <v>4</v>
      </c>
      <c r="AR134" s="5">
        <v>1000</v>
      </c>
      <c r="AT134" s="5">
        <v>2.0150001049041748</v>
      </c>
      <c r="AU134" s="5">
        <v>0.32699999213218689</v>
      </c>
      <c r="AV134" s="5">
        <v>1.0999999940395355E-2</v>
      </c>
      <c r="AW134" s="5">
        <v>1000</v>
      </c>
      <c r="AY134" s="5">
        <v>0</v>
      </c>
      <c r="AZ134" s="5">
        <v>0</v>
      </c>
      <c r="BA134" s="5">
        <v>0</v>
      </c>
      <c r="BB134" s="5">
        <v>1000</v>
      </c>
      <c r="BD134" s="5">
        <v>0</v>
      </c>
      <c r="BE134" s="5">
        <v>0</v>
      </c>
      <c r="BF134" s="5">
        <v>0</v>
      </c>
      <c r="BG134" s="5">
        <v>1000</v>
      </c>
      <c r="BI134" s="5">
        <v>0</v>
      </c>
      <c r="BJ134" s="5">
        <v>0</v>
      </c>
      <c r="BK134" s="5">
        <v>0</v>
      </c>
      <c r="BL134" s="5">
        <v>1000</v>
      </c>
      <c r="BN134" s="5">
        <v>0</v>
      </c>
      <c r="BO134" s="5">
        <v>0</v>
      </c>
      <c r="BP134" s="5">
        <v>0</v>
      </c>
      <c r="BQ134" s="5">
        <v>1000</v>
      </c>
      <c r="BS134" s="5">
        <v>4.01</v>
      </c>
      <c r="BT134" s="5">
        <v>4.0270000000000001</v>
      </c>
      <c r="BU134" s="5">
        <v>4.0469999999999997</v>
      </c>
      <c r="BV134" s="5">
        <v>1000</v>
      </c>
      <c r="BX134" s="5">
        <v>0</v>
      </c>
      <c r="BY134" s="5">
        <v>0</v>
      </c>
      <c r="BZ134" s="5">
        <v>0</v>
      </c>
      <c r="CA134" s="5">
        <v>1000</v>
      </c>
      <c r="CC134" s="5">
        <v>0</v>
      </c>
      <c r="CD134" s="5">
        <v>0</v>
      </c>
      <c r="CE134" s="5">
        <v>0</v>
      </c>
      <c r="CF134" s="5">
        <v>1000</v>
      </c>
      <c r="CH134" s="5">
        <v>0</v>
      </c>
      <c r="CI134" s="5">
        <v>0</v>
      </c>
      <c r="CJ134" s="5">
        <v>0</v>
      </c>
      <c r="CK134" s="5">
        <v>1000</v>
      </c>
      <c r="CM134" s="5">
        <v>0</v>
      </c>
      <c r="CN134" s="5">
        <v>2</v>
      </c>
      <c r="CO134" s="5">
        <v>0</v>
      </c>
      <c r="CP134" s="5">
        <v>1000</v>
      </c>
      <c r="CR134" s="5">
        <v>4.01</v>
      </c>
      <c r="CS134" s="5">
        <v>4.0270000000000001</v>
      </c>
      <c r="CT134" s="5">
        <v>4.0469999999999997</v>
      </c>
      <c r="CU134" s="5">
        <v>1000</v>
      </c>
    </row>
    <row r="135" spans="1:99" s="5" customFormat="1" x14ac:dyDescent="0.35">
      <c r="A135" s="4" t="s">
        <v>133</v>
      </c>
      <c r="B135" s="4">
        <v>9.4166666666666661</v>
      </c>
      <c r="C135" s="4" t="s">
        <v>167</v>
      </c>
      <c r="D135" s="4" t="s">
        <v>404</v>
      </c>
      <c r="F135" s="5">
        <v>3.0390000000000001</v>
      </c>
      <c r="G135" s="5">
        <v>4.0190000000000001</v>
      </c>
      <c r="H135" s="5">
        <v>4.016</v>
      </c>
      <c r="I135" s="5">
        <v>4.008</v>
      </c>
      <c r="K135" s="5">
        <v>3.0330000000000004</v>
      </c>
      <c r="L135" s="5">
        <v>3.9990000000000001</v>
      </c>
      <c r="M135" s="5">
        <v>3.9649999999999999</v>
      </c>
      <c r="N135" s="5">
        <v>3.9990000000000001</v>
      </c>
      <c r="P135" s="5">
        <v>2.0320000173524022</v>
      </c>
      <c r="Q135" s="5">
        <v>3.9819999374449253</v>
      </c>
      <c r="R135" s="5">
        <v>3.0149996988475323</v>
      </c>
      <c r="S135" s="5">
        <v>3.1150000682100654</v>
      </c>
      <c r="U135" s="5">
        <v>6</v>
      </c>
      <c r="V135" s="5">
        <v>2</v>
      </c>
      <c r="W135" s="5">
        <v>7</v>
      </c>
      <c r="X135" s="5">
        <v>7</v>
      </c>
      <c r="Z135" s="5">
        <v>2.7819999999999996</v>
      </c>
      <c r="AA135" s="5">
        <v>3.9990000000000001</v>
      </c>
      <c r="AB135" s="5">
        <v>3.1819999999999999</v>
      </c>
      <c r="AC135" s="5">
        <v>3.9150000000000005</v>
      </c>
      <c r="AE135" s="5">
        <v>2.0320000173524022</v>
      </c>
      <c r="AF135" s="5">
        <v>3.9819999374449253</v>
      </c>
      <c r="AG135" s="5">
        <v>3.0149996988475323</v>
      </c>
      <c r="AH135" s="5">
        <v>3.1150000682100654</v>
      </c>
      <c r="AJ135" s="5">
        <v>6</v>
      </c>
      <c r="AK135" s="5">
        <v>2</v>
      </c>
      <c r="AL135" s="5">
        <v>7</v>
      </c>
      <c r="AM135" s="5">
        <v>7</v>
      </c>
      <c r="AO135" s="5">
        <v>2</v>
      </c>
      <c r="AP135" s="5">
        <v>1</v>
      </c>
      <c r="AQ135" s="5">
        <v>4</v>
      </c>
      <c r="AR135" s="5">
        <v>2</v>
      </c>
      <c r="AT135" s="5">
        <v>6.0000000521540642E-3</v>
      </c>
      <c r="AU135" s="5">
        <v>8.999999612569809E-3</v>
      </c>
      <c r="AV135" s="5">
        <v>1.3000000268220901E-2</v>
      </c>
      <c r="AW135" s="5">
        <v>7.0000002160668373E-3</v>
      </c>
      <c r="AY135" s="5">
        <v>1.5329999999999997</v>
      </c>
      <c r="AZ135" s="5">
        <v>3.4489999999999998</v>
      </c>
      <c r="BA135" s="5">
        <v>1.1830000000000001</v>
      </c>
      <c r="BB135" s="5">
        <v>1.2490000000000001</v>
      </c>
      <c r="BD135" s="5">
        <v>1.5329999597743154</v>
      </c>
      <c r="BE135" s="5">
        <v>3.4319999217987061</v>
      </c>
      <c r="BF135" s="5">
        <v>0.99999982118606567</v>
      </c>
      <c r="BG135" s="5">
        <v>1.7989999642595649</v>
      </c>
      <c r="BI135" s="5">
        <v>3</v>
      </c>
      <c r="BJ135" s="5">
        <v>1</v>
      </c>
      <c r="BK135" s="5">
        <v>2</v>
      </c>
      <c r="BL135" s="5">
        <v>4</v>
      </c>
      <c r="BN135" s="5">
        <v>3</v>
      </c>
      <c r="BO135" s="5">
        <v>1</v>
      </c>
      <c r="BP135" s="5">
        <v>3</v>
      </c>
      <c r="BQ135" s="5">
        <v>5</v>
      </c>
      <c r="BS135" s="5">
        <v>6.0000000521540642E-3</v>
      </c>
      <c r="BT135" s="5">
        <v>0.57599997520446777</v>
      </c>
      <c r="BU135" s="5">
        <v>0.74599999189376831</v>
      </c>
      <c r="BV135" s="5">
        <v>7.0000002160668373E-3</v>
      </c>
      <c r="BX135" s="5">
        <v>0.6170000000000001</v>
      </c>
      <c r="BY135" s="5">
        <v>0</v>
      </c>
      <c r="BZ135" s="5">
        <v>0.94900000000000029</v>
      </c>
      <c r="CA135" s="5">
        <v>0.53400000000000003</v>
      </c>
      <c r="CC135" s="5">
        <v>0.11599993705749512</v>
      </c>
      <c r="CD135" s="5">
        <v>0</v>
      </c>
      <c r="CE135" s="5">
        <v>1.0490000247955322</v>
      </c>
      <c r="CF135" s="5">
        <v>0.45000004768371582</v>
      </c>
      <c r="CH135" s="5">
        <v>1</v>
      </c>
      <c r="CI135" s="5">
        <v>0</v>
      </c>
      <c r="CJ135" s="5">
        <v>2</v>
      </c>
      <c r="CK135" s="5">
        <v>1</v>
      </c>
      <c r="CM135" s="5">
        <v>3</v>
      </c>
      <c r="CN135" s="5">
        <v>0</v>
      </c>
      <c r="CO135" s="5">
        <v>3</v>
      </c>
      <c r="CP135" s="5">
        <v>5</v>
      </c>
      <c r="CR135" s="5">
        <v>2.7390000820159912</v>
      </c>
      <c r="CS135" s="5">
        <v>4.0190000000000001</v>
      </c>
      <c r="CT135" s="5">
        <v>2.9289999008178711</v>
      </c>
      <c r="CU135" s="5">
        <v>2.2070000171661377</v>
      </c>
    </row>
    <row r="136" spans="1:99" s="5" customFormat="1" x14ac:dyDescent="0.35">
      <c r="A136" s="4" t="s">
        <v>134</v>
      </c>
      <c r="B136" s="4">
        <v>12.666666666666666</v>
      </c>
      <c r="C136" s="4" t="s">
        <v>168</v>
      </c>
      <c r="D136" s="4" t="s">
        <v>404</v>
      </c>
      <c r="F136" s="5">
        <v>4.0110000000000001</v>
      </c>
      <c r="G136" s="5">
        <v>4.016</v>
      </c>
      <c r="H136" s="5">
        <v>4.0069999999999997</v>
      </c>
      <c r="I136" s="5">
        <v>4.0129999999999999</v>
      </c>
      <c r="K136" s="5">
        <v>3.95</v>
      </c>
      <c r="L136" s="5">
        <v>3.9990000000000001</v>
      </c>
      <c r="M136" s="5">
        <v>3.9490000000000003</v>
      </c>
      <c r="N136" s="5">
        <v>3.9990000000000001</v>
      </c>
      <c r="P136" s="5">
        <v>2.3659998774528503</v>
      </c>
      <c r="Q136" s="5">
        <v>2.301000127568841</v>
      </c>
      <c r="R136" s="5">
        <v>2.1319999545812607</v>
      </c>
      <c r="S136" s="5">
        <v>2.081999896094203</v>
      </c>
      <c r="U136" s="5">
        <v>7</v>
      </c>
      <c r="V136" s="5">
        <v>9</v>
      </c>
      <c r="W136" s="5">
        <v>12</v>
      </c>
      <c r="X136" s="5">
        <v>6</v>
      </c>
      <c r="Z136" s="5">
        <v>2.5650000000000004</v>
      </c>
      <c r="AA136" s="5">
        <v>2.5490000000000004</v>
      </c>
      <c r="AB136" s="5">
        <v>3.2490000000000006</v>
      </c>
      <c r="AC136" s="5">
        <v>2.9160000000000004</v>
      </c>
      <c r="AE136" s="5">
        <v>2.1659998297691345</v>
      </c>
      <c r="AF136" s="5">
        <v>1.9509999845176935</v>
      </c>
      <c r="AG136" s="5">
        <v>2.1319999545812607</v>
      </c>
      <c r="AH136" s="5">
        <v>1.9149998407810926</v>
      </c>
      <c r="AJ136" s="5">
        <v>6</v>
      </c>
      <c r="AK136" s="5">
        <v>7</v>
      </c>
      <c r="AL136" s="5">
        <v>12</v>
      </c>
      <c r="AM136" s="5">
        <v>5</v>
      </c>
      <c r="AO136" s="5">
        <v>5</v>
      </c>
      <c r="AP136" s="5">
        <v>7</v>
      </c>
      <c r="AQ136" s="5">
        <v>7</v>
      </c>
      <c r="AR136" s="5">
        <v>7</v>
      </c>
      <c r="AT136" s="5">
        <v>0.11800000071525574</v>
      </c>
      <c r="AU136" s="5">
        <v>1.2000000104308128E-2</v>
      </c>
      <c r="AV136" s="5">
        <v>0.24199999868869781</v>
      </c>
      <c r="AW136" s="5">
        <v>1.4000000432133675E-2</v>
      </c>
      <c r="AY136" s="5">
        <v>0</v>
      </c>
      <c r="AZ136" s="5">
        <v>0</v>
      </c>
      <c r="BA136" s="5">
        <v>0.15100000000000013</v>
      </c>
      <c r="BB136" s="5">
        <v>0</v>
      </c>
      <c r="BD136" s="5">
        <v>0</v>
      </c>
      <c r="BE136" s="5">
        <v>0</v>
      </c>
      <c r="BF136" s="5">
        <v>0.11699998378753662</v>
      </c>
      <c r="BG136" s="5">
        <v>0</v>
      </c>
      <c r="BI136" s="5">
        <v>0</v>
      </c>
      <c r="BJ136" s="5">
        <v>0</v>
      </c>
      <c r="BK136" s="5">
        <v>1</v>
      </c>
      <c r="BL136" s="5">
        <v>0</v>
      </c>
      <c r="BN136" s="5">
        <v>0</v>
      </c>
      <c r="BO136" s="5">
        <v>0</v>
      </c>
      <c r="BP136" s="5">
        <v>8</v>
      </c>
      <c r="BQ136" s="5">
        <v>0</v>
      </c>
      <c r="BS136" s="5">
        <v>4.0110000000000001</v>
      </c>
      <c r="BT136" s="5">
        <v>4.016</v>
      </c>
      <c r="BU136" s="5">
        <v>0.57499998807907104</v>
      </c>
      <c r="BV136" s="5">
        <v>4.0129999999999999</v>
      </c>
      <c r="BX136" s="5">
        <v>1.2820000000000003</v>
      </c>
      <c r="BY136" s="5">
        <v>0.40000000000000058</v>
      </c>
      <c r="BZ136" s="5">
        <v>0.1170000000000001</v>
      </c>
      <c r="CA136" s="5">
        <v>3.400000000000003E-2</v>
      </c>
      <c r="CC136" s="5">
        <v>1.5659998953342438</v>
      </c>
      <c r="CD136" s="5">
        <v>0.5839998722076416</v>
      </c>
      <c r="CE136" s="5">
        <v>0.18300008773803711</v>
      </c>
      <c r="CF136" s="5">
        <v>0</v>
      </c>
      <c r="CH136" s="5">
        <v>2</v>
      </c>
      <c r="CI136" s="5">
        <v>3</v>
      </c>
      <c r="CJ136" s="5">
        <v>1</v>
      </c>
      <c r="CK136" s="5">
        <v>0</v>
      </c>
      <c r="CM136" s="5">
        <v>4</v>
      </c>
      <c r="CN136" s="5">
        <v>4</v>
      </c>
      <c r="CO136" s="5">
        <v>6</v>
      </c>
      <c r="CP136" s="5">
        <v>3</v>
      </c>
      <c r="CR136" s="5">
        <v>0.40099999308586121</v>
      </c>
      <c r="CS136" s="5">
        <v>1.6950000524520874</v>
      </c>
      <c r="CT136" s="5">
        <v>2.1749999523162842</v>
      </c>
      <c r="CU136" s="5">
        <v>4.0129999999999999</v>
      </c>
    </row>
    <row r="137" spans="1:99" s="5" customFormat="1" x14ac:dyDescent="0.35">
      <c r="A137" s="4" t="s">
        <v>135</v>
      </c>
      <c r="B137" s="4">
        <v>12.583333333333334</v>
      </c>
      <c r="C137" s="4" t="s">
        <v>168</v>
      </c>
      <c r="D137" s="4" t="s">
        <v>404</v>
      </c>
      <c r="F137" s="5">
        <v>3.1110000000000002</v>
      </c>
      <c r="G137" s="5">
        <v>4.016</v>
      </c>
      <c r="H137" s="5">
        <v>1000</v>
      </c>
      <c r="I137" s="5">
        <v>0.63499999999999979</v>
      </c>
      <c r="K137" s="5">
        <v>3.0490000000000004</v>
      </c>
      <c r="L137" s="5">
        <v>3.4989999999999997</v>
      </c>
      <c r="M137" s="5">
        <v>1000</v>
      </c>
      <c r="N137" s="5">
        <v>1000</v>
      </c>
      <c r="P137" s="5">
        <v>1.831999883055687</v>
      </c>
      <c r="Q137" s="5">
        <v>3.2150002121925354</v>
      </c>
      <c r="R137" s="5">
        <v>1000</v>
      </c>
      <c r="S137" s="5">
        <v>1000</v>
      </c>
      <c r="U137" s="5">
        <v>7</v>
      </c>
      <c r="V137" s="5">
        <v>10</v>
      </c>
      <c r="W137" s="5">
        <v>1000</v>
      </c>
      <c r="X137" s="5">
        <v>1000</v>
      </c>
      <c r="Z137" s="5">
        <v>2.0660000000000007</v>
      </c>
      <c r="AA137" s="5">
        <v>3.4829999999999997</v>
      </c>
      <c r="AB137" s="5">
        <v>1000</v>
      </c>
      <c r="AC137" s="5">
        <v>1000</v>
      </c>
      <c r="AE137" s="5">
        <v>1.831999883055687</v>
      </c>
      <c r="AF137" s="5">
        <v>3.2150002121925354</v>
      </c>
      <c r="AG137" s="5">
        <v>1000</v>
      </c>
      <c r="AH137" s="5">
        <v>1000</v>
      </c>
      <c r="AJ137" s="5">
        <v>7</v>
      </c>
      <c r="AK137" s="5">
        <v>10</v>
      </c>
      <c r="AL137" s="5">
        <v>1000</v>
      </c>
      <c r="AM137" s="5">
        <v>1000</v>
      </c>
      <c r="AO137" s="5">
        <v>3</v>
      </c>
      <c r="AP137" s="5">
        <v>1</v>
      </c>
      <c r="AQ137" s="5">
        <v>1000</v>
      </c>
      <c r="AR137" s="5">
        <v>1000</v>
      </c>
      <c r="AT137" s="5">
        <v>9.4999998807907104E-2</v>
      </c>
      <c r="AU137" s="5">
        <v>0.50199997425079346</v>
      </c>
      <c r="AV137" s="5">
        <v>1000</v>
      </c>
      <c r="AW137" s="5">
        <v>1000</v>
      </c>
      <c r="AY137" s="5">
        <v>0.46599999999999986</v>
      </c>
      <c r="AZ137" s="5">
        <v>1.4490000000000003</v>
      </c>
      <c r="BA137" s="5">
        <v>1000</v>
      </c>
      <c r="BB137" s="5">
        <v>1000</v>
      </c>
      <c r="BD137" s="5">
        <v>0.51599997282028198</v>
      </c>
      <c r="BE137" s="5">
        <v>1.3820002675056458</v>
      </c>
      <c r="BF137" s="5">
        <v>1000</v>
      </c>
      <c r="BG137" s="5">
        <v>1000</v>
      </c>
      <c r="BI137" s="5">
        <v>2</v>
      </c>
      <c r="BJ137" s="5">
        <v>4</v>
      </c>
      <c r="BK137" s="5">
        <v>1000</v>
      </c>
      <c r="BL137" s="5">
        <v>1000</v>
      </c>
      <c r="BN137" s="5">
        <v>4</v>
      </c>
      <c r="BO137" s="5">
        <v>4</v>
      </c>
      <c r="BP137" s="5">
        <v>1000</v>
      </c>
      <c r="BQ137" s="5">
        <v>1000</v>
      </c>
      <c r="BS137" s="5">
        <v>0.67900002002716064</v>
      </c>
      <c r="BT137" s="5">
        <v>0.73600000143051147</v>
      </c>
      <c r="BU137" s="5">
        <v>1000</v>
      </c>
      <c r="BV137" s="5">
        <v>1000</v>
      </c>
      <c r="BX137" s="5">
        <v>0</v>
      </c>
      <c r="BY137" s="5">
        <v>0.36699999999999999</v>
      </c>
      <c r="BZ137" s="5">
        <v>1000</v>
      </c>
      <c r="CA137" s="5">
        <v>1000</v>
      </c>
      <c r="CC137" s="5">
        <v>0</v>
      </c>
      <c r="CD137" s="5">
        <v>0.31699991226196289</v>
      </c>
      <c r="CE137" s="5">
        <v>1000</v>
      </c>
      <c r="CF137" s="5">
        <v>1000</v>
      </c>
      <c r="CH137" s="5">
        <v>0</v>
      </c>
      <c r="CI137" s="5">
        <v>1</v>
      </c>
      <c r="CJ137" s="5">
        <v>1000</v>
      </c>
      <c r="CK137" s="5">
        <v>1000</v>
      </c>
      <c r="CM137" s="5">
        <v>0</v>
      </c>
      <c r="CN137" s="5">
        <v>1</v>
      </c>
      <c r="CO137" s="5">
        <v>1000</v>
      </c>
      <c r="CP137" s="5">
        <v>1000</v>
      </c>
      <c r="CR137" s="5">
        <v>4.0049999999999999</v>
      </c>
      <c r="CS137" s="5">
        <v>3.6349999904632568</v>
      </c>
      <c r="CT137" s="5">
        <v>1000</v>
      </c>
      <c r="CU137" s="5">
        <v>1000</v>
      </c>
    </row>
    <row r="138" spans="1:99" s="5" customFormat="1" x14ac:dyDescent="0.35">
      <c r="A138" s="4" t="s">
        <v>136</v>
      </c>
      <c r="B138" s="4">
        <v>6.166666666666667</v>
      </c>
      <c r="C138" s="4" t="s">
        <v>168</v>
      </c>
      <c r="D138" s="4" t="s">
        <v>404</v>
      </c>
      <c r="F138" s="5">
        <v>1.0169999999999999</v>
      </c>
      <c r="G138" s="5">
        <v>1.3890000000000002</v>
      </c>
      <c r="H138" s="5">
        <v>0.64599999999999991</v>
      </c>
      <c r="I138" s="5">
        <v>2.1829999999999998</v>
      </c>
      <c r="K138" s="5">
        <v>1000</v>
      </c>
      <c r="L138" s="5">
        <v>1000</v>
      </c>
      <c r="M138" s="5">
        <v>1000</v>
      </c>
      <c r="N138" s="5">
        <v>1.9660000000000002</v>
      </c>
      <c r="P138" s="5">
        <v>1000</v>
      </c>
      <c r="Q138" s="5">
        <v>1000</v>
      </c>
      <c r="R138" s="5">
        <v>1000</v>
      </c>
      <c r="S138" s="5">
        <v>0.31599998474121094</v>
      </c>
      <c r="U138" s="5">
        <v>1000</v>
      </c>
      <c r="V138" s="5">
        <v>1000</v>
      </c>
      <c r="W138" s="5">
        <v>1000</v>
      </c>
      <c r="X138" s="5">
        <v>1</v>
      </c>
      <c r="Z138" s="5">
        <v>1000</v>
      </c>
      <c r="AA138" s="5">
        <v>1000</v>
      </c>
      <c r="AB138" s="5">
        <v>1000</v>
      </c>
      <c r="AC138" s="5">
        <v>0.16700000000000026</v>
      </c>
      <c r="AE138" s="5">
        <v>1000</v>
      </c>
      <c r="AF138" s="5">
        <v>1000</v>
      </c>
      <c r="AG138" s="5">
        <v>1000</v>
      </c>
      <c r="AH138" s="5">
        <v>0</v>
      </c>
      <c r="AJ138" s="5">
        <v>1000</v>
      </c>
      <c r="AK138" s="5">
        <v>1000</v>
      </c>
      <c r="AL138" s="5">
        <v>1000</v>
      </c>
      <c r="AM138" s="5">
        <v>0</v>
      </c>
      <c r="AO138" s="5">
        <v>1000</v>
      </c>
      <c r="AP138" s="5">
        <v>1000</v>
      </c>
      <c r="AQ138" s="5">
        <v>1000</v>
      </c>
      <c r="AR138" s="5">
        <v>5</v>
      </c>
      <c r="AT138" s="5">
        <v>1000</v>
      </c>
      <c r="AU138" s="5">
        <v>1000</v>
      </c>
      <c r="AV138" s="5">
        <v>1000</v>
      </c>
      <c r="AW138" s="5">
        <v>4.0149999999999997</v>
      </c>
      <c r="AY138" s="5">
        <v>1000</v>
      </c>
      <c r="AZ138" s="5">
        <v>1000</v>
      </c>
      <c r="BA138" s="5">
        <v>1000</v>
      </c>
      <c r="BB138" s="5">
        <v>0</v>
      </c>
      <c r="BD138" s="5">
        <v>1000</v>
      </c>
      <c r="BE138" s="5">
        <v>1000</v>
      </c>
      <c r="BF138" s="5">
        <v>1000</v>
      </c>
      <c r="BG138" s="5">
        <v>0</v>
      </c>
      <c r="BI138" s="5">
        <v>1000</v>
      </c>
      <c r="BJ138" s="5">
        <v>1000</v>
      </c>
      <c r="BK138" s="5">
        <v>1000</v>
      </c>
      <c r="BL138" s="5">
        <v>0</v>
      </c>
      <c r="BN138" s="5">
        <v>1000</v>
      </c>
      <c r="BO138" s="5">
        <v>1000</v>
      </c>
      <c r="BP138" s="5">
        <v>1000</v>
      </c>
      <c r="BQ138" s="5">
        <v>1</v>
      </c>
      <c r="BS138" s="5">
        <v>1000</v>
      </c>
      <c r="BT138" s="5">
        <v>1000</v>
      </c>
      <c r="BU138" s="5">
        <v>1000</v>
      </c>
      <c r="BV138" s="5">
        <v>4.0149999999999997</v>
      </c>
      <c r="BX138" s="5">
        <v>1000</v>
      </c>
      <c r="BY138" s="5">
        <v>1000</v>
      </c>
      <c r="BZ138" s="5">
        <v>1000</v>
      </c>
      <c r="CA138" s="5">
        <v>0</v>
      </c>
      <c r="CC138" s="5">
        <v>1000</v>
      </c>
      <c r="CD138" s="5">
        <v>1000</v>
      </c>
      <c r="CE138" s="5">
        <v>1000</v>
      </c>
      <c r="CF138" s="5">
        <v>0</v>
      </c>
      <c r="CH138" s="5">
        <v>1000</v>
      </c>
      <c r="CI138" s="5">
        <v>1000</v>
      </c>
      <c r="CJ138" s="5">
        <v>1000</v>
      </c>
      <c r="CK138" s="5">
        <v>0</v>
      </c>
      <c r="CM138" s="5">
        <v>1000</v>
      </c>
      <c r="CN138" s="5">
        <v>1000</v>
      </c>
      <c r="CO138" s="5">
        <v>1000</v>
      </c>
      <c r="CP138" s="5">
        <v>1</v>
      </c>
      <c r="CR138" s="5">
        <v>1000</v>
      </c>
      <c r="CS138" s="5">
        <v>1000</v>
      </c>
      <c r="CT138" s="5">
        <v>1000</v>
      </c>
      <c r="CU138" s="5">
        <v>4.0149999999999997</v>
      </c>
    </row>
    <row r="139" spans="1:99" s="5" customFormat="1" x14ac:dyDescent="0.35">
      <c r="A139" s="4" t="s">
        <v>137</v>
      </c>
      <c r="B139" s="4">
        <v>10.75</v>
      </c>
      <c r="C139" s="4" t="s">
        <v>168</v>
      </c>
      <c r="D139" s="4" t="s">
        <v>404</v>
      </c>
      <c r="F139" s="5">
        <v>4.016</v>
      </c>
      <c r="G139" s="5">
        <v>4.01</v>
      </c>
      <c r="H139" s="5">
        <v>1.6219999999999999</v>
      </c>
      <c r="I139" s="5">
        <v>4.0149999999999997</v>
      </c>
      <c r="K139" s="5">
        <v>3.9970000000000003</v>
      </c>
      <c r="L139" s="5">
        <v>3.8159999999999998</v>
      </c>
      <c r="M139" s="5">
        <v>1000</v>
      </c>
      <c r="N139" s="5">
        <v>3.9989999999999997</v>
      </c>
      <c r="P139" s="5">
        <v>3.8649994553998113</v>
      </c>
      <c r="Q139" s="5">
        <v>2.5319998934864998</v>
      </c>
      <c r="R139" s="5">
        <v>1000</v>
      </c>
      <c r="S139" s="5">
        <v>3.0179999126121402</v>
      </c>
      <c r="U139" s="5">
        <v>8</v>
      </c>
      <c r="V139" s="5">
        <v>8</v>
      </c>
      <c r="W139" s="5">
        <v>1000</v>
      </c>
      <c r="X139" s="5">
        <v>10</v>
      </c>
      <c r="Z139" s="5">
        <v>3.9970000000000003</v>
      </c>
      <c r="AA139" s="5">
        <v>3.5330000000000004</v>
      </c>
      <c r="AB139" s="5">
        <v>1000</v>
      </c>
      <c r="AC139" s="5">
        <v>3.9659999999999997</v>
      </c>
      <c r="AE139" s="5">
        <v>3.8649994553998113</v>
      </c>
      <c r="AF139" s="5">
        <v>2.5319998934864998</v>
      </c>
      <c r="AG139" s="5">
        <v>1000</v>
      </c>
      <c r="AH139" s="5">
        <v>3.0179999126121402</v>
      </c>
      <c r="AJ139" s="5">
        <v>8</v>
      </c>
      <c r="AK139" s="5">
        <v>8</v>
      </c>
      <c r="AL139" s="5">
        <v>1000</v>
      </c>
      <c r="AM139" s="5">
        <v>10</v>
      </c>
      <c r="AO139" s="5">
        <v>1</v>
      </c>
      <c r="AP139" s="5">
        <v>2</v>
      </c>
      <c r="AQ139" s="5">
        <v>1000</v>
      </c>
      <c r="AR139" s="5">
        <v>2</v>
      </c>
      <c r="AT139" s="5">
        <v>6.0000000521540642E-3</v>
      </c>
      <c r="AU139" s="5">
        <v>1.0999999940395355E-2</v>
      </c>
      <c r="AV139" s="5">
        <v>1000</v>
      </c>
      <c r="AW139" s="5">
        <v>4.999999888241291E-3</v>
      </c>
      <c r="AY139" s="5">
        <v>2.782</v>
      </c>
      <c r="AZ139" s="5">
        <v>1.016</v>
      </c>
      <c r="BA139" s="5">
        <v>1000</v>
      </c>
      <c r="BB139" s="5">
        <v>1.9839999999999991</v>
      </c>
      <c r="BD139" s="5">
        <v>2.9319993676617742</v>
      </c>
      <c r="BE139" s="5">
        <v>1.4000000432133675</v>
      </c>
      <c r="BF139" s="5">
        <v>1000</v>
      </c>
      <c r="BG139" s="5">
        <v>1.950999915599823</v>
      </c>
      <c r="BI139" s="5">
        <v>5</v>
      </c>
      <c r="BJ139" s="5">
        <v>2</v>
      </c>
      <c r="BK139" s="5">
        <v>1000</v>
      </c>
      <c r="BL139" s="5">
        <v>7</v>
      </c>
      <c r="BN139" s="5">
        <v>4</v>
      </c>
      <c r="BO139" s="5">
        <v>2</v>
      </c>
      <c r="BP139" s="5">
        <v>1000</v>
      </c>
      <c r="BQ139" s="5">
        <v>4</v>
      </c>
      <c r="BS139" s="5">
        <v>6.0000000521540642E-3</v>
      </c>
      <c r="BT139" s="5">
        <v>1.0999999940395355E-2</v>
      </c>
      <c r="BU139" s="5">
        <v>1000</v>
      </c>
      <c r="BV139" s="5">
        <v>0.67100000381469727</v>
      </c>
      <c r="BX139" s="5">
        <v>0.11699999999999999</v>
      </c>
      <c r="BY139" s="5">
        <v>0</v>
      </c>
      <c r="BZ139" s="5">
        <v>1000</v>
      </c>
      <c r="CA139" s="5">
        <v>0</v>
      </c>
      <c r="CC139" s="5">
        <v>0</v>
      </c>
      <c r="CD139" s="5">
        <v>0</v>
      </c>
      <c r="CE139" s="5">
        <v>1000</v>
      </c>
      <c r="CF139" s="5">
        <v>0</v>
      </c>
      <c r="CH139" s="5">
        <v>0</v>
      </c>
      <c r="CI139" s="5">
        <v>0</v>
      </c>
      <c r="CJ139" s="5">
        <v>1000</v>
      </c>
      <c r="CK139" s="5">
        <v>0</v>
      </c>
      <c r="CM139" s="5">
        <v>2</v>
      </c>
      <c r="CN139" s="5">
        <v>1</v>
      </c>
      <c r="CO139" s="5">
        <v>1000</v>
      </c>
      <c r="CP139" s="5">
        <v>1</v>
      </c>
      <c r="CR139" s="5">
        <v>4.016</v>
      </c>
      <c r="CS139" s="5">
        <v>4.01</v>
      </c>
      <c r="CT139" s="5">
        <v>1000</v>
      </c>
      <c r="CU139" s="5">
        <v>4.0149999999999997</v>
      </c>
    </row>
    <row r="140" spans="1:99" s="5" customFormat="1" x14ac:dyDescent="0.35">
      <c r="A140" s="4" t="s">
        <v>138</v>
      </c>
      <c r="B140" s="4">
        <v>5.583333333333333</v>
      </c>
      <c r="C140" s="4" t="s">
        <v>168</v>
      </c>
      <c r="D140" s="4" t="s">
        <v>404</v>
      </c>
      <c r="F140" s="5">
        <v>1000</v>
      </c>
      <c r="G140" s="5">
        <v>1000</v>
      </c>
      <c r="H140" s="5">
        <v>0.64999999999999991</v>
      </c>
      <c r="I140" s="5">
        <v>0</v>
      </c>
      <c r="K140" s="5">
        <v>1000</v>
      </c>
      <c r="L140" s="5">
        <v>1000</v>
      </c>
      <c r="M140" s="5">
        <v>1000</v>
      </c>
      <c r="N140" s="5">
        <v>1000</v>
      </c>
      <c r="P140" s="5">
        <v>1000</v>
      </c>
      <c r="Q140" s="5">
        <v>1000</v>
      </c>
      <c r="R140" s="5">
        <v>1000</v>
      </c>
      <c r="S140" s="5">
        <v>1000</v>
      </c>
      <c r="U140" s="5">
        <v>1000</v>
      </c>
      <c r="V140" s="5">
        <v>1000</v>
      </c>
      <c r="W140" s="5">
        <v>1000</v>
      </c>
      <c r="X140" s="5">
        <v>1000</v>
      </c>
      <c r="Z140" s="5">
        <v>1000</v>
      </c>
      <c r="AA140" s="5">
        <v>1000</v>
      </c>
      <c r="AB140" s="5">
        <v>1000</v>
      </c>
      <c r="AC140" s="5">
        <v>1000</v>
      </c>
      <c r="AE140" s="5">
        <v>1000</v>
      </c>
      <c r="AF140" s="5">
        <v>1000</v>
      </c>
      <c r="AG140" s="5">
        <v>1000</v>
      </c>
      <c r="AH140" s="5">
        <v>1000</v>
      </c>
      <c r="AJ140" s="5">
        <v>1000</v>
      </c>
      <c r="AK140" s="5">
        <v>1000</v>
      </c>
      <c r="AL140" s="5">
        <v>1000</v>
      </c>
      <c r="AM140" s="5">
        <v>1000</v>
      </c>
      <c r="AO140" s="5">
        <v>1000</v>
      </c>
      <c r="AP140" s="5">
        <v>1000</v>
      </c>
      <c r="AQ140" s="5">
        <v>1000</v>
      </c>
      <c r="AR140" s="5">
        <v>1000</v>
      </c>
      <c r="AT140" s="5">
        <v>1000</v>
      </c>
      <c r="AU140" s="5">
        <v>1000</v>
      </c>
      <c r="AV140" s="5">
        <v>1000</v>
      </c>
      <c r="AW140" s="5">
        <v>1000</v>
      </c>
      <c r="AY140" s="5">
        <v>1000</v>
      </c>
      <c r="AZ140" s="5">
        <v>1000</v>
      </c>
      <c r="BA140" s="5">
        <v>1000</v>
      </c>
      <c r="BB140" s="5">
        <v>1000</v>
      </c>
      <c r="BD140" s="5">
        <v>1000</v>
      </c>
      <c r="BE140" s="5">
        <v>1000</v>
      </c>
      <c r="BF140" s="5">
        <v>1000</v>
      </c>
      <c r="BG140" s="5">
        <v>1000</v>
      </c>
      <c r="BI140" s="5">
        <v>1000</v>
      </c>
      <c r="BJ140" s="5">
        <v>1000</v>
      </c>
      <c r="BK140" s="5">
        <v>1000</v>
      </c>
      <c r="BL140" s="5">
        <v>1000</v>
      </c>
      <c r="BN140" s="5">
        <v>1000</v>
      </c>
      <c r="BO140" s="5">
        <v>1000</v>
      </c>
      <c r="BP140" s="5">
        <v>1000</v>
      </c>
      <c r="BQ140" s="5">
        <v>1000</v>
      </c>
      <c r="BS140" s="5">
        <v>1000</v>
      </c>
      <c r="BT140" s="5">
        <v>1000</v>
      </c>
      <c r="BU140" s="5">
        <v>1000</v>
      </c>
      <c r="BV140" s="5">
        <v>1000</v>
      </c>
      <c r="BX140" s="5">
        <v>1000</v>
      </c>
      <c r="BY140" s="5">
        <v>1000</v>
      </c>
      <c r="BZ140" s="5">
        <v>1000</v>
      </c>
      <c r="CA140" s="5">
        <v>1000</v>
      </c>
      <c r="CC140" s="5">
        <v>1000</v>
      </c>
      <c r="CD140" s="5">
        <v>1000</v>
      </c>
      <c r="CE140" s="5">
        <v>1000</v>
      </c>
      <c r="CF140" s="5">
        <v>1000</v>
      </c>
      <c r="CH140" s="5">
        <v>1000</v>
      </c>
      <c r="CI140" s="5">
        <v>1000</v>
      </c>
      <c r="CJ140" s="5">
        <v>1000</v>
      </c>
      <c r="CK140" s="5">
        <v>1000</v>
      </c>
      <c r="CM140" s="5">
        <v>1000</v>
      </c>
      <c r="CN140" s="5">
        <v>1000</v>
      </c>
      <c r="CO140" s="5">
        <v>1000</v>
      </c>
      <c r="CP140" s="5">
        <v>1000</v>
      </c>
      <c r="CR140" s="5">
        <v>1000</v>
      </c>
      <c r="CS140" s="5">
        <v>1000</v>
      </c>
      <c r="CT140" s="5">
        <v>1000</v>
      </c>
      <c r="CU140" s="5">
        <v>1000</v>
      </c>
    </row>
    <row r="141" spans="1:99" s="5" customFormat="1" x14ac:dyDescent="0.35">
      <c r="A141" s="4" t="s">
        <v>139</v>
      </c>
      <c r="B141" s="4">
        <v>6.333333333333333</v>
      </c>
      <c r="C141" s="4" t="s">
        <v>168</v>
      </c>
      <c r="D141" s="4" t="s">
        <v>404</v>
      </c>
      <c r="F141" s="5">
        <v>2.6240000000000001</v>
      </c>
      <c r="G141" s="5">
        <v>4.0259999999999998</v>
      </c>
      <c r="H141" s="5">
        <v>4.0110000000000001</v>
      </c>
      <c r="I141" s="5">
        <v>3.0439999999999996</v>
      </c>
      <c r="K141" s="5">
        <v>2.4329999999999998</v>
      </c>
      <c r="L141" s="5">
        <v>3.9159999999999999</v>
      </c>
      <c r="M141" s="5">
        <v>3.9990000000000001</v>
      </c>
      <c r="N141" s="5">
        <v>3.0159999999999996</v>
      </c>
      <c r="P141" s="5">
        <v>1.8670001486316323</v>
      </c>
      <c r="Q141" s="5">
        <v>3.6819994618417695</v>
      </c>
      <c r="R141" s="5">
        <v>3.616999888792634</v>
      </c>
      <c r="S141" s="5">
        <v>2.6830001333728433</v>
      </c>
      <c r="U141" s="5">
        <v>7</v>
      </c>
      <c r="V141" s="5">
        <v>13</v>
      </c>
      <c r="W141" s="5">
        <v>7</v>
      </c>
      <c r="X141" s="5">
        <v>7</v>
      </c>
      <c r="Z141" s="5">
        <v>1.6</v>
      </c>
      <c r="AA141" s="5">
        <v>3.9159999999999999</v>
      </c>
      <c r="AB141" s="5">
        <v>3.532</v>
      </c>
      <c r="AC141" s="5">
        <v>3.0159999999999996</v>
      </c>
      <c r="AE141" s="5">
        <v>1.5170000055804849</v>
      </c>
      <c r="AF141" s="5">
        <v>3.6819994618417695</v>
      </c>
      <c r="AG141" s="5">
        <v>3.3169999364763498</v>
      </c>
      <c r="AH141" s="5">
        <v>2.6830001333728433</v>
      </c>
      <c r="AJ141" s="5">
        <v>5</v>
      </c>
      <c r="AK141" s="5">
        <v>13</v>
      </c>
      <c r="AL141" s="5">
        <v>6</v>
      </c>
      <c r="AM141" s="5">
        <v>7</v>
      </c>
      <c r="AO141" s="5">
        <v>1</v>
      </c>
      <c r="AP141" s="5">
        <v>1</v>
      </c>
      <c r="AQ141" s="5">
        <v>3</v>
      </c>
      <c r="AR141" s="5">
        <v>2</v>
      </c>
      <c r="AT141" s="5">
        <v>8.0000003799796104E-3</v>
      </c>
      <c r="AU141" s="5">
        <v>1.0000000474974513E-3</v>
      </c>
      <c r="AV141" s="5">
        <v>1.2000000104308128E-2</v>
      </c>
      <c r="AW141" s="5">
        <v>1.4999999664723873E-2</v>
      </c>
      <c r="AY141" s="5">
        <v>0.26699999999999996</v>
      </c>
      <c r="AZ141" s="5">
        <v>0.76800000000000024</v>
      </c>
      <c r="BA141" s="5">
        <v>1.3680000000000003</v>
      </c>
      <c r="BB141" s="5">
        <v>1.2649999999999997</v>
      </c>
      <c r="BD141" s="5">
        <v>0.56700001750141382</v>
      </c>
      <c r="BE141" s="5">
        <v>0.84999969601631165</v>
      </c>
      <c r="BF141" s="5">
        <v>0.90099996328353882</v>
      </c>
      <c r="BG141" s="5">
        <v>1.7830000380054116</v>
      </c>
      <c r="BI141" s="5">
        <v>2</v>
      </c>
      <c r="BJ141" s="5">
        <v>4</v>
      </c>
      <c r="BK141" s="5">
        <v>3</v>
      </c>
      <c r="BL141" s="5">
        <v>4</v>
      </c>
      <c r="BN141" s="5">
        <v>2</v>
      </c>
      <c r="BO141" s="5">
        <v>3</v>
      </c>
      <c r="BP141" s="5">
        <v>4</v>
      </c>
      <c r="BQ141" s="5">
        <v>4</v>
      </c>
      <c r="BS141" s="5">
        <v>8.0000003799796104E-3</v>
      </c>
      <c r="BT141" s="5">
        <v>0.36800000071525574</v>
      </c>
      <c r="BU141" s="5">
        <v>0.51200002431869507</v>
      </c>
      <c r="BV141" s="5">
        <v>1.4999999664723873E-2</v>
      </c>
      <c r="BX141" s="5">
        <v>0</v>
      </c>
      <c r="BY141" s="5">
        <v>0</v>
      </c>
      <c r="BZ141" s="5">
        <v>0</v>
      </c>
      <c r="CA141" s="5">
        <v>0</v>
      </c>
      <c r="CC141" s="5">
        <v>0</v>
      </c>
      <c r="CD141" s="5">
        <v>0</v>
      </c>
      <c r="CE141" s="5">
        <v>0</v>
      </c>
      <c r="CF141" s="5">
        <v>0</v>
      </c>
      <c r="CH141" s="5">
        <v>0</v>
      </c>
      <c r="CI141" s="5">
        <v>0</v>
      </c>
      <c r="CJ141" s="5">
        <v>0</v>
      </c>
      <c r="CK141" s="5">
        <v>0</v>
      </c>
      <c r="CM141" s="5">
        <v>0</v>
      </c>
      <c r="CN141" s="5">
        <v>0</v>
      </c>
      <c r="CO141" s="5">
        <v>0</v>
      </c>
      <c r="CP141" s="5">
        <v>0</v>
      </c>
      <c r="CR141" s="5">
        <v>4.0110000000000001</v>
      </c>
      <c r="CS141" s="5">
        <v>4.0259999999999998</v>
      </c>
      <c r="CT141" s="5">
        <v>4.0110000000000001</v>
      </c>
      <c r="CU141" s="5">
        <v>4.01</v>
      </c>
    </row>
    <row r="142" spans="1:99" s="5" customFormat="1" x14ac:dyDescent="0.35">
      <c r="A142" s="4" t="s">
        <v>140</v>
      </c>
      <c r="B142" s="4">
        <v>6.083333333333333</v>
      </c>
      <c r="C142" s="4" t="s">
        <v>168</v>
      </c>
      <c r="D142" s="4" t="s">
        <v>404</v>
      </c>
      <c r="F142" s="5">
        <v>1000</v>
      </c>
      <c r="G142" s="5">
        <v>1000</v>
      </c>
      <c r="H142" s="5">
        <v>1.359</v>
      </c>
      <c r="I142" s="5">
        <v>0</v>
      </c>
      <c r="K142" s="5">
        <v>1000</v>
      </c>
      <c r="L142" s="5">
        <v>1000</v>
      </c>
      <c r="M142" s="5">
        <v>1000</v>
      </c>
      <c r="N142" s="5">
        <v>1000</v>
      </c>
      <c r="P142" s="5">
        <v>1000</v>
      </c>
      <c r="Q142" s="5">
        <v>1000</v>
      </c>
      <c r="R142" s="5">
        <v>1000</v>
      </c>
      <c r="S142" s="5">
        <v>1000</v>
      </c>
      <c r="U142" s="5">
        <v>1000</v>
      </c>
      <c r="V142" s="5">
        <v>1000</v>
      </c>
      <c r="W142" s="5">
        <v>1000</v>
      </c>
      <c r="X142" s="5">
        <v>1000</v>
      </c>
      <c r="Z142" s="5">
        <v>1000</v>
      </c>
      <c r="AA142" s="5">
        <v>1000</v>
      </c>
      <c r="AB142" s="5">
        <v>1000</v>
      </c>
      <c r="AC142" s="5">
        <v>1000</v>
      </c>
      <c r="AE142" s="5">
        <v>1000</v>
      </c>
      <c r="AF142" s="5">
        <v>1000</v>
      </c>
      <c r="AG142" s="5">
        <v>1000</v>
      </c>
      <c r="AH142" s="5">
        <v>1000</v>
      </c>
      <c r="AJ142" s="5">
        <v>1000</v>
      </c>
      <c r="AK142" s="5">
        <v>1000</v>
      </c>
      <c r="AL142" s="5">
        <v>1000</v>
      </c>
      <c r="AM142" s="5">
        <v>1000</v>
      </c>
      <c r="AO142" s="5">
        <v>1000</v>
      </c>
      <c r="AP142" s="5">
        <v>1000</v>
      </c>
      <c r="AQ142" s="5">
        <v>1000</v>
      </c>
      <c r="AR142" s="5">
        <v>1000</v>
      </c>
      <c r="AT142" s="5">
        <v>1000</v>
      </c>
      <c r="AU142" s="5">
        <v>1000</v>
      </c>
      <c r="AV142" s="5">
        <v>1000</v>
      </c>
      <c r="AW142" s="5">
        <v>1000</v>
      </c>
      <c r="AY142" s="5">
        <v>1000</v>
      </c>
      <c r="AZ142" s="5">
        <v>1000</v>
      </c>
      <c r="BA142" s="5">
        <v>1000</v>
      </c>
      <c r="BB142" s="5">
        <v>1000</v>
      </c>
      <c r="BD142" s="5">
        <v>1000</v>
      </c>
      <c r="BE142" s="5">
        <v>1000</v>
      </c>
      <c r="BF142" s="5">
        <v>1000</v>
      </c>
      <c r="BG142" s="5">
        <v>1000</v>
      </c>
      <c r="BI142" s="5">
        <v>1000</v>
      </c>
      <c r="BJ142" s="5">
        <v>1000</v>
      </c>
      <c r="BK142" s="5">
        <v>1000</v>
      </c>
      <c r="BL142" s="5">
        <v>1000</v>
      </c>
      <c r="BN142" s="5">
        <v>1000</v>
      </c>
      <c r="BO142" s="5">
        <v>1000</v>
      </c>
      <c r="BP142" s="5">
        <v>1000</v>
      </c>
      <c r="BQ142" s="5">
        <v>1000</v>
      </c>
      <c r="BS142" s="5">
        <v>1000</v>
      </c>
      <c r="BT142" s="5">
        <v>1000</v>
      </c>
      <c r="BU142" s="5">
        <v>1000</v>
      </c>
      <c r="BV142" s="5">
        <v>1000</v>
      </c>
      <c r="BX142" s="5">
        <v>1000</v>
      </c>
      <c r="BY142" s="5">
        <v>1000</v>
      </c>
      <c r="BZ142" s="5">
        <v>1000</v>
      </c>
      <c r="CA142" s="5">
        <v>1000</v>
      </c>
      <c r="CC142" s="5">
        <v>1000</v>
      </c>
      <c r="CD142" s="5">
        <v>1000</v>
      </c>
      <c r="CE142" s="5">
        <v>1000</v>
      </c>
      <c r="CF142" s="5">
        <v>1000</v>
      </c>
      <c r="CH142" s="5">
        <v>1000</v>
      </c>
      <c r="CI142" s="5">
        <v>1000</v>
      </c>
      <c r="CJ142" s="5">
        <v>1000</v>
      </c>
      <c r="CK142" s="5">
        <v>1000</v>
      </c>
      <c r="CM142" s="5">
        <v>1000</v>
      </c>
      <c r="CN142" s="5">
        <v>1000</v>
      </c>
      <c r="CO142" s="5">
        <v>1000</v>
      </c>
      <c r="CP142" s="5">
        <v>1000</v>
      </c>
      <c r="CR142" s="5">
        <v>1000</v>
      </c>
      <c r="CS142" s="5">
        <v>1000</v>
      </c>
      <c r="CT142" s="5">
        <v>1000</v>
      </c>
      <c r="CU142" s="5">
        <v>1000</v>
      </c>
    </row>
    <row r="143" spans="1:99" s="5" customFormat="1" x14ac:dyDescent="0.35">
      <c r="A143" s="4" t="s">
        <v>141</v>
      </c>
      <c r="B143" s="4">
        <v>7.75</v>
      </c>
      <c r="C143" s="4" t="s">
        <v>168</v>
      </c>
      <c r="D143" s="4" t="s">
        <v>404</v>
      </c>
      <c r="F143" s="5">
        <v>4.0110000000000001</v>
      </c>
      <c r="G143" s="5">
        <v>4.01</v>
      </c>
      <c r="H143" s="5">
        <v>4.016</v>
      </c>
      <c r="I143" s="5">
        <v>4.0460000000000003</v>
      </c>
      <c r="K143" s="5">
        <v>3.9970000000000003</v>
      </c>
      <c r="L143" s="5">
        <v>3.9810000000000003</v>
      </c>
      <c r="M143" s="5">
        <v>3.9990000000000001</v>
      </c>
      <c r="N143" s="5">
        <v>4.0280000000000005</v>
      </c>
      <c r="P143" s="5">
        <v>2.4170001039747149</v>
      </c>
      <c r="Q143" s="5">
        <v>1.7649998664855957</v>
      </c>
      <c r="R143" s="5">
        <v>3.3829998373985291</v>
      </c>
      <c r="S143" s="5">
        <v>3.4450000603683293</v>
      </c>
      <c r="U143" s="5">
        <v>14</v>
      </c>
      <c r="V143" s="5">
        <v>10</v>
      </c>
      <c r="W143" s="5">
        <v>8</v>
      </c>
      <c r="X143" s="5">
        <v>10</v>
      </c>
      <c r="Z143" s="5">
        <v>3.415</v>
      </c>
      <c r="AA143" s="5">
        <v>3.6140000000000008</v>
      </c>
      <c r="AB143" s="5">
        <v>3.9660000000000002</v>
      </c>
      <c r="AC143" s="5">
        <v>4.0280000000000005</v>
      </c>
      <c r="AE143" s="5">
        <v>2.4170001039747149</v>
      </c>
      <c r="AF143" s="5">
        <v>1.7649998664855957</v>
      </c>
      <c r="AG143" s="5">
        <v>3.3829998373985291</v>
      </c>
      <c r="AH143" s="5">
        <v>3.4450000603683293</v>
      </c>
      <c r="AJ143" s="5">
        <v>14</v>
      </c>
      <c r="AK143" s="5">
        <v>10</v>
      </c>
      <c r="AL143" s="5">
        <v>8</v>
      </c>
      <c r="AM143" s="5">
        <v>10</v>
      </c>
      <c r="AO143" s="5">
        <v>12</v>
      </c>
      <c r="AP143" s="5">
        <v>6</v>
      </c>
      <c r="AQ143" s="5">
        <v>1</v>
      </c>
      <c r="AR143" s="5">
        <v>1</v>
      </c>
      <c r="AT143" s="5">
        <v>2.0000000949949026E-3</v>
      </c>
      <c r="AU143" s="5">
        <v>0.68000000715255737</v>
      </c>
      <c r="AV143" s="5">
        <v>0</v>
      </c>
      <c r="AW143" s="5">
        <v>4.0000001899898052E-3</v>
      </c>
      <c r="AY143" s="5">
        <v>1.4349999999999992</v>
      </c>
      <c r="AZ143" s="5">
        <v>0.749000000000001</v>
      </c>
      <c r="BA143" s="5">
        <v>1.2839999999999998</v>
      </c>
      <c r="BB143" s="5">
        <v>0.51500000000000068</v>
      </c>
      <c r="BD143" s="5">
        <v>1.3339999914169312</v>
      </c>
      <c r="BE143" s="5">
        <v>0.43300008773803711</v>
      </c>
      <c r="BF143" s="5">
        <v>1.8329997658729553</v>
      </c>
      <c r="BG143" s="5">
        <v>1.1120002865791321</v>
      </c>
      <c r="BI143" s="5">
        <v>8</v>
      </c>
      <c r="BJ143" s="5">
        <v>2</v>
      </c>
      <c r="BK143" s="5">
        <v>3</v>
      </c>
      <c r="BL143" s="5">
        <v>3</v>
      </c>
      <c r="BN143" s="5">
        <v>17</v>
      </c>
      <c r="BO143" s="5">
        <v>9</v>
      </c>
      <c r="BP143" s="5">
        <v>10</v>
      </c>
      <c r="BQ143" s="5">
        <v>10</v>
      </c>
      <c r="BS143" s="5">
        <v>0.9179999828338623</v>
      </c>
      <c r="BT143" s="5">
        <v>2.9279999732971191</v>
      </c>
      <c r="BU143" s="5">
        <v>0.88400000333786011</v>
      </c>
      <c r="BV143" s="5">
        <v>0.2720000147819519</v>
      </c>
      <c r="BX143" s="5">
        <v>0</v>
      </c>
      <c r="BY143" s="5">
        <v>0.10000000000000009</v>
      </c>
      <c r="BZ143" s="5">
        <v>0.4009999999999998</v>
      </c>
      <c r="CA143" s="5">
        <v>0</v>
      </c>
      <c r="CC143" s="5">
        <v>0</v>
      </c>
      <c r="CD143" s="5">
        <v>9.9999904632568359E-2</v>
      </c>
      <c r="CE143" s="5">
        <v>0.16700005531311035</v>
      </c>
      <c r="CF143" s="5">
        <v>0</v>
      </c>
      <c r="CH143" s="5">
        <v>0</v>
      </c>
      <c r="CI143" s="5">
        <v>1</v>
      </c>
      <c r="CJ143" s="5">
        <v>1</v>
      </c>
      <c r="CK143" s="5">
        <v>0</v>
      </c>
      <c r="CM143" s="5">
        <v>0</v>
      </c>
      <c r="CN143" s="5">
        <v>3</v>
      </c>
      <c r="CO143" s="5">
        <v>3</v>
      </c>
      <c r="CP143" s="5">
        <v>0</v>
      </c>
      <c r="CR143" s="5">
        <v>4.0110000000000001</v>
      </c>
      <c r="CS143" s="5">
        <v>3.8110001087188721</v>
      </c>
      <c r="CT143" s="5">
        <v>3.3829998970031738</v>
      </c>
      <c r="CU143" s="5">
        <v>4.0460000000000003</v>
      </c>
    </row>
    <row r="144" spans="1:99" s="5" customFormat="1" x14ac:dyDescent="0.35">
      <c r="A144" s="4" t="s">
        <v>142</v>
      </c>
      <c r="B144" s="4">
        <v>5.5</v>
      </c>
      <c r="C144" s="4" t="s">
        <v>168</v>
      </c>
      <c r="D144" s="4" t="s">
        <v>404</v>
      </c>
      <c r="F144" s="5">
        <v>1000</v>
      </c>
      <c r="G144" s="5">
        <v>4.0030000000000001</v>
      </c>
      <c r="H144" s="5">
        <v>4.0309999999999997</v>
      </c>
      <c r="I144" s="5">
        <v>3.9750000000000001</v>
      </c>
      <c r="K144" s="5">
        <v>1000</v>
      </c>
      <c r="L144" s="5">
        <v>3.9830000000000001</v>
      </c>
      <c r="M144" s="5">
        <v>4.016</v>
      </c>
      <c r="N144" s="5">
        <v>3.4659999999999997</v>
      </c>
      <c r="P144" s="5">
        <v>1000</v>
      </c>
      <c r="Q144" s="5">
        <v>3.8639998426660895</v>
      </c>
      <c r="R144" s="5">
        <v>3.7979998867958784</v>
      </c>
      <c r="S144" s="5">
        <v>3.0829998031258583</v>
      </c>
      <c r="U144" s="5">
        <v>1000</v>
      </c>
      <c r="V144" s="5">
        <v>8</v>
      </c>
      <c r="W144" s="5">
        <v>9</v>
      </c>
      <c r="X144" s="5">
        <v>8</v>
      </c>
      <c r="Z144" s="5">
        <v>1000</v>
      </c>
      <c r="AA144" s="5">
        <v>3.9830000000000001</v>
      </c>
      <c r="AB144" s="5">
        <v>4.016</v>
      </c>
      <c r="AC144" s="5">
        <v>3.1829999999999998</v>
      </c>
      <c r="AE144" s="5">
        <v>1000</v>
      </c>
      <c r="AF144" s="5">
        <v>3.8639998426660895</v>
      </c>
      <c r="AG144" s="5">
        <v>3.7979998867958784</v>
      </c>
      <c r="AH144" s="5">
        <v>3.0829998031258583</v>
      </c>
      <c r="AJ144" s="5">
        <v>1000</v>
      </c>
      <c r="AK144" s="5">
        <v>8</v>
      </c>
      <c r="AL144" s="5">
        <v>9</v>
      </c>
      <c r="AM144" s="5">
        <v>8</v>
      </c>
      <c r="AO144" s="5">
        <v>1000</v>
      </c>
      <c r="AP144" s="5">
        <v>1</v>
      </c>
      <c r="AQ144" s="5">
        <v>1</v>
      </c>
      <c r="AR144" s="5">
        <v>2</v>
      </c>
      <c r="AT144" s="5">
        <v>1000</v>
      </c>
      <c r="AU144" s="5">
        <v>7.0000002160668373E-3</v>
      </c>
      <c r="AV144" s="5">
        <v>1.4000000432133675E-2</v>
      </c>
      <c r="AW144" s="5">
        <v>1.0999999940395355E-2</v>
      </c>
      <c r="AY144" s="5">
        <v>1000</v>
      </c>
      <c r="AZ144" s="5">
        <v>1.9329999999999998</v>
      </c>
      <c r="BA144" s="5">
        <v>3.2149999999999999</v>
      </c>
      <c r="BB144" s="5">
        <v>2.117</v>
      </c>
      <c r="BD144" s="5">
        <v>1000</v>
      </c>
      <c r="BE144" s="5">
        <v>1.9150000512599945</v>
      </c>
      <c r="BF144" s="5">
        <v>3.4149998724460602</v>
      </c>
      <c r="BG144" s="5">
        <v>1.9660000801086426</v>
      </c>
      <c r="BI144" s="5">
        <v>1000</v>
      </c>
      <c r="BJ144" s="5">
        <v>4</v>
      </c>
      <c r="BK144" s="5">
        <v>8</v>
      </c>
      <c r="BL144" s="5">
        <v>4</v>
      </c>
      <c r="BN144" s="5">
        <v>1000</v>
      </c>
      <c r="BO144" s="5">
        <v>2</v>
      </c>
      <c r="BP144" s="5">
        <v>3</v>
      </c>
      <c r="BQ144" s="5">
        <v>2</v>
      </c>
      <c r="BS144" s="5">
        <v>1000</v>
      </c>
      <c r="BT144" s="5">
        <v>0.42399999499320984</v>
      </c>
      <c r="BU144" s="5">
        <v>0.414000004529953</v>
      </c>
      <c r="BV144" s="5">
        <v>0.36100000143051147</v>
      </c>
      <c r="BX144" s="5">
        <v>1000</v>
      </c>
      <c r="BY144" s="5">
        <v>1.2999999999999998</v>
      </c>
      <c r="BZ144" s="5">
        <v>0</v>
      </c>
      <c r="CA144" s="5">
        <v>0</v>
      </c>
      <c r="CC144" s="5">
        <v>1000</v>
      </c>
      <c r="CD144" s="5">
        <v>1.2159998416900635</v>
      </c>
      <c r="CE144" s="5">
        <v>0</v>
      </c>
      <c r="CF144" s="5">
        <v>0</v>
      </c>
      <c r="CH144" s="5">
        <v>1000</v>
      </c>
      <c r="CI144" s="5">
        <v>1</v>
      </c>
      <c r="CJ144" s="5">
        <v>0</v>
      </c>
      <c r="CK144" s="5">
        <v>0</v>
      </c>
      <c r="CM144" s="5">
        <v>1000</v>
      </c>
      <c r="CN144" s="5">
        <v>2</v>
      </c>
      <c r="CO144" s="5">
        <v>0</v>
      </c>
      <c r="CP144" s="5">
        <v>0</v>
      </c>
      <c r="CR144" s="5">
        <v>1000</v>
      </c>
      <c r="CS144" s="5">
        <v>2.4070000648498535</v>
      </c>
      <c r="CT144" s="5">
        <v>4.0309999999999997</v>
      </c>
      <c r="CU144" s="5">
        <v>3.9750000000000001</v>
      </c>
    </row>
    <row r="145" spans="1:99" s="5" customFormat="1" x14ac:dyDescent="0.35">
      <c r="A145" s="4" t="s">
        <v>143</v>
      </c>
      <c r="B145" s="4">
        <v>13.083333333333334</v>
      </c>
      <c r="C145" s="4" t="s">
        <v>168</v>
      </c>
      <c r="D145" s="4" t="s">
        <v>404</v>
      </c>
      <c r="F145" s="5">
        <v>1000</v>
      </c>
      <c r="G145" s="5">
        <v>4.016</v>
      </c>
      <c r="H145" s="5">
        <v>4.016</v>
      </c>
      <c r="I145" s="5">
        <v>4.0620000000000003</v>
      </c>
      <c r="K145" s="5">
        <v>1000</v>
      </c>
      <c r="L145" s="5">
        <v>3.9989999999999997</v>
      </c>
      <c r="M145" s="5">
        <v>3.6819999999999999</v>
      </c>
      <c r="N145" s="5">
        <v>4.0490000000000004</v>
      </c>
      <c r="P145" s="5">
        <v>1000</v>
      </c>
      <c r="Q145" s="5">
        <v>3.347000278532505</v>
      </c>
      <c r="R145" s="5">
        <v>2.6820000131847337</v>
      </c>
      <c r="S145" s="5">
        <v>3.0820004865527153</v>
      </c>
      <c r="U145" s="5">
        <v>1000</v>
      </c>
      <c r="V145" s="5">
        <v>7</v>
      </c>
      <c r="W145" s="5">
        <v>7</v>
      </c>
      <c r="X145" s="5">
        <v>14</v>
      </c>
      <c r="Z145" s="5">
        <v>1000</v>
      </c>
      <c r="AA145" s="5">
        <v>2.7819999999999996</v>
      </c>
      <c r="AB145" s="5">
        <v>2.8469999999999995</v>
      </c>
      <c r="AC145" s="5">
        <v>3.9320000000000004</v>
      </c>
      <c r="AE145" s="5">
        <v>1000</v>
      </c>
      <c r="AF145" s="5">
        <v>2.94700026512146</v>
      </c>
      <c r="AG145" s="5">
        <v>2.6820000131847337</v>
      </c>
      <c r="AH145" s="5">
        <v>3.0820004865527153</v>
      </c>
      <c r="AJ145" s="5">
        <v>1000</v>
      </c>
      <c r="AK145" s="5">
        <v>6</v>
      </c>
      <c r="AL145" s="5">
        <v>7</v>
      </c>
      <c r="AM145" s="5">
        <v>14</v>
      </c>
      <c r="AO145" s="5">
        <v>1000</v>
      </c>
      <c r="AP145" s="5">
        <v>5</v>
      </c>
      <c r="AQ145" s="5">
        <v>5</v>
      </c>
      <c r="AR145" s="5">
        <v>2</v>
      </c>
      <c r="AT145" s="5">
        <v>1000</v>
      </c>
      <c r="AU145" s="5">
        <v>0.59500002861022949</v>
      </c>
      <c r="AV145" s="5">
        <v>1.0000000474974513E-3</v>
      </c>
      <c r="AW145" s="5">
        <v>2.6000000536441803E-2</v>
      </c>
      <c r="AY145" s="5">
        <v>1000</v>
      </c>
      <c r="AZ145" s="5">
        <v>8.1999999999999851E-2</v>
      </c>
      <c r="BA145" s="5">
        <v>0</v>
      </c>
      <c r="BB145" s="5">
        <v>0.29999999999999982</v>
      </c>
      <c r="BD145" s="5">
        <v>1000</v>
      </c>
      <c r="BE145" s="5">
        <v>0</v>
      </c>
      <c r="BF145" s="5">
        <v>0</v>
      </c>
      <c r="BG145" s="5">
        <v>0.28299987316131592</v>
      </c>
      <c r="BI145" s="5">
        <v>1000</v>
      </c>
      <c r="BJ145" s="5">
        <v>0</v>
      </c>
      <c r="BK145" s="5">
        <v>0</v>
      </c>
      <c r="BL145" s="5">
        <v>2</v>
      </c>
      <c r="BN145" s="5">
        <v>1000</v>
      </c>
      <c r="BO145" s="5">
        <v>2</v>
      </c>
      <c r="BP145" s="5">
        <v>0</v>
      </c>
      <c r="BQ145" s="5">
        <v>3</v>
      </c>
      <c r="BS145" s="5">
        <v>1000</v>
      </c>
      <c r="BT145" s="5">
        <v>4.016</v>
      </c>
      <c r="BU145" s="5">
        <v>4.016</v>
      </c>
      <c r="BV145" s="5">
        <v>1.7929999828338623</v>
      </c>
      <c r="BX145" s="5">
        <v>1000</v>
      </c>
      <c r="BY145" s="5">
        <v>0</v>
      </c>
      <c r="BZ145" s="5">
        <v>0</v>
      </c>
      <c r="CA145" s="5">
        <v>1.25</v>
      </c>
      <c r="CC145" s="5">
        <v>1000</v>
      </c>
      <c r="CD145" s="5">
        <v>0</v>
      </c>
      <c r="CE145" s="5">
        <v>0</v>
      </c>
      <c r="CF145" s="5">
        <v>1.400000236928463</v>
      </c>
      <c r="CH145" s="5">
        <v>1000</v>
      </c>
      <c r="CI145" s="5">
        <v>0</v>
      </c>
      <c r="CJ145" s="5">
        <v>0</v>
      </c>
      <c r="CK145" s="5">
        <v>5</v>
      </c>
      <c r="CM145" s="5">
        <v>1000</v>
      </c>
      <c r="CN145" s="5">
        <v>0</v>
      </c>
      <c r="CO145" s="5">
        <v>0</v>
      </c>
      <c r="CP145" s="5">
        <v>4</v>
      </c>
      <c r="CR145" s="5">
        <v>1000</v>
      </c>
      <c r="CS145" s="5">
        <v>4.016</v>
      </c>
      <c r="CT145" s="5">
        <v>4.016</v>
      </c>
      <c r="CU145" s="5">
        <v>2.6000000536441803E-2</v>
      </c>
    </row>
    <row r="146" spans="1:99" s="5" customFormat="1" x14ac:dyDescent="0.35">
      <c r="A146" s="4" t="s">
        <v>144</v>
      </c>
      <c r="B146" s="4">
        <v>6.833333333333333</v>
      </c>
      <c r="C146" s="4" t="s">
        <v>168</v>
      </c>
      <c r="D146" s="4" t="s">
        <v>404</v>
      </c>
      <c r="F146" s="5">
        <v>2.1609999999999996</v>
      </c>
      <c r="G146" s="5">
        <v>2.8249999999999997</v>
      </c>
      <c r="H146" s="5">
        <v>1000</v>
      </c>
      <c r="I146" s="5">
        <v>4.0110000000000001</v>
      </c>
      <c r="K146" s="5">
        <v>2.0329999999999999</v>
      </c>
      <c r="L146" s="5">
        <v>2.6</v>
      </c>
      <c r="M146" s="5">
        <v>1000</v>
      </c>
      <c r="N146" s="5">
        <v>3.7489999999999997</v>
      </c>
      <c r="P146" s="5">
        <v>1.4829998761415482</v>
      </c>
      <c r="Q146" s="5">
        <v>2.2150000333786011</v>
      </c>
      <c r="R146" s="5">
        <v>1000</v>
      </c>
      <c r="S146" s="5">
        <v>2.8490000665187836</v>
      </c>
      <c r="U146" s="5">
        <v>4</v>
      </c>
      <c r="V146" s="5">
        <v>6</v>
      </c>
      <c r="W146" s="5">
        <v>1000</v>
      </c>
      <c r="X146" s="5">
        <v>9</v>
      </c>
      <c r="Z146" s="5">
        <v>2.0329999999999999</v>
      </c>
      <c r="AA146" s="5">
        <v>2.6</v>
      </c>
      <c r="AB146" s="5">
        <v>1000</v>
      </c>
      <c r="AC146" s="5">
        <v>3.7489999999999997</v>
      </c>
      <c r="AE146" s="5">
        <v>1.4829998761415482</v>
      </c>
      <c r="AF146" s="5">
        <v>2.2150000333786011</v>
      </c>
      <c r="AG146" s="5">
        <v>1000</v>
      </c>
      <c r="AH146" s="5">
        <v>2.8490000665187836</v>
      </c>
      <c r="AJ146" s="5">
        <v>4</v>
      </c>
      <c r="AK146" s="5">
        <v>6</v>
      </c>
      <c r="AL146" s="5">
        <v>1000</v>
      </c>
      <c r="AM146" s="5">
        <v>9</v>
      </c>
      <c r="AO146" s="5">
        <v>2</v>
      </c>
      <c r="AP146" s="5">
        <v>1</v>
      </c>
      <c r="AQ146" s="5">
        <v>1000</v>
      </c>
      <c r="AR146" s="5">
        <v>1</v>
      </c>
      <c r="AT146" s="5">
        <v>0.22300000488758087</v>
      </c>
      <c r="AU146" s="5">
        <v>1.2020000219345093</v>
      </c>
      <c r="AV146" s="5">
        <v>1000</v>
      </c>
      <c r="AW146" s="5">
        <v>0.25600001215934753</v>
      </c>
      <c r="AY146" s="5">
        <v>1.4660000000000002</v>
      </c>
      <c r="AZ146" s="5">
        <v>1.8660000000000001</v>
      </c>
      <c r="BA146" s="5">
        <v>1000</v>
      </c>
      <c r="BB146" s="5">
        <v>1.3819999999999997</v>
      </c>
      <c r="BD146" s="5">
        <v>1.4829998761415482</v>
      </c>
      <c r="BE146" s="5">
        <v>1.9490001201629639</v>
      </c>
      <c r="BF146" s="5">
        <v>1000</v>
      </c>
      <c r="BG146" s="5">
        <v>1.432999849319458</v>
      </c>
      <c r="BI146" s="5">
        <v>4</v>
      </c>
      <c r="BJ146" s="5">
        <v>4</v>
      </c>
      <c r="BK146" s="5">
        <v>1000</v>
      </c>
      <c r="BL146" s="5">
        <v>3</v>
      </c>
      <c r="BN146" s="5">
        <v>3</v>
      </c>
      <c r="BO146" s="5">
        <v>3</v>
      </c>
      <c r="BP146" s="5">
        <v>1000</v>
      </c>
      <c r="BQ146" s="5">
        <v>3</v>
      </c>
      <c r="BS146" s="5">
        <v>0.22300000488758087</v>
      </c>
      <c r="BT146" s="5">
        <v>1.3190000057220459</v>
      </c>
      <c r="BU146" s="5">
        <v>1000</v>
      </c>
      <c r="BV146" s="5">
        <v>1.0729999542236328</v>
      </c>
      <c r="BX146" s="5">
        <v>0</v>
      </c>
      <c r="BY146" s="5">
        <v>0</v>
      </c>
      <c r="BZ146" s="5">
        <v>1000</v>
      </c>
      <c r="CA146" s="5">
        <v>0.61700000000000021</v>
      </c>
      <c r="CC146" s="5">
        <v>0</v>
      </c>
      <c r="CD146" s="5">
        <v>0</v>
      </c>
      <c r="CE146" s="5">
        <v>1000</v>
      </c>
      <c r="CF146" s="5">
        <v>0.68200016021728516</v>
      </c>
      <c r="CH146" s="5">
        <v>0</v>
      </c>
      <c r="CI146" s="5">
        <v>0</v>
      </c>
      <c r="CJ146" s="5">
        <v>1000</v>
      </c>
      <c r="CK146" s="5">
        <v>3</v>
      </c>
      <c r="CM146" s="5">
        <v>1</v>
      </c>
      <c r="CN146" s="5">
        <v>0</v>
      </c>
      <c r="CO146" s="5">
        <v>1000</v>
      </c>
      <c r="CP146" s="5">
        <v>4</v>
      </c>
      <c r="CR146" s="5">
        <v>4.01</v>
      </c>
      <c r="CS146" s="5">
        <v>4.01</v>
      </c>
      <c r="CT146" s="5">
        <v>1000</v>
      </c>
      <c r="CU146" s="5">
        <v>3.0559999942779541</v>
      </c>
    </row>
    <row r="147" spans="1:99" s="5" customFormat="1" x14ac:dyDescent="0.35">
      <c r="A147" s="4" t="s">
        <v>145</v>
      </c>
      <c r="B147" s="4">
        <v>6.583333333333333</v>
      </c>
      <c r="C147" s="4" t="s">
        <v>168</v>
      </c>
      <c r="D147" s="4" t="s">
        <v>404</v>
      </c>
      <c r="F147" s="5">
        <v>4.016</v>
      </c>
      <c r="G147" s="5">
        <v>4.0629999999999997</v>
      </c>
      <c r="H147" s="5">
        <v>4.0019999999999998</v>
      </c>
      <c r="I147" s="5">
        <v>4.0259999999999998</v>
      </c>
      <c r="K147" s="5">
        <v>3.9990000000000001</v>
      </c>
      <c r="L147" s="5">
        <v>4.0490000000000004</v>
      </c>
      <c r="M147" s="5">
        <v>3.9830000000000001</v>
      </c>
      <c r="N147" s="5">
        <v>4.0150000000000006</v>
      </c>
      <c r="P147" s="5">
        <v>2.6660002507269382</v>
      </c>
      <c r="Q147" s="5">
        <v>3.9490000088699162</v>
      </c>
      <c r="R147" s="5">
        <v>3.280000195838511</v>
      </c>
      <c r="S147" s="5">
        <v>3.282000383362174</v>
      </c>
      <c r="U147" s="5">
        <v>9</v>
      </c>
      <c r="V147" s="5">
        <v>7</v>
      </c>
      <c r="W147" s="5">
        <v>9</v>
      </c>
      <c r="X147" s="5">
        <v>10</v>
      </c>
      <c r="Z147" s="5">
        <v>3.2149999999999999</v>
      </c>
      <c r="AA147" s="5">
        <v>4.0490000000000004</v>
      </c>
      <c r="AB147" s="5">
        <v>3.9830000000000001</v>
      </c>
      <c r="AC147" s="5">
        <v>3.2150000000000007</v>
      </c>
      <c r="AE147" s="5">
        <v>2.6660002507269382</v>
      </c>
      <c r="AF147" s="5">
        <v>3.9490000088699162</v>
      </c>
      <c r="AG147" s="5">
        <v>3.280000195838511</v>
      </c>
      <c r="AH147" s="5">
        <v>2.8990003671497107</v>
      </c>
      <c r="AJ147" s="5">
        <v>9</v>
      </c>
      <c r="AK147" s="5">
        <v>7</v>
      </c>
      <c r="AL147" s="5">
        <v>9</v>
      </c>
      <c r="AM147" s="5">
        <v>8</v>
      </c>
      <c r="AO147" s="5">
        <v>3</v>
      </c>
      <c r="AP147" s="5">
        <v>1</v>
      </c>
      <c r="AQ147" s="5">
        <v>1</v>
      </c>
      <c r="AR147" s="5">
        <v>2</v>
      </c>
      <c r="AT147" s="5">
        <v>8.999999612569809E-3</v>
      </c>
      <c r="AU147" s="5">
        <v>4.0000001899898052E-3</v>
      </c>
      <c r="AV147" s="5">
        <v>1.4999999664723873E-2</v>
      </c>
      <c r="AW147" s="5">
        <v>9.9999997764825821E-3</v>
      </c>
      <c r="AY147" s="5">
        <v>1.7480000000000002</v>
      </c>
      <c r="AZ147" s="5">
        <v>2.5830000000000002</v>
      </c>
      <c r="BA147" s="5">
        <v>0.56700000000000017</v>
      </c>
      <c r="BB147" s="5">
        <v>1.3650000000000002</v>
      </c>
      <c r="BD147" s="5">
        <v>1.6990000009536743</v>
      </c>
      <c r="BE147" s="5">
        <v>2.265999972820282</v>
      </c>
      <c r="BF147" s="5">
        <v>0.49900013208389282</v>
      </c>
      <c r="BG147" s="5">
        <v>1.5340001583099365</v>
      </c>
      <c r="BI147" s="5">
        <v>5</v>
      </c>
      <c r="BJ147" s="5">
        <v>4</v>
      </c>
      <c r="BK147" s="5">
        <v>2</v>
      </c>
      <c r="BL147" s="5">
        <v>3</v>
      </c>
      <c r="BN147" s="5">
        <v>3</v>
      </c>
      <c r="BO147" s="5">
        <v>3</v>
      </c>
      <c r="BP147" s="5">
        <v>3</v>
      </c>
      <c r="BQ147" s="5">
        <v>4</v>
      </c>
      <c r="BS147" s="5">
        <v>0.55900001525878906</v>
      </c>
      <c r="BT147" s="5">
        <v>0.50400000810623169</v>
      </c>
      <c r="BU147" s="5">
        <v>0.68199998140335083</v>
      </c>
      <c r="BV147" s="5">
        <v>0.57599997520446777</v>
      </c>
      <c r="BX147" s="5">
        <v>0</v>
      </c>
      <c r="BY147" s="5">
        <v>0</v>
      </c>
      <c r="BZ147" s="5">
        <v>0</v>
      </c>
      <c r="CA147" s="5">
        <v>0.23299999999999998</v>
      </c>
      <c r="CC147" s="5">
        <v>0</v>
      </c>
      <c r="CD147" s="5">
        <v>0</v>
      </c>
      <c r="CE147" s="5">
        <v>0</v>
      </c>
      <c r="CF147" s="5">
        <v>0</v>
      </c>
      <c r="CH147" s="5">
        <v>0</v>
      </c>
      <c r="CI147" s="5">
        <v>0</v>
      </c>
      <c r="CJ147" s="5">
        <v>0</v>
      </c>
      <c r="CK147" s="5">
        <v>0</v>
      </c>
      <c r="CM147" s="5">
        <v>0</v>
      </c>
      <c r="CN147" s="5">
        <v>0</v>
      </c>
      <c r="CO147" s="5">
        <v>0</v>
      </c>
      <c r="CP147" s="5">
        <v>1</v>
      </c>
      <c r="CR147" s="5">
        <v>4.016</v>
      </c>
      <c r="CS147" s="5">
        <v>4.0629999999999997</v>
      </c>
      <c r="CT147" s="5">
        <v>4.0019999999999998</v>
      </c>
      <c r="CU147" s="5">
        <v>4.0259999999999998</v>
      </c>
    </row>
    <row r="148" spans="1:99" s="5" customFormat="1" x14ac:dyDescent="0.35">
      <c r="A148" s="4" t="s">
        <v>146</v>
      </c>
      <c r="B148" s="4">
        <v>8.25</v>
      </c>
      <c r="C148" s="4" t="s">
        <v>167</v>
      </c>
      <c r="D148" s="4" t="s">
        <v>404</v>
      </c>
      <c r="F148" s="5">
        <v>1000</v>
      </c>
      <c r="G148" s="5">
        <v>4.0259999999999998</v>
      </c>
      <c r="H148" s="5">
        <v>1.3780000000000001</v>
      </c>
      <c r="I148" s="5">
        <v>2.0270000000000001</v>
      </c>
      <c r="K148" s="5">
        <v>1000</v>
      </c>
      <c r="L148" s="5">
        <v>3.7489999999999997</v>
      </c>
      <c r="M148" s="5">
        <v>1000</v>
      </c>
      <c r="N148" s="5">
        <v>2.0150000000000006</v>
      </c>
      <c r="P148" s="5">
        <v>1000</v>
      </c>
      <c r="Q148" s="5">
        <v>1.632999986410141</v>
      </c>
      <c r="R148" s="5">
        <v>1000</v>
      </c>
      <c r="S148" s="5">
        <v>0.48400003113783896</v>
      </c>
      <c r="U148" s="5">
        <v>1000</v>
      </c>
      <c r="V148" s="5">
        <v>6</v>
      </c>
      <c r="W148" s="5">
        <v>1000</v>
      </c>
      <c r="X148" s="5">
        <v>3</v>
      </c>
      <c r="Z148" s="5">
        <v>1000</v>
      </c>
      <c r="AA148" s="5">
        <v>3.5329999999999999</v>
      </c>
      <c r="AB148" s="5">
        <v>1000</v>
      </c>
      <c r="AC148" s="5">
        <v>1.1820000000000004</v>
      </c>
      <c r="AE148" s="5">
        <v>1000</v>
      </c>
      <c r="AF148" s="5">
        <v>1.632999986410141</v>
      </c>
      <c r="AG148" s="5">
        <v>1000</v>
      </c>
      <c r="AH148" s="5">
        <v>0.48400003113783896</v>
      </c>
      <c r="AJ148" s="5">
        <v>1000</v>
      </c>
      <c r="AK148" s="5">
        <v>6</v>
      </c>
      <c r="AL148" s="5">
        <v>1000</v>
      </c>
      <c r="AM148" s="5">
        <v>3</v>
      </c>
      <c r="AO148" s="5">
        <v>1000</v>
      </c>
      <c r="AP148" s="5">
        <v>4</v>
      </c>
      <c r="AQ148" s="5">
        <v>1000</v>
      </c>
      <c r="AR148" s="5">
        <v>5</v>
      </c>
      <c r="AT148" s="5">
        <v>1000</v>
      </c>
      <c r="AU148" s="5">
        <v>0.43200001120567322</v>
      </c>
      <c r="AV148" s="5">
        <v>1000</v>
      </c>
      <c r="AW148" s="5">
        <v>2.0000000949949026E-3</v>
      </c>
      <c r="AY148" s="5">
        <v>1000</v>
      </c>
      <c r="AZ148" s="5">
        <v>0.25000000000000022</v>
      </c>
      <c r="BA148" s="5">
        <v>1000</v>
      </c>
      <c r="BB148" s="5">
        <v>0</v>
      </c>
      <c r="BD148" s="5">
        <v>1000</v>
      </c>
      <c r="BE148" s="5">
        <v>0.1159999668598175</v>
      </c>
      <c r="BF148" s="5">
        <v>1000</v>
      </c>
      <c r="BG148" s="5">
        <v>0</v>
      </c>
      <c r="BI148" s="5">
        <v>1000</v>
      </c>
      <c r="BJ148" s="5">
        <v>1</v>
      </c>
      <c r="BK148" s="5">
        <v>1000</v>
      </c>
      <c r="BL148" s="5">
        <v>0</v>
      </c>
      <c r="BN148" s="5">
        <v>1000</v>
      </c>
      <c r="BO148" s="5">
        <v>13</v>
      </c>
      <c r="BP148" s="5">
        <v>1000</v>
      </c>
      <c r="BQ148" s="5">
        <v>1</v>
      </c>
      <c r="BS148" s="5">
        <v>1000</v>
      </c>
      <c r="BT148" s="5">
        <v>0.43200001120567322</v>
      </c>
      <c r="BU148" s="5">
        <v>1000</v>
      </c>
      <c r="BV148" s="5">
        <v>4.0110000000000001</v>
      </c>
      <c r="BX148" s="5">
        <v>1000</v>
      </c>
      <c r="BY148" s="5">
        <v>0</v>
      </c>
      <c r="BZ148" s="5">
        <v>1000</v>
      </c>
      <c r="CA148" s="5">
        <v>0</v>
      </c>
      <c r="CC148" s="5">
        <v>1000</v>
      </c>
      <c r="CD148" s="5">
        <v>0</v>
      </c>
      <c r="CE148" s="5">
        <v>1000</v>
      </c>
      <c r="CF148" s="5">
        <v>0</v>
      </c>
      <c r="CH148" s="5">
        <v>1000</v>
      </c>
      <c r="CI148" s="5">
        <v>0</v>
      </c>
      <c r="CJ148" s="5">
        <v>1000</v>
      </c>
      <c r="CK148" s="5">
        <v>0</v>
      </c>
      <c r="CM148" s="5">
        <v>1000</v>
      </c>
      <c r="CN148" s="5">
        <v>0</v>
      </c>
      <c r="CO148" s="5">
        <v>1000</v>
      </c>
      <c r="CP148" s="5">
        <v>1</v>
      </c>
      <c r="CR148" s="5">
        <v>1000</v>
      </c>
      <c r="CS148" s="5">
        <v>4.0259999999999998</v>
      </c>
      <c r="CT148" s="5">
        <v>1000</v>
      </c>
      <c r="CU148" s="5">
        <v>4.0110000000000001</v>
      </c>
    </row>
    <row r="149" spans="1:99" s="5" customFormat="1" x14ac:dyDescent="0.35">
      <c r="A149" s="4" t="s">
        <v>147</v>
      </c>
      <c r="B149" s="4">
        <v>6.083333333333333</v>
      </c>
      <c r="C149" s="4" t="s">
        <v>168</v>
      </c>
      <c r="D149" s="4" t="s">
        <v>404</v>
      </c>
      <c r="F149" s="5">
        <v>4.0110000000000001</v>
      </c>
      <c r="G149" s="5">
        <v>4.016</v>
      </c>
      <c r="H149" s="5">
        <v>4.01</v>
      </c>
      <c r="I149" s="5">
        <v>4.0149999999999997</v>
      </c>
      <c r="K149" s="5">
        <v>3.9830000000000001</v>
      </c>
      <c r="L149" s="5">
        <v>3.9989999999999997</v>
      </c>
      <c r="M149" s="5">
        <v>3.9990000000000001</v>
      </c>
      <c r="N149" s="5">
        <v>3.9990000000000001</v>
      </c>
      <c r="P149" s="5">
        <v>3.8500000694766641</v>
      </c>
      <c r="Q149" s="5">
        <v>3.6850002482533455</v>
      </c>
      <c r="R149" s="5">
        <v>3.9330002358183265</v>
      </c>
      <c r="S149" s="5">
        <v>3.8320002080872655</v>
      </c>
      <c r="U149" s="5">
        <v>7</v>
      </c>
      <c r="V149" s="5">
        <v>11</v>
      </c>
      <c r="W149" s="5">
        <v>5</v>
      </c>
      <c r="X149" s="5">
        <v>8</v>
      </c>
      <c r="Z149" s="5">
        <v>3.9830000000000001</v>
      </c>
      <c r="AA149" s="5">
        <v>3.9149999999999996</v>
      </c>
      <c r="AB149" s="5">
        <v>3.9990000000000001</v>
      </c>
      <c r="AC149" s="5">
        <v>3.9990000000000001</v>
      </c>
      <c r="AE149" s="5">
        <v>3.8500000694766641</v>
      </c>
      <c r="AF149" s="5">
        <v>3.6850002482533455</v>
      </c>
      <c r="AG149" s="5">
        <v>3.9330002358183265</v>
      </c>
      <c r="AH149" s="5">
        <v>3.8320002080872655</v>
      </c>
      <c r="AJ149" s="5">
        <v>7</v>
      </c>
      <c r="AK149" s="5">
        <v>11</v>
      </c>
      <c r="AL149" s="5">
        <v>5</v>
      </c>
      <c r="AM149" s="5">
        <v>8</v>
      </c>
      <c r="AO149" s="5">
        <v>1</v>
      </c>
      <c r="AP149" s="5">
        <v>3</v>
      </c>
      <c r="AQ149" s="5">
        <v>1</v>
      </c>
      <c r="AR149" s="5">
        <v>1</v>
      </c>
      <c r="AT149" s="5">
        <v>1.4999999664723873E-2</v>
      </c>
      <c r="AU149" s="5">
        <v>1.0999999940395355E-2</v>
      </c>
      <c r="AV149" s="5">
        <v>7.0000002160668373E-3</v>
      </c>
      <c r="AW149" s="5">
        <v>6.0000000521540642E-3</v>
      </c>
      <c r="AY149" s="5">
        <v>0.55000000000000027</v>
      </c>
      <c r="AZ149" s="5">
        <v>1.4170000000000003</v>
      </c>
      <c r="BA149" s="5">
        <v>0.88300000000000001</v>
      </c>
      <c r="BB149" s="5">
        <v>0.68300000000000027</v>
      </c>
      <c r="BD149" s="5">
        <v>0.31700003147125244</v>
      </c>
      <c r="BE149" s="5">
        <v>1.6020000576972961</v>
      </c>
      <c r="BF149" s="5">
        <v>0.15000009536743164</v>
      </c>
      <c r="BG149" s="5">
        <v>0.71599987149238586</v>
      </c>
      <c r="BI149" s="5">
        <v>1</v>
      </c>
      <c r="BJ149" s="5">
        <v>5</v>
      </c>
      <c r="BK149" s="5">
        <v>1</v>
      </c>
      <c r="BL149" s="5">
        <v>3</v>
      </c>
      <c r="BN149" s="5">
        <v>4</v>
      </c>
      <c r="BO149" s="5">
        <v>5</v>
      </c>
      <c r="BP149" s="5">
        <v>2</v>
      </c>
      <c r="BQ149" s="5">
        <v>2</v>
      </c>
      <c r="BS149" s="5">
        <v>0.31499999761581421</v>
      </c>
      <c r="BT149" s="5">
        <v>0.36100000143051147</v>
      </c>
      <c r="BU149" s="5">
        <v>3.8559999465942383</v>
      </c>
      <c r="BV149" s="5">
        <v>0.48899999260902405</v>
      </c>
      <c r="BX149" s="5">
        <v>0</v>
      </c>
      <c r="BY149" s="5">
        <v>0.33300000000000018</v>
      </c>
      <c r="BZ149" s="5">
        <v>0</v>
      </c>
      <c r="CA149" s="5">
        <v>0.23299999999999998</v>
      </c>
      <c r="CC149" s="5">
        <v>0</v>
      </c>
      <c r="CD149" s="5">
        <v>0.33300018310546875</v>
      </c>
      <c r="CE149" s="5">
        <v>0</v>
      </c>
      <c r="CF149" s="5">
        <v>0</v>
      </c>
      <c r="CH149" s="5">
        <v>0</v>
      </c>
      <c r="CI149" s="5">
        <v>1</v>
      </c>
      <c r="CJ149" s="5">
        <v>0</v>
      </c>
      <c r="CK149" s="5">
        <v>0</v>
      </c>
      <c r="CM149" s="5">
        <v>0</v>
      </c>
      <c r="CN149" s="5">
        <v>1</v>
      </c>
      <c r="CO149" s="5">
        <v>0</v>
      </c>
      <c r="CP149" s="5">
        <v>1</v>
      </c>
      <c r="CR149" s="5">
        <v>4.0110000000000001</v>
      </c>
      <c r="CS149" s="5">
        <v>3.3269999027252197</v>
      </c>
      <c r="CT149" s="5">
        <v>4.01</v>
      </c>
      <c r="CU149" s="5">
        <v>4.0149999999999997</v>
      </c>
    </row>
    <row r="150" spans="1:99" s="5" customFormat="1" x14ac:dyDescent="0.35">
      <c r="A150" s="4" t="s">
        <v>148</v>
      </c>
      <c r="B150" s="4">
        <v>4.083333333333333</v>
      </c>
      <c r="C150" s="4" t="s">
        <v>168</v>
      </c>
      <c r="D150" s="4" t="s">
        <v>404</v>
      </c>
      <c r="F150" s="5">
        <v>1000</v>
      </c>
      <c r="G150" s="5">
        <v>1000</v>
      </c>
      <c r="H150" s="5">
        <v>1.5390000000000001</v>
      </c>
      <c r="I150" s="5">
        <v>0</v>
      </c>
      <c r="K150" s="5">
        <v>1000</v>
      </c>
      <c r="L150" s="5">
        <v>1000</v>
      </c>
      <c r="M150" s="5">
        <v>1000</v>
      </c>
      <c r="N150" s="5">
        <v>1000</v>
      </c>
      <c r="P150" s="5">
        <v>1000</v>
      </c>
      <c r="Q150" s="5">
        <v>1000</v>
      </c>
      <c r="R150" s="5">
        <v>1000</v>
      </c>
      <c r="S150" s="5">
        <v>1000</v>
      </c>
      <c r="U150" s="5">
        <v>1000</v>
      </c>
      <c r="V150" s="5">
        <v>1000</v>
      </c>
      <c r="W150" s="5">
        <v>1000</v>
      </c>
      <c r="X150" s="5">
        <v>1000</v>
      </c>
      <c r="Z150" s="5">
        <v>1000</v>
      </c>
      <c r="AA150" s="5">
        <v>1000</v>
      </c>
      <c r="AB150" s="5">
        <v>1000</v>
      </c>
      <c r="AC150" s="5">
        <v>1000</v>
      </c>
      <c r="AE150" s="5">
        <v>1000</v>
      </c>
      <c r="AF150" s="5">
        <v>1000</v>
      </c>
      <c r="AG150" s="5">
        <v>1000</v>
      </c>
      <c r="AH150" s="5">
        <v>1000</v>
      </c>
      <c r="AJ150" s="5">
        <v>1000</v>
      </c>
      <c r="AK150" s="5">
        <v>1000</v>
      </c>
      <c r="AL150" s="5">
        <v>1000</v>
      </c>
      <c r="AM150" s="5">
        <v>1000</v>
      </c>
      <c r="AO150" s="5">
        <v>1000</v>
      </c>
      <c r="AP150" s="5">
        <v>1000</v>
      </c>
      <c r="AQ150" s="5">
        <v>1000</v>
      </c>
      <c r="AR150" s="5">
        <v>1000</v>
      </c>
      <c r="AT150" s="5">
        <v>1000</v>
      </c>
      <c r="AU150" s="5">
        <v>1000</v>
      </c>
      <c r="AV150" s="5">
        <v>1000</v>
      </c>
      <c r="AW150" s="5">
        <v>1000</v>
      </c>
      <c r="AY150" s="5">
        <v>1000</v>
      </c>
      <c r="AZ150" s="5">
        <v>1000</v>
      </c>
      <c r="BA150" s="5">
        <v>1000</v>
      </c>
      <c r="BB150" s="5">
        <v>1000</v>
      </c>
      <c r="BD150" s="5">
        <v>1000</v>
      </c>
      <c r="BE150" s="5">
        <v>1000</v>
      </c>
      <c r="BF150" s="5">
        <v>1000</v>
      </c>
      <c r="BG150" s="5">
        <v>1000</v>
      </c>
      <c r="BI150" s="5">
        <v>1000</v>
      </c>
      <c r="BJ150" s="5">
        <v>1000</v>
      </c>
      <c r="BK150" s="5">
        <v>1000</v>
      </c>
      <c r="BL150" s="5">
        <v>1000</v>
      </c>
      <c r="BN150" s="5">
        <v>1000</v>
      </c>
      <c r="BO150" s="5">
        <v>1000</v>
      </c>
      <c r="BP150" s="5">
        <v>1000</v>
      </c>
      <c r="BQ150" s="5">
        <v>1000</v>
      </c>
      <c r="BS150" s="5">
        <v>1000</v>
      </c>
      <c r="BT150" s="5">
        <v>1000</v>
      </c>
      <c r="BU150" s="5">
        <v>1000</v>
      </c>
      <c r="BV150" s="5">
        <v>1000</v>
      </c>
      <c r="BX150" s="5">
        <v>1000</v>
      </c>
      <c r="BY150" s="5">
        <v>1000</v>
      </c>
      <c r="BZ150" s="5">
        <v>1000</v>
      </c>
      <c r="CA150" s="5">
        <v>1000</v>
      </c>
      <c r="CC150" s="5">
        <v>1000</v>
      </c>
      <c r="CD150" s="5">
        <v>1000</v>
      </c>
      <c r="CE150" s="5">
        <v>1000</v>
      </c>
      <c r="CF150" s="5">
        <v>1000</v>
      </c>
      <c r="CH150" s="5">
        <v>1000</v>
      </c>
      <c r="CI150" s="5">
        <v>1000</v>
      </c>
      <c r="CJ150" s="5">
        <v>1000</v>
      </c>
      <c r="CK150" s="5">
        <v>1000</v>
      </c>
      <c r="CM150" s="5">
        <v>1000</v>
      </c>
      <c r="CN150" s="5">
        <v>1000</v>
      </c>
      <c r="CO150" s="5">
        <v>1000</v>
      </c>
      <c r="CP150" s="5">
        <v>1000</v>
      </c>
      <c r="CR150" s="5">
        <v>1000</v>
      </c>
      <c r="CS150" s="5">
        <v>1000</v>
      </c>
      <c r="CT150" s="5">
        <v>1000</v>
      </c>
      <c r="CU150" s="5">
        <v>1000</v>
      </c>
    </row>
    <row r="151" spans="1:99" s="5" customFormat="1" x14ac:dyDescent="0.35">
      <c r="A151" s="4" t="s">
        <v>149</v>
      </c>
      <c r="B151" s="4">
        <v>11.166666666666666</v>
      </c>
      <c r="C151" s="4" t="s">
        <v>168</v>
      </c>
      <c r="D151" s="4" t="s">
        <v>404</v>
      </c>
      <c r="F151" s="5">
        <v>4.016</v>
      </c>
      <c r="G151" s="5">
        <v>4.016</v>
      </c>
      <c r="H151" s="5">
        <v>4.016</v>
      </c>
      <c r="I151" s="5">
        <v>4.0149999999999997</v>
      </c>
      <c r="K151" s="5">
        <v>3.3660000000000001</v>
      </c>
      <c r="L151" s="5">
        <v>3.9989999999999997</v>
      </c>
      <c r="M151" s="5">
        <v>3.9990000000000001</v>
      </c>
      <c r="N151" s="5">
        <v>4</v>
      </c>
      <c r="P151" s="5">
        <v>3.1149997711181641</v>
      </c>
      <c r="Q151" s="5">
        <v>3.9819999057799578</v>
      </c>
      <c r="R151" s="5">
        <v>3.7160004377365112</v>
      </c>
      <c r="S151" s="5">
        <v>3.7000002544373274</v>
      </c>
      <c r="U151" s="5">
        <v>6</v>
      </c>
      <c r="V151" s="5">
        <v>2</v>
      </c>
      <c r="W151" s="5">
        <v>12</v>
      </c>
      <c r="X151" s="5">
        <v>7</v>
      </c>
      <c r="Z151" s="5">
        <v>0.98299999999999998</v>
      </c>
      <c r="AA151" s="5">
        <v>3.9989999999999997</v>
      </c>
      <c r="AB151" s="5">
        <v>3.5990000000000002</v>
      </c>
      <c r="AC151" s="5">
        <v>3.1840000000000002</v>
      </c>
      <c r="AE151" s="5">
        <v>0.88299989700317383</v>
      </c>
      <c r="AF151" s="5">
        <v>3.9819999057799578</v>
      </c>
      <c r="AG151" s="5">
        <v>3.4160004258155823</v>
      </c>
      <c r="AH151" s="5">
        <v>2.8840002696961164</v>
      </c>
      <c r="AJ151" s="5">
        <v>2</v>
      </c>
      <c r="AK151" s="5">
        <v>2</v>
      </c>
      <c r="AL151" s="5">
        <v>11</v>
      </c>
      <c r="AM151" s="5">
        <v>5</v>
      </c>
      <c r="AO151" s="5">
        <v>2</v>
      </c>
      <c r="AP151" s="5">
        <v>1</v>
      </c>
      <c r="AQ151" s="5">
        <v>1</v>
      </c>
      <c r="AR151" s="5">
        <v>3</v>
      </c>
      <c r="AT151" s="5">
        <v>0.38999998569488525</v>
      </c>
      <c r="AU151" s="5">
        <v>1.6000000759959221E-2</v>
      </c>
      <c r="AV151" s="5">
        <v>0.41699999570846558</v>
      </c>
      <c r="AW151" s="5">
        <v>1.4000000432133675E-2</v>
      </c>
      <c r="AY151" s="5">
        <v>0.16599999999999993</v>
      </c>
      <c r="AZ151" s="5">
        <v>2.032</v>
      </c>
      <c r="BA151" s="5">
        <v>0.8</v>
      </c>
      <c r="BB151" s="5">
        <v>1.1999999999999997</v>
      </c>
      <c r="BD151" s="5">
        <v>0</v>
      </c>
      <c r="BE151" s="5">
        <v>1.432999849319458</v>
      </c>
      <c r="BF151" s="5">
        <v>1</v>
      </c>
      <c r="BG151" s="5">
        <v>1.3840000312775373</v>
      </c>
      <c r="BI151" s="5">
        <v>0</v>
      </c>
      <c r="BJ151" s="5">
        <v>1</v>
      </c>
      <c r="BK151" s="5">
        <v>2</v>
      </c>
      <c r="BL151" s="5">
        <v>2</v>
      </c>
      <c r="BN151" s="5">
        <v>1</v>
      </c>
      <c r="BO151" s="5">
        <v>4</v>
      </c>
      <c r="BP151" s="5">
        <v>2</v>
      </c>
      <c r="BQ151" s="5">
        <v>2</v>
      </c>
      <c r="BS151" s="5">
        <v>4.016</v>
      </c>
      <c r="BT151" s="5">
        <v>2.5820000171661377</v>
      </c>
      <c r="BU151" s="5">
        <v>1.3170000314712524</v>
      </c>
      <c r="BV151" s="5">
        <v>1.4000000432133675E-2</v>
      </c>
      <c r="BX151" s="5">
        <v>0</v>
      </c>
      <c r="BY151" s="5">
        <v>0</v>
      </c>
      <c r="BZ151" s="5">
        <v>0</v>
      </c>
      <c r="CA151" s="5">
        <v>0</v>
      </c>
      <c r="CC151" s="5">
        <v>0</v>
      </c>
      <c r="CD151" s="5">
        <v>0</v>
      </c>
      <c r="CE151" s="5">
        <v>0</v>
      </c>
      <c r="CF151" s="5">
        <v>0</v>
      </c>
      <c r="CH151" s="5">
        <v>0</v>
      </c>
      <c r="CI151" s="5">
        <v>0</v>
      </c>
      <c r="CJ151" s="5">
        <v>0</v>
      </c>
      <c r="CK151" s="5">
        <v>0</v>
      </c>
      <c r="CM151" s="5">
        <v>0</v>
      </c>
      <c r="CN151" s="5">
        <v>0</v>
      </c>
      <c r="CO151" s="5">
        <v>0</v>
      </c>
      <c r="CP151" s="5">
        <v>0</v>
      </c>
      <c r="CR151" s="5">
        <v>4.016</v>
      </c>
      <c r="CS151" s="5">
        <v>4.016</v>
      </c>
      <c r="CT151" s="5">
        <v>4.016</v>
      </c>
      <c r="CU151" s="5">
        <v>4.0149999999999997</v>
      </c>
    </row>
    <row r="152" spans="1:99" s="5" customFormat="1" x14ac:dyDescent="0.35">
      <c r="A152" s="4" t="s">
        <v>150</v>
      </c>
      <c r="B152" s="4">
        <v>8.5833333333333339</v>
      </c>
      <c r="C152" s="4" t="s">
        <v>168</v>
      </c>
      <c r="D152" s="4" t="s">
        <v>404</v>
      </c>
      <c r="F152" s="5">
        <v>1.8519999999999999</v>
      </c>
      <c r="G152" s="5">
        <v>1.4849999999999999</v>
      </c>
      <c r="H152" s="5">
        <v>1.5170000000000003</v>
      </c>
      <c r="I152" s="5">
        <v>0</v>
      </c>
      <c r="K152" s="5">
        <v>1000</v>
      </c>
      <c r="L152" s="5">
        <v>1000</v>
      </c>
      <c r="M152" s="5">
        <v>1000</v>
      </c>
      <c r="N152" s="5">
        <v>1000</v>
      </c>
      <c r="P152" s="5">
        <v>1000</v>
      </c>
      <c r="Q152" s="5">
        <v>1000</v>
      </c>
      <c r="R152" s="5">
        <v>1000</v>
      </c>
      <c r="S152" s="5">
        <v>1000</v>
      </c>
      <c r="U152" s="5">
        <v>1000</v>
      </c>
      <c r="V152" s="5">
        <v>1000</v>
      </c>
      <c r="W152" s="5">
        <v>1000</v>
      </c>
      <c r="X152" s="5">
        <v>1000</v>
      </c>
      <c r="Z152" s="5">
        <v>1000</v>
      </c>
      <c r="AA152" s="5">
        <v>1000</v>
      </c>
      <c r="AB152" s="5">
        <v>1000</v>
      </c>
      <c r="AC152" s="5">
        <v>1000</v>
      </c>
      <c r="AE152" s="5">
        <v>1000</v>
      </c>
      <c r="AF152" s="5">
        <v>1000</v>
      </c>
      <c r="AG152" s="5">
        <v>1000</v>
      </c>
      <c r="AH152" s="5">
        <v>1000</v>
      </c>
      <c r="AJ152" s="5">
        <v>1000</v>
      </c>
      <c r="AK152" s="5">
        <v>1000</v>
      </c>
      <c r="AL152" s="5">
        <v>1000</v>
      </c>
      <c r="AM152" s="5">
        <v>1000</v>
      </c>
      <c r="AO152" s="5">
        <v>1000</v>
      </c>
      <c r="AP152" s="5">
        <v>1000</v>
      </c>
      <c r="AQ152" s="5">
        <v>1000</v>
      </c>
      <c r="AR152" s="5">
        <v>1000</v>
      </c>
      <c r="AT152" s="5">
        <v>1000</v>
      </c>
      <c r="AU152" s="5">
        <v>1000</v>
      </c>
      <c r="AV152" s="5">
        <v>1000</v>
      </c>
      <c r="AW152" s="5">
        <v>1000</v>
      </c>
      <c r="AY152" s="5">
        <v>1000</v>
      </c>
      <c r="AZ152" s="5">
        <v>1000</v>
      </c>
      <c r="BA152" s="5">
        <v>1000</v>
      </c>
      <c r="BB152" s="5">
        <v>1000</v>
      </c>
      <c r="BD152" s="5">
        <v>1000</v>
      </c>
      <c r="BE152" s="5">
        <v>1000</v>
      </c>
      <c r="BF152" s="5">
        <v>1000</v>
      </c>
      <c r="BG152" s="5">
        <v>1000</v>
      </c>
      <c r="BI152" s="5">
        <v>1000</v>
      </c>
      <c r="BJ152" s="5">
        <v>1000</v>
      </c>
      <c r="BK152" s="5">
        <v>1000</v>
      </c>
      <c r="BL152" s="5">
        <v>1000</v>
      </c>
      <c r="BN152" s="5">
        <v>1000</v>
      </c>
      <c r="BO152" s="5">
        <v>1000</v>
      </c>
      <c r="BP152" s="5">
        <v>1000</v>
      </c>
      <c r="BQ152" s="5">
        <v>1000</v>
      </c>
      <c r="BS152" s="5">
        <v>1000</v>
      </c>
      <c r="BT152" s="5">
        <v>1000</v>
      </c>
      <c r="BU152" s="5">
        <v>1000</v>
      </c>
      <c r="BV152" s="5">
        <v>1000</v>
      </c>
      <c r="BX152" s="5">
        <v>1000</v>
      </c>
      <c r="BY152" s="5">
        <v>1000</v>
      </c>
      <c r="BZ152" s="5">
        <v>1000</v>
      </c>
      <c r="CA152" s="5">
        <v>1000</v>
      </c>
      <c r="CC152" s="5">
        <v>1000</v>
      </c>
      <c r="CD152" s="5">
        <v>1000</v>
      </c>
      <c r="CE152" s="5">
        <v>1000</v>
      </c>
      <c r="CF152" s="5">
        <v>1000</v>
      </c>
      <c r="CH152" s="5">
        <v>1000</v>
      </c>
      <c r="CI152" s="5">
        <v>1000</v>
      </c>
      <c r="CJ152" s="5">
        <v>1000</v>
      </c>
      <c r="CK152" s="5">
        <v>1000</v>
      </c>
      <c r="CM152" s="5">
        <v>1000</v>
      </c>
      <c r="CN152" s="5">
        <v>1000</v>
      </c>
      <c r="CO152" s="5">
        <v>1000</v>
      </c>
      <c r="CP152" s="5">
        <v>1000</v>
      </c>
      <c r="CR152" s="5">
        <v>1000</v>
      </c>
      <c r="CS152" s="5">
        <v>1000</v>
      </c>
      <c r="CT152" s="5">
        <v>1000</v>
      </c>
      <c r="CU152" s="5">
        <v>1000</v>
      </c>
    </row>
    <row r="153" spans="1:99" s="5" customFormat="1" x14ac:dyDescent="0.35">
      <c r="A153" s="4" t="s">
        <v>151</v>
      </c>
      <c r="B153" s="4">
        <v>5.75</v>
      </c>
      <c r="C153" s="4" t="s">
        <v>168</v>
      </c>
      <c r="D153" s="4" t="s">
        <v>404</v>
      </c>
      <c r="F153" s="5">
        <v>4.016</v>
      </c>
      <c r="G153" s="5">
        <v>4.016</v>
      </c>
      <c r="H153" s="5">
        <v>1.883</v>
      </c>
      <c r="I153" s="5">
        <v>1.145</v>
      </c>
      <c r="K153" s="5">
        <v>3.9990000000000006</v>
      </c>
      <c r="L153" s="5">
        <v>3.9990000000000001</v>
      </c>
      <c r="M153" s="5">
        <v>1000</v>
      </c>
      <c r="N153" s="5">
        <v>1000</v>
      </c>
      <c r="P153" s="5">
        <v>3.915000174427405</v>
      </c>
      <c r="Q153" s="5">
        <v>3.4319998305290937</v>
      </c>
      <c r="R153" s="5">
        <v>1000</v>
      </c>
      <c r="S153" s="5">
        <v>1000</v>
      </c>
      <c r="U153" s="5">
        <v>6</v>
      </c>
      <c r="V153" s="5">
        <v>7</v>
      </c>
      <c r="W153" s="5">
        <v>1000</v>
      </c>
      <c r="X153" s="5">
        <v>1000</v>
      </c>
      <c r="Z153" s="5">
        <v>3.9990000000000006</v>
      </c>
      <c r="AA153" s="5">
        <v>3.9990000000000001</v>
      </c>
      <c r="AB153" s="5">
        <v>1000</v>
      </c>
      <c r="AC153" s="5">
        <v>1000</v>
      </c>
      <c r="AE153" s="5">
        <v>3.915000174427405</v>
      </c>
      <c r="AF153" s="5">
        <v>3.4319998305290937</v>
      </c>
      <c r="AG153" s="5">
        <v>1000</v>
      </c>
      <c r="AH153" s="5">
        <v>1000</v>
      </c>
      <c r="AJ153" s="5">
        <v>6</v>
      </c>
      <c r="AK153" s="5">
        <v>7</v>
      </c>
      <c r="AL153" s="5">
        <v>1000</v>
      </c>
      <c r="AM153" s="5">
        <v>1000</v>
      </c>
      <c r="AO153" s="5">
        <v>1</v>
      </c>
      <c r="AP153" s="5">
        <v>1</v>
      </c>
      <c r="AQ153" s="5">
        <v>1000</v>
      </c>
      <c r="AR153" s="5">
        <v>1000</v>
      </c>
      <c r="AT153" s="5">
        <v>2.0000000949949026E-3</v>
      </c>
      <c r="AU153" s="5">
        <v>1.4000000432133675E-2</v>
      </c>
      <c r="AV153" s="5">
        <v>1000</v>
      </c>
      <c r="AW153" s="5">
        <v>1000</v>
      </c>
      <c r="AY153" s="5">
        <v>0.20100000000000029</v>
      </c>
      <c r="AZ153" s="5">
        <v>1.581999999999999</v>
      </c>
      <c r="BA153" s="5">
        <v>1000</v>
      </c>
      <c r="BB153" s="5">
        <v>1000</v>
      </c>
      <c r="BD153" s="5">
        <v>0.13300001621246338</v>
      </c>
      <c r="BE153" s="5">
        <v>2.0990000367164612</v>
      </c>
      <c r="BF153" s="5">
        <v>1000</v>
      </c>
      <c r="BG153" s="5">
        <v>1000</v>
      </c>
      <c r="BI153" s="5">
        <v>1</v>
      </c>
      <c r="BJ153" s="5">
        <v>2</v>
      </c>
      <c r="BK153" s="5">
        <v>1000</v>
      </c>
      <c r="BL153" s="5">
        <v>1000</v>
      </c>
      <c r="BN153" s="5">
        <v>3</v>
      </c>
      <c r="BO153" s="5">
        <v>5</v>
      </c>
      <c r="BP153" s="5">
        <v>1000</v>
      </c>
      <c r="BQ153" s="5">
        <v>1000</v>
      </c>
      <c r="BS153" s="5">
        <v>1.8519999980926514</v>
      </c>
      <c r="BT153" s="5">
        <v>0.61400002241134644</v>
      </c>
      <c r="BU153" s="5">
        <v>1000</v>
      </c>
      <c r="BV153" s="5">
        <v>1000</v>
      </c>
      <c r="BX153" s="5">
        <v>0.18300000000000027</v>
      </c>
      <c r="BY153" s="5">
        <v>0.68299999999999983</v>
      </c>
      <c r="BZ153" s="5">
        <v>1000</v>
      </c>
      <c r="CA153" s="5">
        <v>1000</v>
      </c>
      <c r="CC153" s="5">
        <v>0</v>
      </c>
      <c r="CD153" s="5">
        <v>0.74999993853271008</v>
      </c>
      <c r="CE153" s="5">
        <v>1000</v>
      </c>
      <c r="CF153" s="5">
        <v>1000</v>
      </c>
      <c r="CH153" s="5">
        <v>0</v>
      </c>
      <c r="CI153" s="5">
        <v>2</v>
      </c>
      <c r="CJ153" s="5">
        <v>1000</v>
      </c>
      <c r="CK153" s="5">
        <v>1000</v>
      </c>
      <c r="CM153" s="5">
        <v>1</v>
      </c>
      <c r="CN153" s="5">
        <v>4</v>
      </c>
      <c r="CO153" s="5">
        <v>1000</v>
      </c>
      <c r="CP153" s="5">
        <v>1000</v>
      </c>
      <c r="CR153" s="5">
        <v>4.016</v>
      </c>
      <c r="CS153" s="5">
        <v>1.4000000432133675E-2</v>
      </c>
      <c r="CT153" s="5">
        <v>1000</v>
      </c>
      <c r="CU153" s="5">
        <v>1000</v>
      </c>
    </row>
    <row r="154" spans="1:99" s="5" customFormat="1" x14ac:dyDescent="0.35">
      <c r="A154" s="4" t="s">
        <v>152</v>
      </c>
      <c r="B154" s="4">
        <v>10.083333333333334</v>
      </c>
      <c r="C154" s="4" t="s">
        <v>168</v>
      </c>
      <c r="D154" s="4" t="s">
        <v>404</v>
      </c>
      <c r="F154" s="5">
        <v>1000</v>
      </c>
      <c r="G154" s="5">
        <v>4.008</v>
      </c>
      <c r="H154" s="5">
        <v>4.016</v>
      </c>
      <c r="I154" s="5">
        <v>2.5289999999999995</v>
      </c>
      <c r="K154" s="5">
        <v>1000</v>
      </c>
      <c r="L154" s="5">
        <v>4</v>
      </c>
      <c r="M154" s="5">
        <v>3.9990000000000001</v>
      </c>
      <c r="N154" s="5">
        <v>2.5169999999999999</v>
      </c>
      <c r="P154" s="5">
        <v>1000</v>
      </c>
      <c r="Q154" s="5">
        <v>3.9830001248046756</v>
      </c>
      <c r="R154" s="5">
        <v>3.9650000194087625</v>
      </c>
      <c r="S154" s="5">
        <v>2.335000024177134</v>
      </c>
      <c r="U154" s="5">
        <v>1000</v>
      </c>
      <c r="V154" s="5">
        <v>2</v>
      </c>
      <c r="W154" s="5">
        <v>3</v>
      </c>
      <c r="X154" s="5">
        <v>5</v>
      </c>
      <c r="Z154" s="5">
        <v>1000</v>
      </c>
      <c r="AA154" s="5">
        <v>4</v>
      </c>
      <c r="AB154" s="5">
        <v>3.9990000000000001</v>
      </c>
      <c r="AC154" s="5">
        <v>2.1999999999999997</v>
      </c>
      <c r="AE154" s="5">
        <v>1000</v>
      </c>
      <c r="AF154" s="5">
        <v>3.9830001248046756</v>
      </c>
      <c r="AG154" s="5">
        <v>3.9650000194087625</v>
      </c>
      <c r="AH154" s="5">
        <v>2.0520000318065286</v>
      </c>
      <c r="AJ154" s="5">
        <v>1000</v>
      </c>
      <c r="AK154" s="5">
        <v>2</v>
      </c>
      <c r="AL154" s="5">
        <v>3</v>
      </c>
      <c r="AM154" s="5">
        <v>4</v>
      </c>
      <c r="AO154" s="5">
        <v>1000</v>
      </c>
      <c r="AP154" s="5">
        <v>1</v>
      </c>
      <c r="AQ154" s="5">
        <v>1</v>
      </c>
      <c r="AR154" s="5">
        <v>3</v>
      </c>
      <c r="AT154" s="5">
        <v>1000</v>
      </c>
      <c r="AU154" s="5">
        <v>4.999999888241291E-3</v>
      </c>
      <c r="AV154" s="5">
        <v>1.4999999664723873E-2</v>
      </c>
      <c r="AW154" s="5">
        <v>8.0000003799796104E-3</v>
      </c>
      <c r="AY154" s="5">
        <v>1000</v>
      </c>
      <c r="AZ154" s="5">
        <v>3.5829999999999997</v>
      </c>
      <c r="BA154" s="5">
        <v>3.2490000000000001</v>
      </c>
      <c r="BB154" s="5">
        <v>1.6340000000000001</v>
      </c>
      <c r="BD154" s="5">
        <v>1000</v>
      </c>
      <c r="BE154" s="5">
        <v>3.533000111579895</v>
      </c>
      <c r="BF154" s="5">
        <v>3.2319999933242798</v>
      </c>
      <c r="BG154" s="5">
        <v>1.6180000305175781</v>
      </c>
      <c r="BI154" s="5">
        <v>1000</v>
      </c>
      <c r="BJ154" s="5">
        <v>1</v>
      </c>
      <c r="BK154" s="5">
        <v>2</v>
      </c>
      <c r="BL154" s="5">
        <v>3</v>
      </c>
      <c r="BN154" s="5">
        <v>1000</v>
      </c>
      <c r="BO154" s="5">
        <v>1</v>
      </c>
      <c r="BP154" s="5">
        <v>1</v>
      </c>
      <c r="BQ154" s="5">
        <v>2</v>
      </c>
      <c r="BS154" s="5">
        <v>1000</v>
      </c>
      <c r="BT154" s="5">
        <v>0.47200000286102295</v>
      </c>
      <c r="BU154" s="5">
        <v>0.76499998569488525</v>
      </c>
      <c r="BV154" s="5">
        <v>0.45800000429153442</v>
      </c>
      <c r="BX154" s="5">
        <v>1000</v>
      </c>
      <c r="BY154" s="5">
        <v>0</v>
      </c>
      <c r="BZ154" s="5">
        <v>0</v>
      </c>
      <c r="CA154" s="5">
        <v>4.9999999999999822E-2</v>
      </c>
      <c r="CC154" s="5">
        <v>1000</v>
      </c>
      <c r="CD154" s="5">
        <v>0</v>
      </c>
      <c r="CE154" s="5">
        <v>0</v>
      </c>
      <c r="CF154" s="5">
        <v>0</v>
      </c>
      <c r="CH154" s="5">
        <v>1000</v>
      </c>
      <c r="CI154" s="5">
        <v>0</v>
      </c>
      <c r="CJ154" s="5">
        <v>0</v>
      </c>
      <c r="CK154" s="5">
        <v>0</v>
      </c>
      <c r="CM154" s="5">
        <v>1000</v>
      </c>
      <c r="CN154" s="5">
        <v>0</v>
      </c>
      <c r="CO154" s="5">
        <v>0</v>
      </c>
      <c r="CP154" s="5">
        <v>1</v>
      </c>
      <c r="CR154" s="5">
        <v>1000</v>
      </c>
      <c r="CS154" s="5">
        <v>4.008</v>
      </c>
      <c r="CT154" s="5">
        <v>4.016</v>
      </c>
      <c r="CU154" s="5">
        <v>4.0119999999999996</v>
      </c>
    </row>
    <row r="155" spans="1:99" s="5" customFormat="1" x14ac:dyDescent="0.35">
      <c r="A155" s="4" t="s">
        <v>153</v>
      </c>
      <c r="B155" s="4">
        <v>5</v>
      </c>
      <c r="C155" s="4" t="s">
        <v>168</v>
      </c>
      <c r="D155" s="4" t="s">
        <v>404</v>
      </c>
      <c r="F155" s="5">
        <v>0.97599999999999998</v>
      </c>
      <c r="G155" s="5">
        <v>2.4449999999999998</v>
      </c>
      <c r="H155" s="5">
        <v>4.01</v>
      </c>
      <c r="I155" s="5">
        <v>3.024</v>
      </c>
      <c r="K155" s="5">
        <v>1000</v>
      </c>
      <c r="L155" s="5">
        <v>2.4159999999999999</v>
      </c>
      <c r="M155" s="5">
        <v>3.633</v>
      </c>
      <c r="N155" s="5">
        <v>3.016</v>
      </c>
      <c r="P155" s="5">
        <v>1000</v>
      </c>
      <c r="Q155" s="5">
        <v>1.9990000501275063</v>
      </c>
      <c r="R155" s="5">
        <v>3.4680003821849823</v>
      </c>
      <c r="S155" s="5">
        <v>2.8489998737350106</v>
      </c>
      <c r="U155" s="5">
        <v>1000</v>
      </c>
      <c r="V155" s="5">
        <v>6</v>
      </c>
      <c r="W155" s="5">
        <v>10</v>
      </c>
      <c r="X155" s="5">
        <v>5</v>
      </c>
      <c r="Z155" s="5">
        <v>1000</v>
      </c>
      <c r="AA155" s="5">
        <v>2.1160000000000001</v>
      </c>
      <c r="AB155" s="5">
        <v>3.2660000000000005</v>
      </c>
      <c r="AC155" s="5">
        <v>3.016</v>
      </c>
      <c r="AE155" s="5">
        <v>1000</v>
      </c>
      <c r="AF155" s="5">
        <v>1.9990000501275063</v>
      </c>
      <c r="AG155" s="5">
        <v>3.2520003020763397</v>
      </c>
      <c r="AH155" s="5">
        <v>2.8489998737350106</v>
      </c>
      <c r="AJ155" s="5">
        <v>1000</v>
      </c>
      <c r="AK155" s="5">
        <v>6</v>
      </c>
      <c r="AL155" s="5">
        <v>9</v>
      </c>
      <c r="AM155" s="5">
        <v>5</v>
      </c>
      <c r="AO155" s="5">
        <v>1000</v>
      </c>
      <c r="AP155" s="5">
        <v>1</v>
      </c>
      <c r="AQ155" s="5">
        <v>2</v>
      </c>
      <c r="AR155" s="5">
        <v>1</v>
      </c>
      <c r="AT155" s="5">
        <v>1000</v>
      </c>
      <c r="AU155" s="5">
        <v>6.1999998986721039E-2</v>
      </c>
      <c r="AV155" s="5">
        <v>0.37299999594688416</v>
      </c>
      <c r="AW155" s="5">
        <v>8.0000003799796104E-3</v>
      </c>
      <c r="AY155" s="5">
        <v>1000</v>
      </c>
      <c r="AZ155" s="5">
        <v>0.69900000000000007</v>
      </c>
      <c r="BA155" s="5">
        <v>1.7</v>
      </c>
      <c r="BB155" s="5">
        <v>0.55000000000000027</v>
      </c>
      <c r="BD155" s="5">
        <v>1000</v>
      </c>
      <c r="BE155" s="5">
        <v>0.54899990558624268</v>
      </c>
      <c r="BF155" s="5">
        <v>1.80100017786026</v>
      </c>
      <c r="BG155" s="5">
        <v>0.56599998474121094</v>
      </c>
      <c r="BI155" s="5">
        <v>1000</v>
      </c>
      <c r="BJ155" s="5">
        <v>3</v>
      </c>
      <c r="BK155" s="5">
        <v>4</v>
      </c>
      <c r="BL155" s="5">
        <v>2</v>
      </c>
      <c r="BN155" s="5">
        <v>1000</v>
      </c>
      <c r="BO155" s="5">
        <v>3</v>
      </c>
      <c r="BP155" s="5">
        <v>3</v>
      </c>
      <c r="BQ155" s="5">
        <v>2</v>
      </c>
      <c r="BS155" s="5">
        <v>1000</v>
      </c>
      <c r="BT155" s="5">
        <v>0.69599997997283936</v>
      </c>
      <c r="BU155" s="5">
        <v>0.72299998998641968</v>
      </c>
      <c r="BV155" s="5">
        <v>0.64099997282028198</v>
      </c>
      <c r="BX155" s="5">
        <v>1000</v>
      </c>
      <c r="BY155" s="5">
        <v>0</v>
      </c>
      <c r="BZ155" s="5">
        <v>0.39999999999999991</v>
      </c>
      <c r="CA155" s="5">
        <v>0</v>
      </c>
      <c r="CC155" s="5">
        <v>1000</v>
      </c>
      <c r="CD155" s="5">
        <v>0</v>
      </c>
      <c r="CE155" s="5">
        <v>0.21700000762939453</v>
      </c>
      <c r="CF155" s="5">
        <v>0</v>
      </c>
      <c r="CH155" s="5">
        <v>1000</v>
      </c>
      <c r="CI155" s="5">
        <v>0</v>
      </c>
      <c r="CJ155" s="5">
        <v>1</v>
      </c>
      <c r="CK155" s="5">
        <v>0</v>
      </c>
      <c r="CM155" s="5">
        <v>1000</v>
      </c>
      <c r="CN155" s="5">
        <v>1</v>
      </c>
      <c r="CO155" s="5">
        <v>2</v>
      </c>
      <c r="CP155" s="5">
        <v>0</v>
      </c>
      <c r="CR155" s="5">
        <v>1000</v>
      </c>
      <c r="CS155" s="5">
        <v>4.0110000000000001</v>
      </c>
      <c r="CT155" s="5">
        <v>2.2730000019073486</v>
      </c>
      <c r="CU155" s="5">
        <v>4.0110000000000001</v>
      </c>
    </row>
    <row r="156" spans="1:99" s="5" customFormat="1" x14ac:dyDescent="0.35">
      <c r="A156" s="4" t="s">
        <v>154</v>
      </c>
      <c r="B156" s="4">
        <v>7.916666666666667</v>
      </c>
      <c r="C156" s="4" t="s">
        <v>168</v>
      </c>
      <c r="D156" s="4" t="s">
        <v>404</v>
      </c>
      <c r="F156" s="5">
        <v>4.016</v>
      </c>
      <c r="G156" s="5">
        <v>4.0270000000000001</v>
      </c>
      <c r="H156" s="5">
        <v>4.01</v>
      </c>
      <c r="I156" s="5">
        <v>2.2509999999999999</v>
      </c>
      <c r="K156" s="5">
        <v>4</v>
      </c>
      <c r="L156" s="5">
        <v>3.9990000000000001</v>
      </c>
      <c r="M156" s="5">
        <v>3.9820000000000002</v>
      </c>
      <c r="N156" s="5">
        <v>2.25</v>
      </c>
      <c r="P156" s="5">
        <v>3.1519997278228402</v>
      </c>
      <c r="Q156" s="5">
        <v>2.7499999944120646</v>
      </c>
      <c r="R156" s="5">
        <v>2.9489997643977404</v>
      </c>
      <c r="S156" s="5">
        <v>1.4999999870778993</v>
      </c>
      <c r="U156" s="5">
        <v>11</v>
      </c>
      <c r="V156" s="5">
        <v>12</v>
      </c>
      <c r="W156" s="5">
        <v>10</v>
      </c>
      <c r="X156" s="5">
        <v>5</v>
      </c>
      <c r="Z156" s="5">
        <v>4</v>
      </c>
      <c r="AA156" s="5">
        <v>3.8320000000000003</v>
      </c>
      <c r="AB156" s="5">
        <v>3.3150000000000004</v>
      </c>
      <c r="AC156" s="5">
        <v>2.0499999999999998</v>
      </c>
      <c r="AE156" s="5">
        <v>3.1519997278228402</v>
      </c>
      <c r="AF156" s="5">
        <v>2.7499999944120646</v>
      </c>
      <c r="AG156" s="5">
        <v>2.9489997643977404</v>
      </c>
      <c r="AH156" s="5">
        <v>1.4999999870778993</v>
      </c>
      <c r="AJ156" s="5">
        <v>11</v>
      </c>
      <c r="AK156" s="5">
        <v>12</v>
      </c>
      <c r="AL156" s="5">
        <v>10</v>
      </c>
      <c r="AM156" s="5">
        <v>5</v>
      </c>
      <c r="AO156" s="5">
        <v>1</v>
      </c>
      <c r="AP156" s="5">
        <v>2</v>
      </c>
      <c r="AQ156" s="5">
        <v>3</v>
      </c>
      <c r="AR156" s="5">
        <v>4</v>
      </c>
      <c r="AT156" s="5">
        <v>8.0000003799796104E-3</v>
      </c>
      <c r="AU156" s="5">
        <v>1.2000000104308128E-2</v>
      </c>
      <c r="AV156" s="5">
        <v>1.6000000759959221E-2</v>
      </c>
      <c r="AW156" s="5">
        <v>1.0000000474974513E-3</v>
      </c>
      <c r="AY156" s="5">
        <v>1.2159999999999997</v>
      </c>
      <c r="AZ156" s="5">
        <v>0.86799999999999988</v>
      </c>
      <c r="BA156" s="5">
        <v>1.4649999999999999</v>
      </c>
      <c r="BB156" s="5">
        <v>0.34999999999999981</v>
      </c>
      <c r="BD156" s="5">
        <v>1.4999998966231942</v>
      </c>
      <c r="BE156" s="5">
        <v>0.66699975728988647</v>
      </c>
      <c r="BF156" s="5">
        <v>0.91700005531311035</v>
      </c>
      <c r="BG156" s="5">
        <v>0.11699998378753662</v>
      </c>
      <c r="BI156" s="5">
        <v>5</v>
      </c>
      <c r="BJ156" s="5">
        <v>4</v>
      </c>
      <c r="BK156" s="5">
        <v>2</v>
      </c>
      <c r="BL156" s="5">
        <v>1</v>
      </c>
      <c r="BN156" s="5">
        <v>7</v>
      </c>
      <c r="BO156" s="5">
        <v>10</v>
      </c>
      <c r="BP156" s="5">
        <v>7</v>
      </c>
      <c r="BQ156" s="5">
        <v>6</v>
      </c>
      <c r="BS156" s="5">
        <v>8.0000003799796104E-3</v>
      </c>
      <c r="BT156" s="5">
        <v>0.87900000810623169</v>
      </c>
      <c r="BU156" s="5">
        <v>0.44900000095367432</v>
      </c>
      <c r="BV156" s="5">
        <v>0.51800000667572021</v>
      </c>
      <c r="BX156" s="5">
        <v>1.7000000000000348E-2</v>
      </c>
      <c r="BY156" s="5">
        <v>5.1000000000000156E-2</v>
      </c>
      <c r="BZ156" s="5">
        <v>9.8999999999999977E-2</v>
      </c>
      <c r="CA156" s="5">
        <v>0</v>
      </c>
      <c r="CC156" s="5">
        <v>0</v>
      </c>
      <c r="CD156" s="5">
        <v>0</v>
      </c>
      <c r="CE156" s="5">
        <v>0</v>
      </c>
      <c r="CF156" s="5">
        <v>0</v>
      </c>
      <c r="CH156" s="5">
        <v>0</v>
      </c>
      <c r="CI156" s="5">
        <v>0</v>
      </c>
      <c r="CJ156" s="5">
        <v>0</v>
      </c>
      <c r="CK156" s="5">
        <v>0</v>
      </c>
      <c r="CM156" s="5">
        <v>2</v>
      </c>
      <c r="CN156" s="5">
        <v>4</v>
      </c>
      <c r="CO156" s="5">
        <v>2</v>
      </c>
      <c r="CP156" s="5">
        <v>0</v>
      </c>
      <c r="CR156" s="5">
        <v>4.016</v>
      </c>
      <c r="CS156" s="5">
        <v>4.0270000000000001</v>
      </c>
      <c r="CT156" s="5">
        <v>4.01</v>
      </c>
      <c r="CU156" s="5">
        <v>4.0030000000000001</v>
      </c>
    </row>
    <row r="157" spans="1:99" s="5" customFormat="1" x14ac:dyDescent="0.35">
      <c r="A157" s="4" t="s">
        <v>155</v>
      </c>
      <c r="B157" s="4">
        <v>9.4166666666666661</v>
      </c>
      <c r="C157" s="4" t="s">
        <v>168</v>
      </c>
      <c r="D157" s="4" t="s">
        <v>404</v>
      </c>
      <c r="F157" s="5">
        <v>2.8149999999999995</v>
      </c>
      <c r="G157" s="5">
        <v>4.0140000000000002</v>
      </c>
      <c r="H157" s="5">
        <v>4.0069999999999997</v>
      </c>
      <c r="I157" s="5">
        <v>4.0149999999999997</v>
      </c>
      <c r="K157" s="5">
        <v>2.8</v>
      </c>
      <c r="L157" s="5">
        <v>4</v>
      </c>
      <c r="M157" s="5">
        <v>3.9990000000000001</v>
      </c>
      <c r="N157" s="5">
        <v>3.6829999999999998</v>
      </c>
      <c r="P157" s="5">
        <v>2.6659996323287487</v>
      </c>
      <c r="Q157" s="5">
        <v>3.8989998511970043</v>
      </c>
      <c r="R157" s="5">
        <v>3.8149999668821692</v>
      </c>
      <c r="S157" s="5">
        <v>3.3989998996257782</v>
      </c>
      <c r="U157" s="5">
        <v>3</v>
      </c>
      <c r="V157" s="5">
        <v>7</v>
      </c>
      <c r="W157" s="5">
        <v>6</v>
      </c>
      <c r="X157" s="5">
        <v>10</v>
      </c>
      <c r="Z157" s="5">
        <v>2.8</v>
      </c>
      <c r="AA157" s="5">
        <v>4</v>
      </c>
      <c r="AB157" s="5">
        <v>3.9990000000000001</v>
      </c>
      <c r="AC157" s="5">
        <v>3.5</v>
      </c>
      <c r="AE157" s="5">
        <v>2.6659996323287487</v>
      </c>
      <c r="AF157" s="5">
        <v>3.8989998511970043</v>
      </c>
      <c r="AG157" s="5">
        <v>3.8149999668821692</v>
      </c>
      <c r="AH157" s="5">
        <v>3.3989998996257782</v>
      </c>
      <c r="AJ157" s="5">
        <v>3</v>
      </c>
      <c r="AK157" s="5">
        <v>7</v>
      </c>
      <c r="AL157" s="5">
        <v>6</v>
      </c>
      <c r="AM157" s="5">
        <v>10</v>
      </c>
      <c r="AO157" s="5">
        <v>2</v>
      </c>
      <c r="AP157" s="5">
        <v>1</v>
      </c>
      <c r="AQ157" s="5">
        <v>1</v>
      </c>
      <c r="AR157" s="5">
        <v>2</v>
      </c>
      <c r="AT157" s="5">
        <v>1.3000000268220901E-2</v>
      </c>
      <c r="AU157" s="5">
        <v>1.3000000268220901E-2</v>
      </c>
      <c r="AV157" s="5">
        <v>7.0000002160668373E-3</v>
      </c>
      <c r="AW157" s="5">
        <v>0.32699999213218689</v>
      </c>
      <c r="AY157" s="5">
        <v>0</v>
      </c>
      <c r="AZ157" s="5">
        <v>0.18299999999999983</v>
      </c>
      <c r="BA157" s="5">
        <v>0</v>
      </c>
      <c r="BB157" s="5">
        <v>6.6999999999999726E-2</v>
      </c>
      <c r="BD157" s="5">
        <v>0</v>
      </c>
      <c r="BE157" s="5">
        <v>0</v>
      </c>
      <c r="BF157" s="5">
        <v>0</v>
      </c>
      <c r="BG157" s="5">
        <v>0</v>
      </c>
      <c r="BI157" s="5">
        <v>0</v>
      </c>
      <c r="BJ157" s="5">
        <v>0</v>
      </c>
      <c r="BK157" s="5">
        <v>0</v>
      </c>
      <c r="BL157" s="5">
        <v>0</v>
      </c>
      <c r="BN157" s="5">
        <v>0</v>
      </c>
      <c r="BO157" s="5">
        <v>1</v>
      </c>
      <c r="BP157" s="5">
        <v>0</v>
      </c>
      <c r="BQ157" s="5">
        <v>2</v>
      </c>
      <c r="BS157" s="5">
        <v>4.0309999999999997</v>
      </c>
      <c r="BT157" s="5">
        <v>4.0140000000000002</v>
      </c>
      <c r="BU157" s="5">
        <v>4.0069999999999997</v>
      </c>
      <c r="BV157" s="5">
        <v>4.0149999999999997</v>
      </c>
      <c r="BX157" s="5">
        <v>0.43299999999999988</v>
      </c>
      <c r="BY157" s="5">
        <v>0.56699999999999995</v>
      </c>
      <c r="BZ157" s="5">
        <v>0.89900000000000002</v>
      </c>
      <c r="CA157" s="5">
        <v>0.28399999999999997</v>
      </c>
      <c r="CC157" s="5">
        <v>0.43300000950694084</v>
      </c>
      <c r="CD157" s="5">
        <v>0.51599994301795959</v>
      </c>
      <c r="CE157" s="5">
        <v>0.93300011660903692</v>
      </c>
      <c r="CF157" s="5">
        <v>0.23399999737739563</v>
      </c>
      <c r="CH157" s="5">
        <v>1</v>
      </c>
      <c r="CI157" s="5">
        <v>2</v>
      </c>
      <c r="CJ157" s="5">
        <v>2</v>
      </c>
      <c r="CK157" s="5">
        <v>1</v>
      </c>
      <c r="CM157" s="5">
        <v>2</v>
      </c>
      <c r="CN157" s="5">
        <v>3</v>
      </c>
      <c r="CO157" s="5">
        <v>3</v>
      </c>
      <c r="CP157" s="5">
        <v>1</v>
      </c>
      <c r="CR157" s="5">
        <v>1.3000000268220901E-2</v>
      </c>
      <c r="CS157" s="5">
        <v>0.47999998927116394</v>
      </c>
      <c r="CT157" s="5">
        <v>7.0000002160668373E-3</v>
      </c>
      <c r="CU157" s="5">
        <v>0.32699999213218689</v>
      </c>
    </row>
    <row r="158" spans="1:99" s="5" customFormat="1" x14ac:dyDescent="0.35">
      <c r="A158" s="4" t="s">
        <v>156</v>
      </c>
      <c r="B158" s="4">
        <v>8.5</v>
      </c>
      <c r="C158" s="4" t="s">
        <v>168</v>
      </c>
      <c r="D158" s="4" t="s">
        <v>404</v>
      </c>
      <c r="F158" s="5">
        <v>2.1800000000000002</v>
      </c>
      <c r="G158" s="5">
        <v>2.8929999999999998</v>
      </c>
      <c r="H158" s="5">
        <v>1000</v>
      </c>
      <c r="I158" s="5">
        <v>0.1160000000000001</v>
      </c>
      <c r="K158" s="5">
        <v>2.0330000000000004</v>
      </c>
      <c r="L158" s="5">
        <v>2.3659999999999997</v>
      </c>
      <c r="M158" s="5">
        <v>1000</v>
      </c>
      <c r="N158" s="5">
        <v>1000</v>
      </c>
      <c r="P158" s="5">
        <v>1.6509999781847</v>
      </c>
      <c r="Q158" s="5">
        <v>2.8660000562667847</v>
      </c>
      <c r="R158" s="5">
        <v>1000</v>
      </c>
      <c r="S158" s="5">
        <v>1000</v>
      </c>
      <c r="U158" s="5">
        <v>3</v>
      </c>
      <c r="V158" s="5">
        <v>2</v>
      </c>
      <c r="W158" s="5">
        <v>1000</v>
      </c>
      <c r="X158" s="5">
        <v>1000</v>
      </c>
      <c r="Z158" s="5">
        <v>0.60000000000000009</v>
      </c>
      <c r="AA158" s="5">
        <v>2.883</v>
      </c>
      <c r="AB158" s="5">
        <v>1000</v>
      </c>
      <c r="AC158" s="5">
        <v>1000</v>
      </c>
      <c r="AE158" s="5">
        <v>0.58399999141693115</v>
      </c>
      <c r="AF158" s="5">
        <v>2.8660000562667847</v>
      </c>
      <c r="AG158" s="5">
        <v>1000</v>
      </c>
      <c r="AH158" s="5">
        <v>1000</v>
      </c>
      <c r="AJ158" s="5">
        <v>2</v>
      </c>
      <c r="AK158" s="5">
        <v>2</v>
      </c>
      <c r="AL158" s="5">
        <v>1000</v>
      </c>
      <c r="AM158" s="5">
        <v>1000</v>
      </c>
      <c r="AO158" s="5">
        <v>1</v>
      </c>
      <c r="AP158" s="5">
        <v>1</v>
      </c>
      <c r="AQ158" s="5">
        <v>1000</v>
      </c>
      <c r="AR158" s="5">
        <v>1000</v>
      </c>
      <c r="AT158" s="5">
        <v>1.5800000429153442</v>
      </c>
      <c r="AU158" s="5">
        <v>1.1230000257492065</v>
      </c>
      <c r="AV158" s="5">
        <v>1000</v>
      </c>
      <c r="AW158" s="5">
        <v>1000</v>
      </c>
      <c r="AY158" s="5">
        <v>0</v>
      </c>
      <c r="AZ158" s="5">
        <v>0</v>
      </c>
      <c r="BA158" s="5">
        <v>1000</v>
      </c>
      <c r="BB158" s="5">
        <v>1000</v>
      </c>
      <c r="BD158" s="5">
        <v>0</v>
      </c>
      <c r="BE158" s="5">
        <v>0</v>
      </c>
      <c r="BF158" s="5">
        <v>1000</v>
      </c>
      <c r="BG158" s="5">
        <v>1000</v>
      </c>
      <c r="BI158" s="5">
        <v>0</v>
      </c>
      <c r="BJ158" s="5">
        <v>0</v>
      </c>
      <c r="BK158" s="5">
        <v>1000</v>
      </c>
      <c r="BL158" s="5">
        <v>1000</v>
      </c>
      <c r="BN158" s="5">
        <v>0</v>
      </c>
      <c r="BO158" s="5">
        <v>0</v>
      </c>
      <c r="BP158" s="5">
        <v>1000</v>
      </c>
      <c r="BQ158" s="5">
        <v>1000</v>
      </c>
      <c r="BS158" s="5">
        <v>4.0129999999999999</v>
      </c>
      <c r="BT158" s="5">
        <v>4.016</v>
      </c>
      <c r="BU158" s="5">
        <v>1000</v>
      </c>
      <c r="BV158" s="5">
        <v>1000</v>
      </c>
      <c r="BX158" s="5">
        <v>0.5</v>
      </c>
      <c r="BY158" s="5">
        <v>0</v>
      </c>
      <c r="BZ158" s="5">
        <v>1000</v>
      </c>
      <c r="CA158" s="5">
        <v>1000</v>
      </c>
      <c r="CC158" s="5">
        <v>0.58399999141693115</v>
      </c>
      <c r="CD158" s="5">
        <v>0</v>
      </c>
      <c r="CE158" s="5">
        <v>1000</v>
      </c>
      <c r="CF158" s="5">
        <v>1000</v>
      </c>
      <c r="CH158" s="5">
        <v>2</v>
      </c>
      <c r="CI158" s="5">
        <v>0</v>
      </c>
      <c r="CJ158" s="5">
        <v>1000</v>
      </c>
      <c r="CK158" s="5">
        <v>1000</v>
      </c>
      <c r="CM158" s="5">
        <v>2</v>
      </c>
      <c r="CN158" s="5">
        <v>0</v>
      </c>
      <c r="CO158" s="5">
        <v>1000</v>
      </c>
      <c r="CP158" s="5">
        <v>1000</v>
      </c>
      <c r="CR158" s="5">
        <v>1.5800000429153442</v>
      </c>
      <c r="CS158" s="5">
        <v>4.016</v>
      </c>
      <c r="CT158" s="5">
        <v>1000</v>
      </c>
      <c r="CU158" s="5">
        <v>1000</v>
      </c>
    </row>
    <row r="159" spans="1:99" s="5" customFormat="1" x14ac:dyDescent="0.35">
      <c r="A159" s="4" t="s">
        <v>157</v>
      </c>
      <c r="B159" s="4">
        <v>7</v>
      </c>
      <c r="C159" s="4" t="s">
        <v>168</v>
      </c>
      <c r="D159" s="4" t="s">
        <v>404</v>
      </c>
      <c r="F159" s="5">
        <v>2.5629999999999997</v>
      </c>
      <c r="G159" s="5">
        <v>0.91900000000000004</v>
      </c>
      <c r="H159" s="5">
        <v>0.85600000000000032</v>
      </c>
      <c r="I159" s="5">
        <v>1.012</v>
      </c>
      <c r="K159" s="5">
        <v>2.2669999999999999</v>
      </c>
      <c r="L159" s="5">
        <v>1000</v>
      </c>
      <c r="M159" s="5">
        <v>1000</v>
      </c>
      <c r="N159" s="5">
        <v>1000</v>
      </c>
      <c r="P159" s="5">
        <v>1.4340000748634338</v>
      </c>
      <c r="Q159" s="5">
        <v>1000</v>
      </c>
      <c r="R159" s="5">
        <v>1000</v>
      </c>
      <c r="S159" s="5">
        <v>1000</v>
      </c>
      <c r="U159" s="5">
        <v>6</v>
      </c>
      <c r="V159" s="5">
        <v>1000</v>
      </c>
      <c r="W159" s="5">
        <v>1000</v>
      </c>
      <c r="X159" s="5">
        <v>1000</v>
      </c>
      <c r="Z159" s="5">
        <v>1.8169999999999999</v>
      </c>
      <c r="AA159" s="5">
        <v>1000</v>
      </c>
      <c r="AB159" s="5">
        <v>1000</v>
      </c>
      <c r="AC159" s="5">
        <v>1000</v>
      </c>
      <c r="AE159" s="5">
        <v>1.2169998288154602</v>
      </c>
      <c r="AF159" s="5">
        <v>1000</v>
      </c>
      <c r="AG159" s="5">
        <v>1000</v>
      </c>
      <c r="AH159" s="5">
        <v>1000</v>
      </c>
      <c r="AJ159" s="5">
        <v>4</v>
      </c>
      <c r="AK159" s="5">
        <v>1000</v>
      </c>
      <c r="AL159" s="5">
        <v>1000</v>
      </c>
      <c r="AM159" s="5">
        <v>1000</v>
      </c>
      <c r="AO159" s="5">
        <v>4</v>
      </c>
      <c r="AP159" s="5">
        <v>1000</v>
      </c>
      <c r="AQ159" s="5">
        <v>1000</v>
      </c>
      <c r="AR159" s="5">
        <v>1000</v>
      </c>
      <c r="AT159" s="5">
        <v>0.19699999690055847</v>
      </c>
      <c r="AU159" s="5">
        <v>1000</v>
      </c>
      <c r="AV159" s="5">
        <v>1000</v>
      </c>
      <c r="AW159" s="5">
        <v>1000</v>
      </c>
      <c r="AY159" s="5">
        <v>0.5169999999999999</v>
      </c>
      <c r="AZ159" s="5">
        <v>1000</v>
      </c>
      <c r="BA159" s="5">
        <v>1000</v>
      </c>
      <c r="BB159" s="5">
        <v>1000</v>
      </c>
      <c r="BD159" s="5">
        <v>0.51699995994567871</v>
      </c>
      <c r="BE159" s="5">
        <v>1000</v>
      </c>
      <c r="BF159" s="5">
        <v>1000</v>
      </c>
      <c r="BG159" s="5">
        <v>1000</v>
      </c>
      <c r="BI159" s="5">
        <v>1</v>
      </c>
      <c r="BJ159" s="5">
        <v>1000</v>
      </c>
      <c r="BK159" s="5">
        <v>1000</v>
      </c>
      <c r="BL159" s="5">
        <v>1000</v>
      </c>
      <c r="BN159" s="5">
        <v>2</v>
      </c>
      <c r="BO159" s="5">
        <v>1000</v>
      </c>
      <c r="BP159" s="5">
        <v>1000</v>
      </c>
      <c r="BQ159" s="5">
        <v>1000</v>
      </c>
      <c r="BS159" s="5">
        <v>1.1130000352859497</v>
      </c>
      <c r="BT159" s="5">
        <v>1000</v>
      </c>
      <c r="BU159" s="5">
        <v>1000</v>
      </c>
      <c r="BV159" s="5">
        <v>1000</v>
      </c>
      <c r="BX159" s="5">
        <v>3.300000000000014E-2</v>
      </c>
      <c r="BY159" s="5">
        <v>1000</v>
      </c>
      <c r="BZ159" s="5">
        <v>1000</v>
      </c>
      <c r="CA159" s="5">
        <v>1000</v>
      </c>
      <c r="CC159" s="5">
        <v>0</v>
      </c>
      <c r="CD159" s="5">
        <v>1000</v>
      </c>
      <c r="CE159" s="5">
        <v>1000</v>
      </c>
      <c r="CF159" s="5">
        <v>1000</v>
      </c>
      <c r="CH159" s="5">
        <v>0</v>
      </c>
      <c r="CI159" s="5">
        <v>1000</v>
      </c>
      <c r="CJ159" s="5">
        <v>1000</v>
      </c>
      <c r="CK159" s="5">
        <v>1000</v>
      </c>
      <c r="CM159" s="5">
        <v>2</v>
      </c>
      <c r="CN159" s="5">
        <v>1000</v>
      </c>
      <c r="CO159" s="5">
        <v>1000</v>
      </c>
      <c r="CP159" s="5">
        <v>1000</v>
      </c>
      <c r="CR159" s="5">
        <v>4.0289999999999999</v>
      </c>
      <c r="CS159" s="5">
        <v>1000</v>
      </c>
      <c r="CT159" s="5">
        <v>1000</v>
      </c>
      <c r="CU159" s="5">
        <v>1000</v>
      </c>
    </row>
    <row r="160" spans="1:99" s="5" customFormat="1" x14ac:dyDescent="0.35">
      <c r="A160" s="4" t="s">
        <v>158</v>
      </c>
      <c r="B160" s="4">
        <v>9.5</v>
      </c>
      <c r="C160" s="4" t="s">
        <v>168</v>
      </c>
      <c r="D160" s="4" t="s">
        <v>404</v>
      </c>
      <c r="F160" s="5">
        <v>4.0069999999999997</v>
      </c>
      <c r="G160" s="5">
        <v>2.3890000000000002</v>
      </c>
      <c r="H160" s="5">
        <v>2.0110000000000001</v>
      </c>
      <c r="I160" s="5">
        <v>3.1980000000000004</v>
      </c>
      <c r="K160" s="5">
        <v>3.9330000000000003</v>
      </c>
      <c r="L160" s="5">
        <v>2.1</v>
      </c>
      <c r="M160" s="5">
        <v>1.9989999999999997</v>
      </c>
      <c r="N160" s="5">
        <v>3.0990000000000002</v>
      </c>
      <c r="P160" s="5">
        <v>2.8820000886917114</v>
      </c>
      <c r="Q160" s="5">
        <v>1.0980000495910645</v>
      </c>
      <c r="R160" s="5">
        <v>0.71699976921081543</v>
      </c>
      <c r="S160" s="5">
        <v>0.90000009536743164</v>
      </c>
      <c r="U160" s="5">
        <v>8</v>
      </c>
      <c r="V160" s="5">
        <v>6</v>
      </c>
      <c r="W160" s="5">
        <v>5</v>
      </c>
      <c r="X160" s="5">
        <v>7</v>
      </c>
      <c r="Z160" s="5">
        <v>2.2839999999999998</v>
      </c>
      <c r="AA160" s="5">
        <v>1.7000000000000002</v>
      </c>
      <c r="AB160" s="5">
        <v>1.3319999999999994</v>
      </c>
      <c r="AC160" s="5">
        <v>0.88399999999999945</v>
      </c>
      <c r="AE160" s="5">
        <v>1.9160002470016479</v>
      </c>
      <c r="AF160" s="5">
        <v>0.89800000190734863</v>
      </c>
      <c r="AG160" s="5">
        <v>0.71699976921081543</v>
      </c>
      <c r="AH160" s="5">
        <v>0.43399989604949951</v>
      </c>
      <c r="AJ160" s="5">
        <v>5</v>
      </c>
      <c r="AK160" s="5">
        <v>5</v>
      </c>
      <c r="AL160" s="5">
        <v>5</v>
      </c>
      <c r="AM160" s="5">
        <v>3</v>
      </c>
      <c r="AO160" s="5">
        <v>2</v>
      </c>
      <c r="AP160" s="5">
        <v>1</v>
      </c>
      <c r="AQ160" s="5">
        <v>3</v>
      </c>
      <c r="AR160" s="5">
        <v>15</v>
      </c>
      <c r="AT160" s="5">
        <v>0.30000001192092896</v>
      </c>
      <c r="AU160" s="5">
        <v>0.32300001382827759</v>
      </c>
      <c r="AV160" s="5">
        <v>2.5380001068115234</v>
      </c>
      <c r="AW160" s="5">
        <v>0.5820000171661377</v>
      </c>
      <c r="AY160" s="5">
        <v>1.0329999999999999</v>
      </c>
      <c r="AZ160" s="5">
        <v>0.26600000000000013</v>
      </c>
      <c r="BA160" s="5">
        <v>0.11699999999999999</v>
      </c>
      <c r="BB160" s="5">
        <v>0.45099999999999973</v>
      </c>
      <c r="BD160" s="5">
        <v>0.88300001621246338</v>
      </c>
      <c r="BE160" s="5">
        <v>0.21600008010864258</v>
      </c>
      <c r="BF160" s="5">
        <v>0.10000014305114746</v>
      </c>
      <c r="BG160" s="5">
        <v>0.31700003147125244</v>
      </c>
      <c r="BI160" s="5">
        <v>2</v>
      </c>
      <c r="BJ160" s="5">
        <v>1</v>
      </c>
      <c r="BK160" s="5">
        <v>1</v>
      </c>
      <c r="BL160" s="5">
        <v>2</v>
      </c>
      <c r="BN160" s="5">
        <v>3</v>
      </c>
      <c r="BO160" s="5">
        <v>7</v>
      </c>
      <c r="BP160" s="5">
        <v>1</v>
      </c>
      <c r="BQ160" s="5">
        <v>14</v>
      </c>
      <c r="BS160" s="5">
        <v>0.30000001192092896</v>
      </c>
      <c r="BT160" s="5">
        <v>1.0729999542236328</v>
      </c>
      <c r="BU160" s="5">
        <v>3.7209999561309814</v>
      </c>
      <c r="BV160" s="5">
        <v>0.5820000171661377</v>
      </c>
      <c r="BX160" s="5">
        <v>0.23399999999999999</v>
      </c>
      <c r="BY160" s="5">
        <v>3.2999999999999918E-2</v>
      </c>
      <c r="BZ160" s="5">
        <v>0.35099999999999998</v>
      </c>
      <c r="CA160" s="5">
        <v>1.6000000000000014E-2</v>
      </c>
      <c r="CC160" s="5">
        <v>0.23300004005432129</v>
      </c>
      <c r="CD160" s="5">
        <v>0</v>
      </c>
      <c r="CE160" s="5">
        <v>0.3339998722076416</v>
      </c>
      <c r="CF160" s="5">
        <v>0</v>
      </c>
      <c r="CH160" s="5">
        <v>2</v>
      </c>
      <c r="CI160" s="5">
        <v>0</v>
      </c>
      <c r="CJ160" s="5">
        <v>2</v>
      </c>
      <c r="CK160" s="5">
        <v>0</v>
      </c>
      <c r="CM160" s="5">
        <v>1</v>
      </c>
      <c r="CN160" s="5">
        <v>1</v>
      </c>
      <c r="CO160" s="5">
        <v>10</v>
      </c>
      <c r="CP160" s="5">
        <v>1</v>
      </c>
      <c r="CR160" s="5">
        <v>3.749000072479248</v>
      </c>
      <c r="CS160" s="5">
        <v>4.0069999999999997</v>
      </c>
      <c r="CT160" s="5">
        <v>2.7039999961853027</v>
      </c>
      <c r="CU160" s="5">
        <v>4.01</v>
      </c>
    </row>
    <row r="161" spans="1:99" s="5" customFormat="1" x14ac:dyDescent="0.35">
      <c r="A161" s="4" t="s">
        <v>159</v>
      </c>
      <c r="B161" s="4">
        <v>6.083333333333333</v>
      </c>
      <c r="C161" s="4" t="s">
        <v>168</v>
      </c>
      <c r="D161" s="4" t="s">
        <v>404</v>
      </c>
      <c r="F161" s="5">
        <v>2.7949999999999999</v>
      </c>
      <c r="G161" s="5">
        <v>1000</v>
      </c>
      <c r="H161" s="5">
        <v>1000</v>
      </c>
      <c r="I161" s="5">
        <v>4.0110000000000001</v>
      </c>
      <c r="K161" s="5">
        <v>2.7830000000000004</v>
      </c>
      <c r="L161" s="5">
        <v>1000</v>
      </c>
      <c r="M161" s="5">
        <v>1000</v>
      </c>
      <c r="N161" s="5">
        <v>3.448</v>
      </c>
      <c r="P161" s="5">
        <v>1.4160001575946808</v>
      </c>
      <c r="Q161" s="5">
        <v>1000</v>
      </c>
      <c r="R161" s="5">
        <v>1000</v>
      </c>
      <c r="S161" s="5">
        <v>3.2519999742507935</v>
      </c>
      <c r="U161" s="5">
        <v>8</v>
      </c>
      <c r="V161" s="5">
        <v>1000</v>
      </c>
      <c r="W161" s="5">
        <v>1000</v>
      </c>
      <c r="X161" s="5">
        <v>11</v>
      </c>
      <c r="Z161" s="5">
        <v>2.1000000000000005</v>
      </c>
      <c r="AA161" s="5">
        <v>1000</v>
      </c>
      <c r="AB161" s="5">
        <v>1000</v>
      </c>
      <c r="AC161" s="5">
        <v>3.532</v>
      </c>
      <c r="AE161" s="5">
        <v>1.4160001575946808</v>
      </c>
      <c r="AF161" s="5">
        <v>1000</v>
      </c>
      <c r="AG161" s="5">
        <v>1000</v>
      </c>
      <c r="AH161" s="5">
        <v>3.2519999742507935</v>
      </c>
      <c r="AJ161" s="5">
        <v>8</v>
      </c>
      <c r="AK161" s="5">
        <v>1000</v>
      </c>
      <c r="AL161" s="5">
        <v>1000</v>
      </c>
      <c r="AM161" s="5">
        <v>11</v>
      </c>
      <c r="AO161" s="5">
        <v>3</v>
      </c>
      <c r="AP161" s="5">
        <v>1000</v>
      </c>
      <c r="AQ161" s="5">
        <v>1000</v>
      </c>
      <c r="AR161" s="5">
        <v>2</v>
      </c>
      <c r="AT161" s="5">
        <v>0.28999999165534973</v>
      </c>
      <c r="AU161" s="5">
        <v>1000</v>
      </c>
      <c r="AV161" s="5">
        <v>1000</v>
      </c>
      <c r="AW161" s="5">
        <v>0.40200001001358032</v>
      </c>
      <c r="AY161" s="5">
        <v>0.5159999999999999</v>
      </c>
      <c r="AZ161" s="5">
        <v>1000</v>
      </c>
      <c r="BA161" s="5">
        <v>1000</v>
      </c>
      <c r="BB161" s="5">
        <v>0</v>
      </c>
      <c r="BD161" s="5">
        <v>0.4989999532699585</v>
      </c>
      <c r="BE161" s="5">
        <v>1000</v>
      </c>
      <c r="BF161" s="5">
        <v>1000</v>
      </c>
      <c r="BG161" s="5">
        <v>0</v>
      </c>
      <c r="BI161" s="5">
        <v>3</v>
      </c>
      <c r="BJ161" s="5">
        <v>1000</v>
      </c>
      <c r="BK161" s="5">
        <v>1000</v>
      </c>
      <c r="BL161" s="5">
        <v>0</v>
      </c>
      <c r="BN161" s="5">
        <v>5</v>
      </c>
      <c r="BO161" s="5">
        <v>1000</v>
      </c>
      <c r="BP161" s="5">
        <v>1000</v>
      </c>
      <c r="BQ161" s="5">
        <v>0</v>
      </c>
      <c r="BS161" s="5">
        <v>0.72399997711181641</v>
      </c>
      <c r="BT161" s="5">
        <v>1000</v>
      </c>
      <c r="BU161" s="5">
        <v>1000</v>
      </c>
      <c r="BV161" s="5">
        <v>4.0110000000000001</v>
      </c>
      <c r="BX161" s="5">
        <v>0.38300000000000028</v>
      </c>
      <c r="BY161" s="5">
        <v>1000</v>
      </c>
      <c r="BZ161" s="5">
        <v>1000</v>
      </c>
      <c r="CA161" s="5">
        <v>0</v>
      </c>
      <c r="CC161" s="5">
        <v>0.13300013542175293</v>
      </c>
      <c r="CD161" s="5">
        <v>1000</v>
      </c>
      <c r="CE161" s="5">
        <v>1000</v>
      </c>
      <c r="CF161" s="5">
        <v>0</v>
      </c>
      <c r="CH161" s="5">
        <v>1</v>
      </c>
      <c r="CI161" s="5">
        <v>1000</v>
      </c>
      <c r="CJ161" s="5">
        <v>1000</v>
      </c>
      <c r="CK161" s="5">
        <v>0</v>
      </c>
      <c r="CM161" s="5">
        <v>11</v>
      </c>
      <c r="CN161" s="5">
        <v>1000</v>
      </c>
      <c r="CO161" s="5">
        <v>1000</v>
      </c>
      <c r="CP161" s="5">
        <v>0</v>
      </c>
      <c r="CR161" s="5">
        <v>3.872999906539917</v>
      </c>
      <c r="CS161" s="5">
        <v>1000</v>
      </c>
      <c r="CT161" s="5">
        <v>1000</v>
      </c>
      <c r="CU161" s="5">
        <v>4.0110000000000001</v>
      </c>
    </row>
    <row r="162" spans="1:99" s="5" customFormat="1" x14ac:dyDescent="0.35">
      <c r="A162" s="4" t="s">
        <v>160</v>
      </c>
      <c r="B162" s="4">
        <v>13.083333333333334</v>
      </c>
      <c r="C162" s="4" t="s">
        <v>167</v>
      </c>
      <c r="D162" s="4" t="s">
        <v>404</v>
      </c>
      <c r="F162" s="5">
        <v>4.0110000000000001</v>
      </c>
      <c r="G162" s="5">
        <v>4.0149999999999997</v>
      </c>
      <c r="H162" s="5">
        <v>4.0110000000000001</v>
      </c>
      <c r="I162" s="5">
        <v>4.016</v>
      </c>
      <c r="K162" s="5">
        <v>3.9990000000000001</v>
      </c>
      <c r="L162" s="5">
        <v>3.6830000000000003</v>
      </c>
      <c r="M162" s="5">
        <v>3.9990000000000001</v>
      </c>
      <c r="N162" s="5">
        <v>3.9989999999999997</v>
      </c>
      <c r="P162" s="5">
        <v>3.4649999774992466</v>
      </c>
      <c r="Q162" s="5">
        <v>3.2649998664855957</v>
      </c>
      <c r="R162" s="5">
        <v>3.6659999956609681</v>
      </c>
      <c r="S162" s="5">
        <v>3.1009999364614487</v>
      </c>
      <c r="U162" s="5">
        <v>6</v>
      </c>
      <c r="V162" s="5">
        <v>7</v>
      </c>
      <c r="W162" s="5">
        <v>7</v>
      </c>
      <c r="X162" s="5">
        <v>8</v>
      </c>
      <c r="Z162" s="5">
        <v>3.766</v>
      </c>
      <c r="AA162" s="5">
        <v>3.6160000000000005</v>
      </c>
      <c r="AB162" s="5">
        <v>3.9659999999999997</v>
      </c>
      <c r="AC162" s="5">
        <v>3.2830000000000004</v>
      </c>
      <c r="AE162" s="5">
        <v>3.4649999774992466</v>
      </c>
      <c r="AF162" s="5">
        <v>3.2649998664855957</v>
      </c>
      <c r="AG162" s="5">
        <v>3.6659999956609681</v>
      </c>
      <c r="AH162" s="5">
        <v>2.4999999850988388</v>
      </c>
      <c r="AJ162" s="5">
        <v>6</v>
      </c>
      <c r="AK162" s="5">
        <v>7</v>
      </c>
      <c r="AL162" s="5">
        <v>7</v>
      </c>
      <c r="AM162" s="5">
        <v>5</v>
      </c>
      <c r="AO162" s="5">
        <v>3</v>
      </c>
      <c r="AP162" s="5">
        <v>1</v>
      </c>
      <c r="AQ162" s="5">
        <v>2</v>
      </c>
      <c r="AR162" s="5">
        <v>2</v>
      </c>
      <c r="AT162" s="5">
        <v>8.999999612569809E-3</v>
      </c>
      <c r="AU162" s="5">
        <v>0.38499999046325684</v>
      </c>
      <c r="AV162" s="5">
        <v>1.0000000474974513E-3</v>
      </c>
      <c r="AW162" s="5">
        <v>2.8999999165534973E-2</v>
      </c>
      <c r="AY162" s="5">
        <v>2.899</v>
      </c>
      <c r="AZ162" s="5">
        <v>2.0670000000000002</v>
      </c>
      <c r="BA162" s="5">
        <v>2.4330000000000003</v>
      </c>
      <c r="BB162" s="5">
        <v>0.51699999999999979</v>
      </c>
      <c r="BD162" s="5">
        <v>3.0990000404417515</v>
      </c>
      <c r="BE162" s="5">
        <v>2.2329998016357422</v>
      </c>
      <c r="BF162" s="5">
        <v>2.4989999403478578</v>
      </c>
      <c r="BG162" s="5">
        <v>0.46600008010864258</v>
      </c>
      <c r="BI162" s="5">
        <v>3</v>
      </c>
      <c r="BJ162" s="5">
        <v>5</v>
      </c>
      <c r="BK162" s="5">
        <v>4</v>
      </c>
      <c r="BL162" s="5">
        <v>1</v>
      </c>
      <c r="BN162" s="5">
        <v>4</v>
      </c>
      <c r="BO162" s="5">
        <v>4</v>
      </c>
      <c r="BP162" s="5">
        <v>4</v>
      </c>
      <c r="BQ162" s="5">
        <v>3</v>
      </c>
      <c r="BS162" s="5">
        <v>8.999999612569809E-3</v>
      </c>
      <c r="BT162" s="5">
        <v>0.38499999046325684</v>
      </c>
      <c r="BU162" s="5">
        <v>1.0000000474974513E-3</v>
      </c>
      <c r="BV162" s="5">
        <v>2.8789999485015869</v>
      </c>
      <c r="BX162" s="5">
        <v>0.13300000000000001</v>
      </c>
      <c r="BY162" s="5">
        <v>1.6999999999999904E-2</v>
      </c>
      <c r="BZ162" s="5">
        <v>0</v>
      </c>
      <c r="CA162" s="5">
        <v>4.9999999999999822E-2</v>
      </c>
      <c r="CC162" s="5">
        <v>0.10000014305114746</v>
      </c>
      <c r="CD162" s="5">
        <v>0</v>
      </c>
      <c r="CE162" s="5">
        <v>0</v>
      </c>
      <c r="CF162" s="5">
        <v>0</v>
      </c>
      <c r="CH162" s="5">
        <v>1</v>
      </c>
      <c r="CI162" s="5">
        <v>0</v>
      </c>
      <c r="CJ162" s="5">
        <v>0</v>
      </c>
      <c r="CK162" s="5">
        <v>0</v>
      </c>
      <c r="CM162" s="5">
        <v>3</v>
      </c>
      <c r="CN162" s="5">
        <v>1</v>
      </c>
      <c r="CO162" s="5">
        <v>0</v>
      </c>
      <c r="CP162" s="5">
        <v>4</v>
      </c>
      <c r="CR162" s="5">
        <v>3.7249999046325684</v>
      </c>
      <c r="CS162" s="5">
        <v>4.0149999999999997</v>
      </c>
      <c r="CT162" s="5">
        <v>4.0110000000000001</v>
      </c>
      <c r="CU162" s="5">
        <v>4.016</v>
      </c>
    </row>
    <row r="163" spans="1:99" s="5" customFormat="1" x14ac:dyDescent="0.35">
      <c r="A163" s="4" t="s">
        <v>161</v>
      </c>
      <c r="B163" s="4">
        <v>6.416666666666667</v>
      </c>
      <c r="C163" s="4" t="s">
        <v>168</v>
      </c>
      <c r="D163" s="4" t="s">
        <v>404</v>
      </c>
      <c r="F163" s="5">
        <v>4.016</v>
      </c>
      <c r="G163" s="5">
        <v>0.65300000000000002</v>
      </c>
      <c r="H163" s="5">
        <v>4.0110000000000001</v>
      </c>
      <c r="I163" s="5">
        <v>4.0129999999999999</v>
      </c>
      <c r="K163" s="5">
        <v>3.9990000000000006</v>
      </c>
      <c r="L163" s="5">
        <v>1000</v>
      </c>
      <c r="M163" s="5">
        <v>3.9990000000000001</v>
      </c>
      <c r="N163" s="5">
        <v>3.9990000000000001</v>
      </c>
      <c r="P163" s="5">
        <v>1.4329998604953289</v>
      </c>
      <c r="Q163" s="5">
        <v>1000</v>
      </c>
      <c r="R163" s="5">
        <v>2.7830004990100861</v>
      </c>
      <c r="S163" s="5">
        <v>3.7810000665485859</v>
      </c>
      <c r="U163" s="5">
        <v>6</v>
      </c>
      <c r="V163" s="5">
        <v>1000</v>
      </c>
      <c r="W163" s="5">
        <v>11</v>
      </c>
      <c r="X163" s="5">
        <v>8</v>
      </c>
      <c r="Z163" s="5">
        <v>3.6830000000000003</v>
      </c>
      <c r="AA163" s="5">
        <v>1000</v>
      </c>
      <c r="AB163" s="5">
        <v>3.633</v>
      </c>
      <c r="AC163" s="5">
        <v>3.9990000000000001</v>
      </c>
      <c r="AE163" s="5">
        <v>1.232999861240387</v>
      </c>
      <c r="AF163" s="5">
        <v>1000</v>
      </c>
      <c r="AG163" s="5">
        <v>2.7830004990100861</v>
      </c>
      <c r="AH163" s="5">
        <v>3.7810000665485859</v>
      </c>
      <c r="AJ163" s="5">
        <v>5</v>
      </c>
      <c r="AK163" s="5">
        <v>1000</v>
      </c>
      <c r="AL163" s="5">
        <v>11</v>
      </c>
      <c r="AM163" s="5">
        <v>8</v>
      </c>
      <c r="AO163" s="5">
        <v>3</v>
      </c>
      <c r="AP163" s="5">
        <v>1000</v>
      </c>
      <c r="AQ163" s="5">
        <v>1</v>
      </c>
      <c r="AR163" s="5">
        <v>1</v>
      </c>
      <c r="AT163" s="5">
        <v>0.70200002193450928</v>
      </c>
      <c r="AU163" s="5">
        <v>1000</v>
      </c>
      <c r="AV163" s="5">
        <v>0.36700001358985901</v>
      </c>
      <c r="AW163" s="5">
        <v>2.4000000208616257E-2</v>
      </c>
      <c r="AY163" s="5">
        <v>3.2330000000000001</v>
      </c>
      <c r="AZ163" s="5">
        <v>1000</v>
      </c>
      <c r="BA163" s="5">
        <v>1.8320000000000003</v>
      </c>
      <c r="BB163" s="5">
        <v>2.1</v>
      </c>
      <c r="BD163" s="5">
        <v>1.232999861240387</v>
      </c>
      <c r="BE163" s="5">
        <v>1000</v>
      </c>
      <c r="BF163" s="5">
        <v>1.3330004513263702</v>
      </c>
      <c r="BG163" s="5">
        <v>2.01500004529953</v>
      </c>
      <c r="BI163" s="5">
        <v>5</v>
      </c>
      <c r="BJ163" s="5">
        <v>1000</v>
      </c>
      <c r="BK163" s="5">
        <v>7</v>
      </c>
      <c r="BL163" s="5">
        <v>5</v>
      </c>
      <c r="BN163" s="5">
        <v>4</v>
      </c>
      <c r="BO163" s="5">
        <v>1000</v>
      </c>
      <c r="BP163" s="5">
        <v>4</v>
      </c>
      <c r="BQ163" s="5">
        <v>2</v>
      </c>
      <c r="BS163" s="5">
        <v>0.70200002193450928</v>
      </c>
      <c r="BT163" s="5">
        <v>1000</v>
      </c>
      <c r="BU163" s="5">
        <v>0.36700001358985901</v>
      </c>
      <c r="BV163" s="5">
        <v>0.87400001287460327</v>
      </c>
      <c r="BX163" s="5">
        <v>0</v>
      </c>
      <c r="BY163" s="5">
        <v>1000</v>
      </c>
      <c r="BZ163" s="5">
        <v>0</v>
      </c>
      <c r="CA163" s="5">
        <v>0</v>
      </c>
      <c r="CC163" s="5">
        <v>0</v>
      </c>
      <c r="CD163" s="5">
        <v>1000</v>
      </c>
      <c r="CE163" s="5">
        <v>0</v>
      </c>
      <c r="CF163" s="5">
        <v>0</v>
      </c>
      <c r="CH163" s="5">
        <v>0</v>
      </c>
      <c r="CI163" s="5">
        <v>1000</v>
      </c>
      <c r="CJ163" s="5">
        <v>0</v>
      </c>
      <c r="CK163" s="5">
        <v>0</v>
      </c>
      <c r="CM163" s="5">
        <v>2</v>
      </c>
      <c r="CN163" s="5">
        <v>1000</v>
      </c>
      <c r="CO163" s="5">
        <v>0</v>
      </c>
      <c r="CP163" s="5">
        <v>0</v>
      </c>
      <c r="CR163" s="5">
        <v>4.016</v>
      </c>
      <c r="CS163" s="5">
        <v>1000</v>
      </c>
      <c r="CT163" s="5">
        <v>4.0110000000000001</v>
      </c>
      <c r="CU163" s="5">
        <v>4.0129999999999999</v>
      </c>
    </row>
    <row r="164" spans="1:99" s="5" customFormat="1" x14ac:dyDescent="0.35">
      <c r="A164" s="4" t="s">
        <v>162</v>
      </c>
      <c r="B164" s="4">
        <v>6.833333333333333</v>
      </c>
      <c r="C164" s="4" t="s">
        <v>168</v>
      </c>
      <c r="D164" s="4" t="s">
        <v>404</v>
      </c>
      <c r="F164" s="5">
        <v>4.0149999999999997</v>
      </c>
      <c r="G164" s="5">
        <v>1.2329999999999997</v>
      </c>
      <c r="H164" s="5">
        <v>2.9089999999999998</v>
      </c>
      <c r="I164" s="5">
        <v>4.016</v>
      </c>
      <c r="K164" s="5">
        <v>3.9490000000000003</v>
      </c>
      <c r="L164" s="5">
        <v>1000</v>
      </c>
      <c r="M164" s="5">
        <v>2.8999999999999995</v>
      </c>
      <c r="N164" s="5">
        <v>3.6659999999999999</v>
      </c>
      <c r="P164" s="5">
        <v>3.3480000833515078</v>
      </c>
      <c r="Q164" s="5">
        <v>1000</v>
      </c>
      <c r="R164" s="5">
        <v>2.3319997610524297</v>
      </c>
      <c r="S164" s="5">
        <v>3.4169999696314335</v>
      </c>
      <c r="U164" s="5">
        <v>6</v>
      </c>
      <c r="V164" s="5">
        <v>1000</v>
      </c>
      <c r="W164" s="5">
        <v>7</v>
      </c>
      <c r="X164" s="5">
        <v>13</v>
      </c>
      <c r="Z164" s="5">
        <v>3.9490000000000003</v>
      </c>
      <c r="AA164" s="5">
        <v>1000</v>
      </c>
      <c r="AB164" s="5">
        <v>2.8829999999999996</v>
      </c>
      <c r="AC164" s="5">
        <v>3.4319999999999999</v>
      </c>
      <c r="AE164" s="5">
        <v>3.3480000833515078</v>
      </c>
      <c r="AF164" s="5">
        <v>1000</v>
      </c>
      <c r="AG164" s="5">
        <v>2.3319997610524297</v>
      </c>
      <c r="AH164" s="5">
        <v>3.2169999219477177</v>
      </c>
      <c r="AJ164" s="5">
        <v>6</v>
      </c>
      <c r="AK164" s="5">
        <v>1000</v>
      </c>
      <c r="AL164" s="5">
        <v>7</v>
      </c>
      <c r="AM164" s="5">
        <v>12</v>
      </c>
      <c r="AO164" s="5">
        <v>1</v>
      </c>
      <c r="AP164" s="5">
        <v>1000</v>
      </c>
      <c r="AQ164" s="5">
        <v>2</v>
      </c>
      <c r="AR164" s="5">
        <v>1</v>
      </c>
      <c r="AT164" s="5">
        <v>2.0000000949949026E-3</v>
      </c>
      <c r="AU164" s="5">
        <v>1000</v>
      </c>
      <c r="AV164" s="5">
        <v>6.0000000521540642E-3</v>
      </c>
      <c r="AW164" s="5">
        <v>8.999999612569809E-3</v>
      </c>
      <c r="AY164" s="5">
        <v>1.9500000000000004</v>
      </c>
      <c r="AZ164" s="5">
        <v>1000</v>
      </c>
      <c r="BA164" s="5">
        <v>1.9509999999999996</v>
      </c>
      <c r="BB164" s="5">
        <v>0.16599999999999998</v>
      </c>
      <c r="BD164" s="5">
        <v>2.6320001224521548</v>
      </c>
      <c r="BE164" s="5">
        <v>1000</v>
      </c>
      <c r="BF164" s="5">
        <v>1.8999998392537236</v>
      </c>
      <c r="BG164" s="5">
        <v>0.13300001621246338</v>
      </c>
      <c r="BI164" s="5">
        <v>4</v>
      </c>
      <c r="BJ164" s="5">
        <v>1000</v>
      </c>
      <c r="BK164" s="5">
        <v>5</v>
      </c>
      <c r="BL164" s="5">
        <v>1</v>
      </c>
      <c r="BN164" s="5">
        <v>4</v>
      </c>
      <c r="BO164" s="5">
        <v>1000</v>
      </c>
      <c r="BP164" s="5">
        <v>4</v>
      </c>
      <c r="BQ164" s="5">
        <v>1</v>
      </c>
      <c r="BS164" s="5">
        <v>2.0000000949949026E-3</v>
      </c>
      <c r="BT164" s="5">
        <v>1000</v>
      </c>
      <c r="BU164" s="5">
        <v>6.0000000521540642E-3</v>
      </c>
      <c r="BV164" s="5">
        <v>0.45899999141693115</v>
      </c>
      <c r="BX164" s="5">
        <v>6.6999999999999726E-2</v>
      </c>
      <c r="BY164" s="5">
        <v>1000</v>
      </c>
      <c r="BZ164" s="5">
        <v>0</v>
      </c>
      <c r="CA164" s="5">
        <v>0</v>
      </c>
      <c r="CC164" s="5">
        <v>0</v>
      </c>
      <c r="CD164" s="5">
        <v>1000</v>
      </c>
      <c r="CE164" s="5">
        <v>0</v>
      </c>
      <c r="CF164" s="5">
        <v>0</v>
      </c>
      <c r="CH164" s="5">
        <v>0</v>
      </c>
      <c r="CI164" s="5">
        <v>1000</v>
      </c>
      <c r="CJ164" s="5">
        <v>0</v>
      </c>
      <c r="CK164" s="5">
        <v>0</v>
      </c>
      <c r="CM164" s="5">
        <v>2</v>
      </c>
      <c r="CN164" s="5">
        <v>1000</v>
      </c>
      <c r="CO164" s="5">
        <v>1</v>
      </c>
      <c r="CP164" s="5">
        <v>0</v>
      </c>
      <c r="CR164" s="5">
        <v>4.0149999999999997</v>
      </c>
      <c r="CS164" s="5">
        <v>1000</v>
      </c>
      <c r="CT164" s="5">
        <v>4.0419999999999998</v>
      </c>
      <c r="CU164" s="5">
        <v>4.016</v>
      </c>
    </row>
    <row r="165" spans="1:99" s="5" customFormat="1" x14ac:dyDescent="0.35">
      <c r="A165" s="4" t="s">
        <v>163</v>
      </c>
      <c r="B165" s="4">
        <v>7.333333333333333</v>
      </c>
      <c r="C165" s="4" t="s">
        <v>168</v>
      </c>
      <c r="D165" s="4" t="s">
        <v>404</v>
      </c>
      <c r="F165" s="5">
        <v>2.15</v>
      </c>
      <c r="G165" s="5">
        <v>2.4279999999999999</v>
      </c>
      <c r="H165" s="5">
        <v>3.1019999999999994</v>
      </c>
      <c r="I165" s="5">
        <v>0</v>
      </c>
      <c r="K165" s="5">
        <v>2.15</v>
      </c>
      <c r="L165" s="5">
        <v>1.7829999999999997</v>
      </c>
      <c r="M165" s="5">
        <v>2.8159999999999998</v>
      </c>
      <c r="N165" s="5">
        <v>1000</v>
      </c>
      <c r="P165" s="5">
        <v>1.716999888420105</v>
      </c>
      <c r="Q165" s="5">
        <v>1.4169999565929174</v>
      </c>
      <c r="R165" s="5">
        <v>2.765999972820282</v>
      </c>
      <c r="S165" s="5">
        <v>1000</v>
      </c>
      <c r="U165" s="5">
        <v>5</v>
      </c>
      <c r="V165" s="5">
        <v>4</v>
      </c>
      <c r="W165" s="5">
        <v>2</v>
      </c>
      <c r="X165" s="5">
        <v>1000</v>
      </c>
      <c r="Z165" s="5">
        <v>1.8839999999999999</v>
      </c>
      <c r="AA165" s="5">
        <v>1.7829999999999997</v>
      </c>
      <c r="AB165" s="5">
        <v>2.8159999999999998</v>
      </c>
      <c r="AC165" s="5">
        <v>1000</v>
      </c>
      <c r="AE165" s="5">
        <v>1.716999888420105</v>
      </c>
      <c r="AF165" s="5">
        <v>1.4169999565929174</v>
      </c>
      <c r="AG165" s="5">
        <v>2.765999972820282</v>
      </c>
      <c r="AH165" s="5">
        <v>1000</v>
      </c>
      <c r="AJ165" s="5">
        <v>5</v>
      </c>
      <c r="AK165" s="5">
        <v>4</v>
      </c>
      <c r="AL165" s="5">
        <v>2</v>
      </c>
      <c r="AM165" s="5">
        <v>1000</v>
      </c>
      <c r="AO165" s="5">
        <v>2</v>
      </c>
      <c r="AP165" s="5">
        <v>2</v>
      </c>
      <c r="AQ165" s="5">
        <v>1</v>
      </c>
      <c r="AR165" s="5">
        <v>1000</v>
      </c>
      <c r="AT165" s="5">
        <v>1.0950000286102295</v>
      </c>
      <c r="AU165" s="5">
        <v>9.9999997764825821E-3</v>
      </c>
      <c r="AV165" s="5">
        <v>0.93800002336502075</v>
      </c>
      <c r="AW165" s="5">
        <v>1000</v>
      </c>
      <c r="AY165" s="5">
        <v>0.66700000000000004</v>
      </c>
      <c r="AZ165" s="5">
        <v>1.4159999999999997</v>
      </c>
      <c r="BA165" s="5">
        <v>2.649</v>
      </c>
      <c r="BB165" s="5">
        <v>1000</v>
      </c>
      <c r="BD165" s="5">
        <v>0.66700005531311035</v>
      </c>
      <c r="BE165" s="5">
        <v>1.0669999420642853</v>
      </c>
      <c r="BF165" s="5">
        <v>2.765999972820282</v>
      </c>
      <c r="BG165" s="5">
        <v>1000</v>
      </c>
      <c r="BI165" s="5">
        <v>2</v>
      </c>
      <c r="BJ165" s="5">
        <v>3</v>
      </c>
      <c r="BK165" s="5">
        <v>2</v>
      </c>
      <c r="BL165" s="5">
        <v>1000</v>
      </c>
      <c r="BN165" s="5">
        <v>2</v>
      </c>
      <c r="BO165" s="5">
        <v>2</v>
      </c>
      <c r="BP165" s="5">
        <v>2</v>
      </c>
      <c r="BQ165" s="5">
        <v>1000</v>
      </c>
      <c r="BS165" s="5">
        <v>2.2119998931884766</v>
      </c>
      <c r="BT165" s="5">
        <v>0.37700000405311584</v>
      </c>
      <c r="BU165" s="5">
        <v>0.93800002336502075</v>
      </c>
      <c r="BV165" s="5">
        <v>1000</v>
      </c>
      <c r="BX165" s="5">
        <v>0.88399999999999945</v>
      </c>
      <c r="BY165" s="5">
        <v>0</v>
      </c>
      <c r="BZ165" s="5">
        <v>0</v>
      </c>
      <c r="CA165" s="5">
        <v>1000</v>
      </c>
      <c r="CC165" s="5">
        <v>0.88300001621246338</v>
      </c>
      <c r="CD165" s="5">
        <v>0</v>
      </c>
      <c r="CE165" s="5">
        <v>0</v>
      </c>
      <c r="CF165" s="5">
        <v>1000</v>
      </c>
      <c r="CH165" s="5">
        <v>2</v>
      </c>
      <c r="CI165" s="5">
        <v>0</v>
      </c>
      <c r="CJ165" s="5">
        <v>0</v>
      </c>
      <c r="CK165" s="5">
        <v>1000</v>
      </c>
      <c r="CM165" s="5">
        <v>3</v>
      </c>
      <c r="CN165" s="5">
        <v>0</v>
      </c>
      <c r="CO165" s="5">
        <v>1</v>
      </c>
      <c r="CP165" s="5">
        <v>1000</v>
      </c>
      <c r="CR165" s="5">
        <v>1.0950000286102295</v>
      </c>
      <c r="CS165" s="5">
        <v>4.0110000000000001</v>
      </c>
      <c r="CT165" s="5">
        <v>4.0069999999999997</v>
      </c>
      <c r="CU165" s="5">
        <v>1000</v>
      </c>
    </row>
    <row r="166" spans="1:99" s="5" customFormat="1" x14ac:dyDescent="0.35">
      <c r="A166" s="4" t="s">
        <v>164</v>
      </c>
      <c r="B166" s="4">
        <v>12</v>
      </c>
      <c r="C166" s="4" t="s">
        <v>168</v>
      </c>
      <c r="D166" s="4" t="s">
        <v>404</v>
      </c>
      <c r="F166" s="5">
        <v>4.0049999999999999</v>
      </c>
      <c r="G166" s="5">
        <v>1000</v>
      </c>
      <c r="H166" s="5">
        <v>4.016</v>
      </c>
      <c r="I166" s="5">
        <v>4.0149999999999997</v>
      </c>
      <c r="K166" s="5">
        <v>3.766</v>
      </c>
      <c r="L166" s="5">
        <v>1000</v>
      </c>
      <c r="M166" s="5">
        <v>3.8330000000000002</v>
      </c>
      <c r="N166" s="5">
        <v>3.9990000000000001</v>
      </c>
      <c r="P166" s="5">
        <v>1.3830001354217529</v>
      </c>
      <c r="Q166" s="5">
        <v>1000</v>
      </c>
      <c r="R166" s="5">
        <v>2.8509996165521443</v>
      </c>
      <c r="S166" s="5">
        <v>3.2650000723078847</v>
      </c>
      <c r="U166" s="5">
        <v>7</v>
      </c>
      <c r="V166" s="5">
        <v>1000</v>
      </c>
      <c r="W166" s="5">
        <v>11</v>
      </c>
      <c r="X166" s="5">
        <v>14</v>
      </c>
      <c r="Z166" s="5">
        <v>2.883</v>
      </c>
      <c r="AA166" s="5">
        <v>1000</v>
      </c>
      <c r="AB166" s="5">
        <v>3.8330000000000002</v>
      </c>
      <c r="AC166" s="5">
        <v>3.9990000000000001</v>
      </c>
      <c r="AE166" s="5">
        <v>1.3830001354217529</v>
      </c>
      <c r="AF166" s="5">
        <v>1000</v>
      </c>
      <c r="AG166" s="5">
        <v>2.8509996165521443</v>
      </c>
      <c r="AH166" s="5">
        <v>3.2650000723078847</v>
      </c>
      <c r="AJ166" s="5">
        <v>7</v>
      </c>
      <c r="AK166" s="5">
        <v>1000</v>
      </c>
      <c r="AL166" s="5">
        <v>11</v>
      </c>
      <c r="AM166" s="5">
        <v>14</v>
      </c>
      <c r="AO166" s="5">
        <v>5</v>
      </c>
      <c r="AP166" s="5">
        <v>1000</v>
      </c>
      <c r="AQ166" s="5">
        <v>1</v>
      </c>
      <c r="AR166" s="5">
        <v>1</v>
      </c>
      <c r="AT166" s="5">
        <v>1.3680000305175781</v>
      </c>
      <c r="AU166" s="5">
        <v>1000</v>
      </c>
      <c r="AV166" s="5">
        <v>4.0000001899898052E-3</v>
      </c>
      <c r="AW166" s="5">
        <v>6.0000000521540642E-3</v>
      </c>
      <c r="AY166" s="5">
        <v>1.016</v>
      </c>
      <c r="AZ166" s="5">
        <v>1000</v>
      </c>
      <c r="BA166" s="5">
        <v>0.50000000000000044</v>
      </c>
      <c r="BB166" s="5">
        <v>4.9999999999999933E-2</v>
      </c>
      <c r="BD166" s="5">
        <v>0.78300023078918457</v>
      </c>
      <c r="BE166" s="5">
        <v>1000</v>
      </c>
      <c r="BF166" s="5">
        <v>0.3670000066049397</v>
      </c>
      <c r="BG166" s="5">
        <v>0</v>
      </c>
      <c r="BI166" s="5">
        <v>4</v>
      </c>
      <c r="BJ166" s="5">
        <v>1000</v>
      </c>
      <c r="BK166" s="5">
        <v>2</v>
      </c>
      <c r="BL166" s="5">
        <v>0</v>
      </c>
      <c r="BN166" s="5">
        <v>12</v>
      </c>
      <c r="BO166" s="5">
        <v>1000</v>
      </c>
      <c r="BP166" s="5">
        <v>5</v>
      </c>
      <c r="BQ166" s="5">
        <v>5</v>
      </c>
      <c r="BS166" s="5">
        <v>2.7339999675750732</v>
      </c>
      <c r="BT166" s="5">
        <v>1000</v>
      </c>
      <c r="BU166" s="5">
        <v>4.0000001899898052E-3</v>
      </c>
      <c r="BV166" s="5">
        <v>4.0149999999999997</v>
      </c>
      <c r="BX166" s="5">
        <v>3.400000000000003E-2</v>
      </c>
      <c r="BY166" s="5">
        <v>1000</v>
      </c>
      <c r="BZ166" s="5">
        <v>0.93300000000000005</v>
      </c>
      <c r="CA166" s="5">
        <v>1.8489999999999998</v>
      </c>
      <c r="CC166" s="5">
        <v>0</v>
      </c>
      <c r="CD166" s="5">
        <v>1000</v>
      </c>
      <c r="CE166" s="5">
        <v>0.98299986124038696</v>
      </c>
      <c r="CF166" s="5">
        <v>1.8840001076459885</v>
      </c>
      <c r="CH166" s="5">
        <v>0</v>
      </c>
      <c r="CI166" s="5">
        <v>1000</v>
      </c>
      <c r="CJ166" s="5">
        <v>4</v>
      </c>
      <c r="CK166" s="5">
        <v>7</v>
      </c>
      <c r="CM166" s="5">
        <v>5</v>
      </c>
      <c r="CN166" s="5">
        <v>1000</v>
      </c>
      <c r="CO166" s="5">
        <v>5</v>
      </c>
      <c r="CP166" s="5">
        <v>17</v>
      </c>
      <c r="CR166" s="5">
        <v>4.0049999999999999</v>
      </c>
      <c r="CS166" s="5">
        <v>1000</v>
      </c>
      <c r="CT166" s="5">
        <v>0.93800002336502075</v>
      </c>
      <c r="CU166" s="5">
        <v>0.17299999296665192</v>
      </c>
    </row>
    <row r="167" spans="1:99" s="5" customFormat="1" x14ac:dyDescent="0.35">
      <c r="A167" s="4" t="s">
        <v>165</v>
      </c>
      <c r="B167" s="4">
        <v>8.3333333333333339</v>
      </c>
      <c r="C167" s="4" t="s">
        <v>168</v>
      </c>
      <c r="D167" s="4" t="s">
        <v>404</v>
      </c>
      <c r="F167" s="5">
        <v>4.01</v>
      </c>
      <c r="G167" s="5">
        <v>1000</v>
      </c>
      <c r="H167" s="5">
        <v>0.78299999999999992</v>
      </c>
      <c r="I167" s="5">
        <v>2.1609999999999996</v>
      </c>
      <c r="K167" s="5">
        <v>3.5489999999999999</v>
      </c>
      <c r="L167" s="5">
        <v>1000</v>
      </c>
      <c r="M167" s="5">
        <v>1000</v>
      </c>
      <c r="N167" s="5">
        <v>1.7</v>
      </c>
      <c r="P167" s="5">
        <v>3.2810000092722476</v>
      </c>
      <c r="Q167" s="5">
        <v>1000</v>
      </c>
      <c r="R167" s="5">
        <v>1000</v>
      </c>
      <c r="S167" s="5">
        <v>1.5500000715255737</v>
      </c>
      <c r="U167" s="5">
        <v>9</v>
      </c>
      <c r="V167" s="5">
        <v>1000</v>
      </c>
      <c r="W167" s="5">
        <v>1000</v>
      </c>
      <c r="X167" s="5">
        <v>3</v>
      </c>
      <c r="Z167" s="5">
        <v>3.149</v>
      </c>
      <c r="AA167" s="5">
        <v>1000</v>
      </c>
      <c r="AB167" s="5">
        <v>1000</v>
      </c>
      <c r="AC167" s="5">
        <v>1.6170000000000002</v>
      </c>
      <c r="AE167" s="5">
        <v>2.9810000061988831</v>
      </c>
      <c r="AF167" s="5">
        <v>1000</v>
      </c>
      <c r="AG167" s="5">
        <v>1000</v>
      </c>
      <c r="AH167" s="5">
        <v>1.5500000715255737</v>
      </c>
      <c r="AJ167" s="5">
        <v>8</v>
      </c>
      <c r="AK167" s="5">
        <v>1000</v>
      </c>
      <c r="AL167" s="5">
        <v>1000</v>
      </c>
      <c r="AM167" s="5">
        <v>3</v>
      </c>
      <c r="AO167" s="5">
        <v>1</v>
      </c>
      <c r="AP167" s="5">
        <v>1000</v>
      </c>
      <c r="AQ167" s="5">
        <v>1000</v>
      </c>
      <c r="AR167" s="5">
        <v>1</v>
      </c>
      <c r="AT167" s="5">
        <v>0.43599998950958252</v>
      </c>
      <c r="AU167" s="5">
        <v>1000</v>
      </c>
      <c r="AV167" s="5">
        <v>1000</v>
      </c>
      <c r="AW167" s="5">
        <v>1.8830000162124634</v>
      </c>
      <c r="AY167" s="5">
        <v>0.61699999999999999</v>
      </c>
      <c r="AZ167" s="5">
        <v>1000</v>
      </c>
      <c r="BA167" s="5">
        <v>1000</v>
      </c>
      <c r="BB167" s="5">
        <v>0.51600000000000001</v>
      </c>
      <c r="BD167" s="5">
        <v>0.56599998474121094</v>
      </c>
      <c r="BE167" s="5">
        <v>1000</v>
      </c>
      <c r="BF167" s="5">
        <v>1000</v>
      </c>
      <c r="BG167" s="5">
        <v>0</v>
      </c>
      <c r="BI167" s="5">
        <v>3</v>
      </c>
      <c r="BJ167" s="5">
        <v>1000</v>
      </c>
      <c r="BK167" s="5">
        <v>1000</v>
      </c>
      <c r="BL167" s="5">
        <v>0</v>
      </c>
      <c r="BN167" s="5">
        <v>4</v>
      </c>
      <c r="BO167" s="5">
        <v>1000</v>
      </c>
      <c r="BP167" s="5">
        <v>1000</v>
      </c>
      <c r="BQ167" s="5">
        <v>1</v>
      </c>
      <c r="BS167" s="5">
        <v>0.43599998950958252</v>
      </c>
      <c r="BT167" s="5">
        <v>1000</v>
      </c>
      <c r="BU167" s="5">
        <v>1000</v>
      </c>
      <c r="BV167" s="5">
        <v>4.01</v>
      </c>
      <c r="BX167" s="5">
        <v>0</v>
      </c>
      <c r="BY167" s="5">
        <v>1000</v>
      </c>
      <c r="BZ167" s="5">
        <v>1000</v>
      </c>
      <c r="CA167" s="5">
        <v>0.38400000000000012</v>
      </c>
      <c r="CC167" s="5">
        <v>0</v>
      </c>
      <c r="CD167" s="5">
        <v>1000</v>
      </c>
      <c r="CE167" s="5">
        <v>1000</v>
      </c>
      <c r="CF167" s="5">
        <v>0.30000019073486328</v>
      </c>
      <c r="CH167" s="5">
        <v>0</v>
      </c>
      <c r="CI167" s="5">
        <v>1000</v>
      </c>
      <c r="CJ167" s="5">
        <v>1000</v>
      </c>
      <c r="CK167" s="5">
        <v>1</v>
      </c>
      <c r="CM167" s="5">
        <v>1</v>
      </c>
      <c r="CN167" s="5">
        <v>1000</v>
      </c>
      <c r="CO167" s="5">
        <v>1000</v>
      </c>
      <c r="CP167" s="5">
        <v>2</v>
      </c>
      <c r="CR167" s="5">
        <v>4.01</v>
      </c>
      <c r="CS167" s="5">
        <v>1000</v>
      </c>
      <c r="CT167" s="5">
        <v>1000</v>
      </c>
      <c r="CU167" s="5">
        <v>2.4159998893737793</v>
      </c>
    </row>
  </sheetData>
  <mergeCells count="20">
    <mergeCell ref="CH1:CK1"/>
    <mergeCell ref="CM1:CP1"/>
    <mergeCell ref="CR1:CU1"/>
    <mergeCell ref="BI1:BL1"/>
    <mergeCell ref="BN1:BQ1"/>
    <mergeCell ref="BS1:BV1"/>
    <mergeCell ref="BX1:CA1"/>
    <mergeCell ref="CC1:CF1"/>
    <mergeCell ref="AJ1:AM1"/>
    <mergeCell ref="AO1:AR1"/>
    <mergeCell ref="AT1:AW1"/>
    <mergeCell ref="AY1:BB1"/>
    <mergeCell ref="BD1:BG1"/>
    <mergeCell ref="AE1:AH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71"/>
  <sheetViews>
    <sheetView workbookViewId="0">
      <selection activeCell="A13" sqref="A13:XFD13"/>
    </sheetView>
  </sheetViews>
  <sheetFormatPr baseColWidth="10" defaultColWidth="15.7265625" defaultRowHeight="14.5" x14ac:dyDescent="0.35"/>
  <cols>
    <col min="1" max="1" width="25.54296875" style="6" customWidth="1"/>
    <col min="2" max="4" width="15.7265625" style="6"/>
    <col min="5" max="16384" width="15.7265625" style="7"/>
  </cols>
  <sheetData>
    <row r="1" spans="1:99" ht="15" thickBot="1" x14ac:dyDescent="0.4">
      <c r="A1" s="67" t="s">
        <v>267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10"/>
      <c r="P1" s="8"/>
      <c r="Q1" s="9"/>
      <c r="R1" s="9"/>
      <c r="S1" s="10"/>
      <c r="U1" s="8"/>
      <c r="V1" s="9"/>
      <c r="W1" s="9"/>
      <c r="X1" s="10"/>
      <c r="Z1" s="8"/>
      <c r="AA1" s="9"/>
      <c r="AB1" s="9"/>
      <c r="AC1" s="10"/>
      <c r="AE1" s="8"/>
      <c r="AF1" s="9"/>
      <c r="AG1" s="9"/>
      <c r="AH1" s="10"/>
      <c r="AJ1" s="8"/>
      <c r="AK1" s="9"/>
      <c r="AL1" s="9"/>
      <c r="AM1" s="10"/>
      <c r="AO1" s="8"/>
      <c r="AP1" s="9"/>
      <c r="AQ1" s="9"/>
      <c r="AR1" s="10"/>
      <c r="AT1" s="8"/>
      <c r="AU1" s="9"/>
      <c r="AV1" s="9"/>
      <c r="AW1" s="10"/>
      <c r="AY1" s="8"/>
      <c r="AZ1" s="9"/>
      <c r="BA1" s="9"/>
      <c r="BB1" s="10"/>
      <c r="BD1" s="8"/>
      <c r="BE1" s="9"/>
      <c r="BF1" s="9"/>
      <c r="BG1" s="10"/>
      <c r="BI1" s="8"/>
      <c r="BJ1" s="9"/>
      <c r="BK1" s="9"/>
      <c r="BL1" s="10"/>
      <c r="BN1" s="8"/>
      <c r="BO1" s="9"/>
      <c r="BP1" s="9"/>
      <c r="BQ1" s="10"/>
      <c r="BS1" s="8"/>
      <c r="BT1" s="9"/>
      <c r="BU1" s="9"/>
      <c r="BV1" s="10"/>
      <c r="BX1" s="8"/>
      <c r="BY1" s="9"/>
      <c r="BZ1" s="9"/>
      <c r="CA1" s="10"/>
      <c r="CC1" s="8"/>
      <c r="CD1" s="9"/>
      <c r="CE1" s="9"/>
      <c r="CF1" s="10"/>
      <c r="CH1" s="8"/>
      <c r="CI1" s="9"/>
      <c r="CJ1" s="9"/>
      <c r="CK1" s="10"/>
      <c r="CM1" s="8"/>
      <c r="CN1" s="9"/>
      <c r="CO1" s="9"/>
      <c r="CP1" s="10"/>
      <c r="CR1" s="8"/>
      <c r="CS1" s="9"/>
      <c r="CT1" s="9"/>
      <c r="CU1" s="10"/>
    </row>
    <row r="2" spans="1:99" ht="15.5" thickTop="1" thickBot="1" x14ac:dyDescent="0.4">
      <c r="A2" s="56" t="s">
        <v>246</v>
      </c>
      <c r="B2" s="56"/>
      <c r="C2" s="56"/>
      <c r="D2" s="56"/>
      <c r="F2" s="57" t="s">
        <v>266</v>
      </c>
      <c r="G2" s="57"/>
      <c r="H2" s="57"/>
      <c r="I2" s="57"/>
      <c r="K2" s="58" t="s">
        <v>247</v>
      </c>
      <c r="L2" s="59"/>
      <c r="M2" s="59"/>
      <c r="N2" s="60"/>
      <c r="P2" s="58" t="s">
        <v>248</v>
      </c>
      <c r="Q2" s="59"/>
      <c r="R2" s="59"/>
      <c r="S2" s="60"/>
      <c r="U2" s="58" t="s">
        <v>249</v>
      </c>
      <c r="V2" s="59"/>
      <c r="W2" s="59"/>
      <c r="X2" s="60"/>
      <c r="Z2" s="53" t="s">
        <v>250</v>
      </c>
      <c r="AA2" s="54"/>
      <c r="AB2" s="54"/>
      <c r="AC2" s="55"/>
      <c r="AE2" s="53" t="s">
        <v>251</v>
      </c>
      <c r="AF2" s="54"/>
      <c r="AG2" s="54"/>
      <c r="AH2" s="55"/>
      <c r="AJ2" s="53" t="s">
        <v>252</v>
      </c>
      <c r="AK2" s="54"/>
      <c r="AL2" s="54"/>
      <c r="AM2" s="55"/>
      <c r="AO2" s="53" t="s">
        <v>253</v>
      </c>
      <c r="AP2" s="54"/>
      <c r="AQ2" s="54"/>
      <c r="AR2" s="55"/>
      <c r="AT2" s="53" t="s">
        <v>254</v>
      </c>
      <c r="AU2" s="54"/>
      <c r="AV2" s="54"/>
      <c r="AW2" s="55"/>
      <c r="AY2" s="61" t="s">
        <v>255</v>
      </c>
      <c r="AZ2" s="62"/>
      <c r="BA2" s="62"/>
      <c r="BB2" s="63"/>
      <c r="BD2" s="61" t="s">
        <v>256</v>
      </c>
      <c r="BE2" s="62"/>
      <c r="BF2" s="62"/>
      <c r="BG2" s="63"/>
      <c r="BI2" s="61" t="s">
        <v>257</v>
      </c>
      <c r="BJ2" s="62"/>
      <c r="BK2" s="62"/>
      <c r="BL2" s="63"/>
      <c r="BN2" s="61" t="s">
        <v>258</v>
      </c>
      <c r="BO2" s="62"/>
      <c r="BP2" s="62"/>
      <c r="BQ2" s="63"/>
      <c r="BS2" s="61" t="s">
        <v>259</v>
      </c>
      <c r="BT2" s="62"/>
      <c r="BU2" s="62"/>
      <c r="BV2" s="63"/>
      <c r="BX2" s="64" t="s">
        <v>260</v>
      </c>
      <c r="BY2" s="65"/>
      <c r="BZ2" s="65"/>
      <c r="CA2" s="66"/>
      <c r="CC2" s="64" t="s">
        <v>261</v>
      </c>
      <c r="CD2" s="65"/>
      <c r="CE2" s="65"/>
      <c r="CF2" s="66"/>
      <c r="CH2" s="64" t="s">
        <v>262</v>
      </c>
      <c r="CI2" s="65"/>
      <c r="CJ2" s="65"/>
      <c r="CK2" s="66"/>
      <c r="CM2" s="64" t="s">
        <v>263</v>
      </c>
      <c r="CN2" s="65"/>
      <c r="CO2" s="65"/>
      <c r="CP2" s="66"/>
      <c r="CR2" s="64" t="s">
        <v>264</v>
      </c>
      <c r="CS2" s="65"/>
      <c r="CT2" s="65"/>
      <c r="CU2" s="66"/>
    </row>
    <row r="3" spans="1:99" s="1" customFormat="1" ht="15" thickTop="1" x14ac:dyDescent="0.35">
      <c r="A3" s="1" t="s">
        <v>0</v>
      </c>
      <c r="B3" s="1" t="s">
        <v>265</v>
      </c>
      <c r="C3" s="1" t="s">
        <v>166</v>
      </c>
      <c r="D3" s="1" t="s">
        <v>169</v>
      </c>
      <c r="F3" s="1" t="s">
        <v>170</v>
      </c>
      <c r="G3" s="1" t="s">
        <v>171</v>
      </c>
      <c r="H3" s="1" t="s">
        <v>172</v>
      </c>
      <c r="I3" s="1" t="s">
        <v>173</v>
      </c>
      <c r="K3" s="1" t="s">
        <v>174</v>
      </c>
      <c r="L3" s="1" t="s">
        <v>175</v>
      </c>
      <c r="M3" s="1" t="s">
        <v>176</v>
      </c>
      <c r="N3" s="1" t="s">
        <v>177</v>
      </c>
      <c r="P3" s="1" t="s">
        <v>178</v>
      </c>
      <c r="Q3" s="1" t="s">
        <v>179</v>
      </c>
      <c r="R3" s="1" t="s">
        <v>180</v>
      </c>
      <c r="S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Z3" s="1" t="s">
        <v>186</v>
      </c>
      <c r="AA3" s="1" t="s">
        <v>187</v>
      </c>
      <c r="AB3" s="1" t="s">
        <v>188</v>
      </c>
      <c r="AC3" s="1" t="s">
        <v>189</v>
      </c>
      <c r="AE3" s="1" t="s">
        <v>190</v>
      </c>
      <c r="AF3" s="1" t="s">
        <v>191</v>
      </c>
      <c r="AG3" s="1" t="s">
        <v>192</v>
      </c>
      <c r="AH3" s="1" t="s">
        <v>193</v>
      </c>
      <c r="AJ3" s="1" t="s">
        <v>194</v>
      </c>
      <c r="AK3" s="1" t="s">
        <v>195</v>
      </c>
      <c r="AL3" s="1" t="s">
        <v>196</v>
      </c>
      <c r="AM3" s="1" t="s">
        <v>197</v>
      </c>
      <c r="AO3" s="1" t="s">
        <v>198</v>
      </c>
      <c r="AP3" s="1" t="s">
        <v>199</v>
      </c>
      <c r="AQ3" s="1" t="s">
        <v>200</v>
      </c>
      <c r="AR3" s="1" t="s">
        <v>201</v>
      </c>
      <c r="AT3" s="1" t="s">
        <v>202</v>
      </c>
      <c r="AU3" s="1" t="s">
        <v>203</v>
      </c>
      <c r="AV3" s="1" t="s">
        <v>204</v>
      </c>
      <c r="AW3" s="1" t="s">
        <v>205</v>
      </c>
      <c r="AY3" s="1" t="s">
        <v>206</v>
      </c>
      <c r="AZ3" s="1" t="s">
        <v>207</v>
      </c>
      <c r="BA3" s="1" t="s">
        <v>208</v>
      </c>
      <c r="BB3" s="1" t="s">
        <v>209</v>
      </c>
      <c r="BD3" s="1" t="s">
        <v>210</v>
      </c>
      <c r="BE3" s="1" t="s">
        <v>211</v>
      </c>
      <c r="BF3" s="1" t="s">
        <v>212</v>
      </c>
      <c r="BG3" s="1" t="s">
        <v>213</v>
      </c>
      <c r="BI3" s="1" t="s">
        <v>214</v>
      </c>
      <c r="BJ3" s="1" t="s">
        <v>215</v>
      </c>
      <c r="BK3" s="1" t="s">
        <v>216</v>
      </c>
      <c r="BL3" s="1" t="s">
        <v>217</v>
      </c>
      <c r="BN3" s="1" t="s">
        <v>218</v>
      </c>
      <c r="BO3" s="1" t="s">
        <v>219</v>
      </c>
      <c r="BP3" s="1" t="s">
        <v>220</v>
      </c>
      <c r="BQ3" s="1" t="s">
        <v>221</v>
      </c>
      <c r="BS3" s="1" t="s">
        <v>222</v>
      </c>
      <c r="BT3" s="1" t="s">
        <v>223</v>
      </c>
      <c r="BU3" s="1" t="s">
        <v>224</v>
      </c>
      <c r="BV3" s="1" t="s">
        <v>225</v>
      </c>
      <c r="BX3" s="1" t="s">
        <v>226</v>
      </c>
      <c r="BY3" s="1" t="s">
        <v>227</v>
      </c>
      <c r="BZ3" s="1" t="s">
        <v>228</v>
      </c>
      <c r="CA3" s="1" t="s">
        <v>229</v>
      </c>
      <c r="CC3" s="1" t="s">
        <v>230</v>
      </c>
      <c r="CD3" s="1" t="s">
        <v>231</v>
      </c>
      <c r="CE3" s="1" t="s">
        <v>232</v>
      </c>
      <c r="CF3" s="1" t="s">
        <v>233</v>
      </c>
      <c r="CH3" s="1" t="s">
        <v>234</v>
      </c>
      <c r="CI3" s="1" t="s">
        <v>235</v>
      </c>
      <c r="CJ3" s="1" t="s">
        <v>236</v>
      </c>
      <c r="CK3" s="1" t="s">
        <v>237</v>
      </c>
      <c r="CM3" s="1" t="s">
        <v>238</v>
      </c>
      <c r="CN3" s="1" t="s">
        <v>239</v>
      </c>
      <c r="CO3" s="1" t="s">
        <v>240</v>
      </c>
      <c r="CP3" s="1" t="s">
        <v>241</v>
      </c>
      <c r="CR3" s="1" t="s">
        <v>242</v>
      </c>
      <c r="CS3" s="1" t="s">
        <v>243</v>
      </c>
      <c r="CT3" s="1" t="s">
        <v>244</v>
      </c>
      <c r="CU3" s="1" t="s">
        <v>245</v>
      </c>
    </row>
    <row r="4" spans="1:99" s="3" customFormat="1" x14ac:dyDescent="0.35">
      <c r="A4" s="2" t="s">
        <v>17</v>
      </c>
      <c r="B4" s="2">
        <v>2.6666666666666665</v>
      </c>
      <c r="C4" s="2" t="s">
        <v>168</v>
      </c>
      <c r="D4" s="2" t="s">
        <v>403</v>
      </c>
      <c r="F4" s="3">
        <v>4.0229999999999997</v>
      </c>
      <c r="G4" s="3">
        <v>4.0250000000000004</v>
      </c>
      <c r="H4" s="3">
        <v>4.0119999999999996</v>
      </c>
      <c r="I4" s="3">
        <v>4.01</v>
      </c>
      <c r="K4" s="3">
        <v>3.516</v>
      </c>
      <c r="L4" s="3">
        <v>3.9989999999999997</v>
      </c>
      <c r="M4" s="3">
        <v>4</v>
      </c>
      <c r="N4" s="3">
        <v>3.3160000000000003</v>
      </c>
      <c r="P4" s="3">
        <v>1.5179999768733978</v>
      </c>
      <c r="Q4" s="3">
        <v>0.96400009840726852</v>
      </c>
      <c r="R4" s="3">
        <v>2.4979994595050812</v>
      </c>
      <c r="S4" s="3">
        <v>0.13300001621246338</v>
      </c>
      <c r="U4" s="3">
        <v>9</v>
      </c>
      <c r="V4" s="3">
        <v>7</v>
      </c>
      <c r="W4" s="3">
        <v>16</v>
      </c>
      <c r="X4" s="3">
        <v>1</v>
      </c>
      <c r="Z4" s="3">
        <v>3.2489999999999997</v>
      </c>
      <c r="AA4" s="3">
        <v>3.8319999999999999</v>
      </c>
      <c r="AB4" s="3">
        <v>4</v>
      </c>
      <c r="AC4" s="3">
        <v>3.0830000000000002</v>
      </c>
      <c r="AE4" s="3">
        <v>1.3009999990463257</v>
      </c>
      <c r="AF4" s="3">
        <v>0.96400009840726852</v>
      </c>
      <c r="AG4" s="3">
        <v>2.4979994595050812</v>
      </c>
      <c r="AH4" s="3">
        <v>0.13300001621246338</v>
      </c>
      <c r="AJ4" s="3">
        <v>8</v>
      </c>
      <c r="AK4" s="3">
        <v>7</v>
      </c>
      <c r="AL4" s="3">
        <v>16</v>
      </c>
      <c r="AM4" s="3">
        <v>1</v>
      </c>
      <c r="AO4" s="3">
        <v>2</v>
      </c>
      <c r="AP4" s="3">
        <v>3</v>
      </c>
      <c r="AQ4" s="3">
        <v>1</v>
      </c>
      <c r="AR4" s="3">
        <v>6</v>
      </c>
      <c r="AT4" s="3">
        <v>1.281000018119812</v>
      </c>
      <c r="AU4" s="3">
        <v>5.4999999701976776E-2</v>
      </c>
      <c r="AV4" s="3">
        <v>0.27300000190734863</v>
      </c>
      <c r="AW4" s="3">
        <v>1.3070000410079956</v>
      </c>
      <c r="AY4" s="3">
        <v>0.66699999999999871</v>
      </c>
      <c r="AZ4" s="3">
        <v>0.4630000000000003</v>
      </c>
      <c r="BA4" s="3">
        <v>0.56599999999999961</v>
      </c>
      <c r="BB4" s="3">
        <v>0.21599999999999953</v>
      </c>
      <c r="BD4" s="3">
        <v>0.5829998254776001</v>
      </c>
      <c r="BE4" s="3">
        <v>0.23199993371963501</v>
      </c>
      <c r="BF4" s="3">
        <v>0.66599991917610168</v>
      </c>
      <c r="BG4" s="3">
        <v>0</v>
      </c>
      <c r="BI4" s="3">
        <v>4</v>
      </c>
      <c r="BJ4" s="3">
        <v>2</v>
      </c>
      <c r="BK4" s="3">
        <v>4</v>
      </c>
      <c r="BL4" s="3">
        <v>0</v>
      </c>
      <c r="BN4" s="3">
        <v>21</v>
      </c>
      <c r="BO4" s="3">
        <v>24</v>
      </c>
      <c r="BP4" s="3">
        <v>7</v>
      </c>
      <c r="BQ4" s="3">
        <v>9</v>
      </c>
      <c r="BS4" s="3">
        <v>1.281000018119812</v>
      </c>
      <c r="BT4" s="3">
        <v>0.33799999952316284</v>
      </c>
      <c r="BU4" s="3">
        <v>0.27300000190734863</v>
      </c>
      <c r="BV4" s="3">
        <v>4.01</v>
      </c>
      <c r="BX4" s="3">
        <v>0</v>
      </c>
      <c r="BY4" s="3">
        <v>0.16599999999999993</v>
      </c>
      <c r="BZ4" s="3">
        <v>1.6999999999999904E-2</v>
      </c>
      <c r="CA4" s="3">
        <v>1.6000000000000014E-2</v>
      </c>
      <c r="CC4" s="3">
        <v>0</v>
      </c>
      <c r="CD4" s="3">
        <v>0.16600000113248825</v>
      </c>
      <c r="CE4" s="3">
        <v>0</v>
      </c>
      <c r="CF4" s="3">
        <v>0</v>
      </c>
      <c r="CH4" s="3">
        <v>0</v>
      </c>
      <c r="CI4" s="3">
        <v>1</v>
      </c>
      <c r="CJ4" s="3">
        <v>0</v>
      </c>
      <c r="CK4" s="3">
        <v>0</v>
      </c>
      <c r="CM4" s="3">
        <v>1</v>
      </c>
      <c r="CN4" s="3">
        <v>2</v>
      </c>
      <c r="CO4" s="3">
        <v>1</v>
      </c>
      <c r="CP4" s="3">
        <v>4</v>
      </c>
      <c r="CR4" s="3">
        <v>4.0229999999999997</v>
      </c>
      <c r="CS4" s="3">
        <v>5.4999999701976776E-2</v>
      </c>
      <c r="CT4" s="3">
        <v>4.0119999999999996</v>
      </c>
      <c r="CU4" s="3">
        <v>4.01</v>
      </c>
    </row>
    <row r="5" spans="1:99" s="3" customFormat="1" x14ac:dyDescent="0.35">
      <c r="A5" s="2" t="s">
        <v>75</v>
      </c>
      <c r="B5" s="2">
        <v>2.8333333333333335</v>
      </c>
      <c r="C5" s="2" t="s">
        <v>167</v>
      </c>
      <c r="D5" s="2" t="s">
        <v>403</v>
      </c>
      <c r="F5" s="3">
        <v>4.0110000000000001</v>
      </c>
      <c r="G5" s="11" t="e">
        <v>#N/A</v>
      </c>
      <c r="H5" s="11" t="e">
        <v>#N/A</v>
      </c>
      <c r="I5" s="3" t="e">
        <v>#N/A</v>
      </c>
      <c r="K5" s="3">
        <v>3.9489999999999998</v>
      </c>
      <c r="L5" s="11" t="e">
        <v>#N/A</v>
      </c>
      <c r="M5" s="11" t="e">
        <v>#N/A</v>
      </c>
      <c r="N5" s="3">
        <v>1.8660000000000001</v>
      </c>
      <c r="P5" s="3">
        <v>2.4830000624060631</v>
      </c>
      <c r="Q5" s="11" t="e">
        <v>#N/A</v>
      </c>
      <c r="R5" s="11" t="e">
        <v>#N/A</v>
      </c>
      <c r="S5" s="3">
        <v>1.2830004077404737</v>
      </c>
      <c r="U5" s="3">
        <v>12</v>
      </c>
      <c r="V5" s="11" t="e">
        <v>#N/A</v>
      </c>
      <c r="W5" s="11" t="e">
        <v>#N/A</v>
      </c>
      <c r="X5" s="3">
        <v>5</v>
      </c>
      <c r="Z5" s="3">
        <v>3.85</v>
      </c>
      <c r="AA5" s="11" t="e">
        <v>#N/A</v>
      </c>
      <c r="AB5" s="11" t="e">
        <v>#N/A</v>
      </c>
      <c r="AC5" s="3">
        <v>1.7320000000000002</v>
      </c>
      <c r="AE5" s="3">
        <v>2.4830000624060631</v>
      </c>
      <c r="AF5" s="11" t="e">
        <v>#N/A</v>
      </c>
      <c r="AG5" s="11" t="e">
        <v>#N/A</v>
      </c>
      <c r="AH5" s="3">
        <v>1.2830004077404737</v>
      </c>
      <c r="AJ5" s="3">
        <v>12</v>
      </c>
      <c r="AK5" s="11" t="e">
        <v>#N/A</v>
      </c>
      <c r="AL5" s="11" t="e">
        <v>#N/A</v>
      </c>
      <c r="AM5" s="3">
        <v>5</v>
      </c>
      <c r="AO5" s="3">
        <v>4</v>
      </c>
      <c r="AP5" s="11" t="e">
        <v>#N/A</v>
      </c>
      <c r="AQ5" s="11" t="e">
        <v>#N/A</v>
      </c>
      <c r="AR5" s="3">
        <v>4</v>
      </c>
      <c r="AT5" s="3">
        <v>1.0999999940395355E-2</v>
      </c>
      <c r="AU5" s="11" t="e">
        <v>#N/A</v>
      </c>
      <c r="AV5" s="11" t="e">
        <v>#N/A</v>
      </c>
      <c r="AW5" s="3">
        <v>1.4000000432133675E-2</v>
      </c>
      <c r="AY5" s="3">
        <v>0.26600000000000001</v>
      </c>
      <c r="AZ5" s="11" t="e">
        <v>#N/A</v>
      </c>
      <c r="BA5" s="11" t="e">
        <v>#N/A</v>
      </c>
      <c r="BB5" s="3">
        <v>0</v>
      </c>
      <c r="BD5" s="3">
        <v>0.3340001106262207</v>
      </c>
      <c r="BE5" s="11" t="e">
        <v>#N/A</v>
      </c>
      <c r="BF5" s="11" t="e">
        <v>#N/A</v>
      </c>
      <c r="BG5" s="3">
        <v>0</v>
      </c>
      <c r="BI5" s="3">
        <v>2</v>
      </c>
      <c r="BJ5" s="11" t="e">
        <v>#N/A</v>
      </c>
      <c r="BK5" s="11" t="e">
        <v>#N/A</v>
      </c>
      <c r="BL5" s="3">
        <v>0</v>
      </c>
      <c r="BN5" s="3">
        <v>3</v>
      </c>
      <c r="BO5" s="11" t="e">
        <v>#N/A</v>
      </c>
      <c r="BP5" s="11" t="e">
        <v>#N/A</v>
      </c>
      <c r="BQ5" s="3">
        <v>0</v>
      </c>
      <c r="BS5" s="3">
        <v>1.343999981880188</v>
      </c>
      <c r="BT5" s="11" t="e">
        <v>#N/A</v>
      </c>
      <c r="BU5" s="11" t="e">
        <v>#N/A</v>
      </c>
      <c r="BV5" s="3">
        <v>4.0410000000000004</v>
      </c>
      <c r="BX5" s="3">
        <v>0</v>
      </c>
      <c r="BY5" s="11" t="e">
        <v>#N/A</v>
      </c>
      <c r="BZ5" s="11" t="e">
        <v>#N/A</v>
      </c>
      <c r="CA5" s="3">
        <v>0</v>
      </c>
      <c r="CC5" s="3">
        <v>0</v>
      </c>
      <c r="CD5" s="11" t="e">
        <v>#N/A</v>
      </c>
      <c r="CE5" s="11" t="e">
        <v>#N/A</v>
      </c>
      <c r="CF5" s="3">
        <v>0</v>
      </c>
      <c r="CH5" s="3">
        <v>0</v>
      </c>
      <c r="CI5" s="11" t="e">
        <v>#N/A</v>
      </c>
      <c r="CJ5" s="11" t="e">
        <v>#N/A</v>
      </c>
      <c r="CK5" s="3">
        <v>0</v>
      </c>
      <c r="CM5" s="3">
        <v>1</v>
      </c>
      <c r="CN5" s="11" t="e">
        <v>#N/A</v>
      </c>
      <c r="CO5" s="11" t="e">
        <v>#N/A</v>
      </c>
      <c r="CP5" s="3">
        <v>0</v>
      </c>
      <c r="CR5" s="3">
        <v>4.0110000000000001</v>
      </c>
      <c r="CS5" s="11" t="e">
        <v>#N/A</v>
      </c>
      <c r="CT5" s="11" t="e">
        <v>#N/A</v>
      </c>
      <c r="CU5" s="3">
        <v>4.0410000000000004</v>
      </c>
    </row>
    <row r="6" spans="1:99" s="3" customFormat="1" x14ac:dyDescent="0.35">
      <c r="A6" s="2" t="s">
        <v>78</v>
      </c>
      <c r="B6" s="2">
        <v>3</v>
      </c>
      <c r="C6" s="2" t="s">
        <v>168</v>
      </c>
      <c r="D6" s="2" t="s">
        <v>403</v>
      </c>
      <c r="F6" s="11" t="e">
        <v>#N/A</v>
      </c>
      <c r="G6" s="11" t="e">
        <v>#N/A</v>
      </c>
      <c r="H6" s="3" t="e">
        <v>#N/A</v>
      </c>
      <c r="I6" s="11" t="e">
        <v>#N/A</v>
      </c>
      <c r="K6" s="11" t="e">
        <v>#N/A</v>
      </c>
      <c r="L6" s="11" t="e">
        <v>#N/A</v>
      </c>
      <c r="M6" s="11" t="e">
        <v>#N/A</v>
      </c>
      <c r="N6" s="11" t="e">
        <v>#N/A</v>
      </c>
      <c r="P6" s="11" t="e">
        <v>#N/A</v>
      </c>
      <c r="Q6" s="11" t="e">
        <v>#N/A</v>
      </c>
      <c r="R6" s="11" t="e">
        <v>#N/A</v>
      </c>
      <c r="S6" s="11" t="e">
        <v>#N/A</v>
      </c>
      <c r="U6" s="11" t="e">
        <v>#N/A</v>
      </c>
      <c r="V6" s="11" t="e">
        <v>#N/A</v>
      </c>
      <c r="W6" s="11" t="e">
        <v>#N/A</v>
      </c>
      <c r="X6" s="11" t="e">
        <v>#N/A</v>
      </c>
      <c r="Z6" s="11" t="e">
        <v>#N/A</v>
      </c>
      <c r="AA6" s="11" t="e">
        <v>#N/A</v>
      </c>
      <c r="AB6" s="11" t="e">
        <v>#N/A</v>
      </c>
      <c r="AC6" s="11" t="e">
        <v>#N/A</v>
      </c>
      <c r="AE6" s="11" t="e">
        <v>#N/A</v>
      </c>
      <c r="AF6" s="11" t="e">
        <v>#N/A</v>
      </c>
      <c r="AG6" s="11" t="e">
        <v>#N/A</v>
      </c>
      <c r="AH6" s="11" t="e">
        <v>#N/A</v>
      </c>
      <c r="AJ6" s="11" t="e">
        <v>#N/A</v>
      </c>
      <c r="AK6" s="11" t="e">
        <v>#N/A</v>
      </c>
      <c r="AL6" s="11" t="e">
        <v>#N/A</v>
      </c>
      <c r="AM6" s="11" t="e">
        <v>#N/A</v>
      </c>
      <c r="AO6" s="11" t="e">
        <v>#N/A</v>
      </c>
      <c r="AP6" s="11" t="e">
        <v>#N/A</v>
      </c>
      <c r="AQ6" s="11" t="e">
        <v>#N/A</v>
      </c>
      <c r="AR6" s="11" t="e">
        <v>#N/A</v>
      </c>
      <c r="AT6" s="11" t="e">
        <v>#N/A</v>
      </c>
      <c r="AU6" s="11" t="e">
        <v>#N/A</v>
      </c>
      <c r="AV6" s="11" t="e">
        <v>#N/A</v>
      </c>
      <c r="AW6" s="11" t="e">
        <v>#N/A</v>
      </c>
      <c r="AY6" s="11" t="e">
        <v>#N/A</v>
      </c>
      <c r="AZ6" s="11" t="e">
        <v>#N/A</v>
      </c>
      <c r="BA6" s="11" t="e">
        <v>#N/A</v>
      </c>
      <c r="BB6" s="11" t="e">
        <v>#N/A</v>
      </c>
      <c r="BD6" s="11" t="e">
        <v>#N/A</v>
      </c>
      <c r="BE6" s="11" t="e">
        <v>#N/A</v>
      </c>
      <c r="BF6" s="11" t="e">
        <v>#N/A</v>
      </c>
      <c r="BG6" s="11" t="e">
        <v>#N/A</v>
      </c>
      <c r="BI6" s="11" t="e">
        <v>#N/A</v>
      </c>
      <c r="BJ6" s="11" t="e">
        <v>#N/A</v>
      </c>
      <c r="BK6" s="11" t="e">
        <v>#N/A</v>
      </c>
      <c r="BL6" s="11" t="e">
        <v>#N/A</v>
      </c>
      <c r="BN6" s="11" t="e">
        <v>#N/A</v>
      </c>
      <c r="BO6" s="11" t="e">
        <v>#N/A</v>
      </c>
      <c r="BP6" s="11" t="e">
        <v>#N/A</v>
      </c>
      <c r="BQ6" s="11" t="e">
        <v>#N/A</v>
      </c>
      <c r="BS6" s="11" t="e">
        <v>#N/A</v>
      </c>
      <c r="BT6" s="11" t="e">
        <v>#N/A</v>
      </c>
      <c r="BU6" s="11" t="e">
        <v>#N/A</v>
      </c>
      <c r="BV6" s="11" t="e">
        <v>#N/A</v>
      </c>
      <c r="BX6" s="11" t="e">
        <v>#N/A</v>
      </c>
      <c r="BY6" s="11" t="e">
        <v>#N/A</v>
      </c>
      <c r="BZ6" s="11" t="e">
        <v>#N/A</v>
      </c>
      <c r="CA6" s="11" t="e">
        <v>#N/A</v>
      </c>
      <c r="CC6" s="11" t="e">
        <v>#N/A</v>
      </c>
      <c r="CD6" s="11" t="e">
        <v>#N/A</v>
      </c>
      <c r="CE6" s="11" t="e">
        <v>#N/A</v>
      </c>
      <c r="CF6" s="11" t="e">
        <v>#N/A</v>
      </c>
      <c r="CH6" s="11" t="e">
        <v>#N/A</v>
      </c>
      <c r="CI6" s="11" t="e">
        <v>#N/A</v>
      </c>
      <c r="CJ6" s="11" t="e">
        <v>#N/A</v>
      </c>
      <c r="CK6" s="11" t="e">
        <v>#N/A</v>
      </c>
      <c r="CM6" s="11" t="e">
        <v>#N/A</v>
      </c>
      <c r="CN6" s="11" t="e">
        <v>#N/A</v>
      </c>
      <c r="CO6" s="11" t="e">
        <v>#N/A</v>
      </c>
      <c r="CP6" s="11" t="e">
        <v>#N/A</v>
      </c>
      <c r="CR6" s="11" t="e">
        <v>#N/A</v>
      </c>
      <c r="CS6" s="11" t="e">
        <v>#N/A</v>
      </c>
      <c r="CT6" s="11" t="e">
        <v>#N/A</v>
      </c>
      <c r="CU6" s="11" t="e">
        <v>#N/A</v>
      </c>
    </row>
    <row r="7" spans="1:99" s="3" customFormat="1" x14ac:dyDescent="0.35">
      <c r="A7" s="2" t="s">
        <v>40</v>
      </c>
      <c r="B7" s="2">
        <v>3.1666666666666665</v>
      </c>
      <c r="C7" s="2" t="s">
        <v>168</v>
      </c>
      <c r="D7" s="2" t="s">
        <v>403</v>
      </c>
      <c r="F7" s="3" t="e">
        <v>#N/A</v>
      </c>
      <c r="G7" s="3">
        <v>4.016</v>
      </c>
      <c r="H7" s="3">
        <v>4.016</v>
      </c>
      <c r="I7" s="3">
        <v>4.016</v>
      </c>
      <c r="K7" s="3">
        <v>2.3660000000000001</v>
      </c>
      <c r="L7" s="3">
        <v>4</v>
      </c>
      <c r="M7" s="3">
        <v>3.9989999999999997</v>
      </c>
      <c r="N7" s="3">
        <v>4</v>
      </c>
      <c r="P7" s="3">
        <v>1.9829999208450317</v>
      </c>
      <c r="Q7" s="3">
        <v>3.584000293398276</v>
      </c>
      <c r="R7" s="3">
        <v>3.7650002017617226</v>
      </c>
      <c r="S7" s="3">
        <v>3.3830001931637526</v>
      </c>
      <c r="U7" s="3">
        <v>5</v>
      </c>
      <c r="V7" s="3">
        <v>10</v>
      </c>
      <c r="W7" s="3">
        <v>9</v>
      </c>
      <c r="X7" s="3">
        <v>11</v>
      </c>
      <c r="Z7" s="3">
        <v>1.6830000000000003</v>
      </c>
      <c r="AA7" s="3">
        <v>4</v>
      </c>
      <c r="AB7" s="3">
        <v>3.9989999999999997</v>
      </c>
      <c r="AC7" s="3">
        <v>3.2840000000000003</v>
      </c>
      <c r="AE7" s="3">
        <v>1.7329999208450317</v>
      </c>
      <c r="AF7" s="3">
        <v>3.584000293398276</v>
      </c>
      <c r="AG7" s="3">
        <v>3.7650002017617226</v>
      </c>
      <c r="AH7" s="3">
        <v>3.0000001769512892</v>
      </c>
      <c r="AJ7" s="3">
        <v>4</v>
      </c>
      <c r="AK7" s="3">
        <v>10</v>
      </c>
      <c r="AL7" s="3">
        <v>9</v>
      </c>
      <c r="AM7" s="3">
        <v>10</v>
      </c>
      <c r="AO7" s="3">
        <v>5</v>
      </c>
      <c r="AP7" s="3">
        <v>1</v>
      </c>
      <c r="AQ7" s="3">
        <v>1</v>
      </c>
      <c r="AR7" s="3">
        <v>3</v>
      </c>
      <c r="AT7" s="3">
        <v>1.6829999685287476</v>
      </c>
      <c r="AU7" s="3">
        <v>2.0000000949949026E-3</v>
      </c>
      <c r="AV7" s="3">
        <v>1.0999999940395355E-2</v>
      </c>
      <c r="AW7" s="3">
        <v>1.4000000432133675E-2</v>
      </c>
      <c r="AY7" s="3">
        <v>3.2000000000000028E-2</v>
      </c>
      <c r="AZ7" s="3">
        <v>2.0000000000000004</v>
      </c>
      <c r="BA7" s="3">
        <v>1.1830000000000003</v>
      </c>
      <c r="BB7" s="3">
        <v>1.2329999999999999</v>
      </c>
      <c r="BD7" s="3">
        <v>0.58200013637542725</v>
      </c>
      <c r="BE7" s="3">
        <v>2.1820001006126404</v>
      </c>
      <c r="BF7" s="3">
        <v>1.3660000562667847</v>
      </c>
      <c r="BG7" s="3">
        <v>1.4000002145767212</v>
      </c>
      <c r="BI7" s="3">
        <v>1</v>
      </c>
      <c r="BJ7" s="3">
        <v>5</v>
      </c>
      <c r="BK7" s="3">
        <v>3</v>
      </c>
      <c r="BL7" s="3">
        <v>4</v>
      </c>
      <c r="BN7" s="3">
        <v>2</v>
      </c>
      <c r="BO7" s="3">
        <v>5</v>
      </c>
      <c r="BP7" s="3">
        <v>3</v>
      </c>
      <c r="BQ7" s="3">
        <v>4</v>
      </c>
      <c r="BS7" s="3">
        <v>1.6829999685287476</v>
      </c>
      <c r="BT7" s="3">
        <v>0.58600002527236938</v>
      </c>
      <c r="BU7" s="3">
        <v>1.5770000219345093</v>
      </c>
      <c r="BV7" s="3">
        <v>0.51399999856948853</v>
      </c>
      <c r="BX7" s="3">
        <v>0.2330000000000001</v>
      </c>
      <c r="BY7" s="3">
        <v>0.38400000000000001</v>
      </c>
      <c r="BZ7" s="3">
        <v>0.49999999999999967</v>
      </c>
      <c r="CA7" s="3">
        <v>8.4000000000000005E-2</v>
      </c>
      <c r="CC7" s="3">
        <v>0.20000004768371582</v>
      </c>
      <c r="CD7" s="3">
        <v>0.38400000729598105</v>
      </c>
      <c r="CE7" s="3">
        <v>0.6159999743103981</v>
      </c>
      <c r="CF7" s="3">
        <v>0.13400000147521496</v>
      </c>
      <c r="CH7" s="3">
        <v>1</v>
      </c>
      <c r="CI7" s="3">
        <v>1</v>
      </c>
      <c r="CJ7" s="3">
        <v>1</v>
      </c>
      <c r="CK7" s="3">
        <v>1</v>
      </c>
      <c r="CM7" s="3">
        <v>2</v>
      </c>
      <c r="CN7" s="3">
        <v>1</v>
      </c>
      <c r="CO7" s="3">
        <v>2</v>
      </c>
      <c r="CP7" s="3">
        <v>1</v>
      </c>
      <c r="CR7" s="3">
        <v>2.3320000171661377</v>
      </c>
      <c r="CS7" s="3">
        <v>2.0000000949949026E-3</v>
      </c>
      <c r="CT7" s="3">
        <v>1.0999999940395355E-2</v>
      </c>
      <c r="CU7" s="3">
        <v>1.4000000432133675E-2</v>
      </c>
    </row>
    <row r="8" spans="1:99" s="3" customFormat="1" x14ac:dyDescent="0.35">
      <c r="A8" s="2" t="s">
        <v>47</v>
      </c>
      <c r="B8" s="2">
        <v>3.6666666666666665</v>
      </c>
      <c r="C8" s="2" t="s">
        <v>167</v>
      </c>
      <c r="D8" s="2" t="s">
        <v>403</v>
      </c>
      <c r="F8" s="3" t="e">
        <v>#N/A</v>
      </c>
      <c r="G8" s="3">
        <v>4.0110000000000001</v>
      </c>
      <c r="H8" s="3">
        <v>3.2359999999999998</v>
      </c>
      <c r="I8" s="3">
        <v>4.0060000000000002</v>
      </c>
      <c r="K8" s="11" t="e">
        <v>#N/A</v>
      </c>
      <c r="L8" s="3">
        <v>3.9990000000000001</v>
      </c>
      <c r="M8" s="3">
        <v>3.2329999999999997</v>
      </c>
      <c r="N8" s="3">
        <v>3.3159999999999998</v>
      </c>
      <c r="P8" s="11" t="e">
        <v>#N/A</v>
      </c>
      <c r="Q8" s="3">
        <v>3.7989998538978398</v>
      </c>
      <c r="R8" s="3">
        <v>2.5500000715255737</v>
      </c>
      <c r="S8" s="3">
        <v>2.9819998741149902</v>
      </c>
      <c r="U8" s="11" t="e">
        <v>#N/A</v>
      </c>
      <c r="V8" s="3">
        <v>9</v>
      </c>
      <c r="W8" s="3">
        <v>9</v>
      </c>
      <c r="X8" s="3">
        <v>10</v>
      </c>
      <c r="Z8" s="11" t="e">
        <v>#N/A</v>
      </c>
      <c r="AA8" s="3">
        <v>3.9990000000000001</v>
      </c>
      <c r="AB8" s="3">
        <v>2.484</v>
      </c>
      <c r="AC8" s="3">
        <v>3.2159999999999997</v>
      </c>
      <c r="AE8" s="11" t="e">
        <v>#N/A</v>
      </c>
      <c r="AF8" s="3">
        <v>3.7989998538978398</v>
      </c>
      <c r="AG8" s="3">
        <v>2.3160000443458557</v>
      </c>
      <c r="AH8" s="3">
        <v>2.9819998741149902</v>
      </c>
      <c r="AJ8" s="11" t="e">
        <v>#N/A</v>
      </c>
      <c r="AK8" s="3">
        <v>9</v>
      </c>
      <c r="AL8" s="3">
        <v>7</v>
      </c>
      <c r="AM8" s="3">
        <v>10</v>
      </c>
      <c r="AO8" s="11" t="e">
        <v>#N/A</v>
      </c>
      <c r="AP8" s="3">
        <v>1</v>
      </c>
      <c r="AQ8" s="3">
        <v>3</v>
      </c>
      <c r="AR8" s="3">
        <v>2</v>
      </c>
      <c r="AT8" s="11" t="e">
        <v>#N/A</v>
      </c>
      <c r="AU8" s="3">
        <v>4.0000001899898052E-3</v>
      </c>
      <c r="AV8" s="3">
        <v>0.58600002527236938</v>
      </c>
      <c r="AW8" s="3">
        <v>0.70899999141693115</v>
      </c>
      <c r="AY8" s="11" t="e">
        <v>#N/A</v>
      </c>
      <c r="AZ8" s="3">
        <v>0.6830000000000005</v>
      </c>
      <c r="BA8" s="3">
        <v>1.0169999999999999</v>
      </c>
      <c r="BB8" s="3">
        <v>1.9010000000000002</v>
      </c>
      <c r="BD8" s="11" t="e">
        <v>#N/A</v>
      </c>
      <c r="BE8" s="3">
        <v>0.61699974536895752</v>
      </c>
      <c r="BF8" s="3">
        <v>1.1170001029968262</v>
      </c>
      <c r="BG8" s="3">
        <v>2.0169998407363892</v>
      </c>
      <c r="BI8" s="11" t="e">
        <v>#N/A</v>
      </c>
      <c r="BJ8" s="3">
        <v>2</v>
      </c>
      <c r="BK8" s="3">
        <v>3</v>
      </c>
      <c r="BL8" s="3">
        <v>6</v>
      </c>
      <c r="BN8" s="11" t="e">
        <v>#N/A</v>
      </c>
      <c r="BO8" s="3">
        <v>4</v>
      </c>
      <c r="BP8" s="3">
        <v>2</v>
      </c>
      <c r="BQ8" s="3">
        <v>6</v>
      </c>
      <c r="BS8" s="11" t="e">
        <v>#N/A</v>
      </c>
      <c r="BT8" s="3">
        <v>1.0870000123977661</v>
      </c>
      <c r="BU8" s="3">
        <v>0.78600001335144043</v>
      </c>
      <c r="BV8" s="3">
        <v>0.70899999141693115</v>
      </c>
      <c r="BX8" s="11" t="e">
        <v>#N/A</v>
      </c>
      <c r="BY8" s="3">
        <v>1.4159999999999999</v>
      </c>
      <c r="BZ8" s="3">
        <v>0.26599999999999985</v>
      </c>
      <c r="CA8" s="3">
        <v>0</v>
      </c>
      <c r="CC8" s="11" t="e">
        <v>#N/A</v>
      </c>
      <c r="CD8" s="3">
        <v>1.4320000489242375</v>
      </c>
      <c r="CE8" s="3">
        <v>0.18300008773803711</v>
      </c>
      <c r="CF8" s="3">
        <v>0</v>
      </c>
      <c r="CH8" s="11" t="e">
        <v>#N/A</v>
      </c>
      <c r="CI8" s="3">
        <v>2</v>
      </c>
      <c r="CJ8" s="3">
        <v>1</v>
      </c>
      <c r="CK8" s="3">
        <v>0</v>
      </c>
      <c r="CM8" s="11" t="e">
        <v>#N/A</v>
      </c>
      <c r="CN8" s="3">
        <v>2</v>
      </c>
      <c r="CO8" s="3">
        <v>4</v>
      </c>
      <c r="CP8" s="3">
        <v>0</v>
      </c>
      <c r="CR8" s="11" t="e">
        <v>#N/A</v>
      </c>
      <c r="CS8" s="3">
        <v>4.0000001899898052E-3</v>
      </c>
      <c r="CT8" s="3">
        <v>2.0529999732971191</v>
      </c>
      <c r="CU8" s="3">
        <v>4.0060000000000002</v>
      </c>
    </row>
    <row r="9" spans="1:99" s="3" customFormat="1" x14ac:dyDescent="0.35">
      <c r="A9" s="2" t="s">
        <v>53</v>
      </c>
      <c r="B9" s="2">
        <v>3.6666666666666665</v>
      </c>
      <c r="C9" s="2" t="s">
        <v>167</v>
      </c>
      <c r="D9" s="2" t="s">
        <v>403</v>
      </c>
      <c r="F9" s="3">
        <v>4.0039999999999996</v>
      </c>
      <c r="G9" s="3">
        <v>4.0010000000000003</v>
      </c>
      <c r="H9" s="3" t="e">
        <v>#N/A</v>
      </c>
      <c r="I9" s="3">
        <v>4.01</v>
      </c>
      <c r="K9" s="3">
        <v>3.9820000000000002</v>
      </c>
      <c r="L9" s="3">
        <v>3.9830000000000001</v>
      </c>
      <c r="M9" s="11" t="e">
        <v>#N/A</v>
      </c>
      <c r="N9" s="3">
        <v>4</v>
      </c>
      <c r="P9" s="3">
        <v>3.5509999375790358</v>
      </c>
      <c r="Q9" s="3">
        <v>3.8170000519603491</v>
      </c>
      <c r="R9" s="11" t="e">
        <v>#N/A</v>
      </c>
      <c r="S9" s="3">
        <v>3.733000298961997</v>
      </c>
      <c r="U9" s="3">
        <v>7</v>
      </c>
      <c r="V9" s="3">
        <v>8</v>
      </c>
      <c r="W9" s="11" t="e">
        <v>#N/A</v>
      </c>
      <c r="X9" s="3">
        <v>12</v>
      </c>
      <c r="Z9" s="3">
        <v>3.9820000000000002</v>
      </c>
      <c r="AA9" s="3">
        <v>3.9830000000000001</v>
      </c>
      <c r="AB9" s="11" t="e">
        <v>#N/A</v>
      </c>
      <c r="AC9" s="3">
        <v>4</v>
      </c>
      <c r="AE9" s="3">
        <v>3.5509999375790358</v>
      </c>
      <c r="AF9" s="3">
        <v>3.8170000519603491</v>
      </c>
      <c r="AG9" s="11" t="e">
        <v>#N/A</v>
      </c>
      <c r="AH9" s="3">
        <v>3.733000298961997</v>
      </c>
      <c r="AJ9" s="3">
        <v>7</v>
      </c>
      <c r="AK9" s="3">
        <v>8</v>
      </c>
      <c r="AL9" s="11" t="e">
        <v>#N/A</v>
      </c>
      <c r="AM9" s="3">
        <v>12</v>
      </c>
      <c r="AO9" s="3">
        <v>1</v>
      </c>
      <c r="AP9" s="3">
        <v>1</v>
      </c>
      <c r="AQ9" s="11" t="e">
        <v>#N/A</v>
      </c>
      <c r="AR9" s="3">
        <v>1</v>
      </c>
      <c r="AT9" s="3">
        <v>1.4000000432133675E-2</v>
      </c>
      <c r="AU9" s="3">
        <v>9.9999997764825821E-3</v>
      </c>
      <c r="AV9" s="11" t="e">
        <v>#N/A</v>
      </c>
      <c r="AW9" s="3">
        <v>9.9999997764825821E-3</v>
      </c>
      <c r="AY9" s="3">
        <v>2.8670000000000004</v>
      </c>
      <c r="AZ9" s="3">
        <v>2.1330000000000005</v>
      </c>
      <c r="BA9" s="11" t="e">
        <v>#N/A</v>
      </c>
      <c r="BB9" s="3">
        <v>1.667</v>
      </c>
      <c r="BD9" s="3">
        <v>2.4179999232292175</v>
      </c>
      <c r="BE9" s="3">
        <v>2.2829999923706055</v>
      </c>
      <c r="BF9" s="11" t="e">
        <v>#N/A</v>
      </c>
      <c r="BG9" s="3">
        <v>1.7000000476837158</v>
      </c>
      <c r="BI9" s="3">
        <v>4</v>
      </c>
      <c r="BJ9" s="3">
        <v>4</v>
      </c>
      <c r="BK9" s="11" t="e">
        <v>#N/A</v>
      </c>
      <c r="BL9" s="3">
        <v>5</v>
      </c>
      <c r="BN9" s="3">
        <v>4</v>
      </c>
      <c r="BO9" s="3">
        <v>3</v>
      </c>
      <c r="BP9" s="11" t="e">
        <v>#N/A</v>
      </c>
      <c r="BQ9" s="3">
        <v>4</v>
      </c>
      <c r="BS9" s="3">
        <v>0.6470000147819519</v>
      </c>
      <c r="BT9" s="3">
        <v>0.47699999809265137</v>
      </c>
      <c r="BU9" s="11" t="e">
        <v>#N/A</v>
      </c>
      <c r="BV9" s="3">
        <v>0.50999999046325684</v>
      </c>
      <c r="BX9" s="3">
        <v>0</v>
      </c>
      <c r="BY9" s="3">
        <v>0.4</v>
      </c>
      <c r="BZ9" s="11" t="e">
        <v>#N/A</v>
      </c>
      <c r="CA9" s="3">
        <v>0.41599999999999993</v>
      </c>
      <c r="CC9" s="3">
        <v>0</v>
      </c>
      <c r="CD9" s="3">
        <v>0.39999999664723873</v>
      </c>
      <c r="CE9" s="11" t="e">
        <v>#N/A</v>
      </c>
      <c r="CF9" s="3">
        <v>0.38300013542175293</v>
      </c>
      <c r="CH9" s="3">
        <v>0</v>
      </c>
      <c r="CI9" s="3">
        <v>1</v>
      </c>
      <c r="CJ9" s="11" t="e">
        <v>#N/A</v>
      </c>
      <c r="CK9" s="3">
        <v>1</v>
      </c>
      <c r="CM9" s="3">
        <v>0</v>
      </c>
      <c r="CN9" s="3">
        <v>1</v>
      </c>
      <c r="CO9" s="11" t="e">
        <v>#N/A</v>
      </c>
      <c r="CP9" s="3">
        <v>1</v>
      </c>
      <c r="CR9" s="3">
        <v>4.0039999999999996</v>
      </c>
      <c r="CS9" s="3">
        <v>9.9999997764825821E-3</v>
      </c>
      <c r="CT9" s="11" t="e">
        <v>#N/A</v>
      </c>
      <c r="CU9" s="3">
        <v>3.3599998950958252</v>
      </c>
    </row>
    <row r="10" spans="1:99" s="3" customFormat="1" x14ac:dyDescent="0.35">
      <c r="A10" s="2" t="s">
        <v>14</v>
      </c>
      <c r="B10" s="2">
        <v>3.75</v>
      </c>
      <c r="C10" s="2" t="s">
        <v>168</v>
      </c>
      <c r="D10" s="2" t="s">
        <v>403</v>
      </c>
      <c r="F10" s="3" t="e">
        <v>#N/A</v>
      </c>
      <c r="G10" s="3" t="e">
        <v>#N/A</v>
      </c>
      <c r="H10" s="3" t="e">
        <v>#N/A</v>
      </c>
      <c r="I10" s="3">
        <v>4.0209999999999999</v>
      </c>
      <c r="K10" s="11" t="e">
        <v>#N/A</v>
      </c>
      <c r="L10" s="11" t="e">
        <v>#N/A</v>
      </c>
      <c r="M10" s="3">
        <v>2.3329999999999997</v>
      </c>
      <c r="N10" s="3">
        <v>4.016</v>
      </c>
      <c r="P10" s="11" t="e">
        <v>#N/A</v>
      </c>
      <c r="Q10" s="11" t="e">
        <v>#N/A</v>
      </c>
      <c r="R10" s="3">
        <v>2.1489999666810036</v>
      </c>
      <c r="S10" s="3">
        <v>3.1810001046396792</v>
      </c>
      <c r="U10" s="11" t="e">
        <v>#N/A</v>
      </c>
      <c r="V10" s="11" t="e">
        <v>#N/A</v>
      </c>
      <c r="W10" s="3">
        <v>6</v>
      </c>
      <c r="X10" s="3">
        <v>12</v>
      </c>
      <c r="Z10" s="11" t="e">
        <v>#N/A</v>
      </c>
      <c r="AA10" s="11" t="e">
        <v>#N/A</v>
      </c>
      <c r="AB10" s="3">
        <v>1.849</v>
      </c>
      <c r="AC10" s="3">
        <v>2.9490000000000003</v>
      </c>
      <c r="AE10" s="11" t="e">
        <v>#N/A</v>
      </c>
      <c r="AF10" s="11" t="e">
        <v>#N/A</v>
      </c>
      <c r="AG10" s="3">
        <v>1.5499999895691872</v>
      </c>
      <c r="AH10" s="3">
        <v>2.5140000493265688</v>
      </c>
      <c r="AJ10" s="11" t="e">
        <v>#N/A</v>
      </c>
      <c r="AK10" s="11" t="e">
        <v>#N/A</v>
      </c>
      <c r="AL10" s="3">
        <v>4</v>
      </c>
      <c r="AM10" s="3">
        <v>10</v>
      </c>
      <c r="AO10" s="11" t="e">
        <v>#N/A</v>
      </c>
      <c r="AP10" s="11" t="e">
        <v>#N/A</v>
      </c>
      <c r="AQ10" s="3">
        <v>2</v>
      </c>
      <c r="AR10" s="3">
        <v>5</v>
      </c>
      <c r="AT10" s="11" t="e">
        <v>#N/A</v>
      </c>
      <c r="AU10" s="11" t="e">
        <v>#N/A</v>
      </c>
      <c r="AV10" s="3">
        <v>1.0999999940395355E-2</v>
      </c>
      <c r="AW10" s="3">
        <v>3.0000000260770321E-3</v>
      </c>
      <c r="AY10" s="11" t="e">
        <v>#N/A</v>
      </c>
      <c r="AZ10" s="11" t="e">
        <v>#N/A</v>
      </c>
      <c r="BA10" s="3">
        <v>8.4000000000000075E-2</v>
      </c>
      <c r="BB10" s="3">
        <v>0.7350000000000001</v>
      </c>
      <c r="BD10" s="11" t="e">
        <v>#N/A</v>
      </c>
      <c r="BE10" s="11" t="e">
        <v>#N/A</v>
      </c>
      <c r="BF10" s="3">
        <v>0</v>
      </c>
      <c r="BG10" s="3">
        <v>0.98300004005432129</v>
      </c>
      <c r="BI10" s="11" t="e">
        <v>#N/A</v>
      </c>
      <c r="BJ10" s="11" t="e">
        <v>#N/A</v>
      </c>
      <c r="BK10" s="3">
        <v>0</v>
      </c>
      <c r="BL10" s="3">
        <v>3</v>
      </c>
      <c r="BN10" s="11" t="e">
        <v>#N/A</v>
      </c>
      <c r="BO10" s="11" t="e">
        <v>#N/A</v>
      </c>
      <c r="BP10" s="3">
        <v>1</v>
      </c>
      <c r="BQ10" s="3">
        <v>6</v>
      </c>
      <c r="BS10" s="11" t="e">
        <v>#N/A</v>
      </c>
      <c r="BT10" s="11" t="e">
        <v>#N/A</v>
      </c>
      <c r="BU10" s="3">
        <v>4.0259999999999998</v>
      </c>
      <c r="BV10" s="3">
        <v>0.43599998950958252</v>
      </c>
      <c r="BX10" s="11" t="e">
        <v>#N/A</v>
      </c>
      <c r="BY10" s="11" t="e">
        <v>#N/A</v>
      </c>
      <c r="BZ10" s="3">
        <v>0</v>
      </c>
      <c r="CA10" s="3">
        <v>0.26600000000000001</v>
      </c>
      <c r="CC10" s="11" t="e">
        <v>#N/A</v>
      </c>
      <c r="CD10" s="11" t="e">
        <v>#N/A</v>
      </c>
      <c r="CE10" s="3">
        <v>0</v>
      </c>
      <c r="CF10" s="3">
        <v>0</v>
      </c>
      <c r="CH10" s="11" t="e">
        <v>#N/A</v>
      </c>
      <c r="CI10" s="11" t="e">
        <v>#N/A</v>
      </c>
      <c r="CJ10" s="3">
        <v>0</v>
      </c>
      <c r="CK10" s="3">
        <v>0</v>
      </c>
      <c r="CM10" s="11" t="e">
        <v>#N/A</v>
      </c>
      <c r="CN10" s="11" t="e">
        <v>#N/A</v>
      </c>
      <c r="CO10" s="3">
        <v>0</v>
      </c>
      <c r="CP10" s="3">
        <v>3</v>
      </c>
      <c r="CR10" s="11" t="e">
        <v>#N/A</v>
      </c>
      <c r="CS10" s="11" t="e">
        <v>#N/A</v>
      </c>
      <c r="CT10" s="3">
        <v>4.0259999999999998</v>
      </c>
      <c r="CU10" s="3">
        <v>4.0209999999999999</v>
      </c>
    </row>
    <row r="11" spans="1:99" s="3" customFormat="1" x14ac:dyDescent="0.35">
      <c r="A11" s="2" t="s">
        <v>38</v>
      </c>
      <c r="B11" s="2">
        <v>3.8333333333333335</v>
      </c>
      <c r="C11" s="2" t="s">
        <v>167</v>
      </c>
      <c r="D11" s="2" t="s">
        <v>403</v>
      </c>
      <c r="F11" s="3">
        <v>3.1909999999999998</v>
      </c>
      <c r="G11" s="3">
        <v>3.1659999999999999</v>
      </c>
      <c r="H11" s="3">
        <v>4.0069999999999997</v>
      </c>
      <c r="I11" s="3">
        <v>4.016</v>
      </c>
      <c r="K11" s="3">
        <v>2.883</v>
      </c>
      <c r="L11" s="3">
        <v>3.0989999999999998</v>
      </c>
      <c r="M11" s="3">
        <v>3.7319999999999998</v>
      </c>
      <c r="N11" s="3">
        <v>2.5659999999999998</v>
      </c>
      <c r="P11" s="3">
        <v>2.8480000495910645</v>
      </c>
      <c r="Q11" s="3">
        <v>1.9000001903623343</v>
      </c>
      <c r="R11" s="3">
        <v>3.2470001103356481</v>
      </c>
      <c r="S11" s="3">
        <v>2.3489992618560791</v>
      </c>
      <c r="U11" s="3">
        <v>6</v>
      </c>
      <c r="V11" s="3">
        <v>7</v>
      </c>
      <c r="W11" s="3">
        <v>12</v>
      </c>
      <c r="X11" s="3">
        <v>9</v>
      </c>
      <c r="Z11" s="3">
        <v>3.1819999999999999</v>
      </c>
      <c r="AA11" s="3">
        <v>2.7989999999999999</v>
      </c>
      <c r="AB11" s="3">
        <v>3.665</v>
      </c>
      <c r="AC11" s="3">
        <v>1.4999999999999996</v>
      </c>
      <c r="AE11" s="3">
        <v>2.8480000495910645</v>
      </c>
      <c r="AF11" s="3">
        <v>1.9000001903623343</v>
      </c>
      <c r="AG11" s="3">
        <v>3.2470001103356481</v>
      </c>
      <c r="AH11" s="3">
        <v>1.365999698638916</v>
      </c>
      <c r="AJ11" s="3">
        <v>6</v>
      </c>
      <c r="AK11" s="3">
        <v>7</v>
      </c>
      <c r="AL11" s="3">
        <v>12</v>
      </c>
      <c r="AM11" s="3">
        <v>6</v>
      </c>
      <c r="AO11" s="3">
        <v>1</v>
      </c>
      <c r="AP11" s="3">
        <v>3</v>
      </c>
      <c r="AQ11" s="3">
        <v>1</v>
      </c>
      <c r="AR11" s="3">
        <v>2</v>
      </c>
      <c r="AT11" s="3">
        <v>0.81099998950958252</v>
      </c>
      <c r="AU11" s="3">
        <v>2.500000037252903E-2</v>
      </c>
      <c r="AV11" s="3">
        <v>6.0000000521540642E-3</v>
      </c>
      <c r="AW11" s="3">
        <v>0.74900001287460327</v>
      </c>
      <c r="AY11" s="3">
        <v>0</v>
      </c>
      <c r="AZ11" s="3">
        <v>0</v>
      </c>
      <c r="BA11" s="3">
        <v>0</v>
      </c>
      <c r="BB11" s="3">
        <v>0.14999999999999991</v>
      </c>
      <c r="BD11" s="3">
        <v>0</v>
      </c>
      <c r="BE11" s="3">
        <v>0</v>
      </c>
      <c r="BF11" s="3">
        <v>0</v>
      </c>
      <c r="BG11" s="3">
        <v>0</v>
      </c>
      <c r="BI11" s="3">
        <v>0</v>
      </c>
      <c r="BJ11" s="3">
        <v>0</v>
      </c>
      <c r="BK11" s="3">
        <v>0</v>
      </c>
      <c r="BL11" s="3">
        <v>0</v>
      </c>
      <c r="BN11" s="3">
        <v>0</v>
      </c>
      <c r="BO11" s="3">
        <v>0</v>
      </c>
      <c r="BP11" s="3">
        <v>0</v>
      </c>
      <c r="BQ11" s="3">
        <v>1</v>
      </c>
      <c r="BS11" s="3">
        <v>4.0019999999999998</v>
      </c>
      <c r="BT11" s="3">
        <v>4.016</v>
      </c>
      <c r="BU11" s="3">
        <v>4.0069999999999997</v>
      </c>
      <c r="BV11" s="3">
        <v>4.016</v>
      </c>
      <c r="BX11" s="3">
        <v>0.43300000000000005</v>
      </c>
      <c r="BY11" s="3">
        <v>0.73299999999999954</v>
      </c>
      <c r="BZ11" s="3">
        <v>0.99999999999999944</v>
      </c>
      <c r="CA11" s="3">
        <v>0.75</v>
      </c>
      <c r="CC11" s="3">
        <v>0</v>
      </c>
      <c r="CD11" s="3">
        <v>0.89999997615814209</v>
      </c>
      <c r="CE11" s="3">
        <v>0.89899998903274536</v>
      </c>
      <c r="CF11" s="3">
        <v>0.84899961948394775</v>
      </c>
      <c r="CH11" s="3">
        <v>0</v>
      </c>
      <c r="CI11" s="3">
        <v>3</v>
      </c>
      <c r="CJ11" s="3">
        <v>5</v>
      </c>
      <c r="CK11" s="3">
        <v>4</v>
      </c>
      <c r="CM11" s="3">
        <v>2</v>
      </c>
      <c r="CN11" s="3">
        <v>5</v>
      </c>
      <c r="CO11" s="3">
        <v>7</v>
      </c>
      <c r="CP11" s="3">
        <v>2</v>
      </c>
      <c r="CR11" s="3">
        <v>4.0019999999999998</v>
      </c>
      <c r="CS11" s="3">
        <v>0.54100000858306885</v>
      </c>
      <c r="CT11" s="3">
        <v>0.50599998235702515</v>
      </c>
      <c r="CU11" s="3">
        <v>0.91600000858306885</v>
      </c>
    </row>
    <row r="12" spans="1:99" s="3" customFormat="1" x14ac:dyDescent="0.35">
      <c r="A12" s="2" t="s">
        <v>81</v>
      </c>
      <c r="B12" s="2">
        <v>3.8333333333333335</v>
      </c>
      <c r="C12" s="2" t="s">
        <v>167</v>
      </c>
      <c r="D12" s="2" t="s">
        <v>403</v>
      </c>
      <c r="F12" s="3">
        <v>4.01</v>
      </c>
      <c r="G12" s="3">
        <v>4.016</v>
      </c>
      <c r="H12" s="3">
        <v>4.032</v>
      </c>
      <c r="I12" s="3">
        <v>4.0110000000000001</v>
      </c>
      <c r="K12" s="3">
        <v>3.9990000000000001</v>
      </c>
      <c r="L12" s="3">
        <v>3.9990000000000001</v>
      </c>
      <c r="M12" s="3">
        <v>4.016</v>
      </c>
      <c r="N12" s="3">
        <v>3.649</v>
      </c>
      <c r="P12" s="3">
        <v>3.7139997901394963</v>
      </c>
      <c r="Q12" s="3">
        <v>3.665999906254001</v>
      </c>
      <c r="R12" s="3">
        <v>3.7809998849406838</v>
      </c>
      <c r="S12" s="3">
        <v>3.6000000275671482</v>
      </c>
      <c r="U12" s="3">
        <v>6</v>
      </c>
      <c r="V12" s="3">
        <v>8</v>
      </c>
      <c r="W12" s="3">
        <v>10</v>
      </c>
      <c r="X12" s="3">
        <v>3</v>
      </c>
      <c r="Z12" s="3">
        <v>3.9990000000000001</v>
      </c>
      <c r="AA12" s="3">
        <v>3.9489999999999998</v>
      </c>
      <c r="AB12" s="3">
        <v>4.016</v>
      </c>
      <c r="AC12" s="3">
        <v>3.649</v>
      </c>
      <c r="AE12" s="3">
        <v>3.7139997901394963</v>
      </c>
      <c r="AF12" s="3">
        <v>3.665999906254001</v>
      </c>
      <c r="AG12" s="3">
        <v>3.7809998849406838</v>
      </c>
      <c r="AH12" s="3">
        <v>3.6000000275671482</v>
      </c>
      <c r="AJ12" s="3">
        <v>6</v>
      </c>
      <c r="AK12" s="3">
        <v>8</v>
      </c>
      <c r="AL12" s="3">
        <v>10</v>
      </c>
      <c r="AM12" s="3">
        <v>3</v>
      </c>
      <c r="AO12" s="3">
        <v>1</v>
      </c>
      <c r="AP12" s="3">
        <v>2</v>
      </c>
      <c r="AQ12" s="3">
        <v>1</v>
      </c>
      <c r="AR12" s="3">
        <v>1</v>
      </c>
      <c r="AT12" s="3">
        <v>6.0000000521540642E-3</v>
      </c>
      <c r="AU12" s="3">
        <v>1.0000000474974513E-3</v>
      </c>
      <c r="AV12" s="3">
        <v>8.0000003799796104E-3</v>
      </c>
      <c r="AW12" s="3">
        <v>8.999999612569809E-3</v>
      </c>
      <c r="AY12" s="3">
        <v>1.1989999999999998</v>
      </c>
      <c r="AZ12" s="3">
        <v>1.6830000000000001</v>
      </c>
      <c r="BA12" s="3">
        <v>0.56700000000000006</v>
      </c>
      <c r="BB12" s="3">
        <v>0.51600000000000001</v>
      </c>
      <c r="BD12" s="3">
        <v>1.2819998264312744</v>
      </c>
      <c r="BE12" s="3">
        <v>1.9339999556541443</v>
      </c>
      <c r="BF12" s="3">
        <v>0.18300008773803711</v>
      </c>
      <c r="BG12" s="3">
        <v>0</v>
      </c>
      <c r="BI12" s="3">
        <v>3</v>
      </c>
      <c r="BJ12" s="3">
        <v>4</v>
      </c>
      <c r="BK12" s="3">
        <v>1</v>
      </c>
      <c r="BL12" s="3">
        <v>0</v>
      </c>
      <c r="BN12" s="3">
        <v>4</v>
      </c>
      <c r="BO12" s="3">
        <v>3</v>
      </c>
      <c r="BP12" s="3">
        <v>4</v>
      </c>
      <c r="BQ12" s="3">
        <v>1</v>
      </c>
      <c r="BS12" s="3">
        <v>2.4890000820159912</v>
      </c>
      <c r="BT12" s="3">
        <v>0.50099998712539673</v>
      </c>
      <c r="BU12" s="3">
        <v>3.8410000801086426</v>
      </c>
      <c r="BV12" s="3">
        <v>4.0110000000000001</v>
      </c>
      <c r="BX12" s="3">
        <v>0.34999999999999987</v>
      </c>
      <c r="BY12" s="3">
        <v>0.33399999999999974</v>
      </c>
      <c r="BZ12" s="3">
        <v>0.2330000000000001</v>
      </c>
      <c r="CA12" s="3">
        <v>0</v>
      </c>
      <c r="CC12" s="3">
        <v>0.56600010395050049</v>
      </c>
      <c r="CD12" s="3">
        <v>0.44899988174438477</v>
      </c>
      <c r="CE12" s="3">
        <v>0.23300004005432129</v>
      </c>
      <c r="CF12" s="3">
        <v>0</v>
      </c>
      <c r="CH12" s="3">
        <v>1</v>
      </c>
      <c r="CI12" s="3">
        <v>1</v>
      </c>
      <c r="CJ12" s="3">
        <v>1</v>
      </c>
      <c r="CK12" s="3">
        <v>0</v>
      </c>
      <c r="CM12" s="3">
        <v>1</v>
      </c>
      <c r="CN12" s="3">
        <v>4</v>
      </c>
      <c r="CO12" s="3">
        <v>1</v>
      </c>
      <c r="CP12" s="3">
        <v>0</v>
      </c>
      <c r="CR12" s="3">
        <v>1.6729999780654907</v>
      </c>
      <c r="CS12" s="3">
        <v>3.4670000076293945</v>
      </c>
      <c r="CT12" s="3">
        <v>2.6749999523162842</v>
      </c>
      <c r="CU12" s="3">
        <v>4.0110000000000001</v>
      </c>
    </row>
    <row r="13" spans="1:99" s="3" customFormat="1" x14ac:dyDescent="0.35">
      <c r="A13" s="2" t="s">
        <v>27</v>
      </c>
      <c r="B13" s="2">
        <v>3.9166666666666665</v>
      </c>
      <c r="C13" s="2" t="s">
        <v>168</v>
      </c>
      <c r="D13" s="2" t="s">
        <v>403</v>
      </c>
      <c r="F13" s="11" t="e">
        <v>#N/A</v>
      </c>
      <c r="G13" s="11" t="e">
        <v>#N/A</v>
      </c>
      <c r="H13" s="3" t="e">
        <v>#N/A</v>
      </c>
      <c r="I13" s="11" t="e">
        <v>#N/A</v>
      </c>
      <c r="K13" s="11" t="e">
        <v>#N/A</v>
      </c>
      <c r="L13" s="11" t="e">
        <v>#N/A</v>
      </c>
      <c r="M13" s="11" t="e">
        <v>#N/A</v>
      </c>
      <c r="N13" s="11" t="e">
        <v>#N/A</v>
      </c>
      <c r="P13" s="11" t="e">
        <v>#N/A</v>
      </c>
      <c r="Q13" s="11" t="e">
        <v>#N/A</v>
      </c>
      <c r="R13" s="11" t="e">
        <v>#N/A</v>
      </c>
      <c r="S13" s="11" t="e">
        <v>#N/A</v>
      </c>
      <c r="U13" s="11" t="e">
        <v>#N/A</v>
      </c>
      <c r="V13" s="11" t="e">
        <v>#N/A</v>
      </c>
      <c r="W13" s="11" t="e">
        <v>#N/A</v>
      </c>
      <c r="X13" s="11" t="e">
        <v>#N/A</v>
      </c>
      <c r="Z13" s="11" t="e">
        <v>#N/A</v>
      </c>
      <c r="AA13" s="11" t="e">
        <v>#N/A</v>
      </c>
      <c r="AB13" s="11" t="e">
        <v>#N/A</v>
      </c>
      <c r="AC13" s="11" t="e">
        <v>#N/A</v>
      </c>
      <c r="AE13" s="11" t="e">
        <v>#N/A</v>
      </c>
      <c r="AF13" s="11" t="e">
        <v>#N/A</v>
      </c>
      <c r="AG13" s="11" t="e">
        <v>#N/A</v>
      </c>
      <c r="AH13" s="11" t="e">
        <v>#N/A</v>
      </c>
      <c r="AJ13" s="11" t="e">
        <v>#N/A</v>
      </c>
      <c r="AK13" s="11" t="e">
        <v>#N/A</v>
      </c>
      <c r="AL13" s="11" t="e">
        <v>#N/A</v>
      </c>
      <c r="AM13" s="11" t="e">
        <v>#N/A</v>
      </c>
      <c r="AO13" s="11" t="e">
        <v>#N/A</v>
      </c>
      <c r="AP13" s="11" t="e">
        <v>#N/A</v>
      </c>
      <c r="AQ13" s="11" t="e">
        <v>#N/A</v>
      </c>
      <c r="AR13" s="11" t="e">
        <v>#N/A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Y13" s="11" t="e">
        <v>#N/A</v>
      </c>
      <c r="AZ13" s="11" t="e">
        <v>#N/A</v>
      </c>
      <c r="BA13" s="11" t="e">
        <v>#N/A</v>
      </c>
      <c r="BB13" s="11" t="e">
        <v>#N/A</v>
      </c>
      <c r="BD13" s="11" t="e">
        <v>#N/A</v>
      </c>
      <c r="BE13" s="11" t="e">
        <v>#N/A</v>
      </c>
      <c r="BF13" s="11" t="e">
        <v>#N/A</v>
      </c>
      <c r="BG13" s="11" t="e">
        <v>#N/A</v>
      </c>
      <c r="BI13" s="11" t="e">
        <v>#N/A</v>
      </c>
      <c r="BJ13" s="11" t="e">
        <v>#N/A</v>
      </c>
      <c r="BK13" s="11" t="e">
        <v>#N/A</v>
      </c>
      <c r="BL13" s="11" t="e">
        <v>#N/A</v>
      </c>
      <c r="BN13" s="11" t="e">
        <v>#N/A</v>
      </c>
      <c r="BO13" s="11" t="e">
        <v>#N/A</v>
      </c>
      <c r="BP13" s="11" t="e">
        <v>#N/A</v>
      </c>
      <c r="BQ13" s="11" t="e">
        <v>#N/A</v>
      </c>
      <c r="BS13" s="11" t="e">
        <v>#N/A</v>
      </c>
      <c r="BT13" s="11" t="e">
        <v>#N/A</v>
      </c>
      <c r="BU13" s="11" t="e">
        <v>#N/A</v>
      </c>
      <c r="BV13" s="11" t="e">
        <v>#N/A</v>
      </c>
      <c r="BX13" s="11" t="e">
        <v>#N/A</v>
      </c>
      <c r="BY13" s="11" t="e">
        <v>#N/A</v>
      </c>
      <c r="BZ13" s="11" t="e">
        <v>#N/A</v>
      </c>
      <c r="CA13" s="11" t="e">
        <v>#N/A</v>
      </c>
      <c r="CC13" s="11" t="e">
        <v>#N/A</v>
      </c>
      <c r="CD13" s="11" t="e">
        <v>#N/A</v>
      </c>
      <c r="CE13" s="11" t="e">
        <v>#N/A</v>
      </c>
      <c r="CF13" s="11" t="e">
        <v>#N/A</v>
      </c>
      <c r="CH13" s="11" t="e">
        <v>#N/A</v>
      </c>
      <c r="CI13" s="11" t="e">
        <v>#N/A</v>
      </c>
      <c r="CJ13" s="11" t="e">
        <v>#N/A</v>
      </c>
      <c r="CK13" s="11" t="e">
        <v>#N/A</v>
      </c>
      <c r="CM13" s="11" t="e">
        <v>#N/A</v>
      </c>
      <c r="CN13" s="11" t="e">
        <v>#N/A</v>
      </c>
      <c r="CO13" s="11" t="e">
        <v>#N/A</v>
      </c>
      <c r="CP13" s="11" t="e">
        <v>#N/A</v>
      </c>
      <c r="CR13" s="11" t="e">
        <v>#N/A</v>
      </c>
      <c r="CS13" s="11" t="e">
        <v>#N/A</v>
      </c>
      <c r="CT13" s="11" t="e">
        <v>#N/A</v>
      </c>
      <c r="CU13" s="11" t="e">
        <v>#N/A</v>
      </c>
    </row>
    <row r="14" spans="1:99" s="3" customFormat="1" x14ac:dyDescent="0.35">
      <c r="A14" s="2" t="s">
        <v>42</v>
      </c>
      <c r="B14" s="2">
        <v>4.083333333333333</v>
      </c>
      <c r="C14" s="2" t="s">
        <v>168</v>
      </c>
      <c r="D14" s="2" t="s">
        <v>403</v>
      </c>
      <c r="F14" s="3">
        <v>4.0129999999999999</v>
      </c>
      <c r="G14" s="3">
        <v>4.0069999999999997</v>
      </c>
      <c r="H14" s="3">
        <v>4.01</v>
      </c>
      <c r="I14" s="3">
        <v>4.016</v>
      </c>
      <c r="K14" s="3">
        <v>3.9990000000000001</v>
      </c>
      <c r="L14" s="3">
        <v>3.532</v>
      </c>
      <c r="M14" s="3">
        <v>3.7320000000000002</v>
      </c>
      <c r="N14" s="3">
        <v>3.9990000000000001</v>
      </c>
      <c r="P14" s="3">
        <v>3.1670000553131104</v>
      </c>
      <c r="Q14" s="3">
        <v>3.2140001356601715</v>
      </c>
      <c r="R14" s="3">
        <v>2.7810001075267792</v>
      </c>
      <c r="S14" s="3">
        <v>3.7310004476457834</v>
      </c>
      <c r="U14" s="3">
        <v>6</v>
      </c>
      <c r="V14" s="3">
        <v>11</v>
      </c>
      <c r="W14" s="3">
        <v>9</v>
      </c>
      <c r="X14" s="3">
        <v>9</v>
      </c>
      <c r="Z14" s="3">
        <v>3.6989999999999998</v>
      </c>
      <c r="AA14" s="3">
        <v>3.532</v>
      </c>
      <c r="AB14" s="3">
        <v>3.6310000000000002</v>
      </c>
      <c r="AC14" s="3">
        <v>3.9990000000000001</v>
      </c>
      <c r="AE14" s="3">
        <v>3.1670000553131104</v>
      </c>
      <c r="AF14" s="3">
        <v>3.2140001356601715</v>
      </c>
      <c r="AG14" s="3">
        <v>2.7810001075267792</v>
      </c>
      <c r="AH14" s="3">
        <v>3.7310004476457834</v>
      </c>
      <c r="AJ14" s="3">
        <v>6</v>
      </c>
      <c r="AK14" s="3">
        <v>11</v>
      </c>
      <c r="AL14" s="3">
        <v>9</v>
      </c>
      <c r="AM14" s="3">
        <v>9</v>
      </c>
      <c r="AO14" s="3">
        <v>2</v>
      </c>
      <c r="AP14" s="3">
        <v>1</v>
      </c>
      <c r="AQ14" s="3">
        <v>4</v>
      </c>
      <c r="AR14" s="3">
        <v>1</v>
      </c>
      <c r="AT14" s="3">
        <v>0</v>
      </c>
      <c r="AU14" s="3">
        <v>0.49399998784065247</v>
      </c>
      <c r="AV14" s="3">
        <v>0.375</v>
      </c>
      <c r="AW14" s="3">
        <v>1.2000000104308128E-2</v>
      </c>
      <c r="AY14" s="3">
        <v>0.28300000000000036</v>
      </c>
      <c r="AZ14" s="3">
        <v>0.79900000000000038</v>
      </c>
      <c r="BA14" s="3">
        <v>0.31600000000000006</v>
      </c>
      <c r="BB14" s="3">
        <v>0.45099999999999985</v>
      </c>
      <c r="BD14" s="3">
        <v>0.5</v>
      </c>
      <c r="BE14" s="3">
        <v>0.69899991154670715</v>
      </c>
      <c r="BF14" s="3">
        <v>0.21600008010864258</v>
      </c>
      <c r="BG14" s="3">
        <v>0.21700000762939453</v>
      </c>
      <c r="BI14" s="3">
        <v>1</v>
      </c>
      <c r="BJ14" s="3">
        <v>3</v>
      </c>
      <c r="BK14" s="3">
        <v>1</v>
      </c>
      <c r="BL14" s="3">
        <v>1</v>
      </c>
      <c r="BN14" s="3">
        <v>1</v>
      </c>
      <c r="BO14" s="3">
        <v>3</v>
      </c>
      <c r="BP14" s="3">
        <v>3</v>
      </c>
      <c r="BQ14" s="3">
        <v>2</v>
      </c>
      <c r="BS14" s="3">
        <v>1.9500000476837158</v>
      </c>
      <c r="BT14" s="3">
        <v>0.49399998784065247</v>
      </c>
      <c r="BU14" s="3">
        <v>3.4409999847412109</v>
      </c>
      <c r="BV14" s="3">
        <v>2.9609999656677246</v>
      </c>
      <c r="BX14" s="3">
        <v>0.68300000000000038</v>
      </c>
      <c r="BY14" s="3">
        <v>0.88299999999999956</v>
      </c>
      <c r="BZ14" s="3">
        <v>8.3000000000000046E-2</v>
      </c>
      <c r="CA14" s="3">
        <v>0.16600000000000001</v>
      </c>
      <c r="CC14" s="3">
        <v>0.5</v>
      </c>
      <c r="CD14" s="3">
        <v>0.68300008773803711</v>
      </c>
      <c r="CE14" s="3">
        <v>0</v>
      </c>
      <c r="CF14" s="3">
        <v>0</v>
      </c>
      <c r="CH14" s="3">
        <v>1</v>
      </c>
      <c r="CI14" s="3">
        <v>4</v>
      </c>
      <c r="CJ14" s="3">
        <v>0</v>
      </c>
      <c r="CK14" s="3">
        <v>0</v>
      </c>
      <c r="CM14" s="3">
        <v>8</v>
      </c>
      <c r="CN14" s="3">
        <v>6</v>
      </c>
      <c r="CO14" s="3">
        <v>3</v>
      </c>
      <c r="CP14" s="3">
        <v>1</v>
      </c>
      <c r="CR14" s="3">
        <v>0.91600000858306885</v>
      </c>
      <c r="CS14" s="3">
        <v>1.1770000457763672</v>
      </c>
      <c r="CT14" s="3">
        <v>4.01</v>
      </c>
      <c r="CU14" s="3">
        <v>4.016</v>
      </c>
    </row>
    <row r="15" spans="1:99" s="3" customFormat="1" x14ac:dyDescent="0.35">
      <c r="A15" s="2" t="s">
        <v>33</v>
      </c>
      <c r="B15" s="2">
        <v>4.333333333333333</v>
      </c>
      <c r="C15" s="2" t="s">
        <v>167</v>
      </c>
      <c r="D15" s="2" t="s">
        <v>403</v>
      </c>
      <c r="F15" s="11" t="e">
        <v>#N/A</v>
      </c>
      <c r="G15" s="3">
        <v>4.0140000000000002</v>
      </c>
      <c r="H15" s="3">
        <v>4.0049999999999999</v>
      </c>
      <c r="I15" s="11" t="e">
        <v>#N/A</v>
      </c>
      <c r="K15" s="11" t="e">
        <v>#N/A</v>
      </c>
      <c r="L15" s="3">
        <v>3.9820000000000002</v>
      </c>
      <c r="M15" s="3">
        <v>3.9989999999999997</v>
      </c>
      <c r="N15" s="11" t="e">
        <v>#N/A</v>
      </c>
      <c r="P15" s="11" t="e">
        <v>#N/A</v>
      </c>
      <c r="Q15" s="3">
        <v>3.765999861061573</v>
      </c>
      <c r="R15" s="3">
        <v>3.8659998388029635</v>
      </c>
      <c r="S15" s="11" t="e">
        <v>#N/A</v>
      </c>
      <c r="U15" s="11" t="e">
        <v>#N/A</v>
      </c>
      <c r="V15" s="3">
        <v>9</v>
      </c>
      <c r="W15" s="3">
        <v>6</v>
      </c>
      <c r="X15" s="11" t="e">
        <v>#N/A</v>
      </c>
      <c r="Z15" s="11" t="e">
        <v>#N/A</v>
      </c>
      <c r="AA15" s="3">
        <v>3.9820000000000002</v>
      </c>
      <c r="AB15" s="3">
        <v>3.9489999999999994</v>
      </c>
      <c r="AC15" s="11" t="e">
        <v>#N/A</v>
      </c>
      <c r="AE15" s="11" t="e">
        <v>#N/A</v>
      </c>
      <c r="AF15" s="3">
        <v>3.765999861061573</v>
      </c>
      <c r="AG15" s="3">
        <v>3.8659998388029635</v>
      </c>
      <c r="AH15" s="11" t="e">
        <v>#N/A</v>
      </c>
      <c r="AJ15" s="11" t="e">
        <v>#N/A</v>
      </c>
      <c r="AK15" s="3">
        <v>9</v>
      </c>
      <c r="AL15" s="3">
        <v>6</v>
      </c>
      <c r="AM15" s="11" t="e">
        <v>#N/A</v>
      </c>
      <c r="AO15" s="11" t="e">
        <v>#N/A</v>
      </c>
      <c r="AP15" s="3">
        <v>1</v>
      </c>
      <c r="AQ15" s="3">
        <v>2</v>
      </c>
      <c r="AR15" s="11" t="e">
        <v>#N/A</v>
      </c>
      <c r="AT15" s="11" t="e">
        <v>#N/A</v>
      </c>
      <c r="AU15" s="3">
        <v>0.11500000208616257</v>
      </c>
      <c r="AV15" s="3">
        <v>3.0000000260770321E-3</v>
      </c>
      <c r="AW15" s="11" t="e">
        <v>#N/A</v>
      </c>
      <c r="AY15" s="11" t="e">
        <v>#N/A</v>
      </c>
      <c r="AZ15" s="3">
        <v>0.86499999999999977</v>
      </c>
      <c r="BA15" s="3">
        <v>0.71700000000000053</v>
      </c>
      <c r="BB15" s="11" t="e">
        <v>#N/A</v>
      </c>
      <c r="BD15" s="11" t="e">
        <v>#N/A</v>
      </c>
      <c r="BE15" s="3">
        <v>0.76600003242492676</v>
      </c>
      <c r="BF15" s="3">
        <v>0.81599974632263184</v>
      </c>
      <c r="BG15" s="11" t="e">
        <v>#N/A</v>
      </c>
      <c r="BI15" s="11" t="e">
        <v>#N/A</v>
      </c>
      <c r="BJ15" s="3">
        <v>4</v>
      </c>
      <c r="BK15" s="3">
        <v>2</v>
      </c>
      <c r="BL15" s="11" t="e">
        <v>#N/A</v>
      </c>
      <c r="BN15" s="11" t="e">
        <v>#N/A</v>
      </c>
      <c r="BO15" s="3">
        <v>4</v>
      </c>
      <c r="BP15" s="3">
        <v>2</v>
      </c>
      <c r="BQ15" s="11" t="e">
        <v>#N/A</v>
      </c>
      <c r="BS15" s="11" t="e">
        <v>#N/A</v>
      </c>
      <c r="BT15" s="3">
        <v>0.5820000171661377</v>
      </c>
      <c r="BU15" s="3">
        <v>2.9019999504089355</v>
      </c>
      <c r="BV15" s="11" t="e">
        <v>#N/A</v>
      </c>
      <c r="BX15" s="11" t="e">
        <v>#N/A</v>
      </c>
      <c r="BY15" s="3">
        <v>0</v>
      </c>
      <c r="BZ15" s="3">
        <v>0</v>
      </c>
      <c r="CA15" s="11" t="e">
        <v>#N/A</v>
      </c>
      <c r="CC15" s="11" t="e">
        <v>#N/A</v>
      </c>
      <c r="CD15" s="3">
        <v>0</v>
      </c>
      <c r="CE15" s="3">
        <v>0</v>
      </c>
      <c r="CF15" s="11" t="e">
        <v>#N/A</v>
      </c>
      <c r="CH15" s="11" t="e">
        <v>#N/A</v>
      </c>
      <c r="CI15" s="3">
        <v>0</v>
      </c>
      <c r="CJ15" s="3">
        <v>0</v>
      </c>
      <c r="CK15" s="11" t="e">
        <v>#N/A</v>
      </c>
      <c r="CM15" s="11" t="e">
        <v>#N/A</v>
      </c>
      <c r="CN15" s="3">
        <v>0</v>
      </c>
      <c r="CO15" s="3">
        <v>0</v>
      </c>
      <c r="CP15" s="11" t="e">
        <v>#N/A</v>
      </c>
      <c r="CR15" s="11" t="e">
        <v>#N/A</v>
      </c>
      <c r="CS15" s="3">
        <v>4.0140000000000002</v>
      </c>
      <c r="CT15" s="3">
        <v>4.0049999999999999</v>
      </c>
      <c r="CU15" s="11" t="e">
        <v>#N/A</v>
      </c>
    </row>
    <row r="16" spans="1:99" s="3" customFormat="1" x14ac:dyDescent="0.35">
      <c r="A16" s="2" t="s">
        <v>30</v>
      </c>
      <c r="B16" s="2">
        <v>4.416666666666667</v>
      </c>
      <c r="C16" s="2" t="s">
        <v>168</v>
      </c>
      <c r="D16" s="2" t="s">
        <v>403</v>
      </c>
      <c r="F16" s="3" t="e">
        <v>#N/A</v>
      </c>
      <c r="G16" s="3">
        <v>4.016</v>
      </c>
      <c r="H16" s="3" t="e">
        <v>#N/A</v>
      </c>
      <c r="I16" s="3">
        <v>4.016</v>
      </c>
      <c r="K16" s="3">
        <v>2.5010000000000003</v>
      </c>
      <c r="L16" s="3">
        <v>3.6160000000000001</v>
      </c>
      <c r="M16" s="3">
        <v>2.1159999999999997</v>
      </c>
      <c r="N16" s="3">
        <v>3.9489999999999998</v>
      </c>
      <c r="P16" s="3">
        <v>1.2839997857809067</v>
      </c>
      <c r="Q16" s="3">
        <v>3.5489999074488878</v>
      </c>
      <c r="R16" s="3">
        <v>2.018000602722168</v>
      </c>
      <c r="S16" s="3">
        <v>3.7840002477169037</v>
      </c>
      <c r="U16" s="3">
        <v>6</v>
      </c>
      <c r="V16" s="3">
        <v>5</v>
      </c>
      <c r="W16" s="3">
        <v>5</v>
      </c>
      <c r="X16" s="3">
        <v>5</v>
      </c>
      <c r="Z16" s="3">
        <v>1.1339999999999999</v>
      </c>
      <c r="AA16" s="3">
        <v>3.6160000000000001</v>
      </c>
      <c r="AB16" s="3">
        <v>2.1159999999999997</v>
      </c>
      <c r="AC16" s="3">
        <v>3.7159999999999997</v>
      </c>
      <c r="AE16" s="3">
        <v>1.0159998536109924</v>
      </c>
      <c r="AF16" s="3">
        <v>3.5489999074488878</v>
      </c>
      <c r="AG16" s="3">
        <v>2.018000602722168</v>
      </c>
      <c r="AH16" s="3">
        <v>3.6170002520084381</v>
      </c>
      <c r="AJ16" s="3">
        <v>4</v>
      </c>
      <c r="AK16" s="3">
        <v>5</v>
      </c>
      <c r="AL16" s="3">
        <v>5</v>
      </c>
      <c r="AM16" s="3">
        <v>4</v>
      </c>
      <c r="AO16" s="3">
        <v>5</v>
      </c>
      <c r="AP16" s="3">
        <v>1</v>
      </c>
      <c r="AQ16" s="3">
        <v>1</v>
      </c>
      <c r="AR16" s="3">
        <v>3</v>
      </c>
      <c r="AT16" s="3">
        <v>0.5130000114440918</v>
      </c>
      <c r="AU16" s="3">
        <v>1.6000000759959221E-2</v>
      </c>
      <c r="AV16" s="3">
        <v>1.9040000438690186</v>
      </c>
      <c r="AW16" s="3">
        <v>0.34400001168251038</v>
      </c>
      <c r="AY16" s="3">
        <v>0.78400000000000025</v>
      </c>
      <c r="AZ16" s="3">
        <v>2.1000000000000005</v>
      </c>
      <c r="BA16" s="3">
        <v>1.3669999999999995</v>
      </c>
      <c r="BB16" s="3">
        <v>3.6659999999999999</v>
      </c>
      <c r="BD16" s="3">
        <v>0.56699997186660767</v>
      </c>
      <c r="BE16" s="3">
        <v>2.4829999506473541</v>
      </c>
      <c r="BF16" s="3">
        <v>1.4170002937316895</v>
      </c>
      <c r="BG16" s="3">
        <v>3.6170002520084381</v>
      </c>
      <c r="BI16" s="3">
        <v>2</v>
      </c>
      <c r="BJ16" s="3">
        <v>2</v>
      </c>
      <c r="BK16" s="3">
        <v>3</v>
      </c>
      <c r="BL16" s="3">
        <v>4</v>
      </c>
      <c r="BN16" s="3">
        <v>2</v>
      </c>
      <c r="BO16" s="3">
        <v>3</v>
      </c>
      <c r="BP16" s="3">
        <v>3</v>
      </c>
      <c r="BQ16" s="3">
        <v>3</v>
      </c>
      <c r="BS16" s="3">
        <v>0.81300002336502075</v>
      </c>
      <c r="BT16" s="3">
        <v>0.43200001120567322</v>
      </c>
      <c r="BU16" s="3">
        <v>1.9040000438690186</v>
      </c>
      <c r="BV16" s="3">
        <v>0.34400001168251038</v>
      </c>
      <c r="BX16" s="3">
        <v>0</v>
      </c>
      <c r="BY16" s="3">
        <v>0</v>
      </c>
      <c r="BZ16" s="3">
        <v>0</v>
      </c>
      <c r="CA16" s="3">
        <v>0</v>
      </c>
      <c r="CC16" s="3">
        <v>0</v>
      </c>
      <c r="CD16" s="3">
        <v>0</v>
      </c>
      <c r="CE16" s="3">
        <v>0</v>
      </c>
      <c r="CF16" s="3">
        <v>0</v>
      </c>
      <c r="CH16" s="3">
        <v>0</v>
      </c>
      <c r="CI16" s="3">
        <v>0</v>
      </c>
      <c r="CJ16" s="3">
        <v>0</v>
      </c>
      <c r="CK16" s="3">
        <v>0</v>
      </c>
      <c r="CM16" s="3">
        <v>0</v>
      </c>
      <c r="CN16" s="3">
        <v>0</v>
      </c>
      <c r="CO16" s="3">
        <v>0</v>
      </c>
      <c r="CP16" s="3">
        <v>0</v>
      </c>
      <c r="CR16" s="3">
        <v>4.016</v>
      </c>
      <c r="CS16" s="3">
        <v>4.016</v>
      </c>
      <c r="CT16" s="3">
        <v>4.0149999999999997</v>
      </c>
      <c r="CU16" s="3">
        <v>4.016</v>
      </c>
    </row>
    <row r="17" spans="1:99" s="3" customFormat="1" x14ac:dyDescent="0.35">
      <c r="A17" s="2" t="s">
        <v>92</v>
      </c>
      <c r="B17" s="2">
        <v>4.416666666666667</v>
      </c>
      <c r="C17" s="2" t="s">
        <v>168</v>
      </c>
      <c r="D17" s="2" t="s">
        <v>403</v>
      </c>
      <c r="F17" s="11" t="e">
        <v>#N/A</v>
      </c>
      <c r="G17" s="3" t="e">
        <v>#N/A</v>
      </c>
      <c r="H17" s="3">
        <v>4.0110000000000001</v>
      </c>
      <c r="I17" s="3">
        <v>3.2439999999999998</v>
      </c>
      <c r="K17" s="11" t="e">
        <v>#N/A</v>
      </c>
      <c r="L17" s="11" t="e">
        <v>#N/A</v>
      </c>
      <c r="M17" s="3">
        <v>3.734</v>
      </c>
      <c r="N17" s="3">
        <v>2.4830000000000005</v>
      </c>
      <c r="P17" s="11" t="e">
        <v>#N/A</v>
      </c>
      <c r="Q17" s="11" t="e">
        <v>#N/A</v>
      </c>
      <c r="R17" s="3">
        <v>0.79999995231628418</v>
      </c>
      <c r="S17" s="3">
        <v>1.1320001820567995</v>
      </c>
      <c r="U17" s="11" t="e">
        <v>#N/A</v>
      </c>
      <c r="V17" s="11" t="e">
        <v>#N/A</v>
      </c>
      <c r="W17" s="3">
        <v>3</v>
      </c>
      <c r="X17" s="3">
        <v>6</v>
      </c>
      <c r="Z17" s="11" t="e">
        <v>#N/A</v>
      </c>
      <c r="AA17" s="11" t="e">
        <v>#N/A</v>
      </c>
      <c r="AB17" s="3">
        <v>2.1850000000000005</v>
      </c>
      <c r="AC17" s="3">
        <v>1.85</v>
      </c>
      <c r="AE17" s="11" t="e">
        <v>#N/A</v>
      </c>
      <c r="AF17" s="11" t="e">
        <v>#N/A</v>
      </c>
      <c r="AG17" s="3">
        <v>0.79999995231628418</v>
      </c>
      <c r="AH17" s="3">
        <v>0.93200013437308371</v>
      </c>
      <c r="AJ17" s="11" t="e">
        <v>#N/A</v>
      </c>
      <c r="AK17" s="11" t="e">
        <v>#N/A</v>
      </c>
      <c r="AL17" s="3">
        <v>3</v>
      </c>
      <c r="AM17" s="3">
        <v>5</v>
      </c>
      <c r="AO17" s="11" t="e">
        <v>#N/A</v>
      </c>
      <c r="AP17" s="11" t="e">
        <v>#N/A</v>
      </c>
      <c r="AQ17" s="3">
        <v>11</v>
      </c>
      <c r="AR17" s="3">
        <v>8</v>
      </c>
      <c r="AT17" s="11" t="e">
        <v>#N/A</v>
      </c>
      <c r="AU17" s="11" t="e">
        <v>#N/A</v>
      </c>
      <c r="AV17" s="3">
        <v>1.1009999513626099</v>
      </c>
      <c r="AW17" s="3">
        <v>2.0000000949949026E-3</v>
      </c>
      <c r="AY17" s="11" t="e">
        <v>#N/A</v>
      </c>
      <c r="AZ17" s="11" t="e">
        <v>#N/A</v>
      </c>
      <c r="BA17" s="3">
        <v>0.28400000000000025</v>
      </c>
      <c r="BB17" s="3">
        <v>0.11599999999999999</v>
      </c>
      <c r="BD17" s="11" t="e">
        <v>#N/A</v>
      </c>
      <c r="BE17" s="11" t="e">
        <v>#N/A</v>
      </c>
      <c r="BF17" s="3">
        <v>0.13299989700317383</v>
      </c>
      <c r="BG17" s="3">
        <v>0</v>
      </c>
      <c r="BI17" s="11" t="e">
        <v>#N/A</v>
      </c>
      <c r="BJ17" s="11" t="e">
        <v>#N/A</v>
      </c>
      <c r="BK17" s="3">
        <v>1</v>
      </c>
      <c r="BL17" s="3">
        <v>0</v>
      </c>
      <c r="BN17" s="11" t="e">
        <v>#N/A</v>
      </c>
      <c r="BO17" s="11" t="e">
        <v>#N/A</v>
      </c>
      <c r="BP17" s="3">
        <v>9</v>
      </c>
      <c r="BQ17" s="3">
        <v>8</v>
      </c>
      <c r="BS17" s="11" t="e">
        <v>#N/A</v>
      </c>
      <c r="BT17" s="11" t="e">
        <v>#N/A</v>
      </c>
      <c r="BU17" s="3">
        <v>3.1180000305175781</v>
      </c>
      <c r="BV17" s="3">
        <v>4.01</v>
      </c>
      <c r="BX17" s="11" t="e">
        <v>#N/A</v>
      </c>
      <c r="BY17" s="11" t="e">
        <v>#N/A</v>
      </c>
      <c r="BZ17" s="3">
        <v>0.10099999999999998</v>
      </c>
      <c r="CA17" s="3">
        <v>0</v>
      </c>
      <c r="CC17" s="11" t="e">
        <v>#N/A</v>
      </c>
      <c r="CD17" s="11" t="e">
        <v>#N/A</v>
      </c>
      <c r="CE17" s="3">
        <v>0</v>
      </c>
      <c r="CF17" s="3">
        <v>0</v>
      </c>
      <c r="CH17" s="11" t="e">
        <v>#N/A</v>
      </c>
      <c r="CI17" s="11" t="e">
        <v>#N/A</v>
      </c>
      <c r="CJ17" s="3">
        <v>0</v>
      </c>
      <c r="CK17" s="3">
        <v>0</v>
      </c>
      <c r="CM17" s="11" t="e">
        <v>#N/A</v>
      </c>
      <c r="CN17" s="11" t="e">
        <v>#N/A</v>
      </c>
      <c r="CO17" s="3">
        <v>5</v>
      </c>
      <c r="CP17" s="3">
        <v>2</v>
      </c>
      <c r="CR17" s="11" t="e">
        <v>#N/A</v>
      </c>
      <c r="CS17" s="11" t="e">
        <v>#N/A</v>
      </c>
      <c r="CT17" s="3">
        <v>4.0110000000000001</v>
      </c>
      <c r="CU17" s="3">
        <v>4.01</v>
      </c>
    </row>
    <row r="18" spans="1:99" s="3" customFormat="1" x14ac:dyDescent="0.35">
      <c r="A18" s="2" t="s">
        <v>63</v>
      </c>
      <c r="B18" s="2">
        <v>4.5</v>
      </c>
      <c r="C18" s="2" t="s">
        <v>168</v>
      </c>
      <c r="D18" s="2" t="s">
        <v>403</v>
      </c>
      <c r="F18" s="3">
        <v>4.0250000000000004</v>
      </c>
      <c r="G18" s="3">
        <v>4.0069999999999997</v>
      </c>
      <c r="H18" s="3">
        <v>4.01</v>
      </c>
      <c r="I18" s="3">
        <v>4.0049999999999999</v>
      </c>
      <c r="K18" s="3">
        <v>3.9990000000000001</v>
      </c>
      <c r="L18" s="3">
        <v>3.8</v>
      </c>
      <c r="M18" s="3">
        <v>3.665</v>
      </c>
      <c r="N18" s="3">
        <v>3.9990000000000001</v>
      </c>
      <c r="P18" s="3">
        <v>3.6509998142719269</v>
      </c>
      <c r="Q18" s="3">
        <v>3.350999653339386</v>
      </c>
      <c r="R18" s="3">
        <v>3.1320000886917114</v>
      </c>
      <c r="S18" s="3">
        <v>3.5020000040531158</v>
      </c>
      <c r="U18" s="3">
        <v>10</v>
      </c>
      <c r="V18" s="3">
        <v>8</v>
      </c>
      <c r="W18" s="3">
        <v>6</v>
      </c>
      <c r="X18" s="3">
        <v>9</v>
      </c>
      <c r="Z18" s="3">
        <v>3.9990000000000001</v>
      </c>
      <c r="AA18" s="3">
        <v>3.617</v>
      </c>
      <c r="AB18" s="3">
        <v>3.665</v>
      </c>
      <c r="AC18" s="3">
        <v>3.6829999999999998</v>
      </c>
      <c r="AE18" s="3">
        <v>3.6509998142719269</v>
      </c>
      <c r="AF18" s="3">
        <v>3.350999653339386</v>
      </c>
      <c r="AG18" s="3">
        <v>3.1320000886917114</v>
      </c>
      <c r="AH18" s="3">
        <v>3.4019999802112579</v>
      </c>
      <c r="AJ18" s="3">
        <v>10</v>
      </c>
      <c r="AK18" s="3">
        <v>8</v>
      </c>
      <c r="AL18" s="3">
        <v>6</v>
      </c>
      <c r="AM18" s="3">
        <v>8</v>
      </c>
      <c r="AO18" s="3">
        <v>1</v>
      </c>
      <c r="AP18" s="3">
        <v>2</v>
      </c>
      <c r="AQ18" s="3">
        <v>1</v>
      </c>
      <c r="AR18" s="3">
        <v>2</v>
      </c>
      <c r="AT18" s="3">
        <v>0</v>
      </c>
      <c r="AU18" s="3">
        <v>0.12700000405311584</v>
      </c>
      <c r="AV18" s="3">
        <v>0.32899999618530273</v>
      </c>
      <c r="AW18" s="3">
        <v>0</v>
      </c>
      <c r="AY18" s="3">
        <v>1.266</v>
      </c>
      <c r="AZ18" s="3">
        <v>2</v>
      </c>
      <c r="BA18" s="3">
        <v>1.8489999999999998</v>
      </c>
      <c r="BB18" s="3">
        <v>2.9160000000000004</v>
      </c>
      <c r="BD18" s="3">
        <v>1.0169999599456787</v>
      </c>
      <c r="BE18" s="3">
        <v>1.8839998841285706</v>
      </c>
      <c r="BF18" s="3">
        <v>1.2160001993179321</v>
      </c>
      <c r="BG18" s="3">
        <v>2.8509999215602875</v>
      </c>
      <c r="BI18" s="3">
        <v>1</v>
      </c>
      <c r="BJ18" s="3">
        <v>4</v>
      </c>
      <c r="BK18" s="3">
        <v>3</v>
      </c>
      <c r="BL18" s="3">
        <v>6</v>
      </c>
      <c r="BN18" s="3">
        <v>2</v>
      </c>
      <c r="BO18" s="3">
        <v>3</v>
      </c>
      <c r="BP18" s="3">
        <v>4</v>
      </c>
      <c r="BQ18" s="3">
        <v>3</v>
      </c>
      <c r="BS18" s="3">
        <v>1.5329999923706055</v>
      </c>
      <c r="BT18" s="3">
        <v>0.64399999380111694</v>
      </c>
      <c r="BU18" s="3">
        <v>1.312000036239624</v>
      </c>
      <c r="BV18" s="3">
        <v>0.40000000596046448</v>
      </c>
      <c r="BX18" s="3">
        <v>0.58400000000000007</v>
      </c>
      <c r="BY18" s="3">
        <v>6.7000000000000171E-2</v>
      </c>
      <c r="BZ18" s="3">
        <v>0.16700000000000026</v>
      </c>
      <c r="CA18" s="3">
        <v>0</v>
      </c>
      <c r="CC18" s="3">
        <v>0.3670000433921814</v>
      </c>
      <c r="CD18" s="3">
        <v>0</v>
      </c>
      <c r="CE18" s="3">
        <v>0.11699986457824707</v>
      </c>
      <c r="CF18" s="3">
        <v>0</v>
      </c>
      <c r="CH18" s="3">
        <v>2</v>
      </c>
      <c r="CI18" s="3">
        <v>0</v>
      </c>
      <c r="CJ18" s="3">
        <v>1</v>
      </c>
      <c r="CK18" s="3">
        <v>0</v>
      </c>
      <c r="CM18" s="3">
        <v>2</v>
      </c>
      <c r="CN18" s="3">
        <v>3</v>
      </c>
      <c r="CO18" s="3">
        <v>3</v>
      </c>
      <c r="CP18" s="3">
        <v>0</v>
      </c>
      <c r="CR18" s="3">
        <v>0.98299998044967651</v>
      </c>
      <c r="CS18" s="3">
        <v>4.0069999999999997</v>
      </c>
      <c r="CT18" s="3">
        <v>2.5780000686645508</v>
      </c>
      <c r="CU18" s="3">
        <v>4.0049999999999999</v>
      </c>
    </row>
    <row r="19" spans="1:99" s="3" customFormat="1" x14ac:dyDescent="0.35">
      <c r="A19" s="2" t="s">
        <v>59</v>
      </c>
      <c r="B19" s="2">
        <v>4.583333333333333</v>
      </c>
      <c r="C19" s="2" t="s">
        <v>168</v>
      </c>
      <c r="D19" s="2" t="s">
        <v>403</v>
      </c>
      <c r="F19" s="3">
        <v>4.01</v>
      </c>
      <c r="G19" s="3" t="e">
        <v>#N/A</v>
      </c>
      <c r="H19" s="3" t="e">
        <v>#N/A</v>
      </c>
      <c r="I19" s="3">
        <v>4.0149999999999997</v>
      </c>
      <c r="K19" s="3">
        <v>3.6490000000000005</v>
      </c>
      <c r="L19" s="11" t="e">
        <v>#N/A</v>
      </c>
      <c r="M19" s="11" t="e">
        <v>#N/A</v>
      </c>
      <c r="N19" s="3">
        <v>3.9989999999999997</v>
      </c>
      <c r="P19" s="3">
        <v>3.4660000503063202</v>
      </c>
      <c r="Q19" s="11" t="e">
        <v>#N/A</v>
      </c>
      <c r="R19" s="11" t="e">
        <v>#N/A</v>
      </c>
      <c r="S19" s="3">
        <v>3.4690004391595721</v>
      </c>
      <c r="U19" s="3">
        <v>8</v>
      </c>
      <c r="V19" s="11" t="e">
        <v>#N/A</v>
      </c>
      <c r="W19" s="11" t="e">
        <v>#N/A</v>
      </c>
      <c r="X19" s="3">
        <v>14</v>
      </c>
      <c r="Z19" s="3">
        <v>3.6490000000000005</v>
      </c>
      <c r="AA19" s="11" t="e">
        <v>#N/A</v>
      </c>
      <c r="AB19" s="11" t="e">
        <v>#N/A</v>
      </c>
      <c r="AC19" s="3">
        <v>3.8659999999999997</v>
      </c>
      <c r="AE19" s="3">
        <v>3.4660000503063202</v>
      </c>
      <c r="AF19" s="11" t="e">
        <v>#N/A</v>
      </c>
      <c r="AG19" s="11" t="e">
        <v>#N/A</v>
      </c>
      <c r="AH19" s="3">
        <v>3.4690004391595721</v>
      </c>
      <c r="AJ19" s="3">
        <v>8</v>
      </c>
      <c r="AK19" s="11" t="e">
        <v>#N/A</v>
      </c>
      <c r="AL19" s="11" t="e">
        <v>#N/A</v>
      </c>
      <c r="AM19" s="3">
        <v>14</v>
      </c>
      <c r="AO19" s="3">
        <v>1</v>
      </c>
      <c r="AP19" s="11" t="e">
        <v>#N/A</v>
      </c>
      <c r="AQ19" s="11" t="e">
        <v>#N/A</v>
      </c>
      <c r="AR19" s="3">
        <v>2</v>
      </c>
      <c r="AT19" s="3">
        <v>0.36899998784065247</v>
      </c>
      <c r="AU19" s="11" t="e">
        <v>#N/A</v>
      </c>
      <c r="AV19" s="11" t="e">
        <v>#N/A</v>
      </c>
      <c r="AW19" s="3">
        <v>4.999999888241291E-3</v>
      </c>
      <c r="AY19" s="3">
        <v>0.28399999999999981</v>
      </c>
      <c r="AZ19" s="11" t="e">
        <v>#N/A</v>
      </c>
      <c r="BA19" s="11" t="e">
        <v>#N/A</v>
      </c>
      <c r="BB19" s="3">
        <v>0.83299999999999996</v>
      </c>
      <c r="BD19" s="3">
        <v>0.18299984931945801</v>
      </c>
      <c r="BE19" s="11" t="e">
        <v>#N/A</v>
      </c>
      <c r="BF19" s="11" t="e">
        <v>#N/A</v>
      </c>
      <c r="BG19" s="3">
        <v>0.8510001003742218</v>
      </c>
      <c r="BI19" s="3">
        <v>1</v>
      </c>
      <c r="BJ19" s="11" t="e">
        <v>#N/A</v>
      </c>
      <c r="BK19" s="11" t="e">
        <v>#N/A</v>
      </c>
      <c r="BL19" s="3">
        <v>3</v>
      </c>
      <c r="BN19" s="3">
        <v>3</v>
      </c>
      <c r="BO19" s="11" t="e">
        <v>#N/A</v>
      </c>
      <c r="BP19" s="11" t="e">
        <v>#N/A</v>
      </c>
      <c r="BQ19" s="3">
        <v>5</v>
      </c>
      <c r="BS19" s="3">
        <v>2.502000093460083</v>
      </c>
      <c r="BT19" s="11" t="e">
        <v>#N/A</v>
      </c>
      <c r="BU19" s="11" t="e">
        <v>#N/A</v>
      </c>
      <c r="BV19" s="3">
        <v>0.43799999356269836</v>
      </c>
      <c r="BX19" s="3">
        <v>1.3830000000000002</v>
      </c>
      <c r="BY19" s="11" t="e">
        <v>#N/A</v>
      </c>
      <c r="BZ19" s="11" t="e">
        <v>#N/A</v>
      </c>
      <c r="CA19" s="3">
        <v>0.71599999999999975</v>
      </c>
      <c r="CC19" s="3">
        <v>1.8159998655319214</v>
      </c>
      <c r="CD19" s="11" t="e">
        <v>#N/A</v>
      </c>
      <c r="CE19" s="11" t="e">
        <v>#N/A</v>
      </c>
      <c r="CF19" s="3">
        <v>0.98300027847290039</v>
      </c>
      <c r="CH19" s="3">
        <v>2</v>
      </c>
      <c r="CI19" s="11" t="e">
        <v>#N/A</v>
      </c>
      <c r="CJ19" s="11" t="e">
        <v>#N/A</v>
      </c>
      <c r="CK19" s="3">
        <v>3</v>
      </c>
      <c r="CM19" s="3">
        <v>2</v>
      </c>
      <c r="CN19" s="11" t="e">
        <v>#N/A</v>
      </c>
      <c r="CO19" s="11" t="e">
        <v>#N/A</v>
      </c>
      <c r="CP19" s="3">
        <v>2</v>
      </c>
      <c r="CR19" s="3">
        <v>0.98500001430511475</v>
      </c>
      <c r="CS19" s="11" t="e">
        <v>#N/A</v>
      </c>
      <c r="CT19" s="11" t="e">
        <v>#N/A</v>
      </c>
      <c r="CU19" s="3">
        <v>1.9210000038146973</v>
      </c>
    </row>
    <row r="20" spans="1:99" s="3" customFormat="1" x14ac:dyDescent="0.35">
      <c r="A20" s="2" t="s">
        <v>48</v>
      </c>
      <c r="B20" s="2">
        <v>4.833333333333333</v>
      </c>
      <c r="C20" s="2" t="s">
        <v>167</v>
      </c>
      <c r="D20" s="2" t="s">
        <v>403</v>
      </c>
      <c r="F20" s="3">
        <v>4.0049999999999999</v>
      </c>
      <c r="G20" s="3">
        <v>4.0030000000000001</v>
      </c>
      <c r="H20" s="3">
        <v>4.0410000000000004</v>
      </c>
      <c r="I20" s="3">
        <v>4.0359999999999996</v>
      </c>
      <c r="K20" s="3">
        <v>3.9819999999999998</v>
      </c>
      <c r="L20" s="3">
        <v>4</v>
      </c>
      <c r="M20" s="3">
        <v>3.4160000000000004</v>
      </c>
      <c r="N20" s="3">
        <v>3.133</v>
      </c>
      <c r="P20" s="3">
        <v>3.6150002172216773</v>
      </c>
      <c r="Q20" s="3">
        <v>3.5159998575691134</v>
      </c>
      <c r="R20" s="3">
        <v>3.4159997403621674</v>
      </c>
      <c r="S20" s="3">
        <v>3.0009996592998505</v>
      </c>
      <c r="U20" s="3">
        <v>7</v>
      </c>
      <c r="V20" s="3">
        <v>9</v>
      </c>
      <c r="W20" s="3">
        <v>9</v>
      </c>
      <c r="X20" s="3">
        <v>8</v>
      </c>
      <c r="Z20" s="3">
        <v>3.9819999999999998</v>
      </c>
      <c r="AA20" s="3">
        <v>3.766</v>
      </c>
      <c r="AB20" s="3">
        <v>3.4160000000000004</v>
      </c>
      <c r="AC20" s="3">
        <v>2.617</v>
      </c>
      <c r="AE20" s="3">
        <v>3.6150002172216773</v>
      </c>
      <c r="AF20" s="3">
        <v>3.3999998609069735</v>
      </c>
      <c r="AG20" s="3">
        <v>3.4159997403621674</v>
      </c>
      <c r="AH20" s="3">
        <v>2.4849998652935028</v>
      </c>
      <c r="AJ20" s="3">
        <v>7</v>
      </c>
      <c r="AK20" s="3">
        <v>8</v>
      </c>
      <c r="AL20" s="3">
        <v>9</v>
      </c>
      <c r="AM20" s="3">
        <v>7</v>
      </c>
      <c r="AO20" s="3">
        <v>1</v>
      </c>
      <c r="AP20" s="3">
        <v>3</v>
      </c>
      <c r="AQ20" s="3">
        <v>2</v>
      </c>
      <c r="AR20" s="3">
        <v>3</v>
      </c>
      <c r="AT20" s="3">
        <v>7.0000002160668373E-3</v>
      </c>
      <c r="AU20" s="3">
        <v>2.0000000949949026E-3</v>
      </c>
      <c r="AV20" s="3">
        <v>0.48899999260902405</v>
      </c>
      <c r="AW20" s="3">
        <v>0.3449999988079071</v>
      </c>
      <c r="AY20" s="3">
        <v>0</v>
      </c>
      <c r="AZ20" s="3">
        <v>1.6999999999999904E-2</v>
      </c>
      <c r="BA20" s="3">
        <v>0</v>
      </c>
      <c r="BB20" s="3">
        <v>0</v>
      </c>
      <c r="BD20" s="3">
        <v>0</v>
      </c>
      <c r="BE20" s="3">
        <v>0</v>
      </c>
      <c r="BF20" s="3">
        <v>0</v>
      </c>
      <c r="BG20" s="3">
        <v>0</v>
      </c>
      <c r="BI20" s="3">
        <v>0</v>
      </c>
      <c r="BJ20" s="3">
        <v>0</v>
      </c>
      <c r="BK20" s="3">
        <v>0</v>
      </c>
      <c r="BL20" s="3">
        <v>0</v>
      </c>
      <c r="BN20" s="3">
        <v>0</v>
      </c>
      <c r="BO20" s="3">
        <v>1</v>
      </c>
      <c r="BP20" s="3">
        <v>0</v>
      </c>
      <c r="BQ20" s="3">
        <v>1</v>
      </c>
      <c r="BS20" s="3">
        <v>4.0049999999999999</v>
      </c>
      <c r="BT20" s="3">
        <v>4.0030000000000001</v>
      </c>
      <c r="BU20" s="3">
        <v>4.0410000000000004</v>
      </c>
      <c r="BV20" s="3">
        <v>4.0359999999999996</v>
      </c>
      <c r="BX20" s="3">
        <v>2</v>
      </c>
      <c r="BY20" s="3">
        <v>2.5830000000000002</v>
      </c>
      <c r="BZ20" s="3">
        <v>1.8490000000000006</v>
      </c>
      <c r="CA20" s="3">
        <v>0.28399999999999981</v>
      </c>
      <c r="CC20" s="3">
        <v>1.9660000801086426</v>
      </c>
      <c r="CD20" s="3">
        <v>2.6170001029968262</v>
      </c>
      <c r="CE20" s="3">
        <v>1.8659997582435608</v>
      </c>
      <c r="CF20" s="3">
        <v>0.3339998722076416</v>
      </c>
      <c r="CH20" s="3">
        <v>4</v>
      </c>
      <c r="CI20" s="3">
        <v>5</v>
      </c>
      <c r="CJ20" s="3">
        <v>4</v>
      </c>
      <c r="CK20" s="3">
        <v>1</v>
      </c>
      <c r="CM20" s="3">
        <v>3</v>
      </c>
      <c r="CN20" s="3">
        <v>4</v>
      </c>
      <c r="CO20" s="3">
        <v>4</v>
      </c>
      <c r="CP20" s="3">
        <v>1</v>
      </c>
      <c r="CR20" s="3">
        <v>1.2389999628067017</v>
      </c>
      <c r="CS20" s="3">
        <v>0.35199999809265137</v>
      </c>
      <c r="CT20" s="3">
        <v>0.68800002336502075</v>
      </c>
      <c r="CU20" s="3">
        <v>2.128000020980835</v>
      </c>
    </row>
    <row r="21" spans="1:99" s="3" customFormat="1" x14ac:dyDescent="0.35">
      <c r="A21" s="2" t="s">
        <v>13</v>
      </c>
      <c r="B21" s="2">
        <v>5</v>
      </c>
      <c r="C21" s="2" t="s">
        <v>168</v>
      </c>
      <c r="D21" s="2" t="s">
        <v>403</v>
      </c>
      <c r="F21" s="11" t="e">
        <v>#N/A</v>
      </c>
      <c r="G21" s="3" t="e">
        <v>#N/A</v>
      </c>
      <c r="H21" s="3">
        <v>4.016</v>
      </c>
      <c r="I21" s="11" t="e">
        <v>#N/A</v>
      </c>
      <c r="K21" s="11" t="e">
        <v>#N/A</v>
      </c>
      <c r="L21" s="3">
        <v>2.4160000000000004</v>
      </c>
      <c r="M21" s="3">
        <v>3.6320000000000001</v>
      </c>
      <c r="N21" s="11" t="e">
        <v>#N/A</v>
      </c>
      <c r="P21" s="11" t="e">
        <v>#N/A</v>
      </c>
      <c r="Q21" s="3">
        <v>2.0159996747970581</v>
      </c>
      <c r="R21" s="3">
        <v>3.4329996705055237</v>
      </c>
      <c r="S21" s="11" t="e">
        <v>#N/A</v>
      </c>
      <c r="U21" s="11" t="e">
        <v>#N/A</v>
      </c>
      <c r="V21" s="3">
        <v>6</v>
      </c>
      <c r="W21" s="3">
        <v>8</v>
      </c>
      <c r="X21" s="11" t="e">
        <v>#N/A</v>
      </c>
      <c r="Z21" s="11" t="e">
        <v>#N/A</v>
      </c>
      <c r="AA21" s="3">
        <v>2.4160000000000004</v>
      </c>
      <c r="AB21" s="3">
        <v>3.6320000000000001</v>
      </c>
      <c r="AC21" s="11" t="e">
        <v>#N/A</v>
      </c>
      <c r="AE21" s="11" t="e">
        <v>#N/A</v>
      </c>
      <c r="AF21" s="3">
        <v>2.0159996747970581</v>
      </c>
      <c r="AG21" s="3">
        <v>3.4329996705055237</v>
      </c>
      <c r="AH21" s="11" t="e">
        <v>#N/A</v>
      </c>
      <c r="AJ21" s="11" t="e">
        <v>#N/A</v>
      </c>
      <c r="AK21" s="3">
        <v>6</v>
      </c>
      <c r="AL21" s="3">
        <v>8</v>
      </c>
      <c r="AM21" s="11" t="e">
        <v>#N/A</v>
      </c>
      <c r="AO21" s="11" t="e">
        <v>#N/A</v>
      </c>
      <c r="AP21" s="3">
        <v>2</v>
      </c>
      <c r="AQ21" s="3">
        <v>1</v>
      </c>
      <c r="AR21" s="11" t="e">
        <v>#N/A</v>
      </c>
      <c r="AT21" s="11" t="e">
        <v>#N/A</v>
      </c>
      <c r="AU21" s="3">
        <v>0.49900001287460327</v>
      </c>
      <c r="AV21" s="3">
        <v>0.43500000238418579</v>
      </c>
      <c r="AW21" s="11" t="e">
        <v>#N/A</v>
      </c>
      <c r="AY21" s="11" t="e">
        <v>#N/A</v>
      </c>
      <c r="AZ21" s="3">
        <v>1.133</v>
      </c>
      <c r="BA21" s="3">
        <v>0.94900000000000007</v>
      </c>
      <c r="BB21" s="11" t="e">
        <v>#N/A</v>
      </c>
      <c r="BD21" s="11" t="e">
        <v>#N/A</v>
      </c>
      <c r="BE21" s="3">
        <v>1.5159998536109924</v>
      </c>
      <c r="BF21" s="3">
        <v>1.399999737739563</v>
      </c>
      <c r="BG21" s="11" t="e">
        <v>#N/A</v>
      </c>
      <c r="BI21" s="11" t="e">
        <v>#N/A</v>
      </c>
      <c r="BJ21" s="3">
        <v>4</v>
      </c>
      <c r="BK21" s="3">
        <v>3</v>
      </c>
      <c r="BL21" s="11" t="e">
        <v>#N/A</v>
      </c>
      <c r="BN21" s="11" t="e">
        <v>#N/A</v>
      </c>
      <c r="BO21" s="3">
        <v>2</v>
      </c>
      <c r="BP21" s="3">
        <v>3</v>
      </c>
      <c r="BQ21" s="11" t="e">
        <v>#N/A</v>
      </c>
      <c r="BS21" s="11" t="e">
        <v>#N/A</v>
      </c>
      <c r="BT21" s="3">
        <v>0.86599999666213989</v>
      </c>
      <c r="BU21" s="3">
        <v>1.1180000305175781</v>
      </c>
      <c r="BV21" s="11" t="e">
        <v>#N/A</v>
      </c>
      <c r="BX21" s="11" t="e">
        <v>#N/A</v>
      </c>
      <c r="BY21" s="3">
        <v>3.2999999999999974E-2</v>
      </c>
      <c r="BZ21" s="3">
        <v>4.9999999999999989E-2</v>
      </c>
      <c r="CA21" s="11" t="e">
        <v>#N/A</v>
      </c>
      <c r="CC21" s="11" t="e">
        <v>#N/A</v>
      </c>
      <c r="CD21" s="3">
        <v>0</v>
      </c>
      <c r="CE21" s="3">
        <v>0</v>
      </c>
      <c r="CF21" s="11" t="e">
        <v>#N/A</v>
      </c>
      <c r="CH21" s="11" t="e">
        <v>#N/A</v>
      </c>
      <c r="CI21" s="3">
        <v>0</v>
      </c>
      <c r="CJ21" s="3">
        <v>0</v>
      </c>
      <c r="CK21" s="11" t="e">
        <v>#N/A</v>
      </c>
      <c r="CM21" s="11" t="e">
        <v>#N/A</v>
      </c>
      <c r="CN21" s="3">
        <v>1</v>
      </c>
      <c r="CO21" s="3">
        <v>1</v>
      </c>
      <c r="CP21" s="11" t="e">
        <v>#N/A</v>
      </c>
      <c r="CR21" s="11" t="e">
        <v>#N/A</v>
      </c>
      <c r="CS21" s="3">
        <v>4.0149999999999997</v>
      </c>
      <c r="CT21" s="3">
        <v>4.016</v>
      </c>
      <c r="CU21" s="11" t="e">
        <v>#N/A</v>
      </c>
    </row>
    <row r="22" spans="1:99" s="3" customFormat="1" x14ac:dyDescent="0.35">
      <c r="A22" s="2" t="s">
        <v>37</v>
      </c>
      <c r="B22" s="2">
        <v>5.083333333333333</v>
      </c>
      <c r="C22" s="2" t="s">
        <v>168</v>
      </c>
      <c r="D22" s="2" t="s">
        <v>403</v>
      </c>
      <c r="F22" s="3">
        <v>4.0259999999999998</v>
      </c>
      <c r="G22" s="3">
        <v>4.0149999999999997</v>
      </c>
      <c r="H22" s="3">
        <v>4.0069999999999997</v>
      </c>
      <c r="I22" s="3">
        <v>4.0039999999999996</v>
      </c>
      <c r="K22" s="3">
        <v>4.016</v>
      </c>
      <c r="L22" s="3">
        <v>3.9990000000000001</v>
      </c>
      <c r="M22" s="3">
        <v>3.9329999999999998</v>
      </c>
      <c r="N22" s="3">
        <v>3.516</v>
      </c>
      <c r="P22" s="3">
        <v>2.6160001158714294</v>
      </c>
      <c r="Q22" s="3">
        <v>3.7360002269269899</v>
      </c>
      <c r="R22" s="3">
        <v>3.7010000427253544</v>
      </c>
      <c r="S22" s="3">
        <v>2.5999996662139893</v>
      </c>
      <c r="U22" s="3">
        <v>8</v>
      </c>
      <c r="V22" s="3">
        <v>9</v>
      </c>
      <c r="W22" s="3">
        <v>9</v>
      </c>
      <c r="X22" s="3">
        <v>8</v>
      </c>
      <c r="Z22" s="3">
        <v>3.5660000000000007</v>
      </c>
      <c r="AA22" s="3">
        <v>3.9990000000000001</v>
      </c>
      <c r="AB22" s="3">
        <v>3.9329999999999998</v>
      </c>
      <c r="AC22" s="3">
        <v>2.2670000000000003</v>
      </c>
      <c r="AE22" s="3">
        <v>2.2660000920295715</v>
      </c>
      <c r="AF22" s="3">
        <v>3.7360002269269899</v>
      </c>
      <c r="AG22" s="3">
        <v>3.7010000427253544</v>
      </c>
      <c r="AH22" s="3">
        <v>1.6669998168945313</v>
      </c>
      <c r="AJ22" s="3">
        <v>7</v>
      </c>
      <c r="AK22" s="3">
        <v>9</v>
      </c>
      <c r="AL22" s="3">
        <v>9</v>
      </c>
      <c r="AM22" s="3">
        <v>7</v>
      </c>
      <c r="AO22" s="3">
        <v>2</v>
      </c>
      <c r="AP22" s="3">
        <v>1</v>
      </c>
      <c r="AQ22" s="3">
        <v>1</v>
      </c>
      <c r="AR22" s="3">
        <v>4</v>
      </c>
      <c r="AT22" s="3">
        <v>0.5339999794960022</v>
      </c>
      <c r="AU22" s="3">
        <v>1.0000000474974513E-3</v>
      </c>
      <c r="AV22" s="3">
        <v>4.0000001899898052E-3</v>
      </c>
      <c r="AW22" s="3">
        <v>0.50400000810623169</v>
      </c>
      <c r="AY22" s="3">
        <v>0.80100000000000038</v>
      </c>
      <c r="AZ22" s="3">
        <v>1.3339999999999996</v>
      </c>
      <c r="BA22" s="3">
        <v>1.6160000000000001</v>
      </c>
      <c r="BB22" s="3">
        <v>0.65100000000000013</v>
      </c>
      <c r="BD22" s="3">
        <v>0.84900009632110596</v>
      </c>
      <c r="BE22" s="3">
        <v>2.3180000056745484</v>
      </c>
      <c r="BF22" s="3">
        <v>1.749000072479248</v>
      </c>
      <c r="BG22" s="3">
        <v>0.59999996423721313</v>
      </c>
      <c r="BI22" s="3">
        <v>4</v>
      </c>
      <c r="BJ22" s="3">
        <v>5</v>
      </c>
      <c r="BK22" s="3">
        <v>3</v>
      </c>
      <c r="BL22" s="3">
        <v>2</v>
      </c>
      <c r="BN22" s="3">
        <v>7</v>
      </c>
      <c r="BO22" s="3">
        <v>6</v>
      </c>
      <c r="BP22" s="3">
        <v>3</v>
      </c>
      <c r="BQ22" s="3">
        <v>4</v>
      </c>
      <c r="BS22" s="3">
        <v>1.284000039100647</v>
      </c>
      <c r="BT22" s="3">
        <v>1.0000000474974513E-3</v>
      </c>
      <c r="BU22" s="3">
        <v>0.72000002861022949</v>
      </c>
      <c r="BV22" s="3">
        <v>0.50400000810623169</v>
      </c>
      <c r="BX22" s="3">
        <v>6.6000000000000003E-2</v>
      </c>
      <c r="BY22" s="3">
        <v>0</v>
      </c>
      <c r="BZ22" s="3">
        <v>0.36599999999999988</v>
      </c>
      <c r="CA22" s="3">
        <v>0.36699999999999999</v>
      </c>
      <c r="CC22" s="3">
        <v>0</v>
      </c>
      <c r="CD22" s="3">
        <v>0</v>
      </c>
      <c r="CE22" s="3">
        <v>0.43400001525878906</v>
      </c>
      <c r="CF22" s="3">
        <v>0.43299996852874756</v>
      </c>
      <c r="CH22" s="3">
        <v>0</v>
      </c>
      <c r="CI22" s="3">
        <v>0</v>
      </c>
      <c r="CJ22" s="3">
        <v>2</v>
      </c>
      <c r="CK22" s="3">
        <v>2</v>
      </c>
      <c r="CM22" s="3">
        <v>1</v>
      </c>
      <c r="CN22" s="3">
        <v>0</v>
      </c>
      <c r="CO22" s="3">
        <v>2</v>
      </c>
      <c r="CP22" s="3">
        <v>3</v>
      </c>
      <c r="CR22" s="3">
        <v>4.0259999999999998</v>
      </c>
      <c r="CS22" s="3">
        <v>4.0149999999999997</v>
      </c>
      <c r="CT22" s="3">
        <v>1.6369999647140503</v>
      </c>
      <c r="CU22" s="3">
        <v>1.5379999876022339</v>
      </c>
    </row>
    <row r="23" spans="1:99" s="3" customFormat="1" x14ac:dyDescent="0.35">
      <c r="A23" s="2" t="s">
        <v>49</v>
      </c>
      <c r="B23" s="2">
        <v>5.083333333333333</v>
      </c>
      <c r="C23" s="2" t="s">
        <v>168</v>
      </c>
      <c r="D23" s="2" t="s">
        <v>403</v>
      </c>
      <c r="F23" s="3">
        <v>4.016</v>
      </c>
      <c r="G23" s="3">
        <v>4.016</v>
      </c>
      <c r="H23" s="3">
        <v>4.016</v>
      </c>
      <c r="I23" s="3">
        <v>4.0149999999999997</v>
      </c>
      <c r="K23" s="3">
        <v>3.5489999999999999</v>
      </c>
      <c r="L23" s="3">
        <v>3.9990000000000001</v>
      </c>
      <c r="M23" s="3">
        <v>3.9990000000000001</v>
      </c>
      <c r="N23" s="3">
        <v>3.649</v>
      </c>
      <c r="P23" s="3">
        <v>3.1330000162124634</v>
      </c>
      <c r="Q23" s="3">
        <v>3.7990000667050481</v>
      </c>
      <c r="R23" s="3">
        <v>3.8809998035430908</v>
      </c>
      <c r="S23" s="3">
        <v>3.3309995830059052</v>
      </c>
      <c r="U23" s="3">
        <v>10</v>
      </c>
      <c r="V23" s="3">
        <v>13</v>
      </c>
      <c r="W23" s="3">
        <v>8</v>
      </c>
      <c r="X23" s="3">
        <v>9</v>
      </c>
      <c r="Z23" s="3">
        <v>2.9000000000000004</v>
      </c>
      <c r="AA23" s="3">
        <v>3.9990000000000001</v>
      </c>
      <c r="AB23" s="3">
        <v>3.9990000000000001</v>
      </c>
      <c r="AC23" s="3">
        <v>2.9829999999999997</v>
      </c>
      <c r="AE23" s="3">
        <v>2.6500000357627869</v>
      </c>
      <c r="AF23" s="3">
        <v>3.7990000667050481</v>
      </c>
      <c r="AG23" s="3">
        <v>3.8809998035430908</v>
      </c>
      <c r="AH23" s="3">
        <v>2.6319997012615204</v>
      </c>
      <c r="AJ23" s="3">
        <v>8</v>
      </c>
      <c r="AK23" s="3">
        <v>13</v>
      </c>
      <c r="AL23" s="3">
        <v>8</v>
      </c>
      <c r="AM23" s="3">
        <v>7</v>
      </c>
      <c r="AO23" s="3">
        <v>4</v>
      </c>
      <c r="AP23" s="3">
        <v>1</v>
      </c>
      <c r="AQ23" s="3">
        <v>1</v>
      </c>
      <c r="AR23" s="3">
        <v>3</v>
      </c>
      <c r="AT23" s="3">
        <v>0.51599997282028198</v>
      </c>
      <c r="AU23" s="3">
        <v>6.0000000521540642E-3</v>
      </c>
      <c r="AV23" s="3">
        <v>0</v>
      </c>
      <c r="AW23" s="3">
        <v>0.39500001072883606</v>
      </c>
      <c r="AY23" s="3">
        <v>0.71600000000000019</v>
      </c>
      <c r="AZ23" s="3">
        <v>0.18400000000000016</v>
      </c>
      <c r="BA23" s="3">
        <v>3.300000000000014E-2</v>
      </c>
      <c r="BB23" s="3">
        <v>0</v>
      </c>
      <c r="BD23" s="3">
        <v>0.15000009536743164</v>
      </c>
      <c r="BE23" s="3">
        <v>0.15000009536743164</v>
      </c>
      <c r="BF23" s="3">
        <v>0</v>
      </c>
      <c r="BG23" s="3">
        <v>0</v>
      </c>
      <c r="BI23" s="3">
        <v>1</v>
      </c>
      <c r="BJ23" s="3">
        <v>1</v>
      </c>
      <c r="BK23" s="3">
        <v>0</v>
      </c>
      <c r="BL23" s="3">
        <v>0</v>
      </c>
      <c r="BN23" s="3">
        <v>4</v>
      </c>
      <c r="BO23" s="3">
        <v>1</v>
      </c>
      <c r="BP23" s="3">
        <v>1</v>
      </c>
      <c r="BQ23" s="3">
        <v>0</v>
      </c>
      <c r="BS23" s="3">
        <v>3.8489999771118164</v>
      </c>
      <c r="BT23" s="3">
        <v>1.3049999475479126</v>
      </c>
      <c r="BU23" s="3">
        <v>4.016</v>
      </c>
      <c r="BV23" s="3">
        <v>4.0149999999999997</v>
      </c>
      <c r="BX23" s="3">
        <v>0.61800000000000044</v>
      </c>
      <c r="BY23" s="3">
        <v>1.3659999999999997</v>
      </c>
      <c r="BZ23" s="3">
        <v>1.25</v>
      </c>
      <c r="CA23" s="3">
        <v>0.5169999999999999</v>
      </c>
      <c r="CC23" s="3">
        <v>0.9159998893737793</v>
      </c>
      <c r="CD23" s="3">
        <v>1.7659997763112187</v>
      </c>
      <c r="CE23" s="3">
        <v>1.3990000784397125</v>
      </c>
      <c r="CF23" s="3">
        <v>0.10000014305114746</v>
      </c>
      <c r="CH23" s="3">
        <v>1</v>
      </c>
      <c r="CI23" s="3">
        <v>6</v>
      </c>
      <c r="CJ23" s="3">
        <v>2</v>
      </c>
      <c r="CK23" s="3">
        <v>1</v>
      </c>
      <c r="CM23" s="3">
        <v>5</v>
      </c>
      <c r="CN23" s="3">
        <v>6</v>
      </c>
      <c r="CO23" s="3">
        <v>2</v>
      </c>
      <c r="CP23" s="3">
        <v>5</v>
      </c>
      <c r="CR23" s="3">
        <v>2.6830000877380371</v>
      </c>
      <c r="CS23" s="3">
        <v>6.0000000521540642E-3</v>
      </c>
      <c r="CT23" s="3">
        <v>0</v>
      </c>
      <c r="CU23" s="3">
        <v>2.9609999656677246</v>
      </c>
    </row>
    <row r="24" spans="1:99" s="3" customFormat="1" x14ac:dyDescent="0.35">
      <c r="A24" s="2" t="s">
        <v>35</v>
      </c>
      <c r="B24" s="2">
        <v>5.166666666666667</v>
      </c>
      <c r="C24" s="2" t="s">
        <v>167</v>
      </c>
      <c r="D24" s="2" t="s">
        <v>403</v>
      </c>
      <c r="F24" s="3" t="e">
        <v>#N/A</v>
      </c>
      <c r="G24" s="3">
        <v>4.0279999999999996</v>
      </c>
      <c r="H24" s="3" t="e">
        <v>#N/A</v>
      </c>
      <c r="I24" s="3" t="e">
        <v>#N/A</v>
      </c>
      <c r="K24" s="3">
        <v>2.2320000000000002</v>
      </c>
      <c r="L24" s="3">
        <v>3.9990000000000001</v>
      </c>
      <c r="M24" s="3">
        <v>2.7490000000000006</v>
      </c>
      <c r="N24" s="3">
        <v>2.0829999999999997</v>
      </c>
      <c r="P24" s="3">
        <v>2.0979998065158725</v>
      </c>
      <c r="Q24" s="3">
        <v>3.5969999749213457</v>
      </c>
      <c r="R24" s="3">
        <v>2.2989998906850815</v>
      </c>
      <c r="S24" s="3">
        <v>1.0329999327659607</v>
      </c>
      <c r="U24" s="3">
        <v>4</v>
      </c>
      <c r="V24" s="3">
        <v>7</v>
      </c>
      <c r="W24" s="3">
        <v>8</v>
      </c>
      <c r="X24" s="3">
        <v>3</v>
      </c>
      <c r="Z24" s="3">
        <v>2.2160000000000002</v>
      </c>
      <c r="AA24" s="3">
        <v>3.9990000000000001</v>
      </c>
      <c r="AB24" s="3">
        <v>2.649</v>
      </c>
      <c r="AC24" s="3">
        <v>1.7499999999999996</v>
      </c>
      <c r="AE24" s="3">
        <v>2.0979998065158725</v>
      </c>
      <c r="AF24" s="3">
        <v>3.5969999749213457</v>
      </c>
      <c r="AG24" s="3">
        <v>2.2989998906850815</v>
      </c>
      <c r="AH24" s="3">
        <v>1.0329999327659607</v>
      </c>
      <c r="AJ24" s="3">
        <v>4</v>
      </c>
      <c r="AK24" s="3">
        <v>7</v>
      </c>
      <c r="AL24" s="3">
        <v>8</v>
      </c>
      <c r="AM24" s="3">
        <v>3</v>
      </c>
      <c r="AO24" s="3">
        <v>2</v>
      </c>
      <c r="AP24" s="3">
        <v>1</v>
      </c>
      <c r="AQ24" s="3">
        <v>2</v>
      </c>
      <c r="AR24" s="3">
        <v>2</v>
      </c>
      <c r="AT24" s="3">
        <v>4.999999888241291E-3</v>
      </c>
      <c r="AU24" s="3">
        <v>2.3000000044703484E-2</v>
      </c>
      <c r="AV24" s="3">
        <v>0.2460000067949295</v>
      </c>
      <c r="AW24" s="3">
        <v>0.92500001192092896</v>
      </c>
      <c r="AY24" s="3">
        <v>0.48299999999999998</v>
      </c>
      <c r="AZ24" s="3">
        <v>2.9820000000000007</v>
      </c>
      <c r="BA24" s="3">
        <v>1.2160000000000006</v>
      </c>
      <c r="BB24" s="3">
        <v>8.2999999999999741E-2</v>
      </c>
      <c r="BD24" s="3">
        <v>0.83199995756149292</v>
      </c>
      <c r="BE24" s="3">
        <v>3.01500004529953</v>
      </c>
      <c r="BF24" s="3">
        <v>1.0819997191429138</v>
      </c>
      <c r="BG24" s="3">
        <v>0</v>
      </c>
      <c r="BI24" s="3">
        <v>2</v>
      </c>
      <c r="BJ24" s="3">
        <v>5</v>
      </c>
      <c r="BK24" s="3">
        <v>4</v>
      </c>
      <c r="BL24" s="3">
        <v>0</v>
      </c>
      <c r="BN24" s="3">
        <v>2</v>
      </c>
      <c r="BO24" s="3">
        <v>3</v>
      </c>
      <c r="BP24" s="3">
        <v>4</v>
      </c>
      <c r="BQ24" s="3">
        <v>1</v>
      </c>
      <c r="BS24" s="3">
        <v>0.60500001907348633</v>
      </c>
      <c r="BT24" s="3">
        <v>0.50599998235702515</v>
      </c>
      <c r="BU24" s="3">
        <v>0.76200002431869507</v>
      </c>
      <c r="BV24" s="3">
        <v>4.0110000000000001</v>
      </c>
      <c r="BX24" s="3">
        <v>0</v>
      </c>
      <c r="BY24" s="3">
        <v>0.11599999999999988</v>
      </c>
      <c r="BZ24" s="3">
        <v>0</v>
      </c>
      <c r="CA24" s="3">
        <v>1.6999999999999904E-2</v>
      </c>
      <c r="CC24" s="3">
        <v>0</v>
      </c>
      <c r="CD24" s="3">
        <v>0.11599993705749512</v>
      </c>
      <c r="CE24" s="3">
        <v>0</v>
      </c>
      <c r="CF24" s="3">
        <v>0</v>
      </c>
      <c r="CH24" s="3">
        <v>0</v>
      </c>
      <c r="CI24" s="3">
        <v>1</v>
      </c>
      <c r="CJ24" s="3">
        <v>0</v>
      </c>
      <c r="CK24" s="3">
        <v>0</v>
      </c>
      <c r="CM24" s="3">
        <v>0</v>
      </c>
      <c r="CN24" s="3">
        <v>1</v>
      </c>
      <c r="CO24" s="3">
        <v>0</v>
      </c>
      <c r="CP24" s="3">
        <v>2</v>
      </c>
      <c r="CR24" s="3">
        <v>4.0259999999999998</v>
      </c>
      <c r="CS24" s="3">
        <v>1.406000018119812</v>
      </c>
      <c r="CT24" s="3">
        <v>4.0090000000000003</v>
      </c>
      <c r="CU24" s="3">
        <v>4.0110000000000001</v>
      </c>
    </row>
    <row r="25" spans="1:99" s="3" customFormat="1" x14ac:dyDescent="0.35">
      <c r="A25" s="2" t="s">
        <v>19</v>
      </c>
      <c r="B25" s="2">
        <v>5.25</v>
      </c>
      <c r="C25" s="2" t="s">
        <v>168</v>
      </c>
      <c r="D25" s="2" t="s">
        <v>403</v>
      </c>
      <c r="F25" s="3">
        <v>4.016</v>
      </c>
      <c r="G25" s="3">
        <v>3.0939999999999999</v>
      </c>
      <c r="H25" s="3">
        <v>4.016</v>
      </c>
      <c r="I25" s="3">
        <v>4.016</v>
      </c>
      <c r="K25" s="3">
        <v>3.9989999999999997</v>
      </c>
      <c r="L25" s="3">
        <v>3.0819999999999999</v>
      </c>
      <c r="M25" s="3">
        <v>3.9990000000000001</v>
      </c>
      <c r="N25" s="3">
        <v>3.5489999999999999</v>
      </c>
      <c r="P25" s="3">
        <v>0.76700001955032349</v>
      </c>
      <c r="Q25" s="3">
        <v>0.7000001072883606</v>
      </c>
      <c r="R25" s="3">
        <v>0.25</v>
      </c>
      <c r="S25" s="3">
        <v>0.59999978542327881</v>
      </c>
      <c r="U25" s="3">
        <v>5</v>
      </c>
      <c r="V25" s="3">
        <v>6</v>
      </c>
      <c r="W25" s="3">
        <v>2</v>
      </c>
      <c r="X25" s="3">
        <v>5</v>
      </c>
      <c r="Z25" s="3">
        <v>2.2679999999999998</v>
      </c>
      <c r="AA25" s="3">
        <v>1.8820000000000001</v>
      </c>
      <c r="AB25" s="3">
        <v>1.766</v>
      </c>
      <c r="AC25" s="3">
        <v>2.5829999999999993</v>
      </c>
      <c r="AE25" s="3">
        <v>0.76700001955032349</v>
      </c>
      <c r="AF25" s="3">
        <v>0.58399993181228638</v>
      </c>
      <c r="AG25" s="3">
        <v>0.14999985694885254</v>
      </c>
      <c r="AH25" s="3">
        <v>0.46699988842010498</v>
      </c>
      <c r="AJ25" s="3">
        <v>5</v>
      </c>
      <c r="AK25" s="3">
        <v>5</v>
      </c>
      <c r="AL25" s="3">
        <v>1</v>
      </c>
      <c r="AM25" s="3">
        <v>4</v>
      </c>
      <c r="AO25" s="3">
        <v>28</v>
      </c>
      <c r="AP25" s="3">
        <v>7</v>
      </c>
      <c r="AQ25" s="3">
        <v>15</v>
      </c>
      <c r="AR25" s="3">
        <v>8</v>
      </c>
      <c r="AT25" s="3">
        <v>0.29899999499320984</v>
      </c>
      <c r="AU25" s="3">
        <v>0.52899998426437378</v>
      </c>
      <c r="AV25" s="3">
        <v>2.2890000343322754</v>
      </c>
      <c r="AW25" s="3">
        <v>1.3270000219345093</v>
      </c>
      <c r="AY25" s="3">
        <v>0.31699999999999984</v>
      </c>
      <c r="AZ25" s="3">
        <v>0.28199999999999986</v>
      </c>
      <c r="BA25" s="3">
        <v>4.8999999999999821E-2</v>
      </c>
      <c r="BB25" s="3">
        <v>0.45100000000000018</v>
      </c>
      <c r="BD25" s="3">
        <v>0.16699999570846558</v>
      </c>
      <c r="BE25" s="3">
        <v>0.11599999666213989</v>
      </c>
      <c r="BF25" s="3">
        <v>0</v>
      </c>
      <c r="BG25" s="3">
        <v>0.36699998378753662</v>
      </c>
      <c r="BI25" s="3">
        <v>1</v>
      </c>
      <c r="BJ25" s="3">
        <v>1</v>
      </c>
      <c r="BK25" s="3">
        <v>0</v>
      </c>
      <c r="BL25" s="3">
        <v>3</v>
      </c>
      <c r="BN25" s="3">
        <v>15</v>
      </c>
      <c r="BO25" s="3">
        <v>15</v>
      </c>
      <c r="BP25" s="3">
        <v>6</v>
      </c>
      <c r="BQ25" s="3">
        <v>13</v>
      </c>
      <c r="BS25" s="3">
        <v>0.29899999499320984</v>
      </c>
      <c r="BT25" s="3">
        <v>0.52899998426437378</v>
      </c>
      <c r="BU25" s="3">
        <v>4.016</v>
      </c>
      <c r="BV25" s="3">
        <v>1.3270000219345093</v>
      </c>
      <c r="BX25" s="3">
        <v>1.6000000000000014E-2</v>
      </c>
      <c r="BY25" s="3">
        <v>0</v>
      </c>
      <c r="BZ25" s="3">
        <v>0</v>
      </c>
      <c r="CA25" s="3">
        <v>8.3000000000000185E-2</v>
      </c>
      <c r="CC25" s="3">
        <v>0</v>
      </c>
      <c r="CD25" s="3">
        <v>0</v>
      </c>
      <c r="CE25" s="3">
        <v>0</v>
      </c>
      <c r="CF25" s="3">
        <v>9.9999904632568359E-2</v>
      </c>
      <c r="CH25" s="3">
        <v>0</v>
      </c>
      <c r="CI25" s="3">
        <v>0</v>
      </c>
      <c r="CJ25" s="3">
        <v>0</v>
      </c>
      <c r="CK25" s="3">
        <v>1</v>
      </c>
      <c r="CM25" s="3">
        <v>1</v>
      </c>
      <c r="CN25" s="3">
        <v>1</v>
      </c>
      <c r="CO25" s="3">
        <v>5</v>
      </c>
      <c r="CP25" s="3">
        <v>3</v>
      </c>
      <c r="CR25" s="3">
        <v>4.016</v>
      </c>
      <c r="CS25" s="3">
        <v>4.016</v>
      </c>
      <c r="CT25" s="3">
        <v>4.016</v>
      </c>
      <c r="CU25" s="3">
        <v>3.7100000381469727</v>
      </c>
    </row>
    <row r="26" spans="1:99" s="3" customFormat="1" x14ac:dyDescent="0.35">
      <c r="A26" s="2" t="s">
        <v>66</v>
      </c>
      <c r="B26" s="2">
        <v>5.333333333333333</v>
      </c>
      <c r="C26" s="2" t="s">
        <v>168</v>
      </c>
      <c r="D26" s="2" t="s">
        <v>403</v>
      </c>
      <c r="F26" s="3">
        <v>4.0110000000000001</v>
      </c>
      <c r="G26" s="3">
        <v>4.016</v>
      </c>
      <c r="H26" s="3">
        <v>4.0039999999999996</v>
      </c>
      <c r="I26" s="3">
        <v>4.01</v>
      </c>
      <c r="K26" s="3">
        <v>3.9660000000000002</v>
      </c>
      <c r="L26" s="3">
        <v>4</v>
      </c>
      <c r="M26" s="3">
        <v>3.9820000000000002</v>
      </c>
      <c r="N26" s="3">
        <v>3.9990000000000001</v>
      </c>
      <c r="P26" s="3">
        <v>2.298999847844243</v>
      </c>
      <c r="Q26" s="3">
        <v>1.7010001912713051</v>
      </c>
      <c r="R26" s="3">
        <v>2.1530003696680069</v>
      </c>
      <c r="S26" s="3">
        <v>3.2489996701478958</v>
      </c>
      <c r="U26" s="3">
        <v>13</v>
      </c>
      <c r="V26" s="3">
        <v>13</v>
      </c>
      <c r="W26" s="3">
        <v>14</v>
      </c>
      <c r="X26" s="3">
        <v>11</v>
      </c>
      <c r="Z26" s="3">
        <v>3.9660000000000002</v>
      </c>
      <c r="AA26" s="3">
        <v>3.4990000000000006</v>
      </c>
      <c r="AB26" s="3">
        <v>3.9820000000000002</v>
      </c>
      <c r="AC26" s="3">
        <v>3.9489999999999998</v>
      </c>
      <c r="AE26" s="3">
        <v>2.298999847844243</v>
      </c>
      <c r="AF26" s="3">
        <v>1.7010001912713051</v>
      </c>
      <c r="AG26" s="3">
        <v>2.1530003696680069</v>
      </c>
      <c r="AH26" s="3">
        <v>3.2489996701478958</v>
      </c>
      <c r="AJ26" s="3">
        <v>13</v>
      </c>
      <c r="AK26" s="3">
        <v>13</v>
      </c>
      <c r="AL26" s="3">
        <v>14</v>
      </c>
      <c r="AM26" s="3">
        <v>11</v>
      </c>
      <c r="AO26" s="3">
        <v>1</v>
      </c>
      <c r="AP26" s="3">
        <v>8</v>
      </c>
      <c r="AQ26" s="3">
        <v>1</v>
      </c>
      <c r="AR26" s="3">
        <v>2</v>
      </c>
      <c r="AT26" s="3">
        <v>1.6000000759959221E-2</v>
      </c>
      <c r="AU26" s="3">
        <v>3.9999999105930328E-2</v>
      </c>
      <c r="AV26" s="3">
        <v>0.21600000560283661</v>
      </c>
      <c r="AW26" s="3">
        <v>7.2999998927116394E-2</v>
      </c>
      <c r="AY26" s="3">
        <v>0.13499999999999962</v>
      </c>
      <c r="AZ26" s="3">
        <v>0.1659999999999997</v>
      </c>
      <c r="BA26" s="3">
        <v>0.71699999999999986</v>
      </c>
      <c r="BB26" s="3">
        <v>1.032</v>
      </c>
      <c r="BD26" s="3">
        <v>9.9999995902180672E-2</v>
      </c>
      <c r="BE26" s="3">
        <v>0</v>
      </c>
      <c r="BF26" s="3">
        <v>0.53500008583068848</v>
      </c>
      <c r="BG26" s="3">
        <v>1.0659999847412109</v>
      </c>
      <c r="BI26" s="3">
        <v>1</v>
      </c>
      <c r="BJ26" s="3">
        <v>0</v>
      </c>
      <c r="BK26" s="3">
        <v>3</v>
      </c>
      <c r="BL26" s="3">
        <v>2</v>
      </c>
      <c r="BN26" s="3">
        <v>7</v>
      </c>
      <c r="BO26" s="3">
        <v>8</v>
      </c>
      <c r="BP26" s="3">
        <v>4</v>
      </c>
      <c r="BQ26" s="3">
        <v>2</v>
      </c>
      <c r="BS26" s="3">
        <v>1.6000000759959221E-2</v>
      </c>
      <c r="BT26" s="3">
        <v>4.016</v>
      </c>
      <c r="BU26" s="3">
        <v>3.0309998989105225</v>
      </c>
      <c r="BV26" s="3">
        <v>2.8389999866485596</v>
      </c>
      <c r="BX26" s="3">
        <v>0</v>
      </c>
      <c r="BY26" s="3">
        <v>0.5149999999999999</v>
      </c>
      <c r="BZ26" s="3">
        <v>0</v>
      </c>
      <c r="CA26" s="3">
        <v>0</v>
      </c>
      <c r="CC26" s="3">
        <v>0</v>
      </c>
      <c r="CD26" s="3">
        <v>0.38399998098611832</v>
      </c>
      <c r="CE26" s="3">
        <v>0</v>
      </c>
      <c r="CF26" s="3">
        <v>0</v>
      </c>
      <c r="CH26" s="3">
        <v>0</v>
      </c>
      <c r="CI26" s="3">
        <v>2</v>
      </c>
      <c r="CJ26" s="3">
        <v>0</v>
      </c>
      <c r="CK26" s="3">
        <v>0</v>
      </c>
      <c r="CM26" s="3">
        <v>0</v>
      </c>
      <c r="CN26" s="3">
        <v>9</v>
      </c>
      <c r="CO26" s="3">
        <v>0</v>
      </c>
      <c r="CP26" s="3">
        <v>0</v>
      </c>
      <c r="CR26" s="3">
        <v>4.0110000000000001</v>
      </c>
      <c r="CS26" s="3">
        <v>3.9999999105930328E-2</v>
      </c>
      <c r="CT26" s="3">
        <v>4.0039999999999996</v>
      </c>
      <c r="CU26" s="3">
        <v>4.01</v>
      </c>
    </row>
    <row r="27" spans="1:99" s="3" customFormat="1" x14ac:dyDescent="0.35">
      <c r="A27" s="2" t="s">
        <v>16</v>
      </c>
      <c r="B27" s="2">
        <v>5.5</v>
      </c>
      <c r="C27" s="2" t="s">
        <v>167</v>
      </c>
      <c r="D27" s="2" t="s">
        <v>403</v>
      </c>
      <c r="F27" s="3">
        <v>4.0039999999999996</v>
      </c>
      <c r="G27" s="3">
        <v>4.016</v>
      </c>
      <c r="H27" s="3">
        <v>4.0039999999999996</v>
      </c>
      <c r="I27" s="3" t="e">
        <v>#N/A</v>
      </c>
      <c r="K27" s="3">
        <v>3.9990000000000001</v>
      </c>
      <c r="L27" s="3">
        <v>3.9990000000000001</v>
      </c>
      <c r="M27" s="3">
        <v>3.9490000000000003</v>
      </c>
      <c r="N27" s="3">
        <v>2.0169999999999999</v>
      </c>
      <c r="P27" s="3">
        <v>3.1830001547932625</v>
      </c>
      <c r="Q27" s="3">
        <v>3.850000218488276</v>
      </c>
      <c r="R27" s="3">
        <v>3.5969999730587006</v>
      </c>
      <c r="S27" s="3">
        <v>1.8480000235140324</v>
      </c>
      <c r="U27" s="3">
        <v>12</v>
      </c>
      <c r="V27" s="3">
        <v>10</v>
      </c>
      <c r="W27" s="3">
        <v>15</v>
      </c>
      <c r="X27" s="3">
        <v>7</v>
      </c>
      <c r="Z27" s="3">
        <v>3.9990000000000001</v>
      </c>
      <c r="AA27" s="3">
        <v>3.9990000000000001</v>
      </c>
      <c r="AB27" s="3">
        <v>3.8660000000000001</v>
      </c>
      <c r="AC27" s="3">
        <v>1.6680000000000001</v>
      </c>
      <c r="AE27" s="3">
        <v>3.1830001547932625</v>
      </c>
      <c r="AF27" s="3">
        <v>3.850000218488276</v>
      </c>
      <c r="AG27" s="3">
        <v>3.5969999730587006</v>
      </c>
      <c r="AH27" s="3">
        <v>1.4310000874102116</v>
      </c>
      <c r="AJ27" s="3">
        <v>12</v>
      </c>
      <c r="AK27" s="3">
        <v>10</v>
      </c>
      <c r="AL27" s="3">
        <v>15</v>
      </c>
      <c r="AM27" s="3">
        <v>6</v>
      </c>
      <c r="AO27" s="3">
        <v>1</v>
      </c>
      <c r="AP27" s="3">
        <v>1</v>
      </c>
      <c r="AQ27" s="3">
        <v>1</v>
      </c>
      <c r="AR27" s="3">
        <v>4</v>
      </c>
      <c r="AT27" s="3">
        <v>7.1000002324581146E-2</v>
      </c>
      <c r="AU27" s="3">
        <v>1.4999999664723873E-2</v>
      </c>
      <c r="AV27" s="3">
        <v>0.13199999928474426</v>
      </c>
      <c r="AW27" s="3">
        <v>3.2000001519918442E-2</v>
      </c>
      <c r="AY27" s="3">
        <v>1.0149999999999997</v>
      </c>
      <c r="AZ27" s="3">
        <v>2.1820000000000004</v>
      </c>
      <c r="BA27" s="3">
        <v>2.1660000000000004</v>
      </c>
      <c r="BB27" s="3">
        <v>0.69899999999999984</v>
      </c>
      <c r="BD27" s="3">
        <v>1.1169999837875366</v>
      </c>
      <c r="BE27" s="3">
        <v>2.2330001294612885</v>
      </c>
      <c r="BF27" s="3">
        <v>1.8139998912811279</v>
      </c>
      <c r="BG27" s="3">
        <v>0.73200008273124695</v>
      </c>
      <c r="BI27" s="3">
        <v>4</v>
      </c>
      <c r="BJ27" s="3">
        <v>5</v>
      </c>
      <c r="BK27" s="3">
        <v>7</v>
      </c>
      <c r="BL27" s="3">
        <v>4</v>
      </c>
      <c r="BN27" s="3">
        <v>5</v>
      </c>
      <c r="BO27" s="3">
        <v>4</v>
      </c>
      <c r="BP27" s="3">
        <v>3</v>
      </c>
      <c r="BQ27" s="3">
        <v>5</v>
      </c>
      <c r="BS27" s="3">
        <v>0.85399997234344482</v>
      </c>
      <c r="BT27" s="3">
        <v>0.49799999594688416</v>
      </c>
      <c r="BU27" s="3">
        <v>1.3990000486373901</v>
      </c>
      <c r="BV27" s="3">
        <v>0.38199999928474426</v>
      </c>
      <c r="BX27" s="3">
        <v>0.56700000000000039</v>
      </c>
      <c r="BY27" s="3">
        <v>0.43399999999999983</v>
      </c>
      <c r="BZ27" s="3">
        <v>0.20000000000000018</v>
      </c>
      <c r="CA27" s="3">
        <v>0</v>
      </c>
      <c r="CC27" s="3">
        <v>0.55000007152557373</v>
      </c>
      <c r="CD27" s="3">
        <v>0.26699995994567871</v>
      </c>
      <c r="CE27" s="3">
        <v>0.31700015068054199</v>
      </c>
      <c r="CF27" s="3">
        <v>0</v>
      </c>
      <c r="CH27" s="3">
        <v>2</v>
      </c>
      <c r="CI27" s="3">
        <v>1</v>
      </c>
      <c r="CJ27" s="3">
        <v>1</v>
      </c>
      <c r="CK27" s="3">
        <v>0</v>
      </c>
      <c r="CM27" s="3">
        <v>5</v>
      </c>
      <c r="CN27" s="3">
        <v>3</v>
      </c>
      <c r="CO27" s="3">
        <v>2</v>
      </c>
      <c r="CP27" s="3">
        <v>3</v>
      </c>
      <c r="CR27" s="3">
        <v>1.9199999570846558</v>
      </c>
      <c r="CS27" s="3">
        <v>3.2309999465942383</v>
      </c>
      <c r="CT27" s="3">
        <v>2.747999906539917</v>
      </c>
      <c r="CU27" s="3">
        <v>4.0069999999999997</v>
      </c>
    </row>
    <row r="28" spans="1:99" s="3" customFormat="1" x14ac:dyDescent="0.35">
      <c r="A28" s="2" t="s">
        <v>69</v>
      </c>
      <c r="B28" s="2">
        <v>5.5</v>
      </c>
      <c r="C28" s="2" t="s">
        <v>167</v>
      </c>
      <c r="D28" s="2" t="s">
        <v>403</v>
      </c>
      <c r="F28" s="3">
        <v>4.016</v>
      </c>
      <c r="G28" s="11" t="e">
        <v>#N/A</v>
      </c>
      <c r="H28" s="3" t="e">
        <v>#N/A</v>
      </c>
      <c r="I28" s="3" t="e">
        <v>#N/A</v>
      </c>
      <c r="K28" s="3">
        <v>3.266</v>
      </c>
      <c r="L28" s="11" t="e">
        <v>#N/A</v>
      </c>
      <c r="M28" s="3">
        <v>2.7989999999999999</v>
      </c>
      <c r="N28" s="11" t="e">
        <v>#N/A</v>
      </c>
      <c r="P28" s="3">
        <v>0.64999997615814209</v>
      </c>
      <c r="Q28" s="11" t="e">
        <v>#N/A</v>
      </c>
      <c r="R28" s="3">
        <v>1.6809996366500854</v>
      </c>
      <c r="S28" s="11" t="e">
        <v>#N/A</v>
      </c>
      <c r="U28" s="3">
        <v>4</v>
      </c>
      <c r="V28" s="11" t="e">
        <v>#N/A</v>
      </c>
      <c r="W28" s="3">
        <v>8</v>
      </c>
      <c r="X28" s="11" t="e">
        <v>#N/A</v>
      </c>
      <c r="Z28" s="3">
        <v>3.266</v>
      </c>
      <c r="AA28" s="11" t="e">
        <v>#N/A</v>
      </c>
      <c r="AB28" s="3">
        <v>2.7989999999999999</v>
      </c>
      <c r="AC28" s="11" t="e">
        <v>#N/A</v>
      </c>
      <c r="AE28" s="3">
        <v>0.64999997615814209</v>
      </c>
      <c r="AF28" s="11" t="e">
        <v>#N/A</v>
      </c>
      <c r="AG28" s="3">
        <v>1.6809996366500854</v>
      </c>
      <c r="AH28" s="11" t="e">
        <v>#N/A</v>
      </c>
      <c r="AJ28" s="3">
        <v>4</v>
      </c>
      <c r="AK28" s="11" t="e">
        <v>#N/A</v>
      </c>
      <c r="AL28" s="3">
        <v>8</v>
      </c>
      <c r="AM28" s="11" t="e">
        <v>#N/A</v>
      </c>
      <c r="AO28" s="3">
        <v>1</v>
      </c>
      <c r="AP28" s="11" t="e">
        <v>#N/A</v>
      </c>
      <c r="AQ28" s="3">
        <v>1</v>
      </c>
      <c r="AR28" s="11" t="e">
        <v>#N/A</v>
      </c>
      <c r="AT28" s="3">
        <v>0.82099997997283936</v>
      </c>
      <c r="AU28" s="11" t="e">
        <v>#N/A</v>
      </c>
      <c r="AV28" s="3">
        <v>1.2009999752044678</v>
      </c>
      <c r="AW28" s="11" t="e">
        <v>#N/A</v>
      </c>
      <c r="AY28" s="3">
        <v>0.13200000000000034</v>
      </c>
      <c r="AZ28" s="11" t="e">
        <v>#N/A</v>
      </c>
      <c r="BA28" s="3">
        <v>0.18300000000000005</v>
      </c>
      <c r="BB28" s="11" t="e">
        <v>#N/A</v>
      </c>
      <c r="BD28" s="3">
        <v>0</v>
      </c>
      <c r="BE28" s="11" t="e">
        <v>#N/A</v>
      </c>
      <c r="BF28" s="3">
        <v>0</v>
      </c>
      <c r="BG28" s="11" t="e">
        <v>#N/A</v>
      </c>
      <c r="BI28" s="3">
        <v>0</v>
      </c>
      <c r="BJ28" s="11" t="e">
        <v>#N/A</v>
      </c>
      <c r="BK28" s="3">
        <v>0</v>
      </c>
      <c r="BL28" s="11" t="e">
        <v>#N/A</v>
      </c>
      <c r="BN28" s="3">
        <v>9</v>
      </c>
      <c r="BO28" s="11" t="e">
        <v>#N/A</v>
      </c>
      <c r="BP28" s="3">
        <v>6</v>
      </c>
      <c r="BQ28" s="11" t="e">
        <v>#N/A</v>
      </c>
      <c r="BS28" s="3">
        <v>4.016</v>
      </c>
      <c r="BT28" s="11" t="e">
        <v>#N/A</v>
      </c>
      <c r="BU28" s="3">
        <v>4.016</v>
      </c>
      <c r="BV28" s="11" t="e">
        <v>#N/A</v>
      </c>
      <c r="BX28" s="3">
        <v>3.4000000000000363E-2</v>
      </c>
      <c r="BY28" s="11" t="e">
        <v>#N/A</v>
      </c>
      <c r="BZ28" s="3">
        <v>0.68199999999999994</v>
      </c>
      <c r="CA28" s="11" t="e">
        <v>#N/A</v>
      </c>
      <c r="CC28" s="3">
        <v>0</v>
      </c>
      <c r="CD28" s="11" t="e">
        <v>#N/A</v>
      </c>
      <c r="CE28" s="3">
        <v>0.61599993705749512</v>
      </c>
      <c r="CF28" s="11" t="e">
        <v>#N/A</v>
      </c>
      <c r="CH28" s="3">
        <v>0</v>
      </c>
      <c r="CI28" s="11" t="e">
        <v>#N/A</v>
      </c>
      <c r="CJ28" s="3">
        <v>2</v>
      </c>
      <c r="CK28" s="11" t="e">
        <v>#N/A</v>
      </c>
      <c r="CM28" s="3">
        <v>9</v>
      </c>
      <c r="CN28" s="11" t="e">
        <v>#N/A</v>
      </c>
      <c r="CO28" s="3">
        <v>8</v>
      </c>
      <c r="CP28" s="11" t="e">
        <v>#N/A</v>
      </c>
      <c r="CR28" s="3">
        <v>4.016</v>
      </c>
      <c r="CS28" s="11" t="e">
        <v>#N/A</v>
      </c>
      <c r="CT28" s="3">
        <v>3.0510001182556152</v>
      </c>
      <c r="CU28" s="11" t="e">
        <v>#N/A</v>
      </c>
    </row>
    <row r="29" spans="1:99" s="3" customFormat="1" x14ac:dyDescent="0.35">
      <c r="A29" s="2" t="s">
        <v>74</v>
      </c>
      <c r="B29" s="2">
        <v>5.5</v>
      </c>
      <c r="C29" s="2" t="s">
        <v>168</v>
      </c>
      <c r="D29" s="2" t="s">
        <v>403</v>
      </c>
      <c r="F29" s="3">
        <v>4.0090000000000003</v>
      </c>
      <c r="G29" s="3">
        <v>4.0149999999999997</v>
      </c>
      <c r="H29" s="3">
        <v>3.044</v>
      </c>
      <c r="I29" s="3">
        <v>4.0110000000000001</v>
      </c>
      <c r="K29" s="3">
        <v>3.9819999999999998</v>
      </c>
      <c r="L29" s="3">
        <v>3.6820000000000004</v>
      </c>
      <c r="M29" s="3">
        <v>3.0150000000000001</v>
      </c>
      <c r="N29" s="3">
        <v>3.5500000000000003</v>
      </c>
      <c r="P29" s="3">
        <v>3.3489998951554298</v>
      </c>
      <c r="Q29" s="3">
        <v>3.3829996585845947</v>
      </c>
      <c r="R29" s="3">
        <v>2.7810001689940691</v>
      </c>
      <c r="S29" s="3">
        <v>2.9660001397132874</v>
      </c>
      <c r="U29" s="3">
        <v>6</v>
      </c>
      <c r="V29" s="3">
        <v>9</v>
      </c>
      <c r="W29" s="3">
        <v>8</v>
      </c>
      <c r="X29" s="3">
        <v>11</v>
      </c>
      <c r="Z29" s="3">
        <v>3.6979999999999995</v>
      </c>
      <c r="AA29" s="3">
        <v>3.6660000000000004</v>
      </c>
      <c r="AB29" s="3">
        <v>2.6819999999999999</v>
      </c>
      <c r="AC29" s="3">
        <v>3.5500000000000003</v>
      </c>
      <c r="AE29" s="3">
        <v>3.3489998951554298</v>
      </c>
      <c r="AF29" s="3">
        <v>3.3829996585845947</v>
      </c>
      <c r="AG29" s="3">
        <v>2.5150001365691423</v>
      </c>
      <c r="AH29" s="3">
        <v>2.9660001397132874</v>
      </c>
      <c r="AJ29" s="3">
        <v>6</v>
      </c>
      <c r="AK29" s="3">
        <v>9</v>
      </c>
      <c r="AL29" s="3">
        <v>7</v>
      </c>
      <c r="AM29" s="3">
        <v>11</v>
      </c>
      <c r="AO29" s="3">
        <v>2</v>
      </c>
      <c r="AP29" s="3">
        <v>1</v>
      </c>
      <c r="AQ29" s="3">
        <v>2</v>
      </c>
      <c r="AR29" s="3">
        <v>1</v>
      </c>
      <c r="AT29" s="3">
        <v>1.0999999940395355E-2</v>
      </c>
      <c r="AU29" s="3">
        <v>0.35199999809265137</v>
      </c>
      <c r="AV29" s="3">
        <v>1.6000000759959221E-2</v>
      </c>
      <c r="AW29" s="3">
        <v>0.44499999284744263</v>
      </c>
      <c r="AY29" s="3">
        <v>1.7659999999999998</v>
      </c>
      <c r="AZ29" s="3">
        <v>1.7160000000000002</v>
      </c>
      <c r="BA29" s="3">
        <v>1.1320000000000001</v>
      </c>
      <c r="BB29" s="3">
        <v>0.76700000000000002</v>
      </c>
      <c r="BD29" s="3">
        <v>2.0829998254776001</v>
      </c>
      <c r="BE29" s="3">
        <v>1.5670000910758972</v>
      </c>
      <c r="BF29" s="3">
        <v>1.0990000367164612</v>
      </c>
      <c r="BG29" s="3">
        <v>0.76600015163421631</v>
      </c>
      <c r="BI29" s="3">
        <v>4</v>
      </c>
      <c r="BJ29" s="3">
        <v>2</v>
      </c>
      <c r="BK29" s="3">
        <v>3</v>
      </c>
      <c r="BL29" s="3">
        <v>4</v>
      </c>
      <c r="BN29" s="3">
        <v>5</v>
      </c>
      <c r="BO29" s="3">
        <v>3</v>
      </c>
      <c r="BP29" s="3">
        <v>2</v>
      </c>
      <c r="BQ29" s="3">
        <v>3</v>
      </c>
      <c r="BS29" s="3">
        <v>0.57700002193450928</v>
      </c>
      <c r="BT29" s="3">
        <v>0.7850000262260437</v>
      </c>
      <c r="BU29" s="3">
        <v>0.53200000524520874</v>
      </c>
      <c r="BV29" s="3">
        <v>0.72899997234344482</v>
      </c>
      <c r="BX29" s="3">
        <v>0</v>
      </c>
      <c r="BY29" s="3">
        <v>0.7170000000000003</v>
      </c>
      <c r="BZ29" s="3">
        <v>0</v>
      </c>
      <c r="CA29" s="3">
        <v>0</v>
      </c>
      <c r="CC29" s="3">
        <v>0</v>
      </c>
      <c r="CD29" s="3">
        <v>0.73299992084503174</v>
      </c>
      <c r="CE29" s="3">
        <v>0</v>
      </c>
      <c r="CF29" s="3">
        <v>0</v>
      </c>
      <c r="CH29" s="3">
        <v>0</v>
      </c>
      <c r="CI29" s="3">
        <v>2</v>
      </c>
      <c r="CJ29" s="3">
        <v>0</v>
      </c>
      <c r="CK29" s="3">
        <v>0</v>
      </c>
      <c r="CM29" s="3">
        <v>0</v>
      </c>
      <c r="CN29" s="3">
        <v>3</v>
      </c>
      <c r="CO29" s="3">
        <v>0</v>
      </c>
      <c r="CP29" s="3">
        <v>0</v>
      </c>
      <c r="CR29" s="3">
        <v>4.0090000000000003</v>
      </c>
      <c r="CS29" s="3">
        <v>1.7020000219345093</v>
      </c>
      <c r="CT29" s="3">
        <v>4.0110000000000001</v>
      </c>
      <c r="CU29" s="3">
        <v>4.0110000000000001</v>
      </c>
    </row>
    <row r="30" spans="1:99" s="3" customFormat="1" x14ac:dyDescent="0.35">
      <c r="A30" s="2" t="s">
        <v>77</v>
      </c>
      <c r="B30" s="2">
        <v>5.583333333333333</v>
      </c>
      <c r="C30" s="2" t="s">
        <v>168</v>
      </c>
      <c r="D30" s="2" t="s">
        <v>403</v>
      </c>
      <c r="F30" s="3" t="e">
        <v>#N/A</v>
      </c>
      <c r="G30" s="3" t="e">
        <v>#N/A</v>
      </c>
      <c r="H30" s="3" t="e">
        <v>#N/A</v>
      </c>
      <c r="I30" s="3">
        <v>4.016</v>
      </c>
      <c r="K30" s="11" t="e">
        <v>#N/A</v>
      </c>
      <c r="L30" s="11" t="e">
        <v>#N/A</v>
      </c>
      <c r="M30" s="11" t="e">
        <v>#N/A</v>
      </c>
      <c r="N30" s="3">
        <v>3.9999999999999996</v>
      </c>
      <c r="P30" s="11" t="e">
        <v>#N/A</v>
      </c>
      <c r="Q30" s="11" t="e">
        <v>#N/A</v>
      </c>
      <c r="R30" s="11" t="e">
        <v>#N/A</v>
      </c>
      <c r="S30" s="3">
        <v>3.7820000508800149</v>
      </c>
      <c r="U30" s="11" t="e">
        <v>#N/A</v>
      </c>
      <c r="V30" s="11" t="e">
        <v>#N/A</v>
      </c>
      <c r="W30" s="11" t="e">
        <v>#N/A</v>
      </c>
      <c r="X30" s="3">
        <v>10</v>
      </c>
      <c r="Z30" s="11" t="e">
        <v>#N/A</v>
      </c>
      <c r="AA30" s="11" t="e">
        <v>#N/A</v>
      </c>
      <c r="AB30" s="11" t="e">
        <v>#N/A</v>
      </c>
      <c r="AC30" s="3">
        <v>3.9999999999999996</v>
      </c>
      <c r="AE30" s="11" t="e">
        <v>#N/A</v>
      </c>
      <c r="AF30" s="11" t="e">
        <v>#N/A</v>
      </c>
      <c r="AG30" s="11" t="e">
        <v>#N/A</v>
      </c>
      <c r="AH30" s="3">
        <v>3.7820000508800149</v>
      </c>
      <c r="AJ30" s="11" t="e">
        <v>#N/A</v>
      </c>
      <c r="AK30" s="11" t="e">
        <v>#N/A</v>
      </c>
      <c r="AL30" s="11" t="e">
        <v>#N/A</v>
      </c>
      <c r="AM30" s="3">
        <v>10</v>
      </c>
      <c r="AO30" s="11" t="e">
        <v>#N/A</v>
      </c>
      <c r="AP30" s="11" t="e">
        <v>#N/A</v>
      </c>
      <c r="AQ30" s="11" t="e">
        <v>#N/A</v>
      </c>
      <c r="AR30" s="3">
        <v>1</v>
      </c>
      <c r="AT30" s="11" t="e">
        <v>#N/A</v>
      </c>
      <c r="AU30" s="11" t="e">
        <v>#N/A</v>
      </c>
      <c r="AV30" s="11" t="e">
        <v>#N/A</v>
      </c>
      <c r="AW30" s="3">
        <v>1.4999999664723873E-2</v>
      </c>
      <c r="AY30" s="11" t="e">
        <v>#N/A</v>
      </c>
      <c r="AZ30" s="11" t="e">
        <v>#N/A</v>
      </c>
      <c r="BA30" s="11" t="e">
        <v>#N/A</v>
      </c>
      <c r="BB30" s="3">
        <v>1.7169999999999996</v>
      </c>
      <c r="BD30" s="11" t="e">
        <v>#N/A</v>
      </c>
      <c r="BE30" s="11" t="e">
        <v>#N/A</v>
      </c>
      <c r="BF30" s="11" t="e">
        <v>#N/A</v>
      </c>
      <c r="BG30" s="3">
        <v>1.9330002069473267</v>
      </c>
      <c r="BI30" s="11" t="e">
        <v>#N/A</v>
      </c>
      <c r="BJ30" s="11" t="e">
        <v>#N/A</v>
      </c>
      <c r="BK30" s="11" t="e">
        <v>#N/A</v>
      </c>
      <c r="BL30" s="3">
        <v>6</v>
      </c>
      <c r="BN30" s="11" t="e">
        <v>#N/A</v>
      </c>
      <c r="BO30" s="11" t="e">
        <v>#N/A</v>
      </c>
      <c r="BP30" s="11" t="e">
        <v>#N/A</v>
      </c>
      <c r="BQ30" s="3">
        <v>3</v>
      </c>
      <c r="BS30" s="11" t="e">
        <v>#N/A</v>
      </c>
      <c r="BT30" s="11" t="e">
        <v>#N/A</v>
      </c>
      <c r="BU30" s="11" t="e">
        <v>#N/A</v>
      </c>
      <c r="BV30" s="3">
        <v>1.1319999694824219</v>
      </c>
      <c r="BX30" s="11" t="e">
        <v>#N/A</v>
      </c>
      <c r="BY30" s="11" t="e">
        <v>#N/A</v>
      </c>
      <c r="BZ30" s="11" t="e">
        <v>#N/A</v>
      </c>
      <c r="CA30" s="3">
        <v>1.1329999999999998</v>
      </c>
      <c r="CC30" s="11" t="e">
        <v>#N/A</v>
      </c>
      <c r="CD30" s="11" t="e">
        <v>#N/A</v>
      </c>
      <c r="CE30" s="11" t="e">
        <v>#N/A</v>
      </c>
      <c r="CF30" s="3">
        <v>0.64899969100952148</v>
      </c>
      <c r="CH30" s="11" t="e">
        <v>#N/A</v>
      </c>
      <c r="CI30" s="11" t="e">
        <v>#N/A</v>
      </c>
      <c r="CJ30" s="11" t="e">
        <v>#N/A</v>
      </c>
      <c r="CK30" s="3">
        <v>2</v>
      </c>
      <c r="CM30" s="11" t="e">
        <v>#N/A</v>
      </c>
      <c r="CN30" s="11" t="e">
        <v>#N/A</v>
      </c>
      <c r="CO30" s="11" t="e">
        <v>#N/A</v>
      </c>
      <c r="CP30" s="3">
        <v>3</v>
      </c>
      <c r="CR30" s="11" t="e">
        <v>#N/A</v>
      </c>
      <c r="CS30" s="11" t="e">
        <v>#N/A</v>
      </c>
      <c r="CT30" s="11" t="e">
        <v>#N/A</v>
      </c>
      <c r="CU30" s="3">
        <v>2.065000057220459</v>
      </c>
    </row>
    <row r="31" spans="1:99" s="3" customFormat="1" x14ac:dyDescent="0.35">
      <c r="A31" s="2" t="s">
        <v>90</v>
      </c>
      <c r="B31" s="2">
        <v>5.583333333333333</v>
      </c>
      <c r="C31" s="2" t="s">
        <v>168</v>
      </c>
      <c r="D31" s="2" t="s">
        <v>403</v>
      </c>
      <c r="F31" s="3">
        <v>4.0149999999999997</v>
      </c>
      <c r="G31" s="3">
        <v>4.0140000000000002</v>
      </c>
      <c r="H31" s="3">
        <v>4.0259999999999998</v>
      </c>
      <c r="I31" s="3">
        <v>4.0149999999999997</v>
      </c>
      <c r="K31" s="3">
        <v>3.9820000000000002</v>
      </c>
      <c r="L31" s="3">
        <v>3.915</v>
      </c>
      <c r="M31" s="3">
        <v>3.5659999999999998</v>
      </c>
      <c r="N31" s="3">
        <v>3.9990000000000001</v>
      </c>
      <c r="P31" s="3">
        <v>3.8669995106756687</v>
      </c>
      <c r="Q31" s="3">
        <v>3.7980001717805862</v>
      </c>
      <c r="R31" s="3">
        <v>3.5159996151924133</v>
      </c>
      <c r="S31" s="3">
        <v>3.2830002307891846</v>
      </c>
      <c r="U31" s="3">
        <v>8</v>
      </c>
      <c r="V31" s="3">
        <v>6</v>
      </c>
      <c r="W31" s="3">
        <v>4</v>
      </c>
      <c r="X31" s="3">
        <v>12</v>
      </c>
      <c r="Z31" s="3">
        <v>3.9820000000000002</v>
      </c>
      <c r="AA31" s="3">
        <v>3.899</v>
      </c>
      <c r="AB31" s="3">
        <v>3.5659999999999998</v>
      </c>
      <c r="AC31" s="3">
        <v>3.7650000000000001</v>
      </c>
      <c r="AE31" s="3">
        <v>3.8669995106756687</v>
      </c>
      <c r="AF31" s="3">
        <v>3.7980001717805862</v>
      </c>
      <c r="AG31" s="3">
        <v>3.5159996151924133</v>
      </c>
      <c r="AH31" s="3">
        <v>3.2830002307891846</v>
      </c>
      <c r="AJ31" s="3">
        <v>8</v>
      </c>
      <c r="AK31" s="3">
        <v>6</v>
      </c>
      <c r="AL31" s="3">
        <v>4</v>
      </c>
      <c r="AM31" s="3">
        <v>12</v>
      </c>
      <c r="AO31" s="3">
        <v>1</v>
      </c>
      <c r="AP31" s="3">
        <v>1</v>
      </c>
      <c r="AQ31" s="3">
        <v>1</v>
      </c>
      <c r="AR31" s="3">
        <v>2</v>
      </c>
      <c r="AT31" s="3">
        <v>8.999999612569809E-3</v>
      </c>
      <c r="AU31" s="3">
        <v>0.12399999797344208</v>
      </c>
      <c r="AV31" s="3">
        <v>0.44900000095367432</v>
      </c>
      <c r="AW31" s="3">
        <v>0.26800000667572021</v>
      </c>
      <c r="AY31" s="3">
        <v>0.76600000000000024</v>
      </c>
      <c r="AZ31" s="3">
        <v>2.1480000000000006</v>
      </c>
      <c r="BA31" s="3">
        <v>1.8660000000000001</v>
      </c>
      <c r="BB31" s="3">
        <v>1.0830000000000002</v>
      </c>
      <c r="BD31" s="3">
        <v>0</v>
      </c>
      <c r="BE31" s="3">
        <v>1.3659999370574951</v>
      </c>
      <c r="BF31" s="3">
        <v>1.7989999055862427</v>
      </c>
      <c r="BG31" s="3">
        <v>1.3340001702308655</v>
      </c>
      <c r="BI31" s="3">
        <v>0</v>
      </c>
      <c r="BJ31" s="3">
        <v>2</v>
      </c>
      <c r="BK31" s="3">
        <v>1</v>
      </c>
      <c r="BL31" s="3">
        <v>5</v>
      </c>
      <c r="BN31" s="3">
        <v>2</v>
      </c>
      <c r="BO31" s="3">
        <v>6</v>
      </c>
      <c r="BP31" s="3">
        <v>1</v>
      </c>
      <c r="BQ31" s="3">
        <v>5</v>
      </c>
      <c r="BS31" s="3">
        <v>4.0149999999999997</v>
      </c>
      <c r="BT31" s="3">
        <v>1.690000057220459</v>
      </c>
      <c r="BU31" s="3">
        <v>0.91600000858306885</v>
      </c>
      <c r="BV31" s="3">
        <v>0.91699999570846558</v>
      </c>
      <c r="BX31" s="3">
        <v>0.91599999999999981</v>
      </c>
      <c r="BY31" s="3">
        <v>0.41699999999999993</v>
      </c>
      <c r="BZ31" s="3">
        <v>0.53299999999999992</v>
      </c>
      <c r="CA31" s="3">
        <v>0.33199999999999996</v>
      </c>
      <c r="CC31" s="3">
        <v>0.79999983683228493</v>
      </c>
      <c r="CD31" s="3">
        <v>0</v>
      </c>
      <c r="CE31" s="3">
        <v>1.1499998569488525</v>
      </c>
      <c r="CF31" s="3">
        <v>0.39899998903274536</v>
      </c>
      <c r="CH31" s="3">
        <v>2</v>
      </c>
      <c r="CI31" s="3">
        <v>0</v>
      </c>
      <c r="CJ31" s="3">
        <v>1</v>
      </c>
      <c r="CK31" s="3">
        <v>1</v>
      </c>
      <c r="CM31" s="3">
        <v>3</v>
      </c>
      <c r="CN31" s="3">
        <v>2</v>
      </c>
      <c r="CO31" s="3">
        <v>1</v>
      </c>
      <c r="CP31" s="3">
        <v>2</v>
      </c>
      <c r="CR31" s="3">
        <v>8.999999612569809E-3</v>
      </c>
      <c r="CS31" s="3">
        <v>4.0140000000000002</v>
      </c>
      <c r="CT31" s="3">
        <v>2.8650000095367432</v>
      </c>
      <c r="CU31" s="3">
        <v>0.26800000667572021</v>
      </c>
    </row>
    <row r="32" spans="1:99" s="3" customFormat="1" x14ac:dyDescent="0.35">
      <c r="A32" s="2" t="s">
        <v>4</v>
      </c>
      <c r="B32" s="2">
        <v>5.833333333333333</v>
      </c>
      <c r="C32" s="2" t="s">
        <v>167</v>
      </c>
      <c r="D32" s="2" t="s">
        <v>403</v>
      </c>
      <c r="F32" s="3">
        <v>4.0149999999999997</v>
      </c>
      <c r="G32" s="3" t="e">
        <v>#N/A</v>
      </c>
      <c r="H32" s="11" t="e">
        <v>#N/A</v>
      </c>
      <c r="I32" s="3">
        <v>4.016</v>
      </c>
      <c r="K32" s="3">
        <v>3.9990000000000001</v>
      </c>
      <c r="L32" s="11" t="e">
        <v>#N/A</v>
      </c>
      <c r="M32" s="11" t="e">
        <v>#N/A</v>
      </c>
      <c r="N32" s="3">
        <v>3.9990000000000001</v>
      </c>
      <c r="P32" s="3">
        <v>3.7160000880248845</v>
      </c>
      <c r="Q32" s="11" t="e">
        <v>#N/A</v>
      </c>
      <c r="R32" s="11" t="e">
        <v>#N/A</v>
      </c>
      <c r="S32" s="3">
        <v>2.9980001449584961</v>
      </c>
      <c r="U32" s="3">
        <v>9</v>
      </c>
      <c r="V32" s="11" t="e">
        <v>#N/A</v>
      </c>
      <c r="W32" s="11" t="e">
        <v>#N/A</v>
      </c>
      <c r="X32" s="3">
        <v>6</v>
      </c>
      <c r="Z32" s="3">
        <v>3.9990000000000001</v>
      </c>
      <c r="AA32" s="11" t="e">
        <v>#N/A</v>
      </c>
      <c r="AB32" s="11" t="e">
        <v>#N/A</v>
      </c>
      <c r="AC32" s="3">
        <v>3.9150000000000005</v>
      </c>
      <c r="AE32" s="3">
        <v>3.7160000880248845</v>
      </c>
      <c r="AF32" s="11" t="e">
        <v>#N/A</v>
      </c>
      <c r="AG32" s="11" t="e">
        <v>#N/A</v>
      </c>
      <c r="AH32" s="3">
        <v>2.9980001449584961</v>
      </c>
      <c r="AJ32" s="3">
        <v>9</v>
      </c>
      <c r="AK32" s="11" t="e">
        <v>#N/A</v>
      </c>
      <c r="AL32" s="11" t="e">
        <v>#N/A</v>
      </c>
      <c r="AM32" s="3">
        <v>6</v>
      </c>
      <c r="AO32" s="3">
        <v>1</v>
      </c>
      <c r="AP32" s="11" t="e">
        <v>#N/A</v>
      </c>
      <c r="AQ32" s="11" t="e">
        <v>#N/A</v>
      </c>
      <c r="AR32" s="3">
        <v>2</v>
      </c>
      <c r="AT32" s="3">
        <v>4.0000001899898052E-3</v>
      </c>
      <c r="AU32" s="11" t="e">
        <v>#N/A</v>
      </c>
      <c r="AV32" s="11" t="e">
        <v>#N/A</v>
      </c>
      <c r="AW32" s="3">
        <v>0</v>
      </c>
      <c r="AY32" s="3">
        <v>1.0340000000000005</v>
      </c>
      <c r="AZ32" s="11" t="e">
        <v>#N/A</v>
      </c>
      <c r="BA32" s="11" t="e">
        <v>#N/A</v>
      </c>
      <c r="BB32" s="3">
        <v>1.5990000000000002</v>
      </c>
      <c r="BD32" s="3">
        <v>1.0169997811317444</v>
      </c>
      <c r="BE32" s="11" t="e">
        <v>#N/A</v>
      </c>
      <c r="BF32" s="11" t="e">
        <v>#N/A</v>
      </c>
      <c r="BG32" s="3">
        <v>1.6490002274513245</v>
      </c>
      <c r="BI32" s="3">
        <v>4</v>
      </c>
      <c r="BJ32" s="11" t="e">
        <v>#N/A</v>
      </c>
      <c r="BK32" s="11" t="e">
        <v>#N/A</v>
      </c>
      <c r="BL32" s="3">
        <v>2</v>
      </c>
      <c r="BN32" s="3">
        <v>5</v>
      </c>
      <c r="BO32" s="11" t="e">
        <v>#N/A</v>
      </c>
      <c r="BP32" s="11" t="e">
        <v>#N/A</v>
      </c>
      <c r="BQ32" s="3">
        <v>3</v>
      </c>
      <c r="BS32" s="3">
        <v>0.97100001573562622</v>
      </c>
      <c r="BT32" s="11" t="e">
        <v>#N/A</v>
      </c>
      <c r="BU32" s="11" t="e">
        <v>#N/A</v>
      </c>
      <c r="BV32" s="3">
        <v>0.69999998807907104</v>
      </c>
      <c r="BX32" s="3">
        <v>0.71700000000000008</v>
      </c>
      <c r="BY32" s="11" t="e">
        <v>#N/A</v>
      </c>
      <c r="BZ32" s="11" t="e">
        <v>#N/A</v>
      </c>
      <c r="CA32" s="3">
        <v>0.41600000000000015</v>
      </c>
      <c r="CC32" s="3">
        <v>0.90000009536743164</v>
      </c>
      <c r="CD32" s="11" t="e">
        <v>#N/A</v>
      </c>
      <c r="CE32" s="11" t="e">
        <v>#N/A</v>
      </c>
      <c r="CF32" s="3">
        <v>0.14999985694885254</v>
      </c>
      <c r="CH32" s="3">
        <v>1</v>
      </c>
      <c r="CI32" s="11" t="e">
        <v>#N/A</v>
      </c>
      <c r="CJ32" s="11" t="e">
        <v>#N/A</v>
      </c>
      <c r="CK32" s="3">
        <v>1</v>
      </c>
      <c r="CM32" s="3">
        <v>1</v>
      </c>
      <c r="CN32" s="11" t="e">
        <v>#N/A</v>
      </c>
      <c r="CO32" s="11" t="e">
        <v>#N/A</v>
      </c>
      <c r="CP32" s="3">
        <v>5</v>
      </c>
      <c r="CR32" s="3">
        <v>2.4869999885559082</v>
      </c>
      <c r="CS32" s="11" t="e">
        <v>#N/A</v>
      </c>
      <c r="CT32" s="11" t="e">
        <v>#N/A</v>
      </c>
      <c r="CU32" s="3">
        <v>1.9830000400543213</v>
      </c>
    </row>
    <row r="33" spans="1:99" s="3" customFormat="1" x14ac:dyDescent="0.35">
      <c r="A33" s="2" t="s">
        <v>21</v>
      </c>
      <c r="B33" s="2">
        <v>5.916666666666667</v>
      </c>
      <c r="C33" s="2" t="s">
        <v>168</v>
      </c>
      <c r="D33" s="2" t="s">
        <v>403</v>
      </c>
      <c r="F33" s="11" t="e">
        <v>#N/A</v>
      </c>
      <c r="G33" s="11" t="e">
        <v>#N/A</v>
      </c>
      <c r="H33" s="3">
        <v>3.2159999999999997</v>
      </c>
      <c r="I33" s="3">
        <v>4.0149999999999997</v>
      </c>
      <c r="K33" s="11" t="e">
        <v>#N/A</v>
      </c>
      <c r="L33" s="11" t="e">
        <v>#N/A</v>
      </c>
      <c r="M33" s="3">
        <v>2.5170000000000003</v>
      </c>
      <c r="N33" s="3">
        <v>3.9990000000000001</v>
      </c>
      <c r="P33" s="11" t="e">
        <v>#N/A</v>
      </c>
      <c r="Q33" s="11" t="e">
        <v>#N/A</v>
      </c>
      <c r="R33" s="3">
        <v>0.40099984407424927</v>
      </c>
      <c r="S33" s="3">
        <v>3.6990000428631902</v>
      </c>
      <c r="U33" s="11" t="e">
        <v>#N/A</v>
      </c>
      <c r="V33" s="11" t="e">
        <v>#N/A</v>
      </c>
      <c r="W33" s="3">
        <v>3</v>
      </c>
      <c r="X33" s="3">
        <v>10</v>
      </c>
      <c r="Z33" s="11" t="e">
        <v>#N/A</v>
      </c>
      <c r="AA33" s="11" t="e">
        <v>#N/A</v>
      </c>
      <c r="AB33" s="3">
        <v>1.4330000000000003</v>
      </c>
      <c r="AC33" s="3">
        <v>3.2990000000000004</v>
      </c>
      <c r="AE33" s="11" t="e">
        <v>#N/A</v>
      </c>
      <c r="AF33" s="11" t="e">
        <v>#N/A</v>
      </c>
      <c r="AG33" s="3">
        <v>0.40099984407424927</v>
      </c>
      <c r="AH33" s="3">
        <v>3.0150000276044011</v>
      </c>
      <c r="AJ33" s="11" t="e">
        <v>#N/A</v>
      </c>
      <c r="AK33" s="11" t="e">
        <v>#N/A</v>
      </c>
      <c r="AL33" s="3">
        <v>3</v>
      </c>
      <c r="AM33" s="3">
        <v>9</v>
      </c>
      <c r="AO33" s="11" t="e">
        <v>#N/A</v>
      </c>
      <c r="AP33" s="11" t="e">
        <v>#N/A</v>
      </c>
      <c r="AQ33" s="3">
        <v>6</v>
      </c>
      <c r="AR33" s="3">
        <v>2</v>
      </c>
      <c r="AT33" s="11" t="e">
        <v>#N/A</v>
      </c>
      <c r="AU33" s="11" t="e">
        <v>#N/A</v>
      </c>
      <c r="AV33" s="3">
        <v>0.36300000548362732</v>
      </c>
      <c r="AW33" s="3">
        <v>6.0000000521540642E-3</v>
      </c>
      <c r="AY33" s="11" t="e">
        <v>#N/A</v>
      </c>
      <c r="AZ33" s="11" t="e">
        <v>#N/A</v>
      </c>
      <c r="BA33" s="3">
        <v>0</v>
      </c>
      <c r="BB33" s="3">
        <v>0</v>
      </c>
      <c r="BD33" s="11" t="e">
        <v>#N/A</v>
      </c>
      <c r="BE33" s="11" t="e">
        <v>#N/A</v>
      </c>
      <c r="BF33" s="3">
        <v>0</v>
      </c>
      <c r="BG33" s="3">
        <v>0</v>
      </c>
      <c r="BI33" s="11" t="e">
        <v>#N/A</v>
      </c>
      <c r="BJ33" s="11" t="e">
        <v>#N/A</v>
      </c>
      <c r="BK33" s="3">
        <v>0</v>
      </c>
      <c r="BL33" s="3">
        <v>0</v>
      </c>
      <c r="BN33" s="11" t="e">
        <v>#N/A</v>
      </c>
      <c r="BO33" s="11" t="e">
        <v>#N/A</v>
      </c>
      <c r="BP33" s="3">
        <v>0</v>
      </c>
      <c r="BQ33" s="3">
        <v>0</v>
      </c>
      <c r="BS33" s="11" t="e">
        <v>#N/A</v>
      </c>
      <c r="BT33" s="11" t="e">
        <v>#N/A</v>
      </c>
      <c r="BU33" s="3">
        <v>4.0149999999999997</v>
      </c>
      <c r="BV33" s="3">
        <v>4.0149999999999997</v>
      </c>
      <c r="BX33" s="11" t="e">
        <v>#N/A</v>
      </c>
      <c r="BY33" s="11" t="e">
        <v>#N/A</v>
      </c>
      <c r="BZ33" s="3">
        <v>0</v>
      </c>
      <c r="CA33" s="3">
        <v>0</v>
      </c>
      <c r="CC33" s="11" t="e">
        <v>#N/A</v>
      </c>
      <c r="CD33" s="11" t="e">
        <v>#N/A</v>
      </c>
      <c r="CE33" s="3">
        <v>0</v>
      </c>
      <c r="CF33" s="3">
        <v>0</v>
      </c>
      <c r="CH33" s="11" t="e">
        <v>#N/A</v>
      </c>
      <c r="CI33" s="11" t="e">
        <v>#N/A</v>
      </c>
      <c r="CJ33" s="3">
        <v>0</v>
      </c>
      <c r="CK33" s="3">
        <v>0</v>
      </c>
      <c r="CM33" s="11" t="e">
        <v>#N/A</v>
      </c>
      <c r="CN33" s="11" t="e">
        <v>#N/A</v>
      </c>
      <c r="CO33" s="3">
        <v>0</v>
      </c>
      <c r="CP33" s="3">
        <v>0</v>
      </c>
      <c r="CR33" s="11" t="e">
        <v>#N/A</v>
      </c>
      <c r="CS33" s="11" t="e">
        <v>#N/A</v>
      </c>
      <c r="CT33" s="3">
        <v>4.0149999999999997</v>
      </c>
      <c r="CU33" s="3">
        <v>4.0149999999999997</v>
      </c>
    </row>
    <row r="34" spans="1:99" s="3" customFormat="1" x14ac:dyDescent="0.35">
      <c r="A34" s="2" t="s">
        <v>24</v>
      </c>
      <c r="B34" s="2">
        <v>5.916666666666667</v>
      </c>
      <c r="C34" s="2" t="s">
        <v>168</v>
      </c>
      <c r="D34" s="2" t="s">
        <v>403</v>
      </c>
      <c r="F34" s="3">
        <v>4.016</v>
      </c>
      <c r="G34" s="11" t="e">
        <v>#N/A</v>
      </c>
      <c r="H34" s="3">
        <v>4.0149999999999997</v>
      </c>
      <c r="I34" s="3">
        <v>4.0149999999999997</v>
      </c>
      <c r="K34" s="3">
        <v>3.665</v>
      </c>
      <c r="L34" s="11" t="e">
        <v>#N/A</v>
      </c>
      <c r="M34" s="3">
        <v>3.3160000000000003</v>
      </c>
      <c r="N34" s="3">
        <v>3.5649999999999999</v>
      </c>
      <c r="P34" s="3">
        <v>0.56700000166893005</v>
      </c>
      <c r="Q34" s="11" t="e">
        <v>#N/A</v>
      </c>
      <c r="R34" s="3">
        <v>1.7839995622634888</v>
      </c>
      <c r="S34" s="3">
        <v>1</v>
      </c>
      <c r="U34" s="3">
        <v>4</v>
      </c>
      <c r="V34" s="11" t="e">
        <v>#N/A</v>
      </c>
      <c r="W34" s="3">
        <v>8</v>
      </c>
      <c r="X34" s="3">
        <v>5</v>
      </c>
      <c r="Z34" s="3">
        <v>2.9820000000000002</v>
      </c>
      <c r="AA34" s="11" t="e">
        <v>#N/A</v>
      </c>
      <c r="AB34" s="3">
        <v>3.282</v>
      </c>
      <c r="AC34" s="3">
        <v>2.9160000000000004</v>
      </c>
      <c r="AE34" s="3">
        <v>0.56700000166893005</v>
      </c>
      <c r="AF34" s="11" t="e">
        <v>#N/A</v>
      </c>
      <c r="AG34" s="3">
        <v>1.7839995622634888</v>
      </c>
      <c r="AH34" s="3">
        <v>0.89999997615814209</v>
      </c>
      <c r="AJ34" s="3">
        <v>4</v>
      </c>
      <c r="AK34" s="11" t="e">
        <v>#N/A</v>
      </c>
      <c r="AL34" s="3">
        <v>8</v>
      </c>
      <c r="AM34" s="3">
        <v>4</v>
      </c>
      <c r="AO34" s="3">
        <v>5</v>
      </c>
      <c r="AP34" s="11" t="e">
        <v>#N/A</v>
      </c>
      <c r="AQ34" s="3">
        <v>2</v>
      </c>
      <c r="AR34" s="3">
        <v>5</v>
      </c>
      <c r="AT34" s="3">
        <v>0.39500001072883606</v>
      </c>
      <c r="AU34" s="11" t="e">
        <v>#N/A</v>
      </c>
      <c r="AV34" s="3">
        <v>0.68500000238418579</v>
      </c>
      <c r="AW34" s="3">
        <v>0.28700000047683716</v>
      </c>
      <c r="AY34" s="3">
        <v>1.6999999999999904E-2</v>
      </c>
      <c r="AZ34" s="11" t="e">
        <v>#N/A</v>
      </c>
      <c r="BA34" s="3">
        <v>1.1170000000000004</v>
      </c>
      <c r="BB34" s="3">
        <v>0.3680000000000001</v>
      </c>
      <c r="BD34" s="3">
        <v>0</v>
      </c>
      <c r="BE34" s="11" t="e">
        <v>#N/A</v>
      </c>
      <c r="BF34" s="3">
        <v>1.1659996509552002</v>
      </c>
      <c r="BG34" s="3">
        <v>0.19999992847442627</v>
      </c>
      <c r="BI34" s="3">
        <v>0</v>
      </c>
      <c r="BJ34" s="11" t="e">
        <v>#N/A</v>
      </c>
      <c r="BK34" s="3">
        <v>5</v>
      </c>
      <c r="BL34" s="3">
        <v>1</v>
      </c>
      <c r="BN34" s="3">
        <v>9</v>
      </c>
      <c r="BO34" s="11" t="e">
        <v>#N/A</v>
      </c>
      <c r="BP34" s="3">
        <v>11</v>
      </c>
      <c r="BQ34" s="3">
        <v>10</v>
      </c>
      <c r="BS34" s="3">
        <v>4.016</v>
      </c>
      <c r="BT34" s="11" t="e">
        <v>#N/A</v>
      </c>
      <c r="BU34" s="3">
        <v>2.502000093460083</v>
      </c>
      <c r="BV34" s="3">
        <v>0.80400002002716064</v>
      </c>
      <c r="BX34" s="3">
        <v>0.21599999999999975</v>
      </c>
      <c r="BY34" s="11" t="e">
        <v>#N/A</v>
      </c>
      <c r="BZ34" s="3">
        <v>0.20000000000000007</v>
      </c>
      <c r="CA34" s="3">
        <v>0.18300000000000027</v>
      </c>
      <c r="CC34" s="3">
        <v>0.15000009536743164</v>
      </c>
      <c r="CD34" s="11" t="e">
        <v>#N/A</v>
      </c>
      <c r="CE34" s="3">
        <v>0.21700000762939453</v>
      </c>
      <c r="CF34" s="3">
        <v>0</v>
      </c>
      <c r="CH34" s="3">
        <v>1</v>
      </c>
      <c r="CI34" s="11" t="e">
        <v>#N/A</v>
      </c>
      <c r="CJ34" s="3">
        <v>1</v>
      </c>
      <c r="CK34" s="3">
        <v>0</v>
      </c>
      <c r="CM34" s="3">
        <v>4</v>
      </c>
      <c r="CN34" s="11" t="e">
        <v>#N/A</v>
      </c>
      <c r="CO34" s="3">
        <v>2</v>
      </c>
      <c r="CP34" s="3">
        <v>4</v>
      </c>
      <c r="CR34" s="3">
        <v>3.5109999179840088</v>
      </c>
      <c r="CS34" s="11" t="e">
        <v>#N/A</v>
      </c>
      <c r="CT34" s="3">
        <v>0.68500000238418579</v>
      </c>
      <c r="CU34" s="3">
        <v>4.0149999999999997</v>
      </c>
    </row>
    <row r="35" spans="1:99" s="3" customFormat="1" x14ac:dyDescent="0.35">
      <c r="A35" s="2" t="s">
        <v>39</v>
      </c>
      <c r="B35" s="2">
        <v>6.083333333333333</v>
      </c>
      <c r="C35" s="2" t="s">
        <v>167</v>
      </c>
      <c r="D35" s="2" t="s">
        <v>403</v>
      </c>
      <c r="F35" s="3">
        <v>4.016</v>
      </c>
      <c r="G35" s="3">
        <v>4.016</v>
      </c>
      <c r="H35" s="3">
        <v>4.016</v>
      </c>
      <c r="I35" s="3">
        <v>4.0149999999999997</v>
      </c>
      <c r="K35" s="3">
        <v>3.6820000000000004</v>
      </c>
      <c r="L35" s="3">
        <v>3.9989999999999997</v>
      </c>
      <c r="M35" s="3">
        <v>3.6649999999999996</v>
      </c>
      <c r="N35" s="3">
        <v>3.9989999999999997</v>
      </c>
      <c r="P35" s="3">
        <v>2.914999932050705</v>
      </c>
      <c r="Q35" s="3">
        <v>3.796000019647181</v>
      </c>
      <c r="R35" s="3">
        <v>3.5640000700950623</v>
      </c>
      <c r="S35" s="3">
        <v>3.7820001104846597</v>
      </c>
      <c r="U35" s="3">
        <v>9</v>
      </c>
      <c r="V35" s="3">
        <v>13</v>
      </c>
      <c r="W35" s="3">
        <v>7</v>
      </c>
      <c r="X35" s="3">
        <v>11</v>
      </c>
      <c r="Z35" s="3">
        <v>3.6660000000000004</v>
      </c>
      <c r="AA35" s="3">
        <v>3.9989999999999997</v>
      </c>
      <c r="AB35" s="3">
        <v>3.6649999999999996</v>
      </c>
      <c r="AC35" s="3">
        <v>3.3989999999999996</v>
      </c>
      <c r="AE35" s="3">
        <v>2.914999932050705</v>
      </c>
      <c r="AF35" s="3">
        <v>3.796000019647181</v>
      </c>
      <c r="AG35" s="3">
        <v>3.5640000700950623</v>
      </c>
      <c r="AH35" s="3">
        <v>3.2660000780597329</v>
      </c>
      <c r="AJ35" s="3">
        <v>9</v>
      </c>
      <c r="AK35" s="3">
        <v>13</v>
      </c>
      <c r="AL35" s="3">
        <v>7</v>
      </c>
      <c r="AM35" s="3">
        <v>10</v>
      </c>
      <c r="AO35" s="3">
        <v>1</v>
      </c>
      <c r="AP35" s="3">
        <v>1</v>
      </c>
      <c r="AQ35" s="3">
        <v>1</v>
      </c>
      <c r="AR35" s="3">
        <v>2</v>
      </c>
      <c r="AT35" s="3">
        <v>0.40999999642372131</v>
      </c>
      <c r="AU35" s="3">
        <v>8.0000003799796104E-3</v>
      </c>
      <c r="AV35" s="3">
        <v>0.34700000286102295</v>
      </c>
      <c r="AW35" s="3">
        <v>8.0000003799796104E-3</v>
      </c>
      <c r="AY35" s="3">
        <v>1.5659999999999998</v>
      </c>
      <c r="AZ35" s="3">
        <v>1.1989999999999998</v>
      </c>
      <c r="BA35" s="3">
        <v>2.7989999999999995</v>
      </c>
      <c r="BB35" s="3">
        <v>1.0659999999999998</v>
      </c>
      <c r="BD35" s="3">
        <v>1.666000097990036</v>
      </c>
      <c r="BE35" s="3">
        <v>1.2649999260902405</v>
      </c>
      <c r="BF35" s="3">
        <v>3.1310001015663147</v>
      </c>
      <c r="BG35" s="3">
        <v>1.1500000357627869</v>
      </c>
      <c r="BI35" s="3">
        <v>5</v>
      </c>
      <c r="BJ35" s="3">
        <v>6</v>
      </c>
      <c r="BK35" s="3">
        <v>6</v>
      </c>
      <c r="BL35" s="3">
        <v>3</v>
      </c>
      <c r="BN35" s="3">
        <v>4</v>
      </c>
      <c r="BO35" s="3">
        <v>4</v>
      </c>
      <c r="BP35" s="3">
        <v>2</v>
      </c>
      <c r="BQ35" s="3">
        <v>2</v>
      </c>
      <c r="BS35" s="3">
        <v>0.40999999642372131</v>
      </c>
      <c r="BT35" s="3">
        <v>0.57499998807907104</v>
      </c>
      <c r="BU35" s="3">
        <v>0.34700000286102295</v>
      </c>
      <c r="BV35" s="3">
        <v>0.49099999666213989</v>
      </c>
      <c r="BX35" s="3">
        <v>0.25</v>
      </c>
      <c r="BY35" s="3">
        <v>0</v>
      </c>
      <c r="BZ35" s="3">
        <v>0</v>
      </c>
      <c r="CA35" s="3">
        <v>0.11699999999999999</v>
      </c>
      <c r="CC35" s="3">
        <v>0.33299994468688965</v>
      </c>
      <c r="CD35" s="3">
        <v>0</v>
      </c>
      <c r="CE35" s="3">
        <v>0</v>
      </c>
      <c r="CF35" s="3">
        <v>0</v>
      </c>
      <c r="CH35" s="3">
        <v>1</v>
      </c>
      <c r="CI35" s="3">
        <v>0</v>
      </c>
      <c r="CJ35" s="3">
        <v>0</v>
      </c>
      <c r="CK35" s="3">
        <v>0</v>
      </c>
      <c r="CM35" s="3">
        <v>1</v>
      </c>
      <c r="CN35" s="3">
        <v>0</v>
      </c>
      <c r="CO35" s="3">
        <v>0</v>
      </c>
      <c r="CP35" s="3">
        <v>1</v>
      </c>
      <c r="CR35" s="3">
        <v>3.4430000782012939</v>
      </c>
      <c r="CS35" s="3">
        <v>4.016</v>
      </c>
      <c r="CT35" s="3">
        <v>4.016</v>
      </c>
      <c r="CU35" s="3">
        <v>4.0149999999999997</v>
      </c>
    </row>
    <row r="36" spans="1:99" s="3" customFormat="1" x14ac:dyDescent="0.35">
      <c r="A36" s="2" t="s">
        <v>1</v>
      </c>
      <c r="B36" s="2">
        <v>6.166666666666667</v>
      </c>
      <c r="C36" s="2" t="s">
        <v>167</v>
      </c>
      <c r="D36" s="2" t="s">
        <v>403</v>
      </c>
      <c r="F36" s="3" t="e">
        <v>#N/A</v>
      </c>
      <c r="G36" s="11" t="e">
        <v>#N/A</v>
      </c>
      <c r="H36" s="3">
        <v>4.016</v>
      </c>
      <c r="I36" s="3">
        <v>4.0090000000000003</v>
      </c>
      <c r="K36" s="3">
        <v>2.7320000000000002</v>
      </c>
      <c r="L36" s="11" t="e">
        <v>#N/A</v>
      </c>
      <c r="M36" s="3">
        <v>3.9990000000000006</v>
      </c>
      <c r="N36" s="3">
        <v>3.9990000000000001</v>
      </c>
      <c r="P36" s="3">
        <v>2.2989997249096632</v>
      </c>
      <c r="Q36" s="11" t="e">
        <v>#N/A</v>
      </c>
      <c r="R36" s="3">
        <v>3.5659999588970095</v>
      </c>
      <c r="S36" s="3">
        <v>2.9839999303221703</v>
      </c>
      <c r="U36" s="3">
        <v>9</v>
      </c>
      <c r="V36" s="11" t="e">
        <v>#N/A</v>
      </c>
      <c r="W36" s="3">
        <v>14</v>
      </c>
      <c r="X36" s="3">
        <v>15</v>
      </c>
      <c r="Z36" s="3">
        <v>2.7320000000000002</v>
      </c>
      <c r="AA36" s="11" t="e">
        <v>#N/A</v>
      </c>
      <c r="AB36" s="3">
        <v>3.9990000000000006</v>
      </c>
      <c r="AC36" s="3">
        <v>3.7160000000000002</v>
      </c>
      <c r="AE36" s="3">
        <v>2.2989997249096632</v>
      </c>
      <c r="AF36" s="11" t="e">
        <v>#N/A</v>
      </c>
      <c r="AG36" s="3">
        <v>3.5659999588970095</v>
      </c>
      <c r="AH36" s="3">
        <v>2.9839999303221703</v>
      </c>
      <c r="AJ36" s="3">
        <v>9</v>
      </c>
      <c r="AK36" s="11" t="e">
        <v>#N/A</v>
      </c>
      <c r="AL36" s="3">
        <v>14</v>
      </c>
      <c r="AM36" s="3">
        <v>15</v>
      </c>
      <c r="AO36" s="3">
        <v>1</v>
      </c>
      <c r="AP36" s="11" t="e">
        <v>#N/A</v>
      </c>
      <c r="AQ36" s="3">
        <v>1</v>
      </c>
      <c r="AR36" s="3">
        <v>2</v>
      </c>
      <c r="AT36" s="3">
        <v>1.4000000432133675E-2</v>
      </c>
      <c r="AU36" s="11" t="e">
        <v>#N/A</v>
      </c>
      <c r="AV36" s="3">
        <v>2.0000000949949026E-3</v>
      </c>
      <c r="AW36" s="3">
        <v>2.6000000536441803E-2</v>
      </c>
      <c r="AY36" s="3">
        <v>0.9830000000000001</v>
      </c>
      <c r="AZ36" s="11" t="e">
        <v>#N/A</v>
      </c>
      <c r="BA36" s="3">
        <v>0.80099999999999949</v>
      </c>
      <c r="BB36" s="3">
        <v>2.0499999999999994</v>
      </c>
      <c r="BD36" s="3">
        <v>0.98399972915649414</v>
      </c>
      <c r="BE36" s="11" t="e">
        <v>#N/A</v>
      </c>
      <c r="BF36" s="3">
        <v>0.61599981784820557</v>
      </c>
      <c r="BG36" s="3">
        <v>1.9170000851154327</v>
      </c>
      <c r="BI36" s="3">
        <v>4</v>
      </c>
      <c r="BJ36" s="11" t="e">
        <v>#N/A</v>
      </c>
      <c r="BK36" s="3">
        <v>3</v>
      </c>
      <c r="BL36" s="3">
        <v>9</v>
      </c>
      <c r="BN36" s="3">
        <v>2</v>
      </c>
      <c r="BO36" s="11" t="e">
        <v>#N/A</v>
      </c>
      <c r="BP36" s="3">
        <v>5</v>
      </c>
      <c r="BQ36" s="3">
        <v>6</v>
      </c>
      <c r="BS36" s="3">
        <v>1.2460000514984131</v>
      </c>
      <c r="BT36" s="11" t="e">
        <v>#N/A</v>
      </c>
      <c r="BU36" s="3">
        <v>1.6019999980926514</v>
      </c>
      <c r="BV36" s="3">
        <v>0.35899999737739563</v>
      </c>
      <c r="BX36" s="3">
        <v>6.7000000000000004E-2</v>
      </c>
      <c r="BY36" s="11" t="e">
        <v>#N/A</v>
      </c>
      <c r="BZ36" s="3">
        <v>0</v>
      </c>
      <c r="CA36" s="3">
        <v>0</v>
      </c>
      <c r="CC36" s="3">
        <v>0</v>
      </c>
      <c r="CD36" s="11" t="e">
        <v>#N/A</v>
      </c>
      <c r="CE36" s="3">
        <v>0</v>
      </c>
      <c r="CF36" s="3">
        <v>0</v>
      </c>
      <c r="CH36" s="3">
        <v>0</v>
      </c>
      <c r="CI36" s="11" t="e">
        <v>#N/A</v>
      </c>
      <c r="CJ36" s="3">
        <v>0</v>
      </c>
      <c r="CK36" s="3">
        <v>0</v>
      </c>
      <c r="CM36" s="3">
        <v>3</v>
      </c>
      <c r="CN36" s="11" t="e">
        <v>#N/A</v>
      </c>
      <c r="CO36" s="3">
        <v>0</v>
      </c>
      <c r="CP36" s="3">
        <v>0</v>
      </c>
      <c r="CR36" s="3">
        <v>4.0149999999999997</v>
      </c>
      <c r="CS36" s="11" t="e">
        <v>#N/A</v>
      </c>
      <c r="CT36" s="3">
        <v>4.016</v>
      </c>
      <c r="CU36" s="3">
        <v>4.0090000000000003</v>
      </c>
    </row>
    <row r="37" spans="1:99" s="3" customFormat="1" x14ac:dyDescent="0.35">
      <c r="A37" s="2" t="s">
        <v>70</v>
      </c>
      <c r="B37" s="2">
        <v>6.166666666666667</v>
      </c>
      <c r="C37" s="2" t="s">
        <v>168</v>
      </c>
      <c r="D37" s="2" t="s">
        <v>403</v>
      </c>
      <c r="F37" s="3">
        <v>4.0090000000000003</v>
      </c>
      <c r="G37" s="3">
        <v>4.0149999999999997</v>
      </c>
      <c r="H37" s="3">
        <v>4.01</v>
      </c>
      <c r="I37" s="3" t="e">
        <v>#N/A</v>
      </c>
      <c r="K37" s="3">
        <v>3.5819999999999999</v>
      </c>
      <c r="L37" s="3">
        <v>3.9989999999999997</v>
      </c>
      <c r="M37" s="3">
        <v>3.9830000000000001</v>
      </c>
      <c r="N37" s="11" t="e">
        <v>#N/A</v>
      </c>
      <c r="P37" s="3">
        <v>2.8989995419979095</v>
      </c>
      <c r="Q37" s="3">
        <v>3.0820001326501369</v>
      </c>
      <c r="R37" s="3">
        <v>3.3839996103197336</v>
      </c>
      <c r="S37" s="11" t="e">
        <v>#N/A</v>
      </c>
      <c r="U37" s="3">
        <v>8</v>
      </c>
      <c r="V37" s="3">
        <v>10</v>
      </c>
      <c r="W37" s="3">
        <v>9</v>
      </c>
      <c r="X37" s="11" t="e">
        <v>#N/A</v>
      </c>
      <c r="Z37" s="3">
        <v>3.4489999999999998</v>
      </c>
      <c r="AA37" s="3">
        <v>3.9989999999999997</v>
      </c>
      <c r="AB37" s="3">
        <v>3.7</v>
      </c>
      <c r="AC37" s="11" t="e">
        <v>#N/A</v>
      </c>
      <c r="AE37" s="3">
        <v>2.8989995419979095</v>
      </c>
      <c r="AF37" s="3">
        <v>3.0820001326501369</v>
      </c>
      <c r="AG37" s="3">
        <v>3.3839996103197336</v>
      </c>
      <c r="AH37" s="11" t="e">
        <v>#N/A</v>
      </c>
      <c r="AJ37" s="3">
        <v>8</v>
      </c>
      <c r="AK37" s="3">
        <v>10</v>
      </c>
      <c r="AL37" s="3">
        <v>9</v>
      </c>
      <c r="AM37" s="11" t="e">
        <v>#N/A</v>
      </c>
      <c r="AO37" s="3">
        <v>2</v>
      </c>
      <c r="AP37" s="3">
        <v>1</v>
      </c>
      <c r="AQ37" s="3">
        <v>2</v>
      </c>
      <c r="AR37" s="11" t="e">
        <v>#N/A</v>
      </c>
      <c r="AT37" s="3">
        <v>0.44600000977516174</v>
      </c>
      <c r="AU37" s="3">
        <v>1.3000000268220901E-2</v>
      </c>
      <c r="AV37" s="3">
        <v>1.2000000104308128E-2</v>
      </c>
      <c r="AW37" s="11" t="e">
        <v>#N/A</v>
      </c>
      <c r="AY37" s="3">
        <v>0.89900000000000002</v>
      </c>
      <c r="AZ37" s="3">
        <v>1.5</v>
      </c>
      <c r="BA37" s="3">
        <v>1.133</v>
      </c>
      <c r="BB37" s="11" t="e">
        <v>#N/A</v>
      </c>
      <c r="BD37" s="3">
        <v>0.88199973106384277</v>
      </c>
      <c r="BE37" s="3">
        <v>1.4169999659061432</v>
      </c>
      <c r="BF37" s="3">
        <v>1.2509998083114624</v>
      </c>
      <c r="BG37" s="11" t="e">
        <v>#N/A</v>
      </c>
      <c r="BI37" s="3">
        <v>2</v>
      </c>
      <c r="BJ37" s="3">
        <v>4</v>
      </c>
      <c r="BK37" s="3">
        <v>4</v>
      </c>
      <c r="BL37" s="11" t="e">
        <v>#N/A</v>
      </c>
      <c r="BN37" s="3">
        <v>2</v>
      </c>
      <c r="BO37" s="3">
        <v>3</v>
      </c>
      <c r="BP37" s="3">
        <v>2</v>
      </c>
      <c r="BQ37" s="11" t="e">
        <v>#N/A</v>
      </c>
      <c r="BS37" s="3">
        <v>1.8459999561309814</v>
      </c>
      <c r="BT37" s="3">
        <v>0.42899999022483826</v>
      </c>
      <c r="BU37" s="3">
        <v>1.2450000047683716</v>
      </c>
      <c r="BV37" s="11" t="e">
        <v>#N/A</v>
      </c>
      <c r="BX37" s="3">
        <v>0.56700000000000017</v>
      </c>
      <c r="BY37" s="3">
        <v>0</v>
      </c>
      <c r="BZ37" s="3">
        <v>0.53300000000000047</v>
      </c>
      <c r="CA37" s="11" t="e">
        <v>#N/A</v>
      </c>
      <c r="CC37" s="3">
        <v>0.40100002288818359</v>
      </c>
      <c r="CD37" s="3">
        <v>0</v>
      </c>
      <c r="CE37" s="3">
        <v>0.61699998378753662</v>
      </c>
      <c r="CF37" s="11" t="e">
        <v>#N/A</v>
      </c>
      <c r="CH37" s="3">
        <v>2</v>
      </c>
      <c r="CI37" s="3">
        <v>0</v>
      </c>
      <c r="CJ37" s="3">
        <v>2</v>
      </c>
      <c r="CK37" s="11" t="e">
        <v>#N/A</v>
      </c>
      <c r="CM37" s="3">
        <v>5</v>
      </c>
      <c r="CN37" s="3">
        <v>2</v>
      </c>
      <c r="CO37" s="3">
        <v>3</v>
      </c>
      <c r="CP37" s="11" t="e">
        <v>#N/A</v>
      </c>
      <c r="CR37" s="3">
        <v>1.3619999885559082</v>
      </c>
      <c r="CS37" s="3">
        <v>4.0149999999999997</v>
      </c>
      <c r="CT37" s="3">
        <v>0.79600000381469727</v>
      </c>
      <c r="CU37" s="11" t="e">
        <v>#N/A</v>
      </c>
    </row>
    <row r="38" spans="1:99" s="3" customFormat="1" x14ac:dyDescent="0.35">
      <c r="A38" s="2" t="s">
        <v>83</v>
      </c>
      <c r="B38" s="2">
        <v>6.166666666666667</v>
      </c>
      <c r="C38" s="2" t="s">
        <v>168</v>
      </c>
      <c r="D38" s="2" t="s">
        <v>403</v>
      </c>
      <c r="F38" s="3">
        <v>4.0170000000000003</v>
      </c>
      <c r="G38" s="3">
        <v>4.0149999999999997</v>
      </c>
      <c r="H38" s="3">
        <v>4.0049999999999999</v>
      </c>
      <c r="I38" s="3">
        <v>4.016</v>
      </c>
      <c r="K38" s="3">
        <v>3.5829999999999997</v>
      </c>
      <c r="L38" s="3">
        <v>3.9829999999999997</v>
      </c>
      <c r="M38" s="3">
        <v>3.7160000000000002</v>
      </c>
      <c r="N38" s="3">
        <v>3.9660000000000002</v>
      </c>
      <c r="P38" s="3">
        <v>3.0819995999336243</v>
      </c>
      <c r="Q38" s="3">
        <v>3.3009998295456171</v>
      </c>
      <c r="R38" s="3">
        <v>2.8649995643645525</v>
      </c>
      <c r="S38" s="3">
        <v>3.1300000121118501</v>
      </c>
      <c r="U38" s="3">
        <v>7</v>
      </c>
      <c r="V38" s="3">
        <v>8</v>
      </c>
      <c r="W38" s="3">
        <v>8</v>
      </c>
      <c r="X38" s="3">
        <v>8</v>
      </c>
      <c r="Z38" s="3">
        <v>3.5829999999999997</v>
      </c>
      <c r="AA38" s="3">
        <v>3.1169999999999991</v>
      </c>
      <c r="AB38" s="3">
        <v>3.6989999999999998</v>
      </c>
      <c r="AC38" s="3">
        <v>3.4990000000000001</v>
      </c>
      <c r="AE38" s="3">
        <v>3.0819995999336243</v>
      </c>
      <c r="AF38" s="3">
        <v>2.7009999249130487</v>
      </c>
      <c r="AG38" s="3">
        <v>2.8649995643645525</v>
      </c>
      <c r="AH38" s="3">
        <v>3.1300000121118501</v>
      </c>
      <c r="AJ38" s="3">
        <v>7</v>
      </c>
      <c r="AK38" s="3">
        <v>7</v>
      </c>
      <c r="AL38" s="3">
        <v>8</v>
      </c>
      <c r="AM38" s="3">
        <v>8</v>
      </c>
      <c r="AO38" s="3">
        <v>1</v>
      </c>
      <c r="AP38" s="3">
        <v>3</v>
      </c>
      <c r="AQ38" s="3">
        <v>1</v>
      </c>
      <c r="AR38" s="3">
        <v>4</v>
      </c>
      <c r="AT38" s="3">
        <v>0.37999999523162842</v>
      </c>
      <c r="AU38" s="3">
        <v>2.7000000700354576E-2</v>
      </c>
      <c r="AV38" s="3">
        <v>1.6000000759959221E-2</v>
      </c>
      <c r="AW38" s="3">
        <v>1.0000000474974513E-3</v>
      </c>
      <c r="AY38" s="3">
        <v>1.1839999999999999</v>
      </c>
      <c r="AZ38" s="3">
        <v>0.96599999999999919</v>
      </c>
      <c r="BA38" s="3">
        <v>0.33299999999999974</v>
      </c>
      <c r="BB38" s="3">
        <v>0.35000000000000003</v>
      </c>
      <c r="BD38" s="3">
        <v>1.1000000238418579</v>
      </c>
      <c r="BE38" s="3">
        <v>1.5500000715255737</v>
      </c>
      <c r="BF38" s="3">
        <v>0</v>
      </c>
      <c r="BG38" s="3">
        <v>0.58299994468688965</v>
      </c>
      <c r="BI38" s="3">
        <v>2</v>
      </c>
      <c r="BJ38" s="3">
        <v>3</v>
      </c>
      <c r="BK38" s="3">
        <v>0</v>
      </c>
      <c r="BL38" s="3">
        <v>1</v>
      </c>
      <c r="BN38" s="3">
        <v>3</v>
      </c>
      <c r="BO38" s="3">
        <v>7</v>
      </c>
      <c r="BP38" s="3">
        <v>3</v>
      </c>
      <c r="BQ38" s="3">
        <v>3</v>
      </c>
      <c r="BS38" s="3">
        <v>0.89600002765655518</v>
      </c>
      <c r="BT38" s="3">
        <v>0.86000001430511475</v>
      </c>
      <c r="BU38" s="3">
        <v>4.0049999999999999</v>
      </c>
      <c r="BV38" s="3">
        <v>2.3340001106262207</v>
      </c>
      <c r="BX38" s="3">
        <v>5.0000000000000044E-2</v>
      </c>
      <c r="BY38" s="3">
        <v>1.7000000000000015E-2</v>
      </c>
      <c r="BZ38" s="3">
        <v>3.4000000000000252E-2</v>
      </c>
      <c r="CA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0</v>
      </c>
      <c r="CI38" s="3">
        <v>0</v>
      </c>
      <c r="CJ38" s="3">
        <v>0</v>
      </c>
      <c r="CK38" s="3">
        <v>0</v>
      </c>
      <c r="CM38" s="3">
        <v>1</v>
      </c>
      <c r="CN38" s="3">
        <v>2</v>
      </c>
      <c r="CO38" s="3">
        <v>1</v>
      </c>
      <c r="CP38" s="3">
        <v>1</v>
      </c>
      <c r="CR38" s="3">
        <v>4.0170000000000003</v>
      </c>
      <c r="CS38" s="3">
        <v>4.0149999999999997</v>
      </c>
      <c r="CT38" s="3">
        <v>4.0049999999999999</v>
      </c>
      <c r="CU38" s="3">
        <v>4.016</v>
      </c>
    </row>
    <row r="39" spans="1:99" s="3" customFormat="1" x14ac:dyDescent="0.35">
      <c r="A39" s="2" t="s">
        <v>25</v>
      </c>
      <c r="B39" s="2">
        <v>6.25</v>
      </c>
      <c r="C39" s="2" t="s">
        <v>168</v>
      </c>
      <c r="D39" s="2" t="s">
        <v>403</v>
      </c>
      <c r="F39" s="3">
        <v>4.01</v>
      </c>
      <c r="G39" s="3">
        <v>4.0110000000000001</v>
      </c>
      <c r="H39" s="3">
        <v>4.01</v>
      </c>
      <c r="I39" s="3">
        <v>4.0110000000000001</v>
      </c>
      <c r="K39" s="3">
        <v>3.9820000000000002</v>
      </c>
      <c r="L39" s="3">
        <v>3.9830000000000001</v>
      </c>
      <c r="M39" s="3">
        <v>3.9989999999999997</v>
      </c>
      <c r="N39" s="3">
        <v>3.9989999999999997</v>
      </c>
      <c r="P39" s="3">
        <v>3.216000197455287</v>
      </c>
      <c r="Q39" s="3">
        <v>3.0159998536109924</v>
      </c>
      <c r="R39" s="3">
        <v>2.1310001015663147</v>
      </c>
      <c r="S39" s="3">
        <v>2.3310002000071108</v>
      </c>
      <c r="U39" s="3">
        <v>11</v>
      </c>
      <c r="V39" s="3">
        <v>13</v>
      </c>
      <c r="W39" s="3">
        <v>11</v>
      </c>
      <c r="X39" s="3">
        <v>10</v>
      </c>
      <c r="Z39" s="3">
        <v>3.9820000000000002</v>
      </c>
      <c r="AA39" s="3">
        <v>3.766</v>
      </c>
      <c r="AB39" s="3">
        <v>3.7149999999999994</v>
      </c>
      <c r="AC39" s="3">
        <v>3.9989999999999997</v>
      </c>
      <c r="AE39" s="3">
        <v>3.216000197455287</v>
      </c>
      <c r="AF39" s="3">
        <v>3.0159998536109924</v>
      </c>
      <c r="AG39" s="3">
        <v>2.1310001015663147</v>
      </c>
      <c r="AH39" s="3">
        <v>2.3310002000071108</v>
      </c>
      <c r="AJ39" s="3">
        <v>11</v>
      </c>
      <c r="AK39" s="3">
        <v>13</v>
      </c>
      <c r="AL39" s="3">
        <v>11</v>
      </c>
      <c r="AM39" s="3">
        <v>10</v>
      </c>
      <c r="AO39" s="3">
        <v>1</v>
      </c>
      <c r="AP39" s="3">
        <v>3</v>
      </c>
      <c r="AQ39" s="3">
        <v>3</v>
      </c>
      <c r="AR39" s="3">
        <v>1</v>
      </c>
      <c r="AT39" s="3">
        <v>1.4000000432133675E-2</v>
      </c>
      <c r="AU39" s="3">
        <v>0.11100000143051147</v>
      </c>
      <c r="AV39" s="3">
        <v>2.199999988079071E-2</v>
      </c>
      <c r="AW39" s="3">
        <v>3.0000000260770321E-3</v>
      </c>
      <c r="AY39" s="3">
        <v>0.46600000000000019</v>
      </c>
      <c r="AZ39" s="3">
        <v>0.43199999999999983</v>
      </c>
      <c r="BA39" s="3">
        <v>0.40000000000000013</v>
      </c>
      <c r="BB39" s="3">
        <v>0.96599999999999953</v>
      </c>
      <c r="BD39" s="3">
        <v>0.45000004768371582</v>
      </c>
      <c r="BE39" s="3">
        <v>0.59999984502792358</v>
      </c>
      <c r="BF39" s="3">
        <v>0.38300013542175293</v>
      </c>
      <c r="BG39" s="3">
        <v>0.93300001928582788</v>
      </c>
      <c r="BI39" s="3">
        <v>2</v>
      </c>
      <c r="BJ39" s="3">
        <v>3</v>
      </c>
      <c r="BK39" s="3">
        <v>1</v>
      </c>
      <c r="BL39" s="3">
        <v>3</v>
      </c>
      <c r="BN39" s="3">
        <v>5</v>
      </c>
      <c r="BO39" s="3">
        <v>9</v>
      </c>
      <c r="BP39" s="3">
        <v>3</v>
      </c>
      <c r="BQ39" s="3">
        <v>14</v>
      </c>
      <c r="BS39" s="3">
        <v>1.3300000429153442</v>
      </c>
      <c r="BT39" s="3">
        <v>0.6940000057220459</v>
      </c>
      <c r="BU39" s="3">
        <v>1.937999963760376</v>
      </c>
      <c r="BV39" s="3">
        <v>3.0000000260770321E-3</v>
      </c>
      <c r="BX39" s="3">
        <v>0</v>
      </c>
      <c r="BY39" s="3">
        <v>0</v>
      </c>
      <c r="BZ39" s="3">
        <v>0</v>
      </c>
      <c r="CA39" s="3">
        <v>0</v>
      </c>
      <c r="CC39" s="3">
        <v>0</v>
      </c>
      <c r="CD39" s="3">
        <v>0</v>
      </c>
      <c r="CE39" s="3">
        <v>0</v>
      </c>
      <c r="CF39" s="3">
        <v>0</v>
      </c>
      <c r="CH39" s="3">
        <v>0</v>
      </c>
      <c r="CI39" s="3">
        <v>0</v>
      </c>
      <c r="CJ39" s="3">
        <v>0</v>
      </c>
      <c r="CK39" s="3">
        <v>0</v>
      </c>
      <c r="CM39" s="3">
        <v>0</v>
      </c>
      <c r="CN39" s="3">
        <v>0</v>
      </c>
      <c r="CO39" s="3">
        <v>0</v>
      </c>
      <c r="CP39" s="3">
        <v>0</v>
      </c>
      <c r="CR39" s="3">
        <v>4.01</v>
      </c>
      <c r="CS39" s="3">
        <v>4.0110000000000001</v>
      </c>
      <c r="CT39" s="3">
        <v>4.01</v>
      </c>
      <c r="CU39" s="3">
        <v>4.0110000000000001</v>
      </c>
    </row>
    <row r="40" spans="1:99" s="3" customFormat="1" x14ac:dyDescent="0.35">
      <c r="A40" s="2" t="s">
        <v>51</v>
      </c>
      <c r="B40" s="2">
        <v>6.25</v>
      </c>
      <c r="C40" s="2" t="s">
        <v>167</v>
      </c>
      <c r="D40" s="2" t="s">
        <v>403</v>
      </c>
      <c r="F40" s="11" t="e">
        <v>#N/A</v>
      </c>
      <c r="G40" s="3">
        <v>3.0429999999999997</v>
      </c>
      <c r="H40" s="3">
        <v>4.01</v>
      </c>
      <c r="I40" s="3">
        <v>4.01</v>
      </c>
      <c r="K40" s="11" t="e">
        <v>#N/A</v>
      </c>
      <c r="L40" s="3">
        <v>2.984</v>
      </c>
      <c r="M40" s="3">
        <v>3.9990000000000001</v>
      </c>
      <c r="N40" s="3">
        <v>3.9990000000000001</v>
      </c>
      <c r="P40" s="11" t="e">
        <v>#N/A</v>
      </c>
      <c r="Q40" s="3">
        <v>2.7170000188052654</v>
      </c>
      <c r="R40" s="3">
        <v>3.8310001082718372</v>
      </c>
      <c r="S40" s="3">
        <v>3.0009996294975281</v>
      </c>
      <c r="U40" s="11" t="e">
        <v>#N/A</v>
      </c>
      <c r="V40" s="3">
        <v>10</v>
      </c>
      <c r="W40" s="3">
        <v>10</v>
      </c>
      <c r="X40" s="3">
        <v>10</v>
      </c>
      <c r="Z40" s="11" t="e">
        <v>#N/A</v>
      </c>
      <c r="AA40" s="3">
        <v>3.0169999999999999</v>
      </c>
      <c r="AB40" s="3">
        <v>3.9820000000000002</v>
      </c>
      <c r="AC40" s="3">
        <v>3.6160000000000001</v>
      </c>
      <c r="AE40" s="11" t="e">
        <v>#N/A</v>
      </c>
      <c r="AF40" s="3">
        <v>2.7170000188052654</v>
      </c>
      <c r="AG40" s="3">
        <v>3.8310001082718372</v>
      </c>
      <c r="AH40" s="3">
        <v>3.0009996294975281</v>
      </c>
      <c r="AJ40" s="11" t="e">
        <v>#N/A</v>
      </c>
      <c r="AK40" s="3">
        <v>10</v>
      </c>
      <c r="AL40" s="3">
        <v>10</v>
      </c>
      <c r="AM40" s="3">
        <v>10</v>
      </c>
      <c r="AO40" s="11" t="e">
        <v>#N/A</v>
      </c>
      <c r="AP40" s="3">
        <v>2</v>
      </c>
      <c r="AQ40" s="3">
        <v>1</v>
      </c>
      <c r="AR40" s="3">
        <v>2</v>
      </c>
      <c r="AT40" s="11" t="e">
        <v>#N/A</v>
      </c>
      <c r="AU40" s="3">
        <v>1.3000000268220901E-2</v>
      </c>
      <c r="AV40" s="3">
        <v>1.7000000923871994E-2</v>
      </c>
      <c r="AW40" s="3">
        <v>0.47200000286102295</v>
      </c>
      <c r="AY40" s="11" t="e">
        <v>#N/A</v>
      </c>
      <c r="AZ40" s="3">
        <v>0.43399999999999972</v>
      </c>
      <c r="BA40" s="3">
        <v>2.1659999999999995</v>
      </c>
      <c r="BB40" s="3">
        <v>2.6830000000000003</v>
      </c>
      <c r="BD40" s="11" t="e">
        <v>#N/A</v>
      </c>
      <c r="BE40" s="3">
        <v>0.35000008344650269</v>
      </c>
      <c r="BF40" s="3">
        <v>2.01500004529953</v>
      </c>
      <c r="BG40" s="3">
        <v>2.4009997248649597</v>
      </c>
      <c r="BI40" s="11" t="e">
        <v>#N/A</v>
      </c>
      <c r="BJ40" s="3">
        <v>2</v>
      </c>
      <c r="BK40" s="3">
        <v>6</v>
      </c>
      <c r="BL40" s="3">
        <v>8</v>
      </c>
      <c r="BN40" s="11" t="e">
        <v>#N/A</v>
      </c>
      <c r="BO40" s="3">
        <v>2</v>
      </c>
      <c r="BP40" s="3">
        <v>4</v>
      </c>
      <c r="BQ40" s="3">
        <v>5</v>
      </c>
      <c r="BS40" s="11" t="e">
        <v>#N/A</v>
      </c>
      <c r="BT40" s="3">
        <v>0.56300002336502075</v>
      </c>
      <c r="BU40" s="3">
        <v>0.66699999570846558</v>
      </c>
      <c r="BV40" s="3">
        <v>0.47200000286102295</v>
      </c>
      <c r="BX40" s="11" t="e">
        <v>#N/A</v>
      </c>
      <c r="BY40" s="3">
        <v>0.69999999999999973</v>
      </c>
      <c r="BZ40" s="3">
        <v>0</v>
      </c>
      <c r="CA40" s="3">
        <v>0</v>
      </c>
      <c r="CC40" s="11" t="e">
        <v>#N/A</v>
      </c>
      <c r="CD40" s="3">
        <v>0.6170000433921814</v>
      </c>
      <c r="CE40" s="3">
        <v>0</v>
      </c>
      <c r="CF40" s="3">
        <v>0</v>
      </c>
      <c r="CH40" s="11" t="e">
        <v>#N/A</v>
      </c>
      <c r="CI40" s="3">
        <v>3</v>
      </c>
      <c r="CJ40" s="3">
        <v>0</v>
      </c>
      <c r="CK40" s="3">
        <v>0</v>
      </c>
      <c r="CM40" s="11" t="e">
        <v>#N/A</v>
      </c>
      <c r="CN40" s="3">
        <v>2</v>
      </c>
      <c r="CO40" s="3">
        <v>0</v>
      </c>
      <c r="CP40" s="3">
        <v>1</v>
      </c>
      <c r="CR40" s="11" t="e">
        <v>#N/A</v>
      </c>
      <c r="CS40" s="3">
        <v>0.93000000715255737</v>
      </c>
      <c r="CT40" s="3">
        <v>4.01</v>
      </c>
      <c r="CU40" s="3">
        <v>4.01</v>
      </c>
    </row>
    <row r="41" spans="1:99" s="3" customFormat="1" x14ac:dyDescent="0.35">
      <c r="A41" s="2" t="s">
        <v>87</v>
      </c>
      <c r="B41" s="2">
        <v>6.333333333333333</v>
      </c>
      <c r="C41" s="2" t="s">
        <v>167</v>
      </c>
      <c r="D41" s="2" t="s">
        <v>403</v>
      </c>
      <c r="F41" s="3">
        <v>4.0259999999999998</v>
      </c>
      <c r="G41" s="3">
        <v>4.0359999999999996</v>
      </c>
      <c r="H41" s="3">
        <v>4.0110000000000001</v>
      </c>
      <c r="I41" s="3">
        <v>4.0110000000000001</v>
      </c>
      <c r="K41" s="3">
        <v>4.016</v>
      </c>
      <c r="L41" s="3">
        <v>4.016</v>
      </c>
      <c r="M41" s="3">
        <v>3.9990000000000001</v>
      </c>
      <c r="N41" s="3">
        <v>3.9990000000000001</v>
      </c>
      <c r="P41" s="3">
        <v>3.7840004344470799</v>
      </c>
      <c r="Q41" s="3">
        <v>3.2989995554089546</v>
      </c>
      <c r="R41" s="3">
        <v>3.5169996400363743</v>
      </c>
      <c r="S41" s="3">
        <v>3.380999862216413</v>
      </c>
      <c r="U41" s="3">
        <v>8</v>
      </c>
      <c r="V41" s="3">
        <v>8</v>
      </c>
      <c r="W41" s="3">
        <v>10</v>
      </c>
      <c r="X41" s="3">
        <v>10</v>
      </c>
      <c r="Z41" s="3">
        <v>4.016</v>
      </c>
      <c r="AA41" s="3">
        <v>3.5150000000000006</v>
      </c>
      <c r="AB41" s="3">
        <v>3.9990000000000001</v>
      </c>
      <c r="AC41" s="3">
        <v>3.9990000000000001</v>
      </c>
      <c r="AE41" s="3">
        <v>3.7840004344470799</v>
      </c>
      <c r="AF41" s="3">
        <v>3.2989995554089546</v>
      </c>
      <c r="AG41" s="3">
        <v>3.5169996400363743</v>
      </c>
      <c r="AH41" s="3">
        <v>3.380999862216413</v>
      </c>
      <c r="AJ41" s="3">
        <v>8</v>
      </c>
      <c r="AK41" s="3">
        <v>8</v>
      </c>
      <c r="AL41" s="3">
        <v>10</v>
      </c>
      <c r="AM41" s="3">
        <v>10</v>
      </c>
      <c r="AO41" s="3">
        <v>1</v>
      </c>
      <c r="AP41" s="3">
        <v>3</v>
      </c>
      <c r="AQ41" s="3">
        <v>1</v>
      </c>
      <c r="AR41" s="3">
        <v>1</v>
      </c>
      <c r="AT41" s="3">
        <v>4.0000001899898052E-3</v>
      </c>
      <c r="AU41" s="3">
        <v>1.0999999940395355E-2</v>
      </c>
      <c r="AV41" s="3">
        <v>4.0000001899898052E-3</v>
      </c>
      <c r="AW41" s="3">
        <v>7.0000002160668373E-3</v>
      </c>
      <c r="AY41" s="3">
        <v>1.3330000000000006</v>
      </c>
      <c r="AZ41" s="3">
        <v>2.2670000000000008</v>
      </c>
      <c r="BA41" s="3">
        <v>2.8840000000000003</v>
      </c>
      <c r="BB41" s="3">
        <v>1.532</v>
      </c>
      <c r="BD41" s="3">
        <v>1.3680000682361424</v>
      </c>
      <c r="BE41" s="3">
        <v>2.1669998168945313</v>
      </c>
      <c r="BF41" s="3">
        <v>2.217999666929245</v>
      </c>
      <c r="BG41" s="3">
        <v>1.532999575138092</v>
      </c>
      <c r="BI41" s="3">
        <v>3</v>
      </c>
      <c r="BJ41" s="3">
        <v>5</v>
      </c>
      <c r="BK41" s="3">
        <v>8</v>
      </c>
      <c r="BL41" s="3">
        <v>5</v>
      </c>
      <c r="BN41" s="3">
        <v>5</v>
      </c>
      <c r="BO41" s="3">
        <v>5</v>
      </c>
      <c r="BP41" s="3">
        <v>6</v>
      </c>
      <c r="BQ41" s="3">
        <v>7</v>
      </c>
      <c r="BS41" s="3">
        <v>4.0000001899898052E-3</v>
      </c>
      <c r="BT41" s="3">
        <v>0.47699999809265137</v>
      </c>
      <c r="BU41" s="3">
        <v>0.41999998688697815</v>
      </c>
      <c r="BV41" s="3">
        <v>0.32400000095367432</v>
      </c>
      <c r="BX41" s="3">
        <v>0</v>
      </c>
      <c r="BY41" s="3">
        <v>0</v>
      </c>
      <c r="BZ41" s="3">
        <v>0</v>
      </c>
      <c r="CA41" s="3">
        <v>6.5999999999999837E-2</v>
      </c>
      <c r="CC41" s="3">
        <v>0</v>
      </c>
      <c r="CD41" s="3">
        <v>0</v>
      </c>
      <c r="CE41" s="3">
        <v>0</v>
      </c>
      <c r="CF41" s="3">
        <v>0</v>
      </c>
      <c r="CH41" s="3">
        <v>0</v>
      </c>
      <c r="CI41" s="3">
        <v>0</v>
      </c>
      <c r="CJ41" s="3">
        <v>0</v>
      </c>
      <c r="CK41" s="3">
        <v>0</v>
      </c>
      <c r="CM41" s="3">
        <v>0</v>
      </c>
      <c r="CN41" s="3">
        <v>0</v>
      </c>
      <c r="CO41" s="3">
        <v>0</v>
      </c>
      <c r="CP41" s="3">
        <v>3</v>
      </c>
      <c r="CR41" s="3">
        <v>4.0259999999999998</v>
      </c>
      <c r="CS41" s="3">
        <v>4.0359999999999996</v>
      </c>
      <c r="CT41" s="3">
        <v>4.0110000000000001</v>
      </c>
      <c r="CU41" s="3">
        <v>4.0110000000000001</v>
      </c>
    </row>
    <row r="42" spans="1:99" s="3" customFormat="1" x14ac:dyDescent="0.35">
      <c r="A42" s="2" t="s">
        <v>55</v>
      </c>
      <c r="B42" s="2">
        <v>6.416666666666667</v>
      </c>
      <c r="C42" s="2" t="s">
        <v>168</v>
      </c>
      <c r="D42" s="2" t="s">
        <v>403</v>
      </c>
      <c r="F42" s="3" t="e">
        <v>#N/A</v>
      </c>
      <c r="G42" s="11" t="e">
        <v>#N/A</v>
      </c>
      <c r="H42" s="3">
        <v>4.0270000000000001</v>
      </c>
      <c r="I42" s="3" t="e">
        <v>#N/A</v>
      </c>
      <c r="K42" s="3">
        <v>2.617</v>
      </c>
      <c r="L42" s="11" t="e">
        <v>#N/A</v>
      </c>
      <c r="M42" s="3">
        <v>3.8319999999999999</v>
      </c>
      <c r="N42" s="11" t="e">
        <v>#N/A</v>
      </c>
      <c r="P42" s="3">
        <v>2.1670001400634646</v>
      </c>
      <c r="Q42" s="11" t="e">
        <v>#N/A</v>
      </c>
      <c r="R42" s="3">
        <v>3.4159996034577489</v>
      </c>
      <c r="S42" s="11" t="e">
        <v>#N/A</v>
      </c>
      <c r="U42" s="3">
        <v>4</v>
      </c>
      <c r="V42" s="11" t="e">
        <v>#N/A</v>
      </c>
      <c r="W42" s="3">
        <v>14</v>
      </c>
      <c r="X42" s="11" t="e">
        <v>#N/A</v>
      </c>
      <c r="Z42" s="3">
        <v>2.617</v>
      </c>
      <c r="AA42" s="11" t="e">
        <v>#N/A</v>
      </c>
      <c r="AB42" s="3">
        <v>3.3150000000000004</v>
      </c>
      <c r="AC42" s="11" t="e">
        <v>#N/A</v>
      </c>
      <c r="AE42" s="3">
        <v>2.1670001400634646</v>
      </c>
      <c r="AF42" s="11" t="e">
        <v>#N/A</v>
      </c>
      <c r="AG42" s="3">
        <v>3.0489997388795018</v>
      </c>
      <c r="AH42" s="11" t="e">
        <v>#N/A</v>
      </c>
      <c r="AJ42" s="3">
        <v>4</v>
      </c>
      <c r="AK42" s="11" t="e">
        <v>#N/A</v>
      </c>
      <c r="AL42" s="3">
        <v>12</v>
      </c>
      <c r="AM42" s="11" t="e">
        <v>#N/A</v>
      </c>
      <c r="AO42" s="3">
        <v>2</v>
      </c>
      <c r="AP42" s="11" t="e">
        <v>#N/A</v>
      </c>
      <c r="AQ42" s="3">
        <v>4</v>
      </c>
      <c r="AR42" s="11" t="e">
        <v>#N/A</v>
      </c>
      <c r="AT42" s="3">
        <v>4.999999888241291E-3</v>
      </c>
      <c r="AU42" s="11" t="e">
        <v>#N/A</v>
      </c>
      <c r="AV42" s="3">
        <v>6.0000000521540642E-3</v>
      </c>
      <c r="AW42" s="11" t="e">
        <v>#N/A</v>
      </c>
      <c r="AY42" s="3">
        <v>0</v>
      </c>
      <c r="AZ42" s="11" t="e">
        <v>#N/A</v>
      </c>
      <c r="BA42" s="3">
        <v>0.33299999999999996</v>
      </c>
      <c r="BB42" s="11" t="e">
        <v>#N/A</v>
      </c>
      <c r="BD42" s="3">
        <v>0</v>
      </c>
      <c r="BE42" s="11" t="e">
        <v>#N/A</v>
      </c>
      <c r="BF42" s="3">
        <v>0.18299996852874756</v>
      </c>
      <c r="BG42" s="11" t="e">
        <v>#N/A</v>
      </c>
      <c r="BI42" s="3">
        <v>0</v>
      </c>
      <c r="BJ42" s="11" t="e">
        <v>#N/A</v>
      </c>
      <c r="BK42" s="3">
        <v>1</v>
      </c>
      <c r="BL42" s="11" t="e">
        <v>#N/A</v>
      </c>
      <c r="BN42" s="3">
        <v>0</v>
      </c>
      <c r="BO42" s="11" t="e">
        <v>#N/A</v>
      </c>
      <c r="BP42" s="3">
        <v>3</v>
      </c>
      <c r="BQ42" s="11" t="e">
        <v>#N/A</v>
      </c>
      <c r="BS42" s="3">
        <v>4.0259999999999998</v>
      </c>
      <c r="BT42" s="11" t="e">
        <v>#N/A</v>
      </c>
      <c r="BU42" s="3">
        <v>1.621999979019165</v>
      </c>
      <c r="BV42" s="11" t="e">
        <v>#N/A</v>
      </c>
      <c r="BX42" s="3">
        <v>0.43400000000000016</v>
      </c>
      <c r="BY42" s="11" t="e">
        <v>#N/A</v>
      </c>
      <c r="BZ42" s="3">
        <v>0.48299999999999998</v>
      </c>
      <c r="CA42" s="11" t="e">
        <v>#N/A</v>
      </c>
      <c r="CC42" s="3">
        <v>0.3670000433921814</v>
      </c>
      <c r="CD42" s="11" t="e">
        <v>#N/A</v>
      </c>
      <c r="CE42" s="3">
        <v>0.66600002069026232</v>
      </c>
      <c r="CF42" s="11" t="e">
        <v>#N/A</v>
      </c>
      <c r="CH42" s="3">
        <v>1</v>
      </c>
      <c r="CI42" s="11" t="e">
        <v>#N/A</v>
      </c>
      <c r="CJ42" s="3">
        <v>2</v>
      </c>
      <c r="CK42" s="11" t="e">
        <v>#N/A</v>
      </c>
      <c r="CM42" s="3">
        <v>4</v>
      </c>
      <c r="CN42" s="11" t="e">
        <v>#N/A</v>
      </c>
      <c r="CO42" s="3">
        <v>3</v>
      </c>
      <c r="CP42" s="11" t="e">
        <v>#N/A</v>
      </c>
      <c r="CR42" s="3">
        <v>0.7720000147819519</v>
      </c>
      <c r="CS42" s="11" t="e">
        <v>#N/A</v>
      </c>
      <c r="CT42" s="3">
        <v>6.0000000521540642E-3</v>
      </c>
      <c r="CU42" s="11" t="e">
        <v>#N/A</v>
      </c>
    </row>
    <row r="43" spans="1:99" s="3" customFormat="1" x14ac:dyDescent="0.35">
      <c r="A43" s="2" t="s">
        <v>72</v>
      </c>
      <c r="B43" s="2">
        <v>6.416666666666667</v>
      </c>
      <c r="C43" s="2" t="s">
        <v>168</v>
      </c>
      <c r="D43" s="2" t="s">
        <v>403</v>
      </c>
      <c r="F43" s="11" t="e">
        <v>#N/A</v>
      </c>
      <c r="G43" s="3">
        <v>4.0069999999999997</v>
      </c>
      <c r="H43" s="3">
        <v>4.008</v>
      </c>
      <c r="I43" s="11" t="e">
        <v>#N/A</v>
      </c>
      <c r="K43" s="11" t="e">
        <v>#N/A</v>
      </c>
      <c r="L43" s="3">
        <v>3.9980000000000002</v>
      </c>
      <c r="M43" s="3">
        <v>3.9990000000000001</v>
      </c>
      <c r="N43" s="11" t="e">
        <v>#N/A</v>
      </c>
      <c r="P43" s="11" t="e">
        <v>#N/A</v>
      </c>
      <c r="Q43" s="3">
        <v>3.5999999595806003</v>
      </c>
      <c r="R43" s="3">
        <v>3.8469999553635716</v>
      </c>
      <c r="S43" s="11" t="e">
        <v>#N/A</v>
      </c>
      <c r="U43" s="11" t="e">
        <v>#N/A</v>
      </c>
      <c r="V43" s="3">
        <v>9</v>
      </c>
      <c r="W43" s="3">
        <v>9</v>
      </c>
      <c r="X43" s="11" t="e">
        <v>#N/A</v>
      </c>
      <c r="Z43" s="11" t="e">
        <v>#N/A</v>
      </c>
      <c r="AA43" s="3">
        <v>3.9980000000000002</v>
      </c>
      <c r="AB43" s="3">
        <v>3.9990000000000001</v>
      </c>
      <c r="AC43" s="11" t="e">
        <v>#N/A</v>
      </c>
      <c r="AE43" s="11" t="e">
        <v>#N/A</v>
      </c>
      <c r="AF43" s="3">
        <v>3.5999999595806003</v>
      </c>
      <c r="AG43" s="3">
        <v>3.8469999553635716</v>
      </c>
      <c r="AH43" s="11" t="e">
        <v>#N/A</v>
      </c>
      <c r="AJ43" s="11" t="e">
        <v>#N/A</v>
      </c>
      <c r="AK43" s="3">
        <v>9</v>
      </c>
      <c r="AL43" s="3">
        <v>9</v>
      </c>
      <c r="AM43" s="11" t="e">
        <v>#N/A</v>
      </c>
      <c r="AO43" s="11" t="e">
        <v>#N/A</v>
      </c>
      <c r="AP43" s="3">
        <v>1</v>
      </c>
      <c r="AQ43" s="3">
        <v>1</v>
      </c>
      <c r="AR43" s="11" t="e">
        <v>#N/A</v>
      </c>
      <c r="AT43" s="11" t="e">
        <v>#N/A</v>
      </c>
      <c r="AU43" s="3">
        <v>4.999999888241291E-3</v>
      </c>
      <c r="AV43" s="3">
        <v>6.0000000521540642E-3</v>
      </c>
      <c r="AW43" s="11" t="e">
        <v>#N/A</v>
      </c>
      <c r="AY43" s="11" t="e">
        <v>#N/A</v>
      </c>
      <c r="AZ43" s="3">
        <v>0.61500000000000044</v>
      </c>
      <c r="BA43" s="3">
        <v>0</v>
      </c>
      <c r="BB43" s="11" t="e">
        <v>#N/A</v>
      </c>
      <c r="BD43" s="11" t="e">
        <v>#N/A</v>
      </c>
      <c r="BE43" s="3">
        <v>0.76600003242492676</v>
      </c>
      <c r="BF43" s="3">
        <v>0</v>
      </c>
      <c r="BG43" s="11" t="e">
        <v>#N/A</v>
      </c>
      <c r="BI43" s="11" t="e">
        <v>#N/A</v>
      </c>
      <c r="BJ43" s="3">
        <v>2</v>
      </c>
      <c r="BK43" s="3">
        <v>0</v>
      </c>
      <c r="BL43" s="11" t="e">
        <v>#N/A</v>
      </c>
      <c r="BN43" s="11" t="e">
        <v>#N/A</v>
      </c>
      <c r="BO43" s="3">
        <v>5</v>
      </c>
      <c r="BP43" s="3">
        <v>0</v>
      </c>
      <c r="BQ43" s="11" t="e">
        <v>#N/A</v>
      </c>
      <c r="BS43" s="11" t="e">
        <v>#N/A</v>
      </c>
      <c r="BT43" s="3">
        <v>1.687999963760376</v>
      </c>
      <c r="BU43" s="3">
        <v>4.008</v>
      </c>
      <c r="BV43" s="11" t="e">
        <v>#N/A</v>
      </c>
      <c r="BX43" s="11" t="e">
        <v>#N/A</v>
      </c>
      <c r="BY43" s="3">
        <v>1.6000000000000014E-2</v>
      </c>
      <c r="BZ43" s="3">
        <v>2</v>
      </c>
      <c r="CA43" s="11" t="e">
        <v>#N/A</v>
      </c>
      <c r="CC43" s="11" t="e">
        <v>#N/A</v>
      </c>
      <c r="CD43" s="3">
        <v>0</v>
      </c>
      <c r="CE43" s="3">
        <v>2.5320001365616918</v>
      </c>
      <c r="CF43" s="11" t="e">
        <v>#N/A</v>
      </c>
      <c r="CH43" s="11" t="e">
        <v>#N/A</v>
      </c>
      <c r="CI43" s="3">
        <v>0</v>
      </c>
      <c r="CJ43" s="3">
        <v>5</v>
      </c>
      <c r="CK43" s="11" t="e">
        <v>#N/A</v>
      </c>
      <c r="CM43" s="11" t="e">
        <v>#N/A</v>
      </c>
      <c r="CN43" s="3">
        <v>6</v>
      </c>
      <c r="CO43" s="3">
        <v>5</v>
      </c>
      <c r="CP43" s="11" t="e">
        <v>#N/A</v>
      </c>
      <c r="CR43" s="11" t="e">
        <v>#N/A</v>
      </c>
      <c r="CS43" s="3">
        <v>4.0069999999999997</v>
      </c>
      <c r="CT43" s="3">
        <v>6.0000000521540642E-3</v>
      </c>
      <c r="CU43" s="11" t="e">
        <v>#N/A</v>
      </c>
    </row>
    <row r="44" spans="1:99" s="3" customFormat="1" x14ac:dyDescent="0.35">
      <c r="A44" s="2" t="s">
        <v>93</v>
      </c>
      <c r="B44" s="2">
        <v>6.666666666666667</v>
      </c>
      <c r="C44" s="2" t="s">
        <v>167</v>
      </c>
      <c r="D44" s="2" t="s">
        <v>403</v>
      </c>
      <c r="F44" s="3" t="e">
        <v>#N/A</v>
      </c>
      <c r="G44" s="3" t="e">
        <v>#N/A</v>
      </c>
      <c r="H44" s="11" t="e">
        <v>#N/A</v>
      </c>
      <c r="I44" s="3" t="e">
        <v>#N/A</v>
      </c>
      <c r="K44" s="11" t="e">
        <v>#N/A</v>
      </c>
      <c r="L44" s="11" t="e">
        <v>#N/A</v>
      </c>
      <c r="M44" s="11" t="e">
        <v>#N/A</v>
      </c>
      <c r="N44" s="3">
        <v>1.4650000000000003</v>
      </c>
      <c r="P44" s="11" t="e">
        <v>#N/A</v>
      </c>
      <c r="Q44" s="11" t="e">
        <v>#N/A</v>
      </c>
      <c r="R44" s="11" t="e">
        <v>#N/A</v>
      </c>
      <c r="S44" s="3">
        <v>1.0320000648498535</v>
      </c>
      <c r="U44" s="11" t="e">
        <v>#N/A</v>
      </c>
      <c r="V44" s="11" t="e">
        <v>#N/A</v>
      </c>
      <c r="W44" s="11" t="e">
        <v>#N/A</v>
      </c>
      <c r="X44" s="3">
        <v>1</v>
      </c>
      <c r="Z44" s="11" t="e">
        <v>#N/A</v>
      </c>
      <c r="AA44" s="11" t="e">
        <v>#N/A</v>
      </c>
      <c r="AB44" s="11" t="e">
        <v>#N/A</v>
      </c>
      <c r="AC44" s="3">
        <v>1.0650000000000002</v>
      </c>
      <c r="AE44" s="11" t="e">
        <v>#N/A</v>
      </c>
      <c r="AF44" s="11" t="e">
        <v>#N/A</v>
      </c>
      <c r="AG44" s="11" t="e">
        <v>#N/A</v>
      </c>
      <c r="AH44" s="3">
        <v>1.0320000648498535</v>
      </c>
      <c r="AJ44" s="11" t="e">
        <v>#N/A</v>
      </c>
      <c r="AK44" s="11" t="e">
        <v>#N/A</v>
      </c>
      <c r="AL44" s="11" t="e">
        <v>#N/A</v>
      </c>
      <c r="AM44" s="3">
        <v>1</v>
      </c>
      <c r="AO44" s="11" t="e">
        <v>#N/A</v>
      </c>
      <c r="AP44" s="11" t="e">
        <v>#N/A</v>
      </c>
      <c r="AQ44" s="11" t="e">
        <v>#N/A</v>
      </c>
      <c r="AR44" s="3">
        <v>3</v>
      </c>
      <c r="AT44" s="11" t="e">
        <v>#N/A</v>
      </c>
      <c r="AU44" s="11" t="e">
        <v>#N/A</v>
      </c>
      <c r="AV44" s="11" t="e">
        <v>#N/A</v>
      </c>
      <c r="AW44" s="3">
        <v>2.246999979019165</v>
      </c>
      <c r="AY44" s="11" t="e">
        <v>#N/A</v>
      </c>
      <c r="AZ44" s="11" t="e">
        <v>#N/A</v>
      </c>
      <c r="BA44" s="11" t="e">
        <v>#N/A</v>
      </c>
      <c r="BB44" s="3">
        <v>0</v>
      </c>
      <c r="BD44" s="11" t="e">
        <v>#N/A</v>
      </c>
      <c r="BE44" s="11" t="e">
        <v>#N/A</v>
      </c>
      <c r="BF44" s="11" t="e">
        <v>#N/A</v>
      </c>
      <c r="BG44" s="3">
        <v>0</v>
      </c>
      <c r="BI44" s="11" t="e">
        <v>#N/A</v>
      </c>
      <c r="BJ44" s="11" t="e">
        <v>#N/A</v>
      </c>
      <c r="BK44" s="11" t="e">
        <v>#N/A</v>
      </c>
      <c r="BL44" s="3">
        <v>0</v>
      </c>
      <c r="BN44" s="11" t="e">
        <v>#N/A</v>
      </c>
      <c r="BO44" s="11" t="e">
        <v>#N/A</v>
      </c>
      <c r="BP44" s="11" t="e">
        <v>#N/A</v>
      </c>
      <c r="BQ44" s="3">
        <v>0</v>
      </c>
      <c r="BS44" s="11" t="e">
        <v>#N/A</v>
      </c>
      <c r="BT44" s="11" t="e">
        <v>#N/A</v>
      </c>
      <c r="BU44" s="11" t="e">
        <v>#N/A</v>
      </c>
      <c r="BV44" s="3">
        <v>4.008</v>
      </c>
      <c r="BX44" s="11" t="e">
        <v>#N/A</v>
      </c>
      <c r="BY44" s="11" t="e">
        <v>#N/A</v>
      </c>
      <c r="BZ44" s="11" t="e">
        <v>#N/A</v>
      </c>
      <c r="CA44" s="3">
        <v>0</v>
      </c>
      <c r="CC44" s="11" t="e">
        <v>#N/A</v>
      </c>
      <c r="CD44" s="11" t="e">
        <v>#N/A</v>
      </c>
      <c r="CE44" s="11" t="e">
        <v>#N/A</v>
      </c>
      <c r="CF44" s="3">
        <v>0</v>
      </c>
      <c r="CH44" s="11" t="e">
        <v>#N/A</v>
      </c>
      <c r="CI44" s="11" t="e">
        <v>#N/A</v>
      </c>
      <c r="CJ44" s="11" t="e">
        <v>#N/A</v>
      </c>
      <c r="CK44" s="3">
        <v>0</v>
      </c>
      <c r="CM44" s="11" t="e">
        <v>#N/A</v>
      </c>
      <c r="CN44" s="11" t="e">
        <v>#N/A</v>
      </c>
      <c r="CO44" s="11" t="e">
        <v>#N/A</v>
      </c>
      <c r="CP44" s="3">
        <v>0</v>
      </c>
      <c r="CR44" s="11" t="e">
        <v>#N/A</v>
      </c>
      <c r="CS44" s="11" t="e">
        <v>#N/A</v>
      </c>
      <c r="CT44" s="11" t="e">
        <v>#N/A</v>
      </c>
      <c r="CU44" s="3">
        <v>4.008</v>
      </c>
    </row>
    <row r="45" spans="1:99" s="3" customFormat="1" x14ac:dyDescent="0.35">
      <c r="A45" s="2" t="s">
        <v>7</v>
      </c>
      <c r="B45" s="2">
        <v>6.75</v>
      </c>
      <c r="C45" s="2" t="s">
        <v>167</v>
      </c>
      <c r="D45" s="2" t="s">
        <v>403</v>
      </c>
      <c r="F45" s="3">
        <v>4.0129999999999999</v>
      </c>
      <c r="G45" s="3">
        <v>4.0060000000000002</v>
      </c>
      <c r="H45" s="3">
        <v>4.008</v>
      </c>
      <c r="I45" s="3">
        <v>4.0110000000000001</v>
      </c>
      <c r="K45" s="3">
        <v>3.766</v>
      </c>
      <c r="L45" s="3">
        <v>3.7650000000000001</v>
      </c>
      <c r="M45" s="3">
        <v>3.6480000000000001</v>
      </c>
      <c r="N45" s="3">
        <v>3.6660000000000004</v>
      </c>
      <c r="P45" s="3">
        <v>2.9329998604953289</v>
      </c>
      <c r="Q45" s="3">
        <v>1.9150000661611557</v>
      </c>
      <c r="R45" s="3">
        <v>3.0959992706775665</v>
      </c>
      <c r="S45" s="3">
        <v>3.2999996840953827</v>
      </c>
      <c r="U45" s="3">
        <v>7</v>
      </c>
      <c r="V45" s="3">
        <v>7</v>
      </c>
      <c r="W45" s="3">
        <v>9</v>
      </c>
      <c r="X45" s="3">
        <v>13</v>
      </c>
      <c r="Z45" s="3">
        <v>3.7329999999999997</v>
      </c>
      <c r="AA45" s="3">
        <v>3.7650000000000001</v>
      </c>
      <c r="AB45" s="3">
        <v>3.6480000000000001</v>
      </c>
      <c r="AC45" s="3">
        <v>2.8330000000000002</v>
      </c>
      <c r="AE45" s="3">
        <v>2.9329998604953289</v>
      </c>
      <c r="AF45" s="3">
        <v>1.9150000661611557</v>
      </c>
      <c r="AG45" s="3">
        <v>3.0959992706775665</v>
      </c>
      <c r="AH45" s="3">
        <v>2.6329996287822723</v>
      </c>
      <c r="AJ45" s="3">
        <v>7</v>
      </c>
      <c r="AK45" s="3">
        <v>7</v>
      </c>
      <c r="AL45" s="3">
        <v>9</v>
      </c>
      <c r="AM45" s="3">
        <v>11</v>
      </c>
      <c r="AO45" s="3">
        <v>2</v>
      </c>
      <c r="AP45" s="3">
        <v>1</v>
      </c>
      <c r="AQ45" s="3">
        <v>1</v>
      </c>
      <c r="AR45" s="3">
        <v>3</v>
      </c>
      <c r="AT45" s="3">
        <v>1.3000000268220901E-2</v>
      </c>
      <c r="AU45" s="3">
        <v>0.23499999940395355</v>
      </c>
      <c r="AV45" s="3">
        <v>0.35499998927116394</v>
      </c>
      <c r="AW45" s="3">
        <v>0.34900000691413879</v>
      </c>
      <c r="AY45" s="3">
        <v>1.9330000000000001</v>
      </c>
      <c r="AZ45" s="3">
        <v>1.6999999999999997</v>
      </c>
      <c r="BA45" s="3">
        <v>2.3490000000000002</v>
      </c>
      <c r="BB45" s="3">
        <v>0</v>
      </c>
      <c r="BD45" s="3">
        <v>1.8499999642372131</v>
      </c>
      <c r="BE45" s="3">
        <v>1.4990000128746033</v>
      </c>
      <c r="BF45" s="3">
        <v>1.648000031709671</v>
      </c>
      <c r="BG45" s="3">
        <v>0</v>
      </c>
      <c r="BI45" s="3">
        <v>3</v>
      </c>
      <c r="BJ45" s="3">
        <v>5</v>
      </c>
      <c r="BK45" s="3">
        <v>3</v>
      </c>
      <c r="BL45" s="3">
        <v>0</v>
      </c>
      <c r="BN45" s="3">
        <v>3</v>
      </c>
      <c r="BO45" s="3">
        <v>3</v>
      </c>
      <c r="BP45" s="3">
        <v>4</v>
      </c>
      <c r="BQ45" s="3">
        <v>1</v>
      </c>
      <c r="BS45" s="3">
        <v>0.41299998760223389</v>
      </c>
      <c r="BT45" s="3">
        <v>0.86799997091293335</v>
      </c>
      <c r="BU45" s="3">
        <v>0.35499998927116394</v>
      </c>
      <c r="BV45" s="3">
        <v>4.0110000000000001</v>
      </c>
      <c r="BX45" s="3">
        <v>0</v>
      </c>
      <c r="BY45" s="3">
        <v>0</v>
      </c>
      <c r="BZ45" s="3">
        <v>0</v>
      </c>
      <c r="CA45" s="3">
        <v>8.4000000000000075E-2</v>
      </c>
      <c r="CC45" s="3">
        <v>0</v>
      </c>
      <c r="CD45" s="3">
        <v>0</v>
      </c>
      <c r="CE45" s="3">
        <v>0</v>
      </c>
      <c r="CF45" s="3">
        <v>0</v>
      </c>
      <c r="CH45" s="3">
        <v>0</v>
      </c>
      <c r="CI45" s="3">
        <v>0</v>
      </c>
      <c r="CJ45" s="3">
        <v>0</v>
      </c>
      <c r="CK45" s="3">
        <v>0</v>
      </c>
      <c r="CM45" s="3">
        <v>0</v>
      </c>
      <c r="CN45" s="3">
        <v>0</v>
      </c>
      <c r="CO45" s="3">
        <v>0</v>
      </c>
      <c r="CP45" s="3">
        <v>3</v>
      </c>
      <c r="CR45" s="3">
        <v>4.0129999999999999</v>
      </c>
      <c r="CS45" s="3">
        <v>4.0060000000000002</v>
      </c>
      <c r="CT45" s="3">
        <v>4.008</v>
      </c>
      <c r="CU45" s="3">
        <v>4.0110000000000001</v>
      </c>
    </row>
    <row r="46" spans="1:99" s="3" customFormat="1" x14ac:dyDescent="0.35">
      <c r="A46" s="2" t="s">
        <v>28</v>
      </c>
      <c r="B46" s="2">
        <v>6.833333333333333</v>
      </c>
      <c r="C46" s="2" t="s">
        <v>168</v>
      </c>
      <c r="D46" s="2" t="s">
        <v>403</v>
      </c>
      <c r="F46" s="3">
        <v>4.0090000000000003</v>
      </c>
      <c r="G46" s="3">
        <v>4.0259999999999998</v>
      </c>
      <c r="H46" s="3">
        <v>4.01</v>
      </c>
      <c r="I46" s="3">
        <v>4.0090000000000003</v>
      </c>
      <c r="K46" s="3">
        <v>3.8660000000000001</v>
      </c>
      <c r="L46" s="3">
        <v>4.016</v>
      </c>
      <c r="M46" s="3">
        <v>3.9989999999999997</v>
      </c>
      <c r="N46" s="3">
        <v>3.6160000000000005</v>
      </c>
      <c r="P46" s="3">
        <v>3.1309999525547028</v>
      </c>
      <c r="Q46" s="3">
        <v>3.6500003496184945</v>
      </c>
      <c r="R46" s="3">
        <v>3.5840002670884132</v>
      </c>
      <c r="S46" s="3">
        <v>3.4809997081756592</v>
      </c>
      <c r="U46" s="3">
        <v>8</v>
      </c>
      <c r="V46" s="3">
        <v>7</v>
      </c>
      <c r="W46" s="3">
        <v>4</v>
      </c>
      <c r="X46" s="3">
        <v>8</v>
      </c>
      <c r="Z46" s="3">
        <v>3.5989999999999998</v>
      </c>
      <c r="AA46" s="3">
        <v>3.9329999999999998</v>
      </c>
      <c r="AB46" s="3">
        <v>3.9989999999999997</v>
      </c>
      <c r="AC46" s="3">
        <v>3.6160000000000005</v>
      </c>
      <c r="AE46" s="3">
        <v>3.0309999585151672</v>
      </c>
      <c r="AF46" s="3">
        <v>3.6500003496184945</v>
      </c>
      <c r="AG46" s="3">
        <v>3.5840002670884132</v>
      </c>
      <c r="AH46" s="3">
        <v>3.4809997081756592</v>
      </c>
      <c r="AJ46" s="3">
        <v>7</v>
      </c>
      <c r="AK46" s="3">
        <v>7</v>
      </c>
      <c r="AL46" s="3">
        <v>4</v>
      </c>
      <c r="AM46" s="3">
        <v>8</v>
      </c>
      <c r="AO46" s="3">
        <v>3</v>
      </c>
      <c r="AP46" s="3">
        <v>3</v>
      </c>
      <c r="AQ46" s="3">
        <v>1</v>
      </c>
      <c r="AR46" s="3">
        <v>1</v>
      </c>
      <c r="AT46" s="3">
        <v>0.28200000524520874</v>
      </c>
      <c r="AU46" s="3">
        <v>8.0000003799796104E-3</v>
      </c>
      <c r="AV46" s="3">
        <v>1.0999999940395355E-2</v>
      </c>
      <c r="AW46" s="3">
        <v>0.38499999046325684</v>
      </c>
      <c r="AY46" s="3">
        <v>1.4329999999999998</v>
      </c>
      <c r="AZ46" s="3">
        <v>0.33400000000000007</v>
      </c>
      <c r="BA46" s="3">
        <v>1.2160000000000002</v>
      </c>
      <c r="BB46" s="3">
        <v>0</v>
      </c>
      <c r="BD46" s="3">
        <v>1.5650000274181366</v>
      </c>
      <c r="BE46" s="3">
        <v>0</v>
      </c>
      <c r="BF46" s="3">
        <v>1.284000039100647</v>
      </c>
      <c r="BG46" s="3">
        <v>0</v>
      </c>
      <c r="BI46" s="3">
        <v>3</v>
      </c>
      <c r="BJ46" s="3">
        <v>0</v>
      </c>
      <c r="BK46" s="3">
        <v>2</v>
      </c>
      <c r="BL46" s="3">
        <v>0</v>
      </c>
      <c r="BN46" s="3">
        <v>2</v>
      </c>
      <c r="BO46" s="3">
        <v>1</v>
      </c>
      <c r="BP46" s="3">
        <v>1</v>
      </c>
      <c r="BQ46" s="3">
        <v>0</v>
      </c>
      <c r="BS46" s="3">
        <v>0.28200000524520874</v>
      </c>
      <c r="BT46" s="3">
        <v>4.0259999999999998</v>
      </c>
      <c r="BU46" s="3">
        <v>1.2940000295639038</v>
      </c>
      <c r="BV46" s="3">
        <v>4.0090000000000003</v>
      </c>
      <c r="BX46" s="3">
        <v>0.2669999999999999</v>
      </c>
      <c r="BY46" s="3">
        <v>2.2829999999999999</v>
      </c>
      <c r="BZ46" s="3">
        <v>0</v>
      </c>
      <c r="CA46" s="3">
        <v>1.5829999999999997</v>
      </c>
      <c r="CC46" s="3">
        <v>0.41700005531311035</v>
      </c>
      <c r="CD46" s="3">
        <v>2.3830001512542367</v>
      </c>
      <c r="CE46" s="3">
        <v>0</v>
      </c>
      <c r="CF46" s="3">
        <v>1.6489999890327454</v>
      </c>
      <c r="CH46" s="3">
        <v>1</v>
      </c>
      <c r="CI46" s="3">
        <v>5</v>
      </c>
      <c r="CJ46" s="3">
        <v>0</v>
      </c>
      <c r="CK46" s="3">
        <v>3</v>
      </c>
      <c r="CM46" s="3">
        <v>4</v>
      </c>
      <c r="CN46" s="3">
        <v>7</v>
      </c>
      <c r="CO46" s="3">
        <v>0</v>
      </c>
      <c r="CP46" s="3">
        <v>3</v>
      </c>
      <c r="CR46" s="3">
        <v>3.1480000019073486</v>
      </c>
      <c r="CS46" s="3">
        <v>8.0000003799796104E-3</v>
      </c>
      <c r="CT46" s="3">
        <v>4.01</v>
      </c>
      <c r="CU46" s="3">
        <v>0.38499999046325684</v>
      </c>
    </row>
    <row r="47" spans="1:99" s="3" customFormat="1" x14ac:dyDescent="0.35">
      <c r="A47" s="2" t="s">
        <v>6</v>
      </c>
      <c r="B47" s="2">
        <v>6.916666666666667</v>
      </c>
      <c r="C47" s="2" t="s">
        <v>167</v>
      </c>
      <c r="D47" s="2" t="s">
        <v>403</v>
      </c>
      <c r="F47" s="3">
        <v>4.0119999999999996</v>
      </c>
      <c r="G47" s="3">
        <v>4</v>
      </c>
      <c r="H47" s="11" t="e">
        <v>#N/A</v>
      </c>
      <c r="I47" s="3">
        <v>4.0090000000000003</v>
      </c>
      <c r="K47" s="3">
        <v>3.9990000000000001</v>
      </c>
      <c r="L47" s="3">
        <v>3.9830000000000001</v>
      </c>
      <c r="M47" s="11" t="e">
        <v>#N/A</v>
      </c>
      <c r="N47" s="3">
        <v>3.9830000000000001</v>
      </c>
      <c r="P47" s="3">
        <v>1.9479998350143433</v>
      </c>
      <c r="Q47" s="3">
        <v>2.9489995259791613</v>
      </c>
      <c r="R47" s="11" t="e">
        <v>#N/A</v>
      </c>
      <c r="S47" s="3">
        <v>0.61599988490343094</v>
      </c>
      <c r="U47" s="3">
        <v>12</v>
      </c>
      <c r="V47" s="3">
        <v>12</v>
      </c>
      <c r="W47" s="11" t="e">
        <v>#N/A</v>
      </c>
      <c r="X47" s="3">
        <v>4</v>
      </c>
      <c r="Z47" s="3">
        <v>3.6479999999999997</v>
      </c>
      <c r="AA47" s="3">
        <v>3.883</v>
      </c>
      <c r="AB47" s="11" t="e">
        <v>#N/A</v>
      </c>
      <c r="AC47" s="3">
        <v>2.9170000000000003</v>
      </c>
      <c r="AE47" s="3">
        <v>1.9479998350143433</v>
      </c>
      <c r="AF47" s="3">
        <v>2.9489995259791613</v>
      </c>
      <c r="AG47" s="11" t="e">
        <v>#N/A</v>
      </c>
      <c r="AH47" s="3">
        <v>0.61599988490343094</v>
      </c>
      <c r="AJ47" s="3">
        <v>12</v>
      </c>
      <c r="AK47" s="3">
        <v>12</v>
      </c>
      <c r="AL47" s="11" t="e">
        <v>#N/A</v>
      </c>
      <c r="AM47" s="3">
        <v>4</v>
      </c>
      <c r="AO47" s="3">
        <v>8</v>
      </c>
      <c r="AP47" s="3">
        <v>2</v>
      </c>
      <c r="AQ47" s="11" t="e">
        <v>#N/A</v>
      </c>
      <c r="AR47" s="3">
        <v>15</v>
      </c>
      <c r="AT47" s="3">
        <v>0.15099999308586121</v>
      </c>
      <c r="AU47" s="3">
        <v>1.6000000759959221E-2</v>
      </c>
      <c r="AV47" s="11" t="e">
        <v>#N/A</v>
      </c>
      <c r="AW47" s="3">
        <v>0.11500000208616257</v>
      </c>
      <c r="AY47" s="3">
        <v>0.31500000000000039</v>
      </c>
      <c r="AZ47" s="3">
        <v>2.6159999999999997</v>
      </c>
      <c r="BA47" s="11" t="e">
        <v>#N/A</v>
      </c>
      <c r="BB47" s="3">
        <v>0.8329999999999993</v>
      </c>
      <c r="BD47" s="3">
        <v>0.18299984931945801</v>
      </c>
      <c r="BE47" s="3">
        <v>2.8489996213465929</v>
      </c>
      <c r="BF47" s="11" t="e">
        <v>#N/A</v>
      </c>
      <c r="BG47" s="3">
        <v>0.13299989700317383</v>
      </c>
      <c r="BI47" s="3">
        <v>1</v>
      </c>
      <c r="BJ47" s="3">
        <v>11</v>
      </c>
      <c r="BK47" s="11" t="e">
        <v>#N/A</v>
      </c>
      <c r="BL47" s="3">
        <v>1</v>
      </c>
      <c r="BN47" s="3">
        <v>12</v>
      </c>
      <c r="BO47" s="3">
        <v>12</v>
      </c>
      <c r="BP47" s="11" t="e">
        <v>#N/A</v>
      </c>
      <c r="BQ47" s="3">
        <v>18</v>
      </c>
      <c r="BS47" s="3">
        <v>2.8670001029968262</v>
      </c>
      <c r="BT47" s="3">
        <v>1.6000000759959221E-2</v>
      </c>
      <c r="BU47" s="11" t="e">
        <v>#N/A</v>
      </c>
      <c r="BV47" s="3">
        <v>2.0980000495910645</v>
      </c>
      <c r="BX47" s="3">
        <v>0</v>
      </c>
      <c r="BY47" s="3">
        <v>6.7000000000000171E-2</v>
      </c>
      <c r="BZ47" s="11" t="e">
        <v>#N/A</v>
      </c>
      <c r="CA47" s="3">
        <v>0</v>
      </c>
      <c r="CC47" s="3">
        <v>0</v>
      </c>
      <c r="CD47" s="3">
        <v>0</v>
      </c>
      <c r="CE47" s="11" t="e">
        <v>#N/A</v>
      </c>
      <c r="CF47" s="3">
        <v>0</v>
      </c>
      <c r="CH47" s="3">
        <v>0</v>
      </c>
      <c r="CI47" s="3">
        <v>0</v>
      </c>
      <c r="CJ47" s="11" t="e">
        <v>#N/A</v>
      </c>
      <c r="CK47" s="3">
        <v>0</v>
      </c>
      <c r="CM47" s="3">
        <v>0</v>
      </c>
      <c r="CN47" s="3">
        <v>4</v>
      </c>
      <c r="CO47" s="11" t="e">
        <v>#N/A</v>
      </c>
      <c r="CP47" s="3">
        <v>2</v>
      </c>
      <c r="CR47" s="3">
        <v>4.0119999999999996</v>
      </c>
      <c r="CS47" s="3">
        <v>4</v>
      </c>
      <c r="CT47" s="11" t="e">
        <v>#N/A</v>
      </c>
      <c r="CU47" s="3">
        <v>4.0090000000000003</v>
      </c>
    </row>
    <row r="48" spans="1:99" s="3" customFormat="1" x14ac:dyDescent="0.35">
      <c r="A48" s="2" t="s">
        <v>88</v>
      </c>
      <c r="B48" s="2">
        <v>6.916666666666667</v>
      </c>
      <c r="C48" s="2" t="s">
        <v>168</v>
      </c>
      <c r="D48" s="2" t="s">
        <v>403</v>
      </c>
      <c r="F48" s="3">
        <v>4.0049999999999999</v>
      </c>
      <c r="G48" s="3">
        <v>4.0140000000000002</v>
      </c>
      <c r="H48" s="3">
        <v>4.0149999999999997</v>
      </c>
      <c r="I48" s="3" t="e">
        <v>#N/A</v>
      </c>
      <c r="K48" s="3">
        <v>3.9830000000000001</v>
      </c>
      <c r="L48" s="3">
        <v>2.633</v>
      </c>
      <c r="M48" s="3">
        <v>3.9989999999999997</v>
      </c>
      <c r="N48" s="11" t="e">
        <v>#N/A</v>
      </c>
      <c r="P48" s="3">
        <v>3.8169998517259955</v>
      </c>
      <c r="Q48" s="3">
        <v>2.4979999363422394</v>
      </c>
      <c r="R48" s="3">
        <v>3.7640001932159066</v>
      </c>
      <c r="S48" s="11" t="e">
        <v>#N/A</v>
      </c>
      <c r="U48" s="3">
        <v>7</v>
      </c>
      <c r="V48" s="3">
        <v>9</v>
      </c>
      <c r="W48" s="3">
        <v>10</v>
      </c>
      <c r="X48" s="11" t="e">
        <v>#N/A</v>
      </c>
      <c r="Z48" s="3">
        <v>3.9830000000000001</v>
      </c>
      <c r="AA48" s="3">
        <v>2.649</v>
      </c>
      <c r="AB48" s="3">
        <v>3.9989999999999997</v>
      </c>
      <c r="AC48" s="11" t="e">
        <v>#N/A</v>
      </c>
      <c r="AE48" s="3">
        <v>3.8169998517259955</v>
      </c>
      <c r="AF48" s="3">
        <v>2.4979999363422394</v>
      </c>
      <c r="AG48" s="3">
        <v>3.7640001932159066</v>
      </c>
      <c r="AH48" s="11" t="e">
        <v>#N/A</v>
      </c>
      <c r="AJ48" s="3">
        <v>7</v>
      </c>
      <c r="AK48" s="3">
        <v>9</v>
      </c>
      <c r="AL48" s="3">
        <v>10</v>
      </c>
      <c r="AM48" s="11" t="e">
        <v>#N/A</v>
      </c>
      <c r="AO48" s="3">
        <v>1</v>
      </c>
      <c r="AP48" s="3">
        <v>1</v>
      </c>
      <c r="AQ48" s="3">
        <v>1</v>
      </c>
      <c r="AR48" s="11" t="e">
        <v>#N/A</v>
      </c>
      <c r="AT48" s="3">
        <v>7.0000002160668373E-3</v>
      </c>
      <c r="AU48" s="3">
        <v>0.33500000834465027</v>
      </c>
      <c r="AV48" s="3">
        <v>8.0000003799796104E-3</v>
      </c>
      <c r="AW48" s="11" t="e">
        <v>#N/A</v>
      </c>
      <c r="AY48" s="3">
        <v>2.3510000000000009</v>
      </c>
      <c r="AZ48" s="3">
        <v>0.56599999999999984</v>
      </c>
      <c r="BA48" s="3">
        <v>0.58300000000000018</v>
      </c>
      <c r="BB48" s="11" t="e">
        <v>#N/A</v>
      </c>
      <c r="BD48" s="3">
        <v>2.3670001327991486</v>
      </c>
      <c r="BE48" s="3">
        <v>0.65000009536743164</v>
      </c>
      <c r="BF48" s="3">
        <v>0.38300022482872009</v>
      </c>
      <c r="BG48" s="11" t="e">
        <v>#N/A</v>
      </c>
      <c r="BI48" s="3">
        <v>3</v>
      </c>
      <c r="BJ48" s="3">
        <v>3</v>
      </c>
      <c r="BK48" s="3">
        <v>3</v>
      </c>
      <c r="BL48" s="11" t="e">
        <v>#N/A</v>
      </c>
      <c r="BN48" s="3">
        <v>4</v>
      </c>
      <c r="BO48" s="3">
        <v>3</v>
      </c>
      <c r="BP48" s="3">
        <v>3</v>
      </c>
      <c r="BQ48" s="11" t="e">
        <v>#N/A</v>
      </c>
      <c r="BS48" s="3">
        <v>0.42399999499320984</v>
      </c>
      <c r="BT48" s="3">
        <v>0.5350000262260437</v>
      </c>
      <c r="BU48" s="3">
        <v>0.3580000102519989</v>
      </c>
      <c r="BV48" s="11" t="e">
        <v>#N/A</v>
      </c>
      <c r="BX48" s="3">
        <v>0.56699999999999995</v>
      </c>
      <c r="BY48" s="3">
        <v>0</v>
      </c>
      <c r="BZ48" s="3">
        <v>0</v>
      </c>
      <c r="CA48" s="11" t="e">
        <v>#N/A</v>
      </c>
      <c r="CC48" s="3">
        <v>0.71699988842010498</v>
      </c>
      <c r="CD48" s="3">
        <v>0</v>
      </c>
      <c r="CE48" s="3">
        <v>0</v>
      </c>
      <c r="CF48" s="11" t="e">
        <v>#N/A</v>
      </c>
      <c r="CH48" s="3">
        <v>1</v>
      </c>
      <c r="CI48" s="3">
        <v>0</v>
      </c>
      <c r="CJ48" s="3">
        <v>0</v>
      </c>
      <c r="CK48" s="11" t="e">
        <v>#N/A</v>
      </c>
      <c r="CM48" s="3">
        <v>1</v>
      </c>
      <c r="CN48" s="3">
        <v>0</v>
      </c>
      <c r="CO48" s="3">
        <v>0</v>
      </c>
      <c r="CP48" s="11" t="e">
        <v>#N/A</v>
      </c>
      <c r="CR48" s="3">
        <v>1.6230000257492065</v>
      </c>
      <c r="CS48" s="3">
        <v>4.0140000000000002</v>
      </c>
      <c r="CT48" s="3">
        <v>4.0149999999999997</v>
      </c>
      <c r="CU48" s="11" t="e">
        <v>#N/A</v>
      </c>
    </row>
    <row r="49" spans="1:99" s="3" customFormat="1" x14ac:dyDescent="0.35">
      <c r="A49" s="2" t="s">
        <v>85</v>
      </c>
      <c r="B49" s="2">
        <v>7.083333333333333</v>
      </c>
      <c r="C49" s="2" t="s">
        <v>168</v>
      </c>
      <c r="D49" s="2" t="s">
        <v>403</v>
      </c>
      <c r="F49" s="3">
        <v>4.0149999999999997</v>
      </c>
      <c r="G49" s="3">
        <v>4.0309999999999997</v>
      </c>
      <c r="H49" s="3">
        <v>4.0259999999999998</v>
      </c>
      <c r="I49" s="3">
        <v>4.0149999999999997</v>
      </c>
      <c r="K49" s="3">
        <v>3.9989999999999997</v>
      </c>
      <c r="L49" s="3">
        <v>3.9159999999999999</v>
      </c>
      <c r="M49" s="3">
        <v>3.9989999999999997</v>
      </c>
      <c r="N49" s="3">
        <v>3.9989999999999997</v>
      </c>
      <c r="P49" s="3">
        <v>3.7510002739727497</v>
      </c>
      <c r="Q49" s="3">
        <v>3.7649999633431435</v>
      </c>
      <c r="R49" s="3">
        <v>3.8819999471306801</v>
      </c>
      <c r="S49" s="3">
        <v>3.7830004207789898</v>
      </c>
      <c r="U49" s="3">
        <v>7</v>
      </c>
      <c r="V49" s="3">
        <v>9</v>
      </c>
      <c r="W49" s="3">
        <v>8</v>
      </c>
      <c r="X49" s="3">
        <v>12</v>
      </c>
      <c r="Z49" s="3">
        <v>3.9989999999999997</v>
      </c>
      <c r="AA49" s="3">
        <v>3.9159999999999999</v>
      </c>
      <c r="AB49" s="3">
        <v>3.9989999999999997</v>
      </c>
      <c r="AC49" s="3">
        <v>3.9989999999999997</v>
      </c>
      <c r="AE49" s="3">
        <v>3.7510002739727497</v>
      </c>
      <c r="AF49" s="3">
        <v>3.7649999633431435</v>
      </c>
      <c r="AG49" s="3">
        <v>3.8819999471306801</v>
      </c>
      <c r="AH49" s="3">
        <v>3.7830004207789898</v>
      </c>
      <c r="AJ49" s="3">
        <v>7</v>
      </c>
      <c r="AK49" s="3">
        <v>9</v>
      </c>
      <c r="AL49" s="3">
        <v>8</v>
      </c>
      <c r="AM49" s="3">
        <v>12</v>
      </c>
      <c r="AO49" s="3">
        <v>1</v>
      </c>
      <c r="AP49" s="3">
        <v>1</v>
      </c>
      <c r="AQ49" s="3">
        <v>1</v>
      </c>
      <c r="AR49" s="3">
        <v>1</v>
      </c>
      <c r="AT49" s="3">
        <v>3.7999998778104782E-2</v>
      </c>
      <c r="AU49" s="3">
        <v>1.0999999940395355E-2</v>
      </c>
      <c r="AV49" s="3">
        <v>1.0999999940395355E-2</v>
      </c>
      <c r="AW49" s="3">
        <v>1.3000000268220901E-2</v>
      </c>
      <c r="AY49" s="3">
        <v>2.9819999999999993</v>
      </c>
      <c r="AZ49" s="3">
        <v>2.4820000000000002</v>
      </c>
      <c r="BA49" s="3">
        <v>2.2829999999999999</v>
      </c>
      <c r="BB49" s="3">
        <v>2.4149999999999996</v>
      </c>
      <c r="BD49" s="3">
        <v>2.8680002689361572</v>
      </c>
      <c r="BE49" s="3">
        <v>2.6489999890327454</v>
      </c>
      <c r="BF49" s="3">
        <v>2.1499998569488525</v>
      </c>
      <c r="BG49" s="3">
        <v>2.4170003533363342</v>
      </c>
      <c r="BI49" s="3">
        <v>5</v>
      </c>
      <c r="BJ49" s="3">
        <v>6</v>
      </c>
      <c r="BK49" s="3">
        <v>4</v>
      </c>
      <c r="BL49" s="3">
        <v>8</v>
      </c>
      <c r="BN49" s="3">
        <v>2</v>
      </c>
      <c r="BO49" s="3">
        <v>3</v>
      </c>
      <c r="BP49" s="3">
        <v>2</v>
      </c>
      <c r="BQ49" s="3">
        <v>4</v>
      </c>
      <c r="BS49" s="3">
        <v>0.53799998760223389</v>
      </c>
      <c r="BT49" s="3">
        <v>0.56099998950958252</v>
      </c>
      <c r="BU49" s="3">
        <v>0.49500000476837158</v>
      </c>
      <c r="BV49" s="3">
        <v>0.52899998426437378</v>
      </c>
      <c r="BX49" s="3">
        <v>0</v>
      </c>
      <c r="BY49" s="3">
        <v>0</v>
      </c>
      <c r="BZ49" s="3">
        <v>0</v>
      </c>
      <c r="CA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0</v>
      </c>
      <c r="CI49" s="3">
        <v>0</v>
      </c>
      <c r="CJ49" s="3">
        <v>0</v>
      </c>
      <c r="CK49" s="3">
        <v>0</v>
      </c>
      <c r="CM49" s="3">
        <v>0</v>
      </c>
      <c r="CN49" s="3">
        <v>0</v>
      </c>
      <c r="CO49" s="3">
        <v>0</v>
      </c>
      <c r="CP49" s="3">
        <v>0</v>
      </c>
      <c r="CR49" s="3">
        <v>4.0149999999999997</v>
      </c>
      <c r="CS49" s="3">
        <v>4.0309999999999997</v>
      </c>
      <c r="CT49" s="3">
        <v>4.0259999999999998</v>
      </c>
      <c r="CU49" s="3">
        <v>4.0149999999999997</v>
      </c>
    </row>
    <row r="50" spans="1:99" s="3" customFormat="1" x14ac:dyDescent="0.35">
      <c r="A50" s="2" t="s">
        <v>86</v>
      </c>
      <c r="B50" s="2">
        <v>7.333333333333333</v>
      </c>
      <c r="C50" s="2" t="s">
        <v>167</v>
      </c>
      <c r="D50" s="2" t="s">
        <v>403</v>
      </c>
      <c r="F50" s="3">
        <v>4.0469999999999997</v>
      </c>
      <c r="G50" s="3">
        <v>4.016</v>
      </c>
      <c r="H50" s="3">
        <v>4.0149999999999997</v>
      </c>
      <c r="I50" s="3">
        <v>3.0479999999999996</v>
      </c>
      <c r="K50" s="3">
        <v>4.016</v>
      </c>
      <c r="L50" s="3">
        <v>3.9990000000000001</v>
      </c>
      <c r="M50" s="3">
        <v>3.9989999999999997</v>
      </c>
      <c r="N50" s="3">
        <v>3.0319999999999996</v>
      </c>
      <c r="P50" s="3">
        <v>3.6330000963062048</v>
      </c>
      <c r="Q50" s="3">
        <v>3.8829998840810731</v>
      </c>
      <c r="R50" s="3">
        <v>3.6470001847483218</v>
      </c>
      <c r="S50" s="3">
        <v>2.0999996662139893</v>
      </c>
      <c r="U50" s="3">
        <v>13</v>
      </c>
      <c r="V50" s="3">
        <v>8</v>
      </c>
      <c r="W50" s="3">
        <v>8</v>
      </c>
      <c r="X50" s="3">
        <v>7</v>
      </c>
      <c r="Z50" s="3">
        <v>3.8159999999999998</v>
      </c>
      <c r="AA50" s="3">
        <v>3.9990000000000001</v>
      </c>
      <c r="AB50" s="3">
        <v>3.9989999999999997</v>
      </c>
      <c r="AC50" s="3">
        <v>1.6999999999999995</v>
      </c>
      <c r="AE50" s="3">
        <v>3.4660000950098038</v>
      </c>
      <c r="AF50" s="3">
        <v>3.8829998840810731</v>
      </c>
      <c r="AG50" s="3">
        <v>3.6470001847483218</v>
      </c>
      <c r="AH50" s="3">
        <v>1.5170000791549683</v>
      </c>
      <c r="AJ50" s="3">
        <v>12</v>
      </c>
      <c r="AK50" s="3">
        <v>8</v>
      </c>
      <c r="AL50" s="3">
        <v>8</v>
      </c>
      <c r="AM50" s="3">
        <v>3</v>
      </c>
      <c r="AO50" s="3">
        <v>1</v>
      </c>
      <c r="AP50" s="3">
        <v>1</v>
      </c>
      <c r="AQ50" s="3">
        <v>1</v>
      </c>
      <c r="AR50" s="3">
        <v>3</v>
      </c>
      <c r="AT50" s="3">
        <v>0.20999999344348907</v>
      </c>
      <c r="AU50" s="3">
        <v>1.0000000474974513E-3</v>
      </c>
      <c r="AV50" s="3">
        <v>3.0000000260770321E-3</v>
      </c>
      <c r="AW50" s="3">
        <v>0.3580000102519989</v>
      </c>
      <c r="AY50" s="3">
        <v>0.41600000000000004</v>
      </c>
      <c r="AZ50" s="3">
        <v>2.5489999999999999</v>
      </c>
      <c r="BA50" s="3">
        <v>0.84900000000000009</v>
      </c>
      <c r="BB50" s="3">
        <v>1.234</v>
      </c>
      <c r="BD50" s="3">
        <v>0.51600000262260437</v>
      </c>
      <c r="BE50" s="3">
        <v>2.75</v>
      </c>
      <c r="BF50" s="3">
        <v>0.74799996614456177</v>
      </c>
      <c r="BG50" s="3">
        <v>1.4000000953674316</v>
      </c>
      <c r="BI50" s="3">
        <v>1</v>
      </c>
      <c r="BJ50" s="3">
        <v>4</v>
      </c>
      <c r="BK50" s="3">
        <v>2</v>
      </c>
      <c r="BL50" s="3">
        <v>2</v>
      </c>
      <c r="BN50" s="3">
        <v>4</v>
      </c>
      <c r="BO50" s="3">
        <v>3</v>
      </c>
      <c r="BP50" s="3">
        <v>2</v>
      </c>
      <c r="BQ50" s="3">
        <v>4</v>
      </c>
      <c r="BS50" s="3">
        <v>0.37700000405311584</v>
      </c>
      <c r="BT50" s="3">
        <v>0.55099999904632568</v>
      </c>
      <c r="BU50" s="3">
        <v>0.95300000905990601</v>
      </c>
      <c r="BV50" s="3">
        <v>2.5569999217987061</v>
      </c>
      <c r="BX50" s="3">
        <v>0.64900000000000002</v>
      </c>
      <c r="BY50" s="3">
        <v>0.20000000000000018</v>
      </c>
      <c r="BZ50" s="3">
        <v>0.46599999999999975</v>
      </c>
      <c r="CA50" s="3">
        <v>0</v>
      </c>
      <c r="CC50" s="3">
        <v>0.91700005531311035</v>
      </c>
      <c r="CD50" s="3">
        <v>0.26699995994567871</v>
      </c>
      <c r="CE50" s="3">
        <v>0.53299999237060547</v>
      </c>
      <c r="CF50" s="3">
        <v>0</v>
      </c>
      <c r="CH50" s="3">
        <v>2</v>
      </c>
      <c r="CI50" s="3">
        <v>1</v>
      </c>
      <c r="CJ50" s="3">
        <v>2</v>
      </c>
      <c r="CK50" s="3">
        <v>0</v>
      </c>
      <c r="CM50" s="3">
        <v>2</v>
      </c>
      <c r="CN50" s="3">
        <v>1</v>
      </c>
      <c r="CO50" s="3">
        <v>3</v>
      </c>
      <c r="CP50" s="3">
        <v>0</v>
      </c>
      <c r="CR50" s="3">
        <v>2.9930000305175781</v>
      </c>
      <c r="CS50" s="3">
        <v>3.0499999523162842</v>
      </c>
      <c r="CT50" s="3">
        <v>3.4019999504089355</v>
      </c>
      <c r="CU50" s="3">
        <v>4.0149999999999997</v>
      </c>
    </row>
    <row r="51" spans="1:99" s="3" customFormat="1" x14ac:dyDescent="0.35">
      <c r="A51" s="2" t="s">
        <v>23</v>
      </c>
      <c r="B51" s="2">
        <v>7.416666666666667</v>
      </c>
      <c r="C51" s="2" t="s">
        <v>168</v>
      </c>
      <c r="D51" s="2" t="s">
        <v>403</v>
      </c>
      <c r="F51" s="3">
        <v>4.016</v>
      </c>
      <c r="G51" s="3">
        <v>4.0149999999999997</v>
      </c>
      <c r="H51" s="3">
        <v>4.0149999999999997</v>
      </c>
      <c r="I51" s="3">
        <v>4.0140000000000002</v>
      </c>
      <c r="K51" s="3">
        <v>3.5989999999999998</v>
      </c>
      <c r="L51" s="3">
        <v>3.899</v>
      </c>
      <c r="M51" s="3">
        <v>3.9990000000000006</v>
      </c>
      <c r="N51" s="3">
        <v>3.9990000000000001</v>
      </c>
      <c r="P51" s="3">
        <v>3.2479995787143707</v>
      </c>
      <c r="Q51" s="3">
        <v>3.1640004068613052</v>
      </c>
      <c r="R51" s="3">
        <v>3.4320002999156713</v>
      </c>
      <c r="S51" s="3">
        <v>3.4339998438954353</v>
      </c>
      <c r="U51" s="3">
        <v>12</v>
      </c>
      <c r="V51" s="3">
        <v>10</v>
      </c>
      <c r="W51" s="3">
        <v>8</v>
      </c>
      <c r="X51" s="3">
        <v>14</v>
      </c>
      <c r="Z51" s="3">
        <v>3.516</v>
      </c>
      <c r="AA51" s="3">
        <v>3.8820000000000001</v>
      </c>
      <c r="AB51" s="3">
        <v>3.7650000000000001</v>
      </c>
      <c r="AC51" s="3">
        <v>3.2479999999999998</v>
      </c>
      <c r="AE51" s="3">
        <v>3.2479995787143707</v>
      </c>
      <c r="AF51" s="3">
        <v>3.1640004068613052</v>
      </c>
      <c r="AG51" s="3">
        <v>3.4320002999156713</v>
      </c>
      <c r="AH51" s="3">
        <v>2.76599982380867</v>
      </c>
      <c r="AJ51" s="3">
        <v>12</v>
      </c>
      <c r="AK51" s="3">
        <v>10</v>
      </c>
      <c r="AL51" s="3">
        <v>8</v>
      </c>
      <c r="AM51" s="3">
        <v>11</v>
      </c>
      <c r="AO51" s="3">
        <v>2</v>
      </c>
      <c r="AP51" s="3">
        <v>1</v>
      </c>
      <c r="AQ51" s="3">
        <v>2</v>
      </c>
      <c r="AR51" s="3">
        <v>5</v>
      </c>
      <c r="AT51" s="3">
        <v>0.41899999976158142</v>
      </c>
      <c r="AU51" s="3">
        <v>0.1289999932050705</v>
      </c>
      <c r="AV51" s="3">
        <v>9.9999997764825821E-3</v>
      </c>
      <c r="AW51" s="3">
        <v>0.43399998545646667</v>
      </c>
      <c r="AY51" s="3">
        <v>0.29999999999999988</v>
      </c>
      <c r="AZ51" s="3">
        <v>2.1659999999999995</v>
      </c>
      <c r="BA51" s="3">
        <v>0.43399999999999994</v>
      </c>
      <c r="BB51" s="3">
        <v>1.0659999999999996</v>
      </c>
      <c r="BD51" s="3">
        <v>0</v>
      </c>
      <c r="BE51" s="3">
        <v>2.3990002274513245</v>
      </c>
      <c r="BF51" s="3">
        <v>0.5</v>
      </c>
      <c r="BG51" s="3">
        <v>1.1989999711513519</v>
      </c>
      <c r="BI51" s="3">
        <v>0</v>
      </c>
      <c r="BJ51" s="3">
        <v>6</v>
      </c>
      <c r="BK51" s="3">
        <v>1</v>
      </c>
      <c r="BL51" s="3">
        <v>4</v>
      </c>
      <c r="BN51" s="3">
        <v>2</v>
      </c>
      <c r="BO51" s="3">
        <v>3</v>
      </c>
      <c r="BP51" s="3">
        <v>3</v>
      </c>
      <c r="BQ51" s="3">
        <v>5</v>
      </c>
      <c r="BS51" s="3">
        <v>4.016</v>
      </c>
      <c r="BT51" s="3">
        <v>0.52899998426437378</v>
      </c>
      <c r="BU51" s="3">
        <v>3.4590001106262207</v>
      </c>
      <c r="BV51" s="3">
        <v>0.43399998545646667</v>
      </c>
      <c r="BX51" s="3">
        <v>0.59899999999999975</v>
      </c>
      <c r="BY51" s="3">
        <v>0.13300000000000001</v>
      </c>
      <c r="BZ51" s="3">
        <v>0.24999999999999981</v>
      </c>
      <c r="CA51" s="3">
        <v>0.35099999999999992</v>
      </c>
      <c r="CC51" s="3">
        <v>0.84899997711181641</v>
      </c>
      <c r="CD51" s="3">
        <v>0.13300000131130219</v>
      </c>
      <c r="CE51" s="3">
        <v>0</v>
      </c>
      <c r="CF51" s="3">
        <v>0.21700000762939453</v>
      </c>
      <c r="CH51" s="3">
        <v>5</v>
      </c>
      <c r="CI51" s="3">
        <v>1</v>
      </c>
      <c r="CJ51" s="3">
        <v>0</v>
      </c>
      <c r="CK51" s="3">
        <v>2</v>
      </c>
      <c r="CM51" s="3">
        <v>8</v>
      </c>
      <c r="CN51" s="3">
        <v>2</v>
      </c>
      <c r="CO51" s="3">
        <v>2</v>
      </c>
      <c r="CP51" s="3">
        <v>4</v>
      </c>
      <c r="CR51" s="3">
        <v>1.2690000534057617</v>
      </c>
      <c r="CS51" s="3">
        <v>0.1289999932050705</v>
      </c>
      <c r="CT51" s="3">
        <v>4.0149999999999997</v>
      </c>
      <c r="CU51" s="3">
        <v>2.3499999046325684</v>
      </c>
    </row>
    <row r="52" spans="1:99" s="3" customFormat="1" x14ac:dyDescent="0.35">
      <c r="A52" s="2" t="s">
        <v>45</v>
      </c>
      <c r="B52" s="2">
        <v>7.583333333333333</v>
      </c>
      <c r="C52" s="2" t="s">
        <v>167</v>
      </c>
      <c r="D52" s="2" t="s">
        <v>403</v>
      </c>
      <c r="F52" s="3">
        <v>4.016</v>
      </c>
      <c r="G52" s="3">
        <v>4.016</v>
      </c>
      <c r="H52" s="3">
        <v>4.0149999999999997</v>
      </c>
      <c r="I52" s="3">
        <v>4.0309999999999997</v>
      </c>
      <c r="K52" s="3">
        <v>3.9990000000000001</v>
      </c>
      <c r="L52" s="3">
        <v>3.9990000000000006</v>
      </c>
      <c r="M52" s="3">
        <v>3.9820000000000002</v>
      </c>
      <c r="N52" s="3">
        <v>3.7159999999999997</v>
      </c>
      <c r="P52" s="3">
        <v>2.9149999655783176</v>
      </c>
      <c r="Q52" s="3">
        <v>3.7019999960903078</v>
      </c>
      <c r="R52" s="3">
        <v>3.5159997381269932</v>
      </c>
      <c r="S52" s="3">
        <v>3.2669999599456787</v>
      </c>
      <c r="U52" s="3">
        <v>8</v>
      </c>
      <c r="V52" s="3">
        <v>9</v>
      </c>
      <c r="W52" s="3">
        <v>9</v>
      </c>
      <c r="X52" s="3">
        <v>11</v>
      </c>
      <c r="Z52" s="3">
        <v>3.8150000000000004</v>
      </c>
      <c r="AA52" s="3">
        <v>3.9330000000000007</v>
      </c>
      <c r="AB52" s="3">
        <v>3.9820000000000002</v>
      </c>
      <c r="AC52" s="3">
        <v>3.7159999999999997</v>
      </c>
      <c r="AE52" s="3">
        <v>2.7649999298155308</v>
      </c>
      <c r="AF52" s="3">
        <v>3.7019999960903078</v>
      </c>
      <c r="AG52" s="3">
        <v>3.5159997381269932</v>
      </c>
      <c r="AH52" s="3">
        <v>3.2669999599456787</v>
      </c>
      <c r="AJ52" s="3">
        <v>7</v>
      </c>
      <c r="AK52" s="3">
        <v>9</v>
      </c>
      <c r="AL52" s="3">
        <v>9</v>
      </c>
      <c r="AM52" s="3">
        <v>11</v>
      </c>
      <c r="AO52" s="3">
        <v>2</v>
      </c>
      <c r="AP52" s="3">
        <v>2</v>
      </c>
      <c r="AQ52" s="3">
        <v>1</v>
      </c>
      <c r="AR52" s="3">
        <v>1</v>
      </c>
      <c r="AT52" s="3">
        <v>8.999999612569809E-3</v>
      </c>
      <c r="AU52" s="3">
        <v>2.0000000949949026E-3</v>
      </c>
      <c r="AV52" s="3">
        <v>3.2000001519918442E-2</v>
      </c>
      <c r="AW52" s="3">
        <v>0.33700001239776611</v>
      </c>
      <c r="AY52" s="3">
        <v>1.7329999999999997</v>
      </c>
      <c r="AZ52" s="3">
        <v>2.1659999999999999</v>
      </c>
      <c r="BA52" s="3">
        <v>1.4160000000000004</v>
      </c>
      <c r="BB52" s="3">
        <v>2.0500000000000003</v>
      </c>
      <c r="BD52" s="3">
        <v>1.6990001834928989</v>
      </c>
      <c r="BE52" s="3">
        <v>1.9180001020431519</v>
      </c>
      <c r="BF52" s="3">
        <v>1.3159999251365662</v>
      </c>
      <c r="BG52" s="3">
        <v>2.2990001440048218</v>
      </c>
      <c r="BI52" s="3">
        <v>3</v>
      </c>
      <c r="BJ52" s="3">
        <v>5</v>
      </c>
      <c r="BK52" s="3">
        <v>3</v>
      </c>
      <c r="BL52" s="3">
        <v>7</v>
      </c>
      <c r="BN52" s="3">
        <v>4</v>
      </c>
      <c r="BO52" s="3">
        <v>3</v>
      </c>
      <c r="BP52" s="3">
        <v>3</v>
      </c>
      <c r="BQ52" s="3">
        <v>4</v>
      </c>
      <c r="BS52" s="3">
        <v>8.999999612569809E-3</v>
      </c>
      <c r="BT52" s="3">
        <v>0.50099998712539673</v>
      </c>
      <c r="BU52" s="3">
        <v>0.34799998998641968</v>
      </c>
      <c r="BV52" s="3">
        <v>0.33700001239776611</v>
      </c>
      <c r="BX52" s="3">
        <v>0.20000000000000018</v>
      </c>
      <c r="BY52" s="3">
        <v>0.2330000000000001</v>
      </c>
      <c r="BZ52" s="3">
        <v>0.68300000000000005</v>
      </c>
      <c r="CA52" s="3">
        <v>0.18299999999999939</v>
      </c>
      <c r="CC52" s="3">
        <v>0.16699981689453125</v>
      </c>
      <c r="CD52" s="3">
        <v>0.40000009536743164</v>
      </c>
      <c r="CE52" s="3">
        <v>0.81599998474121094</v>
      </c>
      <c r="CF52" s="3">
        <v>0</v>
      </c>
      <c r="CH52" s="3">
        <v>1</v>
      </c>
      <c r="CI52" s="3">
        <v>1</v>
      </c>
      <c r="CJ52" s="3">
        <v>1</v>
      </c>
      <c r="CK52" s="3">
        <v>0</v>
      </c>
      <c r="CM52" s="3">
        <v>1</v>
      </c>
      <c r="CN52" s="3">
        <v>2</v>
      </c>
      <c r="CO52" s="3">
        <v>1</v>
      </c>
      <c r="CP52" s="3">
        <v>2</v>
      </c>
      <c r="CR52" s="3">
        <v>3.8410000801086426</v>
      </c>
      <c r="CS52" s="3">
        <v>1.9509999752044678</v>
      </c>
      <c r="CT52" s="3">
        <v>1.1150000095367432</v>
      </c>
      <c r="CU52" s="3">
        <v>4.0309999999999997</v>
      </c>
    </row>
    <row r="53" spans="1:99" s="3" customFormat="1" x14ac:dyDescent="0.35">
      <c r="A53" s="2" t="s">
        <v>68</v>
      </c>
      <c r="B53" s="2">
        <v>7.666666666666667</v>
      </c>
      <c r="C53" s="2" t="s">
        <v>167</v>
      </c>
      <c r="D53" s="2" t="s">
        <v>403</v>
      </c>
      <c r="F53" s="3">
        <v>4.0149999999999997</v>
      </c>
      <c r="G53" s="3">
        <v>4.0110000000000001</v>
      </c>
      <c r="H53" s="3">
        <v>4.0149999999999997</v>
      </c>
      <c r="I53" s="3">
        <v>4.0110000000000001</v>
      </c>
      <c r="K53" s="3">
        <v>3.0669999999999997</v>
      </c>
      <c r="L53" s="3">
        <v>3.7990000000000004</v>
      </c>
      <c r="M53" s="3">
        <v>3.8490000000000002</v>
      </c>
      <c r="N53" s="3">
        <v>3.9660000000000002</v>
      </c>
      <c r="P53" s="3">
        <v>2.582000270485878</v>
      </c>
      <c r="Q53" s="3">
        <v>1.0820003598928452</v>
      </c>
      <c r="R53" s="3">
        <v>1.0680000185966492</v>
      </c>
      <c r="S53" s="3">
        <v>1.6670002192258835</v>
      </c>
      <c r="U53" s="3">
        <v>8</v>
      </c>
      <c r="V53" s="3">
        <v>8</v>
      </c>
      <c r="W53" s="3">
        <v>5</v>
      </c>
      <c r="X53" s="3">
        <v>8</v>
      </c>
      <c r="Z53" s="3">
        <v>3.1669999999999998</v>
      </c>
      <c r="AA53" s="3">
        <v>3.9320000000000004</v>
      </c>
      <c r="AB53" s="3">
        <v>3.4989999999999997</v>
      </c>
      <c r="AC53" s="3">
        <v>3.7490000000000001</v>
      </c>
      <c r="AE53" s="3">
        <v>2.582000270485878</v>
      </c>
      <c r="AF53" s="3">
        <v>1.0820003598928452</v>
      </c>
      <c r="AG53" s="3">
        <v>1.0680000185966492</v>
      </c>
      <c r="AH53" s="3">
        <v>1.6670002192258835</v>
      </c>
      <c r="AJ53" s="3">
        <v>8</v>
      </c>
      <c r="AK53" s="3">
        <v>8</v>
      </c>
      <c r="AL53" s="3">
        <v>5</v>
      </c>
      <c r="AM53" s="3">
        <v>8</v>
      </c>
      <c r="AO53" s="3">
        <v>5</v>
      </c>
      <c r="AP53" s="3">
        <v>1</v>
      </c>
      <c r="AQ53" s="3">
        <v>2</v>
      </c>
      <c r="AR53" s="3">
        <v>3</v>
      </c>
      <c r="AT53" s="3">
        <v>0.18400000035762787</v>
      </c>
      <c r="AU53" s="3">
        <v>0.10999999940395355</v>
      </c>
      <c r="AV53" s="3">
        <v>0.38400000333786011</v>
      </c>
      <c r="AW53" s="3">
        <v>4.5000001788139343E-2</v>
      </c>
      <c r="AY53" s="3">
        <v>8.4000000000000075E-2</v>
      </c>
      <c r="AZ53" s="3">
        <v>0</v>
      </c>
      <c r="BA53" s="3">
        <v>0.30000000000000004</v>
      </c>
      <c r="BB53" s="3">
        <v>0.58300000000000041</v>
      </c>
      <c r="BD53" s="3">
        <v>0</v>
      </c>
      <c r="BE53" s="3">
        <v>0</v>
      </c>
      <c r="BF53" s="3">
        <v>0.46699994802474976</v>
      </c>
      <c r="BG53" s="3">
        <v>0.86600005626678467</v>
      </c>
      <c r="BI53" s="3">
        <v>0</v>
      </c>
      <c r="BJ53" s="3">
        <v>0</v>
      </c>
      <c r="BK53" s="3">
        <v>3</v>
      </c>
      <c r="BL53" s="3">
        <v>4</v>
      </c>
      <c r="BN53" s="3">
        <v>2</v>
      </c>
      <c r="BO53" s="3">
        <v>1</v>
      </c>
      <c r="BP53" s="3">
        <v>8</v>
      </c>
      <c r="BQ53" s="3">
        <v>15</v>
      </c>
      <c r="BS53" s="3">
        <v>4.0149999999999997</v>
      </c>
      <c r="BT53" s="3">
        <v>4.0110000000000001</v>
      </c>
      <c r="BU53" s="3">
        <v>0.38400000333786011</v>
      </c>
      <c r="BV53" s="3">
        <v>1.0279999971389771</v>
      </c>
      <c r="BX53" s="3">
        <v>0.49999999999999978</v>
      </c>
      <c r="BY53" s="3">
        <v>0.55100000000000005</v>
      </c>
      <c r="BZ53" s="3">
        <v>0.10099999999999987</v>
      </c>
      <c r="CA53" s="3">
        <v>0.15100000000000002</v>
      </c>
      <c r="CC53" s="3">
        <v>0.21600008010864258</v>
      </c>
      <c r="CD53" s="3">
        <v>0.31599998474121094</v>
      </c>
      <c r="CE53" s="3">
        <v>0</v>
      </c>
      <c r="CF53" s="3">
        <v>0.13400006294250488</v>
      </c>
      <c r="CH53" s="3">
        <v>1</v>
      </c>
      <c r="CI53" s="3">
        <v>2</v>
      </c>
      <c r="CJ53" s="3">
        <v>0</v>
      </c>
      <c r="CK53" s="3">
        <v>1</v>
      </c>
      <c r="CM53" s="3">
        <v>10</v>
      </c>
      <c r="CN53" s="3">
        <v>18</v>
      </c>
      <c r="CO53" s="3">
        <v>7</v>
      </c>
      <c r="CP53" s="3">
        <v>9</v>
      </c>
      <c r="CR53" s="3">
        <v>3.75</v>
      </c>
      <c r="CS53" s="3">
        <v>1.3259999752044678</v>
      </c>
      <c r="CT53" s="3">
        <v>4.0149999999999997</v>
      </c>
      <c r="CU53" s="3">
        <v>2.7939999103546143</v>
      </c>
    </row>
    <row r="54" spans="1:99" s="3" customFormat="1" x14ac:dyDescent="0.35">
      <c r="A54" s="2" t="s">
        <v>18</v>
      </c>
      <c r="B54" s="2">
        <v>8</v>
      </c>
      <c r="C54" s="2" t="s">
        <v>168</v>
      </c>
      <c r="D54" s="2" t="s">
        <v>403</v>
      </c>
      <c r="F54" s="3">
        <v>4.0149999999999997</v>
      </c>
      <c r="G54" s="3">
        <v>4.0149999999999997</v>
      </c>
      <c r="H54" s="3">
        <v>4.016</v>
      </c>
      <c r="I54" s="3">
        <v>4.016</v>
      </c>
      <c r="K54" s="3">
        <v>3.915</v>
      </c>
      <c r="L54" s="3">
        <v>3.9989999999999997</v>
      </c>
      <c r="M54" s="3">
        <v>3.7330000000000001</v>
      </c>
      <c r="N54" s="3">
        <v>3.9989999999999997</v>
      </c>
      <c r="P54" s="3">
        <v>0.91399981081485748</v>
      </c>
      <c r="Q54" s="3">
        <v>2.1839998960494995</v>
      </c>
      <c r="R54" s="3">
        <v>1.3660001456737518</v>
      </c>
      <c r="S54" s="3">
        <v>1.6519997417926788</v>
      </c>
      <c r="U54" s="3">
        <v>5</v>
      </c>
      <c r="V54" s="3">
        <v>10</v>
      </c>
      <c r="W54" s="3">
        <v>9</v>
      </c>
      <c r="X54" s="3">
        <v>11</v>
      </c>
      <c r="Z54" s="3">
        <v>3.298</v>
      </c>
      <c r="AA54" s="3">
        <v>3.9660000000000002</v>
      </c>
      <c r="AB54" s="3">
        <v>2.9830000000000001</v>
      </c>
      <c r="AC54" s="3">
        <v>3.9989999999999997</v>
      </c>
      <c r="AE54" s="3">
        <v>0.91399981081485748</v>
      </c>
      <c r="AF54" s="3">
        <v>2.1839998960494995</v>
      </c>
      <c r="AG54" s="3">
        <v>0.99900004267692566</v>
      </c>
      <c r="AH54" s="3">
        <v>1.6519997417926788</v>
      </c>
      <c r="AJ54" s="3">
        <v>5</v>
      </c>
      <c r="AK54" s="3">
        <v>10</v>
      </c>
      <c r="AL54" s="3">
        <v>8</v>
      </c>
      <c r="AM54" s="3">
        <v>11</v>
      </c>
      <c r="AO54" s="3">
        <v>2</v>
      </c>
      <c r="AP54" s="3">
        <v>2</v>
      </c>
      <c r="AQ54" s="3">
        <v>7</v>
      </c>
      <c r="AR54" s="3">
        <v>1</v>
      </c>
      <c r="AT54" s="3">
        <v>0.17499999701976776</v>
      </c>
      <c r="AU54" s="3">
        <v>0.4440000057220459</v>
      </c>
      <c r="AV54" s="3">
        <v>0.42800000309944153</v>
      </c>
      <c r="AW54" s="3">
        <v>0.29600000381469727</v>
      </c>
      <c r="AY54" s="3">
        <v>5.0000000000000044E-2</v>
      </c>
      <c r="AZ54" s="3">
        <v>0.98199999999999998</v>
      </c>
      <c r="BA54" s="3">
        <v>8.2999999999999741E-2</v>
      </c>
      <c r="BB54" s="3">
        <v>0.23300000000000026</v>
      </c>
      <c r="BD54" s="3">
        <v>0</v>
      </c>
      <c r="BE54" s="3">
        <v>1.284000039100647</v>
      </c>
      <c r="BF54" s="3">
        <v>0.11700010299682617</v>
      </c>
      <c r="BG54" s="3">
        <v>0.23400005698204041</v>
      </c>
      <c r="BI54" s="3">
        <v>0</v>
      </c>
      <c r="BJ54" s="3">
        <v>5</v>
      </c>
      <c r="BK54" s="3">
        <v>1</v>
      </c>
      <c r="BL54" s="3">
        <v>2</v>
      </c>
      <c r="BN54" s="3">
        <v>6</v>
      </c>
      <c r="BO54" s="3">
        <v>10</v>
      </c>
      <c r="BP54" s="3">
        <v>19</v>
      </c>
      <c r="BQ54" s="3">
        <v>9</v>
      </c>
      <c r="BS54" s="3">
        <v>4.0149999999999997</v>
      </c>
      <c r="BT54" s="3">
        <v>0.4440000057220459</v>
      </c>
      <c r="BU54" s="3">
        <v>2.2439999580383301</v>
      </c>
      <c r="BV54" s="3">
        <v>0.29600000381469727</v>
      </c>
      <c r="BX54" s="3">
        <v>9.8999999999999755E-2</v>
      </c>
      <c r="BY54" s="3">
        <v>0</v>
      </c>
      <c r="BZ54" s="3">
        <v>0.18400000000000033</v>
      </c>
      <c r="CA54" s="3">
        <v>0</v>
      </c>
      <c r="CC54" s="3">
        <v>0</v>
      </c>
      <c r="CD54" s="3">
        <v>0</v>
      </c>
      <c r="CE54" s="3">
        <v>0.23300015926361084</v>
      </c>
      <c r="CF54" s="3">
        <v>0</v>
      </c>
      <c r="CH54" s="3">
        <v>0</v>
      </c>
      <c r="CI54" s="3">
        <v>0</v>
      </c>
      <c r="CJ54" s="3">
        <v>2</v>
      </c>
      <c r="CK54" s="3">
        <v>0</v>
      </c>
      <c r="CM54" s="3">
        <v>4</v>
      </c>
      <c r="CN54" s="3">
        <v>0</v>
      </c>
      <c r="CO54" s="3">
        <v>8</v>
      </c>
      <c r="CP54" s="3">
        <v>0</v>
      </c>
      <c r="CR54" s="3">
        <v>4.0149999999999997</v>
      </c>
      <c r="CS54" s="3">
        <v>4.0149999999999997</v>
      </c>
      <c r="CT54" s="3">
        <v>1.5279999971389771</v>
      </c>
      <c r="CU54" s="3">
        <v>4.016</v>
      </c>
    </row>
    <row r="55" spans="1:99" s="3" customFormat="1" x14ac:dyDescent="0.35">
      <c r="A55" s="2" t="s">
        <v>3</v>
      </c>
      <c r="B55" s="2">
        <v>8.0833333333333339</v>
      </c>
      <c r="C55" s="2" t="s">
        <v>168</v>
      </c>
      <c r="D55" s="2" t="s">
        <v>403</v>
      </c>
      <c r="F55" s="3" t="e">
        <v>#N/A</v>
      </c>
      <c r="G55" s="3" t="e">
        <v>#N/A</v>
      </c>
      <c r="H55" s="3">
        <v>3.0569999999999999</v>
      </c>
      <c r="I55" s="3" t="e">
        <v>#N/A</v>
      </c>
      <c r="K55" s="3">
        <v>1.8339999999999996</v>
      </c>
      <c r="L55" s="3">
        <v>2.0830000000000002</v>
      </c>
      <c r="M55" s="3">
        <v>1.3159999999999994</v>
      </c>
      <c r="N55" s="11" t="e">
        <v>#N/A</v>
      </c>
      <c r="P55" s="3">
        <v>1.4329998791217804</v>
      </c>
      <c r="Q55" s="3">
        <v>1.7829997539520264</v>
      </c>
      <c r="R55" s="3">
        <v>1.816999614238739</v>
      </c>
      <c r="S55" s="11" t="e">
        <v>#N/A</v>
      </c>
      <c r="U55" s="3">
        <v>4</v>
      </c>
      <c r="V55" s="3">
        <v>5</v>
      </c>
      <c r="W55" s="3">
        <v>7</v>
      </c>
      <c r="X55" s="11" t="e">
        <v>#N/A</v>
      </c>
      <c r="Z55" s="3">
        <v>1.5669999999999997</v>
      </c>
      <c r="AA55" s="3">
        <v>1.7000000000000002</v>
      </c>
      <c r="AB55" s="3">
        <v>0.93399999999999972</v>
      </c>
      <c r="AC55" s="11" t="e">
        <v>#N/A</v>
      </c>
      <c r="AE55" s="3">
        <v>1.4329998791217804</v>
      </c>
      <c r="AF55" s="3">
        <v>1.4669997692108154</v>
      </c>
      <c r="AG55" s="3">
        <v>0.7499997615814209</v>
      </c>
      <c r="AH55" s="11" t="e">
        <v>#N/A</v>
      </c>
      <c r="AJ55" s="3">
        <v>4</v>
      </c>
      <c r="AK55" s="3">
        <v>4</v>
      </c>
      <c r="AL55" s="3">
        <v>4</v>
      </c>
      <c r="AM55" s="11" t="e">
        <v>#N/A</v>
      </c>
      <c r="AO55" s="3">
        <v>4</v>
      </c>
      <c r="AP55" s="3">
        <v>4</v>
      </c>
      <c r="AQ55" s="3">
        <v>5</v>
      </c>
      <c r="AR55" s="11" t="e">
        <v>#N/A</v>
      </c>
      <c r="AT55" s="3">
        <v>0.29399999976158142</v>
      </c>
      <c r="AU55" s="3">
        <v>0.75499999523162842</v>
      </c>
      <c r="AV55" s="3">
        <v>2.0360000133514404</v>
      </c>
      <c r="AW55" s="11" t="e">
        <v>#N/A</v>
      </c>
      <c r="AY55" s="3">
        <v>0</v>
      </c>
      <c r="AZ55" s="3">
        <v>0</v>
      </c>
      <c r="BA55" s="3">
        <v>0</v>
      </c>
      <c r="BB55" s="11" t="e">
        <v>#N/A</v>
      </c>
      <c r="BD55" s="3">
        <v>0</v>
      </c>
      <c r="BE55" s="3">
        <v>0</v>
      </c>
      <c r="BF55" s="3">
        <v>0</v>
      </c>
      <c r="BG55" s="11" t="e">
        <v>#N/A</v>
      </c>
      <c r="BI55" s="3">
        <v>0</v>
      </c>
      <c r="BJ55" s="3">
        <v>0</v>
      </c>
      <c r="BK55" s="3">
        <v>0</v>
      </c>
      <c r="BL55" s="11" t="e">
        <v>#N/A</v>
      </c>
      <c r="BN55" s="3">
        <v>0</v>
      </c>
      <c r="BO55" s="3">
        <v>0</v>
      </c>
      <c r="BP55" s="3">
        <v>0</v>
      </c>
      <c r="BQ55" s="11" t="e">
        <v>#N/A</v>
      </c>
      <c r="BS55" s="3">
        <v>4.0010000000000003</v>
      </c>
      <c r="BT55" s="3">
        <v>4.0110000000000001</v>
      </c>
      <c r="BU55" s="3">
        <v>4.01</v>
      </c>
      <c r="BV55" s="11" t="e">
        <v>#N/A</v>
      </c>
      <c r="BX55" s="3">
        <v>0.13400000000000001</v>
      </c>
      <c r="BY55" s="3">
        <v>0.5169999999999999</v>
      </c>
      <c r="BZ55" s="3">
        <v>0.33300000000000018</v>
      </c>
      <c r="CA55" s="11" t="e">
        <v>#N/A</v>
      </c>
      <c r="CC55" s="3">
        <v>0.11599993705749512</v>
      </c>
      <c r="CD55" s="3">
        <v>0.53299987316131592</v>
      </c>
      <c r="CE55" s="3">
        <v>0.34999990463256836</v>
      </c>
      <c r="CF55" s="11" t="e">
        <v>#N/A</v>
      </c>
      <c r="CH55" s="3">
        <v>1</v>
      </c>
      <c r="CI55" s="3">
        <v>1</v>
      </c>
      <c r="CJ55" s="3">
        <v>1</v>
      </c>
      <c r="CK55" s="11" t="e">
        <v>#N/A</v>
      </c>
      <c r="CM55" s="3">
        <v>3</v>
      </c>
      <c r="CN55" s="3">
        <v>1</v>
      </c>
      <c r="CO55" s="3">
        <v>1</v>
      </c>
      <c r="CP55" s="11" t="e">
        <v>#N/A</v>
      </c>
      <c r="CR55" s="3">
        <v>1.2940000295639038</v>
      </c>
      <c r="CS55" s="3">
        <v>1.7050000429153442</v>
      </c>
      <c r="CT55" s="3">
        <v>3.5520000457763672</v>
      </c>
      <c r="CU55" s="11" t="e">
        <v>#N/A</v>
      </c>
    </row>
    <row r="56" spans="1:99" s="3" customFormat="1" x14ac:dyDescent="0.35">
      <c r="A56" s="2" t="s">
        <v>15</v>
      </c>
      <c r="B56" s="2">
        <v>8.25</v>
      </c>
      <c r="C56" s="2" t="s">
        <v>168</v>
      </c>
      <c r="D56" s="2" t="s">
        <v>403</v>
      </c>
      <c r="F56" s="3">
        <v>4.016</v>
      </c>
      <c r="G56" s="3">
        <v>4.016</v>
      </c>
      <c r="H56" s="3">
        <v>4.016</v>
      </c>
      <c r="I56" s="3">
        <v>4.0149999999999997</v>
      </c>
      <c r="K56" s="3">
        <v>3.9980000000000002</v>
      </c>
      <c r="L56" s="3">
        <v>3.8330000000000002</v>
      </c>
      <c r="M56" s="3">
        <v>3.9989999999999997</v>
      </c>
      <c r="N56" s="3">
        <v>3.9990000000000001</v>
      </c>
      <c r="P56" s="3">
        <v>3.998000156134367</v>
      </c>
      <c r="Q56" s="3">
        <v>3.4679996091872454</v>
      </c>
      <c r="R56" s="3">
        <v>3.7160003185272217</v>
      </c>
      <c r="S56" s="3">
        <v>3.7479998340131715</v>
      </c>
      <c r="U56" s="3">
        <v>1</v>
      </c>
      <c r="V56" s="3">
        <v>9</v>
      </c>
      <c r="W56" s="3">
        <v>5</v>
      </c>
      <c r="X56" s="3">
        <v>8</v>
      </c>
      <c r="Z56" s="3">
        <v>3.9980000000000002</v>
      </c>
      <c r="AA56" s="3">
        <v>3.7170000000000001</v>
      </c>
      <c r="AB56" s="3">
        <v>3.9989999999999997</v>
      </c>
      <c r="AC56" s="3">
        <v>3.3319999999999999</v>
      </c>
      <c r="AE56" s="3">
        <v>3.998000156134367</v>
      </c>
      <c r="AF56" s="3">
        <v>3.4679996091872454</v>
      </c>
      <c r="AG56" s="3">
        <v>3.7160003185272217</v>
      </c>
      <c r="AH56" s="3">
        <v>3.1319998969556764</v>
      </c>
      <c r="AJ56" s="3">
        <v>1</v>
      </c>
      <c r="AK56" s="3">
        <v>9</v>
      </c>
      <c r="AL56" s="3">
        <v>5</v>
      </c>
      <c r="AM56" s="3">
        <v>7</v>
      </c>
      <c r="AO56" s="3">
        <v>1</v>
      </c>
      <c r="AP56" s="3">
        <v>2</v>
      </c>
      <c r="AQ56" s="3">
        <v>1</v>
      </c>
      <c r="AR56" s="3">
        <v>2</v>
      </c>
      <c r="AT56" s="3">
        <v>1.3000000268220901E-2</v>
      </c>
      <c r="AU56" s="3">
        <v>1.6000000759959221E-2</v>
      </c>
      <c r="AV56" s="3">
        <v>0.22699999809265137</v>
      </c>
      <c r="AW56" s="3">
        <v>1.0000000474974513E-3</v>
      </c>
      <c r="AY56" s="3">
        <v>3.9980000000000002</v>
      </c>
      <c r="AZ56" s="3">
        <v>0.95</v>
      </c>
      <c r="BA56" s="3">
        <v>3.5489999999999999</v>
      </c>
      <c r="BB56" s="3">
        <v>2.4319999999999999</v>
      </c>
      <c r="BD56" s="3">
        <v>3.998000156134367</v>
      </c>
      <c r="BE56" s="3">
        <v>1.1169998962432146</v>
      </c>
      <c r="BF56" s="3">
        <v>3.4320003390312195</v>
      </c>
      <c r="BG56" s="3">
        <v>2.3159999251365662</v>
      </c>
      <c r="BI56" s="3">
        <v>1</v>
      </c>
      <c r="BJ56" s="3">
        <v>2</v>
      </c>
      <c r="BK56" s="3">
        <v>4</v>
      </c>
      <c r="BL56" s="3">
        <v>5</v>
      </c>
      <c r="BN56" s="3">
        <v>1</v>
      </c>
      <c r="BO56" s="3">
        <v>2</v>
      </c>
      <c r="BP56" s="3">
        <v>2</v>
      </c>
      <c r="BQ56" s="3">
        <v>3</v>
      </c>
      <c r="BS56" s="3">
        <v>1.3000000268220901E-2</v>
      </c>
      <c r="BT56" s="3">
        <v>1.6000000759959221E-2</v>
      </c>
      <c r="BU56" s="3">
        <v>0.52700001001358032</v>
      </c>
      <c r="BV56" s="3">
        <v>0.51800000667572021</v>
      </c>
      <c r="BX56" s="3">
        <v>0</v>
      </c>
      <c r="BY56" s="3">
        <v>8.4000000000000075E-2</v>
      </c>
      <c r="BZ56" s="3">
        <v>1.6999999999999998E-2</v>
      </c>
      <c r="CA56" s="3">
        <v>0</v>
      </c>
      <c r="CC56" s="3">
        <v>0</v>
      </c>
      <c r="CD56" s="3">
        <v>9.9999904632568359E-2</v>
      </c>
      <c r="CE56" s="3">
        <v>0</v>
      </c>
      <c r="CF56" s="3">
        <v>0</v>
      </c>
      <c r="CH56" s="3">
        <v>0</v>
      </c>
      <c r="CI56" s="3">
        <v>1</v>
      </c>
      <c r="CJ56" s="3">
        <v>0</v>
      </c>
      <c r="CK56" s="3">
        <v>0</v>
      </c>
      <c r="CM56" s="3">
        <v>0</v>
      </c>
      <c r="CN56" s="3">
        <v>1</v>
      </c>
      <c r="CO56" s="3">
        <v>1</v>
      </c>
      <c r="CP56" s="3">
        <v>0</v>
      </c>
      <c r="CR56" s="3">
        <v>4.016</v>
      </c>
      <c r="CS56" s="3">
        <v>1.9830000400543213</v>
      </c>
      <c r="CT56" s="3">
        <v>4.016</v>
      </c>
      <c r="CU56" s="3">
        <v>4.0149999999999997</v>
      </c>
    </row>
    <row r="57" spans="1:99" s="3" customFormat="1" x14ac:dyDescent="0.35">
      <c r="A57" s="2" t="s">
        <v>29</v>
      </c>
      <c r="B57" s="2">
        <v>8.5</v>
      </c>
      <c r="C57" s="2" t="s">
        <v>168</v>
      </c>
      <c r="D57" s="2" t="s">
        <v>403</v>
      </c>
      <c r="F57" s="3">
        <v>4.0110000000000001</v>
      </c>
      <c r="G57" s="3">
        <v>4.0110000000000001</v>
      </c>
      <c r="H57" s="3">
        <v>4.0309999999999997</v>
      </c>
      <c r="I57" s="3">
        <v>4.01</v>
      </c>
      <c r="K57" s="3">
        <v>3.9979999999999998</v>
      </c>
      <c r="L57" s="3">
        <v>3.9490000000000003</v>
      </c>
      <c r="M57" s="3">
        <v>4.016</v>
      </c>
      <c r="N57" s="3">
        <v>3.1</v>
      </c>
      <c r="P57" s="3">
        <v>3.895999797154218</v>
      </c>
      <c r="Q57" s="3">
        <v>3.6159999668598175</v>
      </c>
      <c r="R57" s="3">
        <v>3.3669999241828918</v>
      </c>
      <c r="S57" s="3">
        <v>2.8490002155303955</v>
      </c>
      <c r="U57" s="3">
        <v>6</v>
      </c>
      <c r="V57" s="3">
        <v>4</v>
      </c>
      <c r="W57" s="3">
        <v>10</v>
      </c>
      <c r="X57" s="3">
        <v>6</v>
      </c>
      <c r="Z57" s="3">
        <v>3.9979999999999998</v>
      </c>
      <c r="AA57" s="3">
        <v>3.9490000000000003</v>
      </c>
      <c r="AB57" s="3">
        <v>4.016</v>
      </c>
      <c r="AC57" s="3">
        <v>1.2510000000000003</v>
      </c>
      <c r="AE57" s="3">
        <v>3.895999797154218</v>
      </c>
      <c r="AF57" s="3">
        <v>3.6159999668598175</v>
      </c>
      <c r="AG57" s="3">
        <v>3.3669999241828918</v>
      </c>
      <c r="AH57" s="3">
        <v>1.1330001354217529</v>
      </c>
      <c r="AJ57" s="3">
        <v>6</v>
      </c>
      <c r="AK57" s="3">
        <v>4</v>
      </c>
      <c r="AL57" s="3">
        <v>10</v>
      </c>
      <c r="AM57" s="3">
        <v>4</v>
      </c>
      <c r="AO57" s="3">
        <v>1</v>
      </c>
      <c r="AP57" s="3">
        <v>1</v>
      </c>
      <c r="AQ57" s="3">
        <v>1</v>
      </c>
      <c r="AR57" s="3">
        <v>3</v>
      </c>
      <c r="AT57" s="3">
        <v>4.0000001899898052E-3</v>
      </c>
      <c r="AU57" s="3">
        <v>0.125</v>
      </c>
      <c r="AV57" s="3">
        <v>0.20600000023841858</v>
      </c>
      <c r="AW57" s="3">
        <v>0.26899999380111694</v>
      </c>
      <c r="AY57" s="3">
        <v>2.266</v>
      </c>
      <c r="AZ57" s="3">
        <v>0</v>
      </c>
      <c r="BA57" s="3">
        <v>2.4</v>
      </c>
      <c r="BB57" s="3">
        <v>9.8999999999999977E-2</v>
      </c>
      <c r="BD57" s="3">
        <v>2.3479999303817749</v>
      </c>
      <c r="BE57" s="3">
        <v>0</v>
      </c>
      <c r="BF57" s="3">
        <v>2.4839997887611389</v>
      </c>
      <c r="BG57" s="3">
        <v>0</v>
      </c>
      <c r="BI57" s="3">
        <v>2</v>
      </c>
      <c r="BJ57" s="3">
        <v>0</v>
      </c>
      <c r="BK57" s="3">
        <v>6</v>
      </c>
      <c r="BL57" s="3">
        <v>0</v>
      </c>
      <c r="BN57" s="3">
        <v>1</v>
      </c>
      <c r="BO57" s="3">
        <v>1</v>
      </c>
      <c r="BP57" s="3">
        <v>5</v>
      </c>
      <c r="BQ57" s="3">
        <v>2</v>
      </c>
      <c r="BS57" s="3">
        <v>0.58700001239776611</v>
      </c>
      <c r="BT57" s="3">
        <v>4.0110000000000001</v>
      </c>
      <c r="BU57" s="3">
        <v>0.20600000023841858</v>
      </c>
      <c r="BV57" s="3">
        <v>4.01</v>
      </c>
      <c r="BX57" s="3">
        <v>0.8490000000000002</v>
      </c>
      <c r="BY57" s="3">
        <v>2.9159999999999999</v>
      </c>
      <c r="BZ57" s="3">
        <v>0.33400000000000007</v>
      </c>
      <c r="CA57" s="3">
        <v>3.3000000000000002E-2</v>
      </c>
      <c r="CC57" s="3">
        <v>0.84899997711181641</v>
      </c>
      <c r="CD57" s="3">
        <v>2.3159999847412109</v>
      </c>
      <c r="CE57" s="3">
        <v>0.38300001621246338</v>
      </c>
      <c r="CF57" s="3">
        <v>0</v>
      </c>
      <c r="CH57" s="3">
        <v>2</v>
      </c>
      <c r="CI57" s="3">
        <v>2</v>
      </c>
      <c r="CJ57" s="3">
        <v>1</v>
      </c>
      <c r="CK57" s="3">
        <v>0</v>
      </c>
      <c r="CM57" s="3">
        <v>1</v>
      </c>
      <c r="CN57" s="3">
        <v>4</v>
      </c>
      <c r="CO57" s="3">
        <v>1</v>
      </c>
      <c r="CP57" s="3">
        <v>1</v>
      </c>
      <c r="CR57" s="3">
        <v>3.1189999580383301</v>
      </c>
      <c r="CS57" s="3">
        <v>0.125</v>
      </c>
      <c r="CT57" s="3">
        <v>1.1890000104904175</v>
      </c>
      <c r="CU57" s="3">
        <v>4.01</v>
      </c>
    </row>
    <row r="58" spans="1:99" s="3" customFormat="1" x14ac:dyDescent="0.35">
      <c r="A58" s="2" t="s">
        <v>71</v>
      </c>
      <c r="B58" s="2">
        <v>8.5</v>
      </c>
      <c r="C58" s="2" t="s">
        <v>167</v>
      </c>
      <c r="D58" s="2" t="s">
        <v>403</v>
      </c>
      <c r="F58" s="3" t="e">
        <v>#N/A</v>
      </c>
      <c r="G58" s="3" t="e">
        <v>#N/A</v>
      </c>
      <c r="H58" s="3">
        <v>4.0049999999999999</v>
      </c>
      <c r="I58" s="3" t="e">
        <v>#N/A</v>
      </c>
      <c r="K58" s="11" t="e">
        <v>#N/A</v>
      </c>
      <c r="L58" s="3">
        <v>2.0830000000000002</v>
      </c>
      <c r="M58" s="3">
        <v>3.9830000000000001</v>
      </c>
      <c r="N58" s="3">
        <v>2.766</v>
      </c>
      <c r="P58" s="11" t="e">
        <v>#N/A</v>
      </c>
      <c r="Q58" s="3">
        <v>0.98400032520294189</v>
      </c>
      <c r="R58" s="3">
        <v>0.46600019931793213</v>
      </c>
      <c r="S58" s="3">
        <v>0.91600006259977818</v>
      </c>
      <c r="U58" s="11" t="e">
        <v>#N/A</v>
      </c>
      <c r="V58" s="3">
        <v>5</v>
      </c>
      <c r="W58" s="3">
        <v>3</v>
      </c>
      <c r="X58" s="3">
        <v>5</v>
      </c>
      <c r="Z58" s="11" t="e">
        <v>#N/A</v>
      </c>
      <c r="AA58" s="3">
        <v>1.7329999999999999</v>
      </c>
      <c r="AB58" s="3">
        <v>3.4160000000000008</v>
      </c>
      <c r="AC58" s="3">
        <v>2.1830000000000003</v>
      </c>
      <c r="AE58" s="11" t="e">
        <v>#N/A</v>
      </c>
      <c r="AF58" s="3">
        <v>0.76700019836425781</v>
      </c>
      <c r="AG58" s="3">
        <v>0.46600019931793213</v>
      </c>
      <c r="AH58" s="3">
        <v>0.91600006259977818</v>
      </c>
      <c r="AJ58" s="11" t="e">
        <v>#N/A</v>
      </c>
      <c r="AK58" s="3">
        <v>3</v>
      </c>
      <c r="AL58" s="3">
        <v>3</v>
      </c>
      <c r="AM58" s="3">
        <v>5</v>
      </c>
      <c r="AO58" s="11" t="e">
        <v>#N/A</v>
      </c>
      <c r="AP58" s="3">
        <v>3</v>
      </c>
      <c r="AQ58" s="3">
        <v>5</v>
      </c>
      <c r="AR58" s="3">
        <v>6</v>
      </c>
      <c r="AT58" s="11" t="e">
        <v>#N/A</v>
      </c>
      <c r="AU58" s="3">
        <v>2.3059999942779541</v>
      </c>
      <c r="AV58" s="3">
        <v>1.3600000143051147</v>
      </c>
      <c r="AW58" s="3">
        <v>1.2000000104308128E-2</v>
      </c>
      <c r="AY58" s="11" t="e">
        <v>#N/A</v>
      </c>
      <c r="AZ58" s="3">
        <v>0.24900000000000055</v>
      </c>
      <c r="BA58" s="3">
        <v>0.2169999999999995</v>
      </c>
      <c r="BB58" s="3">
        <v>0.16699999999999982</v>
      </c>
      <c r="BD58" s="11" t="e">
        <v>#N/A</v>
      </c>
      <c r="BE58" s="3">
        <v>0.11600017547607422</v>
      </c>
      <c r="BF58" s="3">
        <v>0</v>
      </c>
      <c r="BG58" s="3">
        <v>0</v>
      </c>
      <c r="BI58" s="11" t="e">
        <v>#N/A</v>
      </c>
      <c r="BJ58" s="3">
        <v>1</v>
      </c>
      <c r="BK58" s="3">
        <v>0</v>
      </c>
      <c r="BL58" s="3">
        <v>0</v>
      </c>
      <c r="BN58" s="11" t="e">
        <v>#N/A</v>
      </c>
      <c r="BO58" s="3">
        <v>4</v>
      </c>
      <c r="BP58" s="3">
        <v>7</v>
      </c>
      <c r="BQ58" s="3">
        <v>5</v>
      </c>
      <c r="BS58" s="11" t="e">
        <v>#N/A</v>
      </c>
      <c r="BT58" s="3">
        <v>3.872999906539917</v>
      </c>
      <c r="BU58" s="3">
        <v>4.0049999999999999</v>
      </c>
      <c r="BV58" s="3">
        <v>4.0110000000000001</v>
      </c>
      <c r="BX58" s="11" t="e">
        <v>#N/A</v>
      </c>
      <c r="BY58" s="3">
        <v>0</v>
      </c>
      <c r="BZ58" s="3">
        <v>0</v>
      </c>
      <c r="CA58" s="3">
        <v>0</v>
      </c>
      <c r="CC58" s="11" t="e">
        <v>#N/A</v>
      </c>
      <c r="CD58" s="3">
        <v>0</v>
      </c>
      <c r="CE58" s="3">
        <v>0</v>
      </c>
      <c r="CF58" s="3">
        <v>0</v>
      </c>
      <c r="CH58" s="11" t="e">
        <v>#N/A</v>
      </c>
      <c r="CI58" s="3">
        <v>0</v>
      </c>
      <c r="CJ58" s="3">
        <v>0</v>
      </c>
      <c r="CK58" s="3">
        <v>0</v>
      </c>
      <c r="CM58" s="11" t="e">
        <v>#N/A</v>
      </c>
      <c r="CN58" s="3">
        <v>0</v>
      </c>
      <c r="CO58" s="3">
        <v>1</v>
      </c>
      <c r="CP58" s="3">
        <v>0</v>
      </c>
      <c r="CR58" s="11" t="e">
        <v>#N/A</v>
      </c>
      <c r="CS58" s="3">
        <v>4.0019999999999998</v>
      </c>
      <c r="CT58" s="3">
        <v>4.0049999999999999</v>
      </c>
      <c r="CU58" s="3">
        <v>4.0110000000000001</v>
      </c>
    </row>
    <row r="59" spans="1:99" s="3" customFormat="1" x14ac:dyDescent="0.35">
      <c r="A59" s="2" t="s">
        <v>12</v>
      </c>
      <c r="B59" s="2">
        <v>8.5833333333333339</v>
      </c>
      <c r="C59" s="2" t="s">
        <v>168</v>
      </c>
      <c r="D59" s="2" t="s">
        <v>403</v>
      </c>
      <c r="F59" s="3">
        <v>4.0149999999999997</v>
      </c>
      <c r="G59" s="3">
        <v>4.0110000000000001</v>
      </c>
      <c r="H59" s="3">
        <v>4.0119999999999996</v>
      </c>
      <c r="I59" s="3">
        <v>4.0149999999999997</v>
      </c>
      <c r="K59" s="3">
        <v>3.9989999999999997</v>
      </c>
      <c r="L59" s="3">
        <v>3.9990000000000001</v>
      </c>
      <c r="M59" s="3">
        <v>3.9989999999999997</v>
      </c>
      <c r="N59" s="3">
        <v>3.9989999999999997</v>
      </c>
      <c r="P59" s="3">
        <v>3.7000004127621651</v>
      </c>
      <c r="Q59" s="3">
        <v>3.6009999755769968</v>
      </c>
      <c r="R59" s="3">
        <v>2.9799999371170998</v>
      </c>
      <c r="S59" s="3">
        <v>3.214999592397362</v>
      </c>
      <c r="U59" s="3">
        <v>7</v>
      </c>
      <c r="V59" s="3">
        <v>7</v>
      </c>
      <c r="W59" s="3">
        <v>9</v>
      </c>
      <c r="X59" s="3">
        <v>12</v>
      </c>
      <c r="Z59" s="3">
        <v>3.9989999999999997</v>
      </c>
      <c r="AA59" s="3">
        <v>3.9990000000000001</v>
      </c>
      <c r="AB59" s="3">
        <v>3.9989999999999997</v>
      </c>
      <c r="AC59" s="3">
        <v>3.9989999999999997</v>
      </c>
      <c r="AE59" s="3">
        <v>3.7000004127621651</v>
      </c>
      <c r="AF59" s="3">
        <v>3.6009999755769968</v>
      </c>
      <c r="AG59" s="3">
        <v>2.9799999371170998</v>
      </c>
      <c r="AH59" s="3">
        <v>3.214999592397362</v>
      </c>
      <c r="AJ59" s="3">
        <v>7</v>
      </c>
      <c r="AK59" s="3">
        <v>7</v>
      </c>
      <c r="AL59" s="3">
        <v>9</v>
      </c>
      <c r="AM59" s="3">
        <v>12</v>
      </c>
      <c r="AO59" s="3">
        <v>1</v>
      </c>
      <c r="AP59" s="3">
        <v>1</v>
      </c>
      <c r="AQ59" s="3">
        <v>1</v>
      </c>
      <c r="AR59" s="3">
        <v>1</v>
      </c>
      <c r="AT59" s="3">
        <v>1.0999999940395355E-2</v>
      </c>
      <c r="AU59" s="3">
        <v>1.2000000104308128E-2</v>
      </c>
      <c r="AV59" s="3">
        <v>1.0999999940395355E-2</v>
      </c>
      <c r="AW59" s="3">
        <v>3.0000000260770321E-3</v>
      </c>
      <c r="AY59" s="3">
        <v>2.9319999999999995</v>
      </c>
      <c r="AZ59" s="3">
        <v>3.1170000000000004</v>
      </c>
      <c r="BA59" s="3">
        <v>2.1479999999999997</v>
      </c>
      <c r="BB59" s="3">
        <v>1.8500000000000003</v>
      </c>
      <c r="BD59" s="3">
        <v>2.7340002655982971</v>
      </c>
      <c r="BE59" s="3">
        <v>3.1179999709129333</v>
      </c>
      <c r="BF59" s="3">
        <v>2.1639999449253082</v>
      </c>
      <c r="BG59" s="3">
        <v>1.6489996165037155</v>
      </c>
      <c r="BI59" s="3">
        <v>4</v>
      </c>
      <c r="BJ59" s="3">
        <v>6</v>
      </c>
      <c r="BK59" s="3">
        <v>6</v>
      </c>
      <c r="BL59" s="3">
        <v>6</v>
      </c>
      <c r="BN59" s="3">
        <v>4</v>
      </c>
      <c r="BO59" s="3">
        <v>3</v>
      </c>
      <c r="BP59" s="3">
        <v>5</v>
      </c>
      <c r="BQ59" s="3">
        <v>4</v>
      </c>
      <c r="BS59" s="3">
        <v>0.36100000143051147</v>
      </c>
      <c r="BT59" s="3">
        <v>0.51099997758865356</v>
      </c>
      <c r="BU59" s="3">
        <v>0.34400001168251038</v>
      </c>
      <c r="BV59" s="3">
        <v>0.18600000441074371</v>
      </c>
      <c r="BX59" s="3">
        <v>0</v>
      </c>
      <c r="BY59" s="3">
        <v>0.28299999999999997</v>
      </c>
      <c r="BZ59" s="3">
        <v>0</v>
      </c>
      <c r="CA59" s="3">
        <v>0.39999999999999991</v>
      </c>
      <c r="CC59" s="3">
        <v>0</v>
      </c>
      <c r="CD59" s="3">
        <v>0</v>
      </c>
      <c r="CE59" s="3">
        <v>0</v>
      </c>
      <c r="CF59" s="3">
        <v>0.41700005531311035</v>
      </c>
      <c r="CH59" s="3">
        <v>0</v>
      </c>
      <c r="CI59" s="3">
        <v>0</v>
      </c>
      <c r="CJ59" s="3">
        <v>0</v>
      </c>
      <c r="CK59" s="3">
        <v>1</v>
      </c>
      <c r="CM59" s="3">
        <v>0</v>
      </c>
      <c r="CN59" s="3">
        <v>2</v>
      </c>
      <c r="CO59" s="3">
        <v>0</v>
      </c>
      <c r="CP59" s="3">
        <v>1</v>
      </c>
      <c r="CR59" s="3">
        <v>4.0149999999999997</v>
      </c>
      <c r="CS59" s="3">
        <v>4.0110000000000001</v>
      </c>
      <c r="CT59" s="3">
        <v>4.0119999999999996</v>
      </c>
      <c r="CU59" s="3">
        <v>2.3020000457763672</v>
      </c>
    </row>
    <row r="60" spans="1:99" s="3" customFormat="1" x14ac:dyDescent="0.35">
      <c r="A60" s="2" t="s">
        <v>80</v>
      </c>
      <c r="B60" s="2">
        <v>8.5833333333333339</v>
      </c>
      <c r="C60" s="2" t="s">
        <v>168</v>
      </c>
      <c r="D60" s="2" t="s">
        <v>403</v>
      </c>
      <c r="F60" s="3">
        <v>4.016</v>
      </c>
      <c r="G60" s="3">
        <v>4.016</v>
      </c>
      <c r="H60" s="3">
        <v>4.032</v>
      </c>
      <c r="I60" s="3">
        <v>4.016</v>
      </c>
      <c r="K60" s="3">
        <v>3.9990000000000006</v>
      </c>
      <c r="L60" s="3">
        <v>3.9990000000000006</v>
      </c>
      <c r="M60" s="3">
        <v>4.016</v>
      </c>
      <c r="N60" s="3">
        <v>3.9979999999999998</v>
      </c>
      <c r="P60" s="3">
        <v>3.8009995725005865</v>
      </c>
      <c r="Q60" s="3">
        <v>3.748999735340476</v>
      </c>
      <c r="R60" s="3">
        <v>3.8830001095775515</v>
      </c>
      <c r="S60" s="3">
        <v>3.549000330734998</v>
      </c>
      <c r="U60" s="3">
        <v>13</v>
      </c>
      <c r="V60" s="3">
        <v>9</v>
      </c>
      <c r="W60" s="3">
        <v>9</v>
      </c>
      <c r="X60" s="3">
        <v>15</v>
      </c>
      <c r="Z60" s="3">
        <v>3.9990000000000006</v>
      </c>
      <c r="AA60" s="3">
        <v>3.9990000000000006</v>
      </c>
      <c r="AB60" s="3">
        <v>4.016</v>
      </c>
      <c r="AC60" s="3">
        <v>3.9979999999999998</v>
      </c>
      <c r="AE60" s="3">
        <v>3.8009995725005865</v>
      </c>
      <c r="AF60" s="3">
        <v>3.748999735340476</v>
      </c>
      <c r="AG60" s="3">
        <v>3.8830001095775515</v>
      </c>
      <c r="AH60" s="3">
        <v>3.549000330734998</v>
      </c>
      <c r="AJ60" s="3">
        <v>13</v>
      </c>
      <c r="AK60" s="3">
        <v>9</v>
      </c>
      <c r="AL60" s="3">
        <v>9</v>
      </c>
      <c r="AM60" s="3">
        <v>15</v>
      </c>
      <c r="AO60" s="3">
        <v>1</v>
      </c>
      <c r="AP60" s="3">
        <v>1</v>
      </c>
      <c r="AQ60" s="3">
        <v>1</v>
      </c>
      <c r="AR60" s="3">
        <v>1</v>
      </c>
      <c r="AT60" s="3">
        <v>9.9999997764825821E-3</v>
      </c>
      <c r="AU60" s="3">
        <v>9.9999997764825821E-3</v>
      </c>
      <c r="AV60" s="3">
        <v>2.0000000949949026E-3</v>
      </c>
      <c r="AW60" s="3">
        <v>4.0000001899898052E-3</v>
      </c>
      <c r="AY60" s="3">
        <v>1.7670000000000003</v>
      </c>
      <c r="AZ60" s="3">
        <v>1.45</v>
      </c>
      <c r="BA60" s="3">
        <v>1.716</v>
      </c>
      <c r="BB60" s="3">
        <v>0.7330000000000001</v>
      </c>
      <c r="BD60" s="3">
        <v>1.8830000162124634</v>
      </c>
      <c r="BE60" s="3">
        <v>1.3669999241828918</v>
      </c>
      <c r="BF60" s="3">
        <v>1.8990000227931887</v>
      </c>
      <c r="BG60" s="3">
        <v>0.68199995160102844</v>
      </c>
      <c r="BI60" s="3">
        <v>5</v>
      </c>
      <c r="BJ60" s="3">
        <v>3</v>
      </c>
      <c r="BK60" s="3">
        <v>3</v>
      </c>
      <c r="BL60" s="3">
        <v>4</v>
      </c>
      <c r="BN60" s="3">
        <v>3</v>
      </c>
      <c r="BO60" s="3">
        <v>2</v>
      </c>
      <c r="BP60" s="3">
        <v>3</v>
      </c>
      <c r="BQ60" s="3">
        <v>2</v>
      </c>
      <c r="BS60" s="3">
        <v>0.57599997520446777</v>
      </c>
      <c r="BT60" s="3">
        <v>0.47699999809265137</v>
      </c>
      <c r="BU60" s="3">
        <v>2.0000000949949026E-3</v>
      </c>
      <c r="BV60" s="3">
        <v>0.41999998688697815</v>
      </c>
      <c r="BX60" s="3">
        <v>0.46700000000000053</v>
      </c>
      <c r="BY60" s="3">
        <v>1.7000000000000348E-2</v>
      </c>
      <c r="BZ60" s="3">
        <v>0</v>
      </c>
      <c r="CA60" s="3">
        <v>0</v>
      </c>
      <c r="CC60" s="3">
        <v>0.43399977684020996</v>
      </c>
      <c r="CD60" s="3">
        <v>0</v>
      </c>
      <c r="CE60" s="3">
        <v>0</v>
      </c>
      <c r="CF60" s="3">
        <v>0</v>
      </c>
      <c r="CH60" s="3">
        <v>2</v>
      </c>
      <c r="CI60" s="3">
        <v>0</v>
      </c>
      <c r="CJ60" s="3">
        <v>0</v>
      </c>
      <c r="CK60" s="3">
        <v>0</v>
      </c>
      <c r="CM60" s="3">
        <v>2</v>
      </c>
      <c r="CN60" s="3">
        <v>1</v>
      </c>
      <c r="CO60" s="3">
        <v>0</v>
      </c>
      <c r="CP60" s="3">
        <v>0</v>
      </c>
      <c r="CR60" s="3">
        <v>3.5590000152587891</v>
      </c>
      <c r="CS60" s="3">
        <v>4.016</v>
      </c>
      <c r="CT60" s="3">
        <v>4.032</v>
      </c>
      <c r="CU60" s="3">
        <v>4.016</v>
      </c>
    </row>
    <row r="61" spans="1:99" s="3" customFormat="1" x14ac:dyDescent="0.35">
      <c r="A61" s="2" t="s">
        <v>76</v>
      </c>
      <c r="B61" s="2">
        <v>8.6666666666666661</v>
      </c>
      <c r="C61" s="2" t="s">
        <v>167</v>
      </c>
      <c r="D61" s="2" t="s">
        <v>403</v>
      </c>
      <c r="F61" s="3" t="e">
        <v>#N/A</v>
      </c>
      <c r="G61" s="3">
        <v>4.0110000000000001</v>
      </c>
      <c r="H61" s="3">
        <v>3.056</v>
      </c>
      <c r="I61" s="3">
        <v>4.0110000000000001</v>
      </c>
      <c r="K61" s="3">
        <v>2.7989999999999999</v>
      </c>
      <c r="L61" s="3">
        <v>3.9820000000000002</v>
      </c>
      <c r="M61" s="3">
        <v>3.0489999999999999</v>
      </c>
      <c r="N61" s="3">
        <v>3.9820000000000002</v>
      </c>
      <c r="P61" s="3">
        <v>2.7170000543119386</v>
      </c>
      <c r="Q61" s="3">
        <v>3.8170000929385424</v>
      </c>
      <c r="R61" s="3">
        <v>2.7670000484213233</v>
      </c>
      <c r="S61" s="3">
        <v>3.8309999089688063</v>
      </c>
      <c r="U61" s="3">
        <v>5</v>
      </c>
      <c r="V61" s="3">
        <v>11</v>
      </c>
      <c r="W61" s="3">
        <v>9</v>
      </c>
      <c r="X61" s="3">
        <v>10</v>
      </c>
      <c r="Z61" s="3">
        <v>2.7989999999999999</v>
      </c>
      <c r="AA61" s="3">
        <v>3.9820000000000002</v>
      </c>
      <c r="AB61" s="3">
        <v>2.3330000000000002</v>
      </c>
      <c r="AC61" s="3">
        <v>3.9820000000000002</v>
      </c>
      <c r="AE61" s="3">
        <v>2.7170000543119386</v>
      </c>
      <c r="AF61" s="3">
        <v>3.8170000929385424</v>
      </c>
      <c r="AG61" s="3">
        <v>2.067000119946897</v>
      </c>
      <c r="AH61" s="3">
        <v>3.8309999089688063</v>
      </c>
      <c r="AJ61" s="3">
        <v>5</v>
      </c>
      <c r="AK61" s="3">
        <v>11</v>
      </c>
      <c r="AL61" s="3">
        <v>8</v>
      </c>
      <c r="AM61" s="3">
        <v>10</v>
      </c>
      <c r="AO61" s="3">
        <v>1</v>
      </c>
      <c r="AP61" s="3">
        <v>1</v>
      </c>
      <c r="AQ61" s="3">
        <v>2</v>
      </c>
      <c r="AR61" s="3">
        <v>1</v>
      </c>
      <c r="AT61" s="3">
        <v>1.0000000474974513E-3</v>
      </c>
      <c r="AU61" s="3">
        <v>1.6000000759959221E-2</v>
      </c>
      <c r="AV61" s="3">
        <v>7.0000002160668373E-3</v>
      </c>
      <c r="AW61" s="3">
        <v>1.4000000432133675E-2</v>
      </c>
      <c r="AY61" s="3">
        <v>0.99899999999999989</v>
      </c>
      <c r="AZ61" s="3">
        <v>2.3320000000000003</v>
      </c>
      <c r="BA61" s="3">
        <v>0.76600000000000013</v>
      </c>
      <c r="BB61" s="3">
        <v>1.4660000000000002</v>
      </c>
      <c r="BD61" s="3">
        <v>1.1500000357627869</v>
      </c>
      <c r="BE61" s="3">
        <v>2.1840000152587891</v>
      </c>
      <c r="BF61" s="3">
        <v>0.60000014305114746</v>
      </c>
      <c r="BG61" s="3">
        <v>1.6490000486373901</v>
      </c>
      <c r="BI61" s="3">
        <v>2</v>
      </c>
      <c r="BJ61" s="3">
        <v>6</v>
      </c>
      <c r="BK61" s="3">
        <v>2</v>
      </c>
      <c r="BL61" s="3">
        <v>4</v>
      </c>
      <c r="BN61" s="3">
        <v>4</v>
      </c>
      <c r="BO61" s="3">
        <v>3</v>
      </c>
      <c r="BP61" s="3">
        <v>2</v>
      </c>
      <c r="BQ61" s="3">
        <v>3</v>
      </c>
      <c r="BS61" s="3">
        <v>0.64999997615814209</v>
      </c>
      <c r="BT61" s="3">
        <v>1.1319999694824219</v>
      </c>
      <c r="BU61" s="3">
        <v>2.122999906539917</v>
      </c>
      <c r="BV61" s="3">
        <v>0.52999997138977051</v>
      </c>
      <c r="BX61" s="3">
        <v>1.6000000000000014E-2</v>
      </c>
      <c r="BY61" s="3">
        <v>0.19999999999999973</v>
      </c>
      <c r="BZ61" s="3">
        <v>0.16700000000000026</v>
      </c>
      <c r="CA61" s="3">
        <v>9.9999999999999645E-2</v>
      </c>
      <c r="CC61" s="3">
        <v>0</v>
      </c>
      <c r="CD61" s="3">
        <v>0</v>
      </c>
      <c r="CE61" s="3">
        <v>0.13400006294250488</v>
      </c>
      <c r="CF61" s="3">
        <v>0</v>
      </c>
      <c r="CH61" s="3">
        <v>0</v>
      </c>
      <c r="CI61" s="3">
        <v>0</v>
      </c>
      <c r="CJ61" s="3">
        <v>1</v>
      </c>
      <c r="CK61" s="3">
        <v>0</v>
      </c>
      <c r="CM61" s="3">
        <v>1</v>
      </c>
      <c r="CN61" s="3">
        <v>1</v>
      </c>
      <c r="CO61" s="3">
        <v>4</v>
      </c>
      <c r="CP61" s="3">
        <v>1</v>
      </c>
      <c r="CR61" s="3">
        <v>4.01</v>
      </c>
      <c r="CS61" s="3">
        <v>4.0110000000000001</v>
      </c>
      <c r="CT61" s="3">
        <v>2.9059998989105225</v>
      </c>
      <c r="CU61" s="3">
        <v>4.0110000000000001</v>
      </c>
    </row>
    <row r="62" spans="1:99" s="3" customFormat="1" x14ac:dyDescent="0.35">
      <c r="A62" s="2" t="s">
        <v>26</v>
      </c>
      <c r="B62" s="2">
        <v>8.75</v>
      </c>
      <c r="C62" s="2" t="s">
        <v>167</v>
      </c>
      <c r="D62" s="2" t="s">
        <v>403</v>
      </c>
      <c r="F62" s="3">
        <v>4.0129999999999999</v>
      </c>
      <c r="G62" s="3">
        <v>4.0069999999999997</v>
      </c>
      <c r="H62" s="3">
        <v>4.016</v>
      </c>
      <c r="I62" s="3">
        <v>4.0469999999999997</v>
      </c>
      <c r="K62" s="3">
        <v>3.9990000000000001</v>
      </c>
      <c r="L62" s="3">
        <v>3.9819999999999998</v>
      </c>
      <c r="M62" s="3">
        <v>3.9989999999999997</v>
      </c>
      <c r="N62" s="3">
        <v>4.0329999999999995</v>
      </c>
      <c r="P62" s="3">
        <v>3.9149998715147376</v>
      </c>
      <c r="Q62" s="3">
        <v>3.8300001695752144</v>
      </c>
      <c r="R62" s="3">
        <v>3.8810004368424416</v>
      </c>
      <c r="S62" s="3">
        <v>3.7339998950483277</v>
      </c>
      <c r="U62" s="3">
        <v>6</v>
      </c>
      <c r="V62" s="3">
        <v>10</v>
      </c>
      <c r="W62" s="3">
        <v>8</v>
      </c>
      <c r="X62" s="3">
        <v>6</v>
      </c>
      <c r="Z62" s="3">
        <v>3.9990000000000001</v>
      </c>
      <c r="AA62" s="3">
        <v>3.9819999999999998</v>
      </c>
      <c r="AB62" s="3">
        <v>3.9989999999999997</v>
      </c>
      <c r="AC62" s="3">
        <v>3.9999999999999996</v>
      </c>
      <c r="AE62" s="3">
        <v>3.9149998715147376</v>
      </c>
      <c r="AF62" s="3">
        <v>3.8300001695752144</v>
      </c>
      <c r="AG62" s="3">
        <v>3.8810004368424416</v>
      </c>
      <c r="AH62" s="3">
        <v>3.7339998950483277</v>
      </c>
      <c r="AJ62" s="3">
        <v>6</v>
      </c>
      <c r="AK62" s="3">
        <v>10</v>
      </c>
      <c r="AL62" s="3">
        <v>8</v>
      </c>
      <c r="AM62" s="3">
        <v>6</v>
      </c>
      <c r="AO62" s="3">
        <v>1</v>
      </c>
      <c r="AP62" s="3">
        <v>1</v>
      </c>
      <c r="AQ62" s="3">
        <v>1</v>
      </c>
      <c r="AR62" s="3">
        <v>2</v>
      </c>
      <c r="AT62" s="3">
        <v>7.0000002160668373E-3</v>
      </c>
      <c r="AU62" s="3">
        <v>1.0999999940395355E-2</v>
      </c>
      <c r="AV62" s="3">
        <v>1.0999999940395355E-2</v>
      </c>
      <c r="AW62" s="3">
        <v>1.0000000474974513E-3</v>
      </c>
      <c r="AY62" s="3">
        <v>3.5990000000000002</v>
      </c>
      <c r="AZ62" s="3">
        <v>2.4159999999999999</v>
      </c>
      <c r="BA62" s="3">
        <v>3.2829999999999999</v>
      </c>
      <c r="BB62" s="3">
        <v>1.6990000000000003</v>
      </c>
      <c r="BD62" s="3">
        <v>3.3819998791441321</v>
      </c>
      <c r="BE62" s="3">
        <v>2.1980000138282776</v>
      </c>
      <c r="BF62" s="3">
        <v>3.0150002613663673</v>
      </c>
      <c r="BG62" s="3">
        <v>1.4999999701976776</v>
      </c>
      <c r="BI62" s="3">
        <v>4</v>
      </c>
      <c r="BJ62" s="3">
        <v>6</v>
      </c>
      <c r="BK62" s="3">
        <v>6</v>
      </c>
      <c r="BL62" s="3">
        <v>4</v>
      </c>
      <c r="BN62" s="3">
        <v>2</v>
      </c>
      <c r="BO62" s="3">
        <v>2</v>
      </c>
      <c r="BP62" s="3">
        <v>2</v>
      </c>
      <c r="BQ62" s="3">
        <v>3</v>
      </c>
      <c r="BS62" s="3">
        <v>7.0000002160668373E-3</v>
      </c>
      <c r="BT62" s="3">
        <v>0.51099997758865356</v>
      </c>
      <c r="BU62" s="3">
        <v>1.0999999940395355E-2</v>
      </c>
      <c r="BV62" s="3">
        <v>0.43399998545646667</v>
      </c>
      <c r="BX62" s="3">
        <v>0</v>
      </c>
      <c r="BY62" s="3">
        <v>0</v>
      </c>
      <c r="BZ62" s="3">
        <v>0</v>
      </c>
      <c r="CA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0</v>
      </c>
      <c r="CI62" s="3">
        <v>0</v>
      </c>
      <c r="CJ62" s="3">
        <v>0</v>
      </c>
      <c r="CK62" s="3">
        <v>0</v>
      </c>
      <c r="CM62" s="3">
        <v>0</v>
      </c>
      <c r="CN62" s="3">
        <v>0</v>
      </c>
      <c r="CO62" s="3">
        <v>0</v>
      </c>
      <c r="CP62" s="3">
        <v>0</v>
      </c>
      <c r="CR62" s="3">
        <v>4.0129999999999999</v>
      </c>
      <c r="CS62" s="3">
        <v>4.0069999999999997</v>
      </c>
      <c r="CT62" s="3">
        <v>4.016</v>
      </c>
      <c r="CU62" s="3">
        <v>4.0469999999999997</v>
      </c>
    </row>
    <row r="63" spans="1:99" s="3" customFormat="1" x14ac:dyDescent="0.35">
      <c r="A63" s="2" t="s">
        <v>36</v>
      </c>
      <c r="B63" s="2">
        <v>8.8333333333333339</v>
      </c>
      <c r="C63" s="2" t="s">
        <v>168</v>
      </c>
      <c r="D63" s="2" t="s">
        <v>403</v>
      </c>
      <c r="F63" s="3">
        <v>4.0149999999999997</v>
      </c>
      <c r="G63" s="3">
        <v>4.016</v>
      </c>
      <c r="H63" s="3" t="e">
        <v>#N/A</v>
      </c>
      <c r="I63" s="3">
        <v>4.0149999999999997</v>
      </c>
      <c r="K63" s="3">
        <v>3.9990000000000001</v>
      </c>
      <c r="L63" s="3">
        <v>3.8979999999999997</v>
      </c>
      <c r="M63" s="11" t="e">
        <v>#N/A</v>
      </c>
      <c r="N63" s="3">
        <v>3.9660000000000002</v>
      </c>
      <c r="P63" s="3">
        <v>1.1820003390312195</v>
      </c>
      <c r="Q63" s="3">
        <v>0.58300018310546875</v>
      </c>
      <c r="R63" s="11" t="e">
        <v>#N/A</v>
      </c>
      <c r="S63" s="3">
        <v>1.9499999582767487</v>
      </c>
      <c r="U63" s="3">
        <v>8</v>
      </c>
      <c r="V63" s="3">
        <v>4</v>
      </c>
      <c r="W63" s="11" t="e">
        <v>#N/A</v>
      </c>
      <c r="X63" s="3">
        <v>10</v>
      </c>
      <c r="Z63" s="3">
        <v>2.5640000000000005</v>
      </c>
      <c r="AA63" s="3">
        <v>3.3509999999999995</v>
      </c>
      <c r="AB63" s="11" t="e">
        <v>#N/A</v>
      </c>
      <c r="AC63" s="3">
        <v>2.7670000000000003</v>
      </c>
      <c r="AE63" s="3">
        <v>0.76600021123886108</v>
      </c>
      <c r="AF63" s="3">
        <v>0.58300018310546875</v>
      </c>
      <c r="AG63" s="11" t="e">
        <v>#N/A</v>
      </c>
      <c r="AH63" s="3">
        <v>1.8159998953342438</v>
      </c>
      <c r="AJ63" s="3">
        <v>6</v>
      </c>
      <c r="AK63" s="3">
        <v>4</v>
      </c>
      <c r="AL63" s="11" t="e">
        <v>#N/A</v>
      </c>
      <c r="AM63" s="3">
        <v>9</v>
      </c>
      <c r="AO63" s="3">
        <v>16</v>
      </c>
      <c r="AP63" s="3">
        <v>10</v>
      </c>
      <c r="AQ63" s="11" t="e">
        <v>#N/A</v>
      </c>
      <c r="AR63" s="3">
        <v>11</v>
      </c>
      <c r="AT63" s="3">
        <v>0.82599997520446777</v>
      </c>
      <c r="AU63" s="3">
        <v>2.1740000247955322</v>
      </c>
      <c r="AV63" s="11" t="e">
        <v>#N/A</v>
      </c>
      <c r="AW63" s="3">
        <v>5.0999999046325684E-2</v>
      </c>
      <c r="AY63" s="3">
        <v>5.0000000000000266E-2</v>
      </c>
      <c r="AZ63" s="3">
        <v>0.19900000000000007</v>
      </c>
      <c r="BA63" s="11" t="e">
        <v>#N/A</v>
      </c>
      <c r="BB63" s="3">
        <v>0.25099999999999967</v>
      </c>
      <c r="BD63" s="3">
        <v>0</v>
      </c>
      <c r="BE63" s="3">
        <v>0.18300008773803711</v>
      </c>
      <c r="BF63" s="11" t="e">
        <v>#N/A</v>
      </c>
      <c r="BG63" s="3">
        <v>0.21699988842010498</v>
      </c>
      <c r="BI63" s="3">
        <v>0</v>
      </c>
      <c r="BJ63" s="3">
        <v>1</v>
      </c>
      <c r="BK63" s="11" t="e">
        <v>#N/A</v>
      </c>
      <c r="BL63" s="3">
        <v>1</v>
      </c>
      <c r="BN63" s="3">
        <v>2</v>
      </c>
      <c r="BO63" s="3">
        <v>12</v>
      </c>
      <c r="BP63" s="11" t="e">
        <v>#N/A</v>
      </c>
      <c r="BQ63" s="3">
        <v>3</v>
      </c>
      <c r="BS63" s="3">
        <v>4.0149999999999997</v>
      </c>
      <c r="BT63" s="3">
        <v>2.1740000247955322</v>
      </c>
      <c r="BU63" s="11" t="e">
        <v>#N/A</v>
      </c>
      <c r="BV63" s="3">
        <v>1.8170000314712524</v>
      </c>
      <c r="BX63" s="3">
        <v>3.3000000000000029E-2</v>
      </c>
      <c r="BY63" s="3">
        <v>0.13300000000000045</v>
      </c>
      <c r="BZ63" s="11" t="e">
        <v>#N/A</v>
      </c>
      <c r="CA63" s="3">
        <v>0.11699999999999999</v>
      </c>
      <c r="CC63" s="3">
        <v>0</v>
      </c>
      <c r="CD63" s="3">
        <v>0</v>
      </c>
      <c r="CE63" s="11" t="e">
        <v>#N/A</v>
      </c>
      <c r="CF63" s="3">
        <v>0.19999980926513672</v>
      </c>
      <c r="CH63" s="3">
        <v>0</v>
      </c>
      <c r="CI63" s="3">
        <v>0</v>
      </c>
      <c r="CJ63" s="11" t="e">
        <v>#N/A</v>
      </c>
      <c r="CK63" s="3">
        <v>1</v>
      </c>
      <c r="CM63" s="3">
        <v>10</v>
      </c>
      <c r="CN63" s="3">
        <v>6</v>
      </c>
      <c r="CO63" s="11" t="e">
        <v>#N/A</v>
      </c>
      <c r="CP63" s="3">
        <v>10</v>
      </c>
      <c r="CR63" s="3">
        <v>4.0149999999999997</v>
      </c>
      <c r="CS63" s="3">
        <v>4.016</v>
      </c>
      <c r="CT63" s="11" t="e">
        <v>#N/A</v>
      </c>
      <c r="CU63" s="3">
        <v>2.1500000953674316</v>
      </c>
    </row>
    <row r="64" spans="1:99" s="3" customFormat="1" x14ac:dyDescent="0.35">
      <c r="A64" s="2" t="s">
        <v>84</v>
      </c>
      <c r="B64" s="2">
        <v>9</v>
      </c>
      <c r="C64" s="2" t="s">
        <v>168</v>
      </c>
      <c r="D64" s="2" t="s">
        <v>403</v>
      </c>
      <c r="F64" s="3">
        <v>4.0149999999999997</v>
      </c>
      <c r="G64" s="3">
        <v>4.016</v>
      </c>
      <c r="H64" s="3">
        <v>4.0110000000000001</v>
      </c>
      <c r="I64" s="3">
        <v>4.016</v>
      </c>
      <c r="K64" s="3">
        <v>3.8820000000000001</v>
      </c>
      <c r="L64" s="3">
        <v>3.9489999999999998</v>
      </c>
      <c r="M64" s="3">
        <v>4</v>
      </c>
      <c r="N64" s="3">
        <v>4.0149999999999997</v>
      </c>
      <c r="P64" s="3">
        <v>3.7810001196339726</v>
      </c>
      <c r="Q64" s="3">
        <v>3.3330000340938568</v>
      </c>
      <c r="R64" s="3">
        <v>3.7830002009868622</v>
      </c>
      <c r="S64" s="3">
        <v>3.5149999186396599</v>
      </c>
      <c r="U64" s="3">
        <v>7</v>
      </c>
      <c r="V64" s="3">
        <v>8</v>
      </c>
      <c r="W64" s="3">
        <v>8</v>
      </c>
      <c r="X64" s="3">
        <v>10</v>
      </c>
      <c r="Z64" s="3">
        <v>3.8820000000000001</v>
      </c>
      <c r="AA64" s="3">
        <v>3.9489999999999998</v>
      </c>
      <c r="AB64" s="3">
        <v>3.6829999999999998</v>
      </c>
      <c r="AC64" s="3">
        <v>4.0149999999999997</v>
      </c>
      <c r="AE64" s="3">
        <v>3.7810001196339726</v>
      </c>
      <c r="AF64" s="3">
        <v>3.3330000340938568</v>
      </c>
      <c r="AG64" s="3">
        <v>3.4830001890659332</v>
      </c>
      <c r="AH64" s="3">
        <v>3.5149999186396599</v>
      </c>
      <c r="AJ64" s="3">
        <v>7</v>
      </c>
      <c r="AK64" s="3">
        <v>8</v>
      </c>
      <c r="AL64" s="3">
        <v>7</v>
      </c>
      <c r="AM64" s="3">
        <v>10</v>
      </c>
      <c r="AO64" s="3">
        <v>1</v>
      </c>
      <c r="AP64" s="3">
        <v>2</v>
      </c>
      <c r="AQ64" s="3">
        <v>2</v>
      </c>
      <c r="AR64" s="3">
        <v>1</v>
      </c>
      <c r="AT64" s="3">
        <v>6.0000000521540642E-3</v>
      </c>
      <c r="AU64" s="3">
        <v>0</v>
      </c>
      <c r="AV64" s="3">
        <v>0</v>
      </c>
      <c r="AW64" s="3">
        <v>3.2999999821186066E-2</v>
      </c>
      <c r="AY64" s="3">
        <v>0</v>
      </c>
      <c r="AZ64" s="3">
        <v>6.6999999999999837E-2</v>
      </c>
      <c r="BA64" s="3">
        <v>0.3</v>
      </c>
      <c r="BB64" s="3">
        <v>4.9999999999999822E-2</v>
      </c>
      <c r="BD64" s="3">
        <v>0</v>
      </c>
      <c r="BE64" s="3">
        <v>0</v>
      </c>
      <c r="BF64" s="3">
        <v>0.30000001192092896</v>
      </c>
      <c r="BG64" s="3">
        <v>0</v>
      </c>
      <c r="BI64" s="3">
        <v>0</v>
      </c>
      <c r="BJ64" s="3">
        <v>0</v>
      </c>
      <c r="BK64" s="3">
        <v>1</v>
      </c>
      <c r="BL64" s="3">
        <v>0</v>
      </c>
      <c r="BN64" s="3">
        <v>0</v>
      </c>
      <c r="BO64" s="3">
        <v>2</v>
      </c>
      <c r="BP64" s="3">
        <v>1</v>
      </c>
      <c r="BQ64" s="3">
        <v>1</v>
      </c>
      <c r="BS64" s="3">
        <v>4.0149999999999997</v>
      </c>
      <c r="BT64" s="3">
        <v>4.016</v>
      </c>
      <c r="BU64" s="3">
        <v>0.33300000429153442</v>
      </c>
      <c r="BV64" s="3">
        <v>4.016</v>
      </c>
      <c r="BX64" s="3">
        <v>0</v>
      </c>
      <c r="BY64" s="3">
        <v>0</v>
      </c>
      <c r="BZ64" s="3">
        <v>0</v>
      </c>
      <c r="CA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0</v>
      </c>
      <c r="CI64" s="3">
        <v>0</v>
      </c>
      <c r="CJ64" s="3">
        <v>0</v>
      </c>
      <c r="CK64" s="3">
        <v>0</v>
      </c>
      <c r="CM64" s="3">
        <v>0</v>
      </c>
      <c r="CN64" s="3">
        <v>1</v>
      </c>
      <c r="CO64" s="3">
        <v>0</v>
      </c>
      <c r="CP64" s="3">
        <v>0</v>
      </c>
      <c r="CR64" s="3">
        <v>4.0149999999999997</v>
      </c>
      <c r="CS64" s="3">
        <v>4.016</v>
      </c>
      <c r="CT64" s="3">
        <v>4.0110000000000001</v>
      </c>
      <c r="CU64" s="3">
        <v>4.016</v>
      </c>
    </row>
    <row r="65" spans="1:99" s="3" customFormat="1" x14ac:dyDescent="0.35">
      <c r="A65" s="2" t="s">
        <v>56</v>
      </c>
      <c r="B65" s="2">
        <v>9.0833333333333339</v>
      </c>
      <c r="C65" s="2" t="s">
        <v>167</v>
      </c>
      <c r="D65" s="2" t="s">
        <v>403</v>
      </c>
      <c r="F65" s="3" t="e">
        <v>#N/A</v>
      </c>
      <c r="G65" s="3">
        <v>4.0019999999999998</v>
      </c>
      <c r="H65" s="3">
        <v>4.0110000000000001</v>
      </c>
      <c r="I65" s="11" t="e">
        <v>#N/A</v>
      </c>
      <c r="K65" s="11" t="e">
        <v>#N/A</v>
      </c>
      <c r="L65" s="3">
        <v>3.5819999999999999</v>
      </c>
      <c r="M65" s="3">
        <v>3.9830000000000001</v>
      </c>
      <c r="N65" s="11" t="e">
        <v>#N/A</v>
      </c>
      <c r="P65" s="11" t="e">
        <v>#N/A</v>
      </c>
      <c r="Q65" s="3">
        <v>3.3319998681545258</v>
      </c>
      <c r="R65" s="3">
        <v>3.6499999184161425</v>
      </c>
      <c r="S65" s="11" t="e">
        <v>#N/A</v>
      </c>
      <c r="U65" s="11" t="e">
        <v>#N/A</v>
      </c>
      <c r="V65" s="3">
        <v>6</v>
      </c>
      <c r="W65" s="3">
        <v>10</v>
      </c>
      <c r="X65" s="11" t="e">
        <v>#N/A</v>
      </c>
      <c r="Z65" s="11" t="e">
        <v>#N/A</v>
      </c>
      <c r="AA65" s="3">
        <v>3.4489999999999998</v>
      </c>
      <c r="AB65" s="3">
        <v>3.9830000000000001</v>
      </c>
      <c r="AC65" s="11" t="e">
        <v>#N/A</v>
      </c>
      <c r="AE65" s="11" t="e">
        <v>#N/A</v>
      </c>
      <c r="AF65" s="3">
        <v>3.3319998681545258</v>
      </c>
      <c r="AG65" s="3">
        <v>3.6499999184161425</v>
      </c>
      <c r="AH65" s="11" t="e">
        <v>#N/A</v>
      </c>
      <c r="AJ65" s="11" t="e">
        <v>#N/A</v>
      </c>
      <c r="AK65" s="3">
        <v>6</v>
      </c>
      <c r="AL65" s="3">
        <v>10</v>
      </c>
      <c r="AM65" s="11" t="e">
        <v>#N/A</v>
      </c>
      <c r="AO65" s="11" t="e">
        <v>#N/A</v>
      </c>
      <c r="AP65" s="3">
        <v>2</v>
      </c>
      <c r="AQ65" s="3">
        <v>1</v>
      </c>
      <c r="AR65" s="11" t="e">
        <v>#N/A</v>
      </c>
      <c r="AT65" s="11" t="e">
        <v>#N/A</v>
      </c>
      <c r="AU65" s="3">
        <v>0.40599998831748962</v>
      </c>
      <c r="AV65" s="3">
        <v>1.6000000759959221E-2</v>
      </c>
      <c r="AW65" s="11" t="e">
        <v>#N/A</v>
      </c>
      <c r="AY65" s="11" t="e">
        <v>#N/A</v>
      </c>
      <c r="AZ65" s="3">
        <v>0.7669999999999999</v>
      </c>
      <c r="BA65" s="3">
        <v>1.1000000000000001</v>
      </c>
      <c r="BB65" s="11" t="e">
        <v>#N/A</v>
      </c>
      <c r="BD65" s="11" t="e">
        <v>#N/A</v>
      </c>
      <c r="BE65" s="3">
        <v>0.64999997615814209</v>
      </c>
      <c r="BF65" s="3">
        <v>1.0339999198913574</v>
      </c>
      <c r="BG65" s="11" t="e">
        <v>#N/A</v>
      </c>
      <c r="BI65" s="11" t="e">
        <v>#N/A</v>
      </c>
      <c r="BJ65" s="3">
        <v>2</v>
      </c>
      <c r="BK65" s="3">
        <v>3</v>
      </c>
      <c r="BL65" s="11" t="e">
        <v>#N/A</v>
      </c>
      <c r="BN65" s="11" t="e">
        <v>#N/A</v>
      </c>
      <c r="BO65" s="3">
        <v>2</v>
      </c>
      <c r="BP65" s="3">
        <v>5</v>
      </c>
      <c r="BQ65" s="11" t="e">
        <v>#N/A</v>
      </c>
      <c r="BS65" s="11" t="e">
        <v>#N/A</v>
      </c>
      <c r="BT65" s="3">
        <v>0.90600001811981201</v>
      </c>
      <c r="BU65" s="3">
        <v>0.33300000429153442</v>
      </c>
      <c r="BV65" s="11" t="e">
        <v>#N/A</v>
      </c>
      <c r="BX65" s="11" t="e">
        <v>#N/A</v>
      </c>
      <c r="BY65" s="3">
        <v>2.1659999999999999</v>
      </c>
      <c r="BZ65" s="3">
        <v>0.14999999999999991</v>
      </c>
      <c r="CA65" s="11" t="e">
        <v>#N/A</v>
      </c>
      <c r="CC65" s="11" t="e">
        <v>#N/A</v>
      </c>
      <c r="CD65" s="3">
        <v>2.0159999132156372</v>
      </c>
      <c r="CE65" s="3">
        <v>0.19899988174438477</v>
      </c>
      <c r="CF65" s="11" t="e">
        <v>#N/A</v>
      </c>
      <c r="CH65" s="11" t="e">
        <v>#N/A</v>
      </c>
      <c r="CI65" s="3">
        <v>1</v>
      </c>
      <c r="CJ65" s="3">
        <v>1</v>
      </c>
      <c r="CK65" s="11" t="e">
        <v>#N/A</v>
      </c>
      <c r="CM65" s="11" t="e">
        <v>#N/A</v>
      </c>
      <c r="CN65" s="3">
        <v>2</v>
      </c>
      <c r="CO65" s="3">
        <v>1</v>
      </c>
      <c r="CP65" s="11" t="e">
        <v>#N/A</v>
      </c>
      <c r="CR65" s="11" t="e">
        <v>#N/A</v>
      </c>
      <c r="CS65" s="3">
        <v>1.9220000505447388</v>
      </c>
      <c r="CT65" s="3">
        <v>2.7160000801086426</v>
      </c>
      <c r="CU65" s="11" t="e">
        <v>#N/A</v>
      </c>
    </row>
    <row r="66" spans="1:99" s="3" customFormat="1" x14ac:dyDescent="0.35">
      <c r="A66" s="2" t="s">
        <v>5</v>
      </c>
      <c r="B66" s="2">
        <v>9.1666666666666661</v>
      </c>
      <c r="C66" s="2" t="s">
        <v>167</v>
      </c>
      <c r="D66" s="2" t="s">
        <v>403</v>
      </c>
      <c r="F66" s="3">
        <v>4.0149999999999997</v>
      </c>
      <c r="G66" s="3">
        <v>4.0129999999999999</v>
      </c>
      <c r="H66" s="3">
        <v>4.0149999999999997</v>
      </c>
      <c r="I66" s="3">
        <v>4.0149999999999997</v>
      </c>
      <c r="K66" s="3">
        <v>3.9990000000000001</v>
      </c>
      <c r="L66" s="3">
        <v>3.9990000000000001</v>
      </c>
      <c r="M66" s="3">
        <v>3.9830000000000001</v>
      </c>
      <c r="N66" s="3">
        <v>3.9990000000000001</v>
      </c>
      <c r="P66" s="3">
        <v>3.8670001020655036</v>
      </c>
      <c r="Q66" s="3">
        <v>3.5650001635076478</v>
      </c>
      <c r="R66" s="3">
        <v>3.8310000160709023</v>
      </c>
      <c r="S66" s="3">
        <v>3.2650002320297062</v>
      </c>
      <c r="U66" s="3">
        <v>9</v>
      </c>
      <c r="V66" s="3">
        <v>11</v>
      </c>
      <c r="W66" s="3">
        <v>10</v>
      </c>
      <c r="X66" s="3">
        <v>11</v>
      </c>
      <c r="Z66" s="3">
        <v>3.9990000000000001</v>
      </c>
      <c r="AA66" s="3">
        <v>3.9990000000000001</v>
      </c>
      <c r="AB66" s="3">
        <v>3.9830000000000001</v>
      </c>
      <c r="AC66" s="3">
        <v>3.9990000000000001</v>
      </c>
      <c r="AE66" s="3">
        <v>3.8670001020655036</v>
      </c>
      <c r="AF66" s="3">
        <v>3.5650001635076478</v>
      </c>
      <c r="AG66" s="3">
        <v>3.8310000160709023</v>
      </c>
      <c r="AH66" s="3">
        <v>3.2650002320297062</v>
      </c>
      <c r="AJ66" s="3">
        <v>9</v>
      </c>
      <c r="AK66" s="3">
        <v>11</v>
      </c>
      <c r="AL66" s="3">
        <v>10</v>
      </c>
      <c r="AM66" s="3">
        <v>11</v>
      </c>
      <c r="AO66" s="3">
        <v>1</v>
      </c>
      <c r="AP66" s="3">
        <v>1</v>
      </c>
      <c r="AQ66" s="3">
        <v>1</v>
      </c>
      <c r="AR66" s="3">
        <v>1</v>
      </c>
      <c r="AT66" s="3">
        <v>7.0000002160668373E-3</v>
      </c>
      <c r="AU66" s="3">
        <v>1.0000000474974513E-3</v>
      </c>
      <c r="AV66" s="3">
        <v>1.4999999664723873E-2</v>
      </c>
      <c r="AW66" s="3">
        <v>4.0000001899898052E-3</v>
      </c>
      <c r="AY66" s="3">
        <v>0.73399999999999987</v>
      </c>
      <c r="AZ66" s="3">
        <v>1.417</v>
      </c>
      <c r="BA66" s="3">
        <v>1.9160000000000004</v>
      </c>
      <c r="BB66" s="3">
        <v>1.6339999999999997</v>
      </c>
      <c r="BD66" s="3">
        <v>0.78400012850761414</v>
      </c>
      <c r="BE66" s="3">
        <v>1.3169998397352174</v>
      </c>
      <c r="BF66" s="3">
        <v>1.8159999707713723</v>
      </c>
      <c r="BG66" s="3">
        <v>1.3660001754760742</v>
      </c>
      <c r="BI66" s="3">
        <v>3</v>
      </c>
      <c r="BJ66" s="3">
        <v>3</v>
      </c>
      <c r="BK66" s="3">
        <v>4</v>
      </c>
      <c r="BL66" s="3">
        <v>5</v>
      </c>
      <c r="BN66" s="3">
        <v>3</v>
      </c>
      <c r="BO66" s="3">
        <v>4</v>
      </c>
      <c r="BP66" s="3">
        <v>6</v>
      </c>
      <c r="BQ66" s="3">
        <v>4</v>
      </c>
      <c r="BS66" s="3">
        <v>0.37299999594688416</v>
      </c>
      <c r="BT66" s="3">
        <v>1.0000000474974513E-3</v>
      </c>
      <c r="BU66" s="3">
        <v>1.4999999664723873E-2</v>
      </c>
      <c r="BV66" s="3">
        <v>1.753000020980835</v>
      </c>
      <c r="BX66" s="3">
        <v>0</v>
      </c>
      <c r="BY66" s="3">
        <v>0</v>
      </c>
      <c r="BZ66" s="3">
        <v>0</v>
      </c>
      <c r="CA66" s="3">
        <v>0.36699999999999999</v>
      </c>
      <c r="CC66" s="3">
        <v>0</v>
      </c>
      <c r="CD66" s="3">
        <v>0</v>
      </c>
      <c r="CE66" s="3">
        <v>0</v>
      </c>
      <c r="CF66" s="3">
        <v>0.51600003242492676</v>
      </c>
      <c r="CH66" s="3">
        <v>0</v>
      </c>
      <c r="CI66" s="3">
        <v>0</v>
      </c>
      <c r="CJ66" s="3">
        <v>0</v>
      </c>
      <c r="CK66" s="3">
        <v>1</v>
      </c>
      <c r="CM66" s="3">
        <v>0</v>
      </c>
      <c r="CN66" s="3">
        <v>1</v>
      </c>
      <c r="CO66" s="3">
        <v>0</v>
      </c>
      <c r="CP66" s="3">
        <v>1</v>
      </c>
      <c r="CR66" s="3">
        <v>4.0149999999999997</v>
      </c>
      <c r="CS66" s="3">
        <v>4.0129999999999999</v>
      </c>
      <c r="CT66" s="3">
        <v>4.0149999999999997</v>
      </c>
      <c r="CU66" s="3">
        <v>1.0870000123977661</v>
      </c>
    </row>
    <row r="67" spans="1:99" s="3" customFormat="1" x14ac:dyDescent="0.35">
      <c r="A67" s="2" t="s">
        <v>34</v>
      </c>
      <c r="B67" s="2">
        <v>9.25</v>
      </c>
      <c r="C67" s="2" t="s">
        <v>167</v>
      </c>
      <c r="D67" s="2" t="s">
        <v>403</v>
      </c>
      <c r="F67" s="3">
        <v>4.0140000000000002</v>
      </c>
      <c r="G67" s="3">
        <v>4.016</v>
      </c>
      <c r="H67" s="3">
        <v>4.008</v>
      </c>
      <c r="I67" s="3">
        <v>4.01</v>
      </c>
      <c r="K67" s="3">
        <v>3.9819999999999998</v>
      </c>
      <c r="L67" s="3">
        <v>3.9990000000000001</v>
      </c>
      <c r="M67" s="3">
        <v>3.9830000000000001</v>
      </c>
      <c r="N67" s="3">
        <v>3.9990000000000001</v>
      </c>
      <c r="P67" s="3">
        <v>3.7660002997145057</v>
      </c>
      <c r="Q67" s="3">
        <v>3.2650002399459481</v>
      </c>
      <c r="R67" s="3">
        <v>3.8309999983757734</v>
      </c>
      <c r="S67" s="3">
        <v>3.1490003913640976</v>
      </c>
      <c r="U67" s="3">
        <v>12</v>
      </c>
      <c r="V67" s="3">
        <v>6</v>
      </c>
      <c r="W67" s="3">
        <v>10</v>
      </c>
      <c r="X67" s="3">
        <v>8</v>
      </c>
      <c r="Z67" s="3">
        <v>3.9819999999999998</v>
      </c>
      <c r="AA67" s="3">
        <v>3.9990000000000001</v>
      </c>
      <c r="AB67" s="3">
        <v>3.9830000000000001</v>
      </c>
      <c r="AC67" s="3">
        <v>3.3650000000000002</v>
      </c>
      <c r="AE67" s="3">
        <v>3.7660002997145057</v>
      </c>
      <c r="AF67" s="3">
        <v>3.2650002399459481</v>
      </c>
      <c r="AG67" s="3">
        <v>3.8309999983757734</v>
      </c>
      <c r="AH67" s="3">
        <v>3.1490003913640976</v>
      </c>
      <c r="AJ67" s="3">
        <v>12</v>
      </c>
      <c r="AK67" s="3">
        <v>6</v>
      </c>
      <c r="AL67" s="3">
        <v>10</v>
      </c>
      <c r="AM67" s="3">
        <v>8</v>
      </c>
      <c r="AO67" s="3">
        <v>1</v>
      </c>
      <c r="AP67" s="3">
        <v>1</v>
      </c>
      <c r="AQ67" s="3">
        <v>1</v>
      </c>
      <c r="AR67" s="3">
        <v>2</v>
      </c>
      <c r="AT67" s="3">
        <v>7.0000002160668373E-3</v>
      </c>
      <c r="AU67" s="3">
        <v>1.4999999664723873E-2</v>
      </c>
      <c r="AV67" s="3">
        <v>1.4000000432133675E-2</v>
      </c>
      <c r="AW67" s="3">
        <v>0</v>
      </c>
      <c r="AY67" s="3">
        <v>1.6999999999999997</v>
      </c>
      <c r="AZ67" s="3">
        <v>2.532</v>
      </c>
      <c r="BA67" s="3">
        <v>2.5999999999999996</v>
      </c>
      <c r="BB67" s="3">
        <v>1.3649999999999998</v>
      </c>
      <c r="BD67" s="3">
        <v>1.6330001354217529</v>
      </c>
      <c r="BE67" s="3">
        <v>2.2160001993179321</v>
      </c>
      <c r="BF67" s="3">
        <v>2.9479999840259552</v>
      </c>
      <c r="BG67" s="3">
        <v>1.2830001711845398</v>
      </c>
      <c r="BI67" s="3">
        <v>4</v>
      </c>
      <c r="BJ67" s="3">
        <v>3</v>
      </c>
      <c r="BK67" s="3">
        <v>7</v>
      </c>
      <c r="BL67" s="3">
        <v>4</v>
      </c>
      <c r="BN67" s="3">
        <v>3</v>
      </c>
      <c r="BO67" s="3">
        <v>4</v>
      </c>
      <c r="BP67" s="3">
        <v>4</v>
      </c>
      <c r="BQ67" s="3">
        <v>6</v>
      </c>
      <c r="BS67" s="3">
        <v>0.52300000190734863</v>
      </c>
      <c r="BT67" s="3">
        <v>1.1139999628067017</v>
      </c>
      <c r="BU67" s="3">
        <v>0.36399999260902405</v>
      </c>
      <c r="BV67" s="3">
        <v>0.44999998807907104</v>
      </c>
      <c r="BX67" s="3">
        <v>0.28299999999999992</v>
      </c>
      <c r="BY67" s="3">
        <v>0</v>
      </c>
      <c r="BZ67" s="3">
        <v>0</v>
      </c>
      <c r="CA67" s="3">
        <v>0.99899999999999967</v>
      </c>
      <c r="CC67" s="3">
        <v>0.5</v>
      </c>
      <c r="CD67" s="3">
        <v>0</v>
      </c>
      <c r="CE67" s="3">
        <v>0</v>
      </c>
      <c r="CF67" s="3">
        <v>1.0660001039505005</v>
      </c>
      <c r="CH67" s="3">
        <v>1</v>
      </c>
      <c r="CI67" s="3">
        <v>0</v>
      </c>
      <c r="CJ67" s="3">
        <v>0</v>
      </c>
      <c r="CK67" s="3">
        <v>1</v>
      </c>
      <c r="CM67" s="3">
        <v>1</v>
      </c>
      <c r="CN67" s="3">
        <v>0</v>
      </c>
      <c r="CO67" s="3">
        <v>0</v>
      </c>
      <c r="CP67" s="3">
        <v>2</v>
      </c>
      <c r="CR67" s="3">
        <v>1.8559999465942383</v>
      </c>
      <c r="CS67" s="3">
        <v>4.016</v>
      </c>
      <c r="CT67" s="3">
        <v>4.008</v>
      </c>
      <c r="CU67" s="3">
        <v>1.8669999837875366</v>
      </c>
    </row>
    <row r="68" spans="1:99" s="3" customFormat="1" x14ac:dyDescent="0.35">
      <c r="A68" s="2" t="s">
        <v>43</v>
      </c>
      <c r="B68" s="2">
        <v>9.25</v>
      </c>
      <c r="C68" s="2" t="s">
        <v>168</v>
      </c>
      <c r="D68" s="2" t="s">
        <v>403</v>
      </c>
      <c r="F68" s="3">
        <v>4.01</v>
      </c>
      <c r="G68" s="3">
        <v>4.0060000000000002</v>
      </c>
      <c r="H68" s="3">
        <v>4.01</v>
      </c>
      <c r="I68" s="3">
        <v>4.0149999999999997</v>
      </c>
      <c r="K68" s="3">
        <v>3.8149999999999995</v>
      </c>
      <c r="L68" s="3">
        <v>3.9820000000000002</v>
      </c>
      <c r="M68" s="3">
        <v>3.9990000000000001</v>
      </c>
      <c r="N68" s="3">
        <v>4</v>
      </c>
      <c r="P68" s="3">
        <v>3.4979995749890804</v>
      </c>
      <c r="Q68" s="3">
        <v>3.5330001320689917</v>
      </c>
      <c r="R68" s="3">
        <v>3.6459999759681523</v>
      </c>
      <c r="S68" s="3">
        <v>3.8679999485611916</v>
      </c>
      <c r="U68" s="3">
        <v>12</v>
      </c>
      <c r="V68" s="3">
        <v>7</v>
      </c>
      <c r="W68" s="3">
        <v>14</v>
      </c>
      <c r="X68" s="3">
        <v>3</v>
      </c>
      <c r="Z68" s="3">
        <v>3.9819999999999998</v>
      </c>
      <c r="AA68" s="3">
        <v>3.782</v>
      </c>
      <c r="AB68" s="3">
        <v>3.9990000000000001</v>
      </c>
      <c r="AC68" s="3">
        <v>4</v>
      </c>
      <c r="AE68" s="3">
        <v>3.4979995749890804</v>
      </c>
      <c r="AF68" s="3">
        <v>3.5330001320689917</v>
      </c>
      <c r="AG68" s="3">
        <v>3.6459999759681523</v>
      </c>
      <c r="AH68" s="3">
        <v>3.8679999485611916</v>
      </c>
      <c r="AJ68" s="3">
        <v>12</v>
      </c>
      <c r="AK68" s="3">
        <v>7</v>
      </c>
      <c r="AL68" s="3">
        <v>14</v>
      </c>
      <c r="AM68" s="3">
        <v>3</v>
      </c>
      <c r="AO68" s="3">
        <v>1</v>
      </c>
      <c r="AP68" s="3">
        <v>2</v>
      </c>
      <c r="AQ68" s="3">
        <v>1</v>
      </c>
      <c r="AR68" s="3">
        <v>1</v>
      </c>
      <c r="AT68" s="3">
        <v>1.9999999552965164E-2</v>
      </c>
      <c r="AU68" s="3">
        <v>9.9999997764825821E-3</v>
      </c>
      <c r="AV68" s="3">
        <v>4.0000001899898052E-3</v>
      </c>
      <c r="AW68" s="3">
        <v>1.0999999940395355E-2</v>
      </c>
      <c r="AY68" s="3">
        <v>1.7159999999999997</v>
      </c>
      <c r="AZ68" s="3">
        <v>3.3659999999999997</v>
      </c>
      <c r="BA68" s="3">
        <v>1.8990000000000002</v>
      </c>
      <c r="BB68" s="3">
        <v>3.8840000000000003</v>
      </c>
      <c r="BD68" s="3">
        <v>1.5659998655319214</v>
      </c>
      <c r="BE68" s="3">
        <v>3.4330001082271338</v>
      </c>
      <c r="BF68" s="3">
        <v>1.7310001333244145</v>
      </c>
      <c r="BG68" s="3">
        <v>3.8679999485611916</v>
      </c>
      <c r="BI68" s="3">
        <v>4</v>
      </c>
      <c r="BJ68" s="3">
        <v>6</v>
      </c>
      <c r="BK68" s="3">
        <v>6</v>
      </c>
      <c r="BL68" s="3">
        <v>3</v>
      </c>
      <c r="BN68" s="3">
        <v>8</v>
      </c>
      <c r="BO68" s="3">
        <v>4</v>
      </c>
      <c r="BP68" s="3">
        <v>4</v>
      </c>
      <c r="BQ68" s="3">
        <v>2</v>
      </c>
      <c r="BS68" s="3">
        <v>1.1859999895095825</v>
      </c>
      <c r="BT68" s="3">
        <v>9.9999997764825821E-3</v>
      </c>
      <c r="BU68" s="3">
        <v>4.0000001899898052E-3</v>
      </c>
      <c r="BV68" s="3">
        <v>1.0999999940395355E-2</v>
      </c>
      <c r="BX68" s="3">
        <v>8.3999999999999964E-2</v>
      </c>
      <c r="BY68" s="3">
        <v>0</v>
      </c>
      <c r="BZ68" s="3">
        <v>0.53300000000000036</v>
      </c>
      <c r="CA68" s="3">
        <v>0</v>
      </c>
      <c r="CC68" s="3">
        <v>0</v>
      </c>
      <c r="CD68" s="3">
        <v>0</v>
      </c>
      <c r="CE68" s="3">
        <v>0.63299965858459473</v>
      </c>
      <c r="CF68" s="3">
        <v>0</v>
      </c>
      <c r="CH68" s="3">
        <v>0</v>
      </c>
      <c r="CI68" s="3">
        <v>0</v>
      </c>
      <c r="CJ68" s="3">
        <v>3</v>
      </c>
      <c r="CK68" s="3">
        <v>0</v>
      </c>
      <c r="CM68" s="3">
        <v>1</v>
      </c>
      <c r="CN68" s="3">
        <v>0</v>
      </c>
      <c r="CO68" s="3">
        <v>2</v>
      </c>
      <c r="CP68" s="3">
        <v>0</v>
      </c>
      <c r="CR68" s="3">
        <v>4.01</v>
      </c>
      <c r="CS68" s="3">
        <v>4.0060000000000002</v>
      </c>
      <c r="CT68" s="3">
        <v>1.6369999647140503</v>
      </c>
      <c r="CU68" s="3">
        <v>4.0149999999999997</v>
      </c>
    </row>
    <row r="69" spans="1:99" s="3" customFormat="1" x14ac:dyDescent="0.35">
      <c r="A69" s="2" t="s">
        <v>46</v>
      </c>
      <c r="B69" s="2">
        <v>9.4166666666666661</v>
      </c>
      <c r="C69" s="2" t="s">
        <v>168</v>
      </c>
      <c r="D69" s="2" t="s">
        <v>403</v>
      </c>
      <c r="F69" s="3">
        <v>4.0110000000000001</v>
      </c>
      <c r="G69" s="3">
        <v>4.0019999999999998</v>
      </c>
      <c r="H69" s="3">
        <v>4.0049999999999999</v>
      </c>
      <c r="I69" s="3">
        <v>4.0110000000000001</v>
      </c>
      <c r="K69" s="3">
        <v>3.9989999999999997</v>
      </c>
      <c r="L69" s="3">
        <v>3.9819999999999998</v>
      </c>
      <c r="M69" s="3">
        <v>3.9830000000000001</v>
      </c>
      <c r="N69" s="3">
        <v>3.5490000000000004</v>
      </c>
      <c r="P69" s="3">
        <v>3.5989999384619296</v>
      </c>
      <c r="Q69" s="3">
        <v>3.566000260412693</v>
      </c>
      <c r="R69" s="3">
        <v>3.331000067293644</v>
      </c>
      <c r="S69" s="3">
        <v>3.1969996988773346</v>
      </c>
      <c r="U69" s="3">
        <v>9</v>
      </c>
      <c r="V69" s="3">
        <v>10</v>
      </c>
      <c r="W69" s="3">
        <v>8</v>
      </c>
      <c r="X69" s="3">
        <v>6</v>
      </c>
      <c r="Z69" s="3">
        <v>3.8149999999999999</v>
      </c>
      <c r="AA69" s="3">
        <v>3.8819999999999997</v>
      </c>
      <c r="AB69" s="3">
        <v>3.9000000000000004</v>
      </c>
      <c r="AC69" s="3">
        <v>3.5490000000000004</v>
      </c>
      <c r="AE69" s="3">
        <v>3.5989999384619296</v>
      </c>
      <c r="AF69" s="3">
        <v>3.566000260412693</v>
      </c>
      <c r="AG69" s="3">
        <v>3.331000067293644</v>
      </c>
      <c r="AH69" s="3">
        <v>3.1969996988773346</v>
      </c>
      <c r="AJ69" s="3">
        <v>9</v>
      </c>
      <c r="AK69" s="3">
        <v>10</v>
      </c>
      <c r="AL69" s="3">
        <v>8</v>
      </c>
      <c r="AM69" s="3">
        <v>6</v>
      </c>
      <c r="AO69" s="3">
        <v>3</v>
      </c>
      <c r="AP69" s="3">
        <v>2</v>
      </c>
      <c r="AQ69" s="3">
        <v>2</v>
      </c>
      <c r="AR69" s="3">
        <v>1</v>
      </c>
      <c r="AT69" s="3">
        <v>3.0000000260770321E-3</v>
      </c>
      <c r="AU69" s="3">
        <v>1.0999999940395355E-2</v>
      </c>
      <c r="AV69" s="3">
        <v>1.0999999940395355E-2</v>
      </c>
      <c r="AW69" s="3">
        <v>0.40599998831748962</v>
      </c>
      <c r="AY69" s="3">
        <v>2.2819999999999996</v>
      </c>
      <c r="AZ69" s="3">
        <v>2.5489999999999999</v>
      </c>
      <c r="BA69" s="3">
        <v>1.2500000000000004</v>
      </c>
      <c r="BB69" s="3">
        <v>2.0490000000000004</v>
      </c>
      <c r="BD69" s="3">
        <v>2.1340000033378601</v>
      </c>
      <c r="BE69" s="3">
        <v>2.9510002508759499</v>
      </c>
      <c r="BF69" s="3">
        <v>1.3830000162124634</v>
      </c>
      <c r="BG69" s="3">
        <v>2.1649998724460602</v>
      </c>
      <c r="BI69" s="3">
        <v>5</v>
      </c>
      <c r="BJ69" s="3">
        <v>7</v>
      </c>
      <c r="BK69" s="3">
        <v>2</v>
      </c>
      <c r="BL69" s="3">
        <v>4</v>
      </c>
      <c r="BN69" s="3">
        <v>5</v>
      </c>
      <c r="BO69" s="3">
        <v>5</v>
      </c>
      <c r="BP69" s="3">
        <v>6</v>
      </c>
      <c r="BQ69" s="3">
        <v>3</v>
      </c>
      <c r="BS69" s="3">
        <v>0.28600001335144043</v>
      </c>
      <c r="BT69" s="3">
        <v>1.0999999940395355E-2</v>
      </c>
      <c r="BU69" s="3">
        <v>1.8609999418258667</v>
      </c>
      <c r="BV69" s="3">
        <v>0.40599998831748962</v>
      </c>
      <c r="BX69" s="3">
        <v>0</v>
      </c>
      <c r="BY69" s="3">
        <v>0</v>
      </c>
      <c r="BZ69" s="3">
        <v>0.38300000000000001</v>
      </c>
      <c r="CA69" s="3">
        <v>0</v>
      </c>
      <c r="CC69" s="3">
        <v>0</v>
      </c>
      <c r="CD69" s="3">
        <v>0</v>
      </c>
      <c r="CE69" s="3">
        <v>0.34899997711181641</v>
      </c>
      <c r="CF69" s="3">
        <v>0</v>
      </c>
      <c r="CH69" s="3">
        <v>0</v>
      </c>
      <c r="CI69" s="3">
        <v>0</v>
      </c>
      <c r="CJ69" s="3">
        <v>1</v>
      </c>
      <c r="CK69" s="3">
        <v>0</v>
      </c>
      <c r="CM69" s="3">
        <v>0</v>
      </c>
      <c r="CN69" s="3">
        <v>0</v>
      </c>
      <c r="CO69" s="3">
        <v>2</v>
      </c>
      <c r="CP69" s="3">
        <v>0</v>
      </c>
      <c r="CR69" s="3">
        <v>4.0110000000000001</v>
      </c>
      <c r="CS69" s="3">
        <v>4.0019999999999998</v>
      </c>
      <c r="CT69" s="3">
        <v>0.77799999713897705</v>
      </c>
      <c r="CU69" s="3">
        <v>4.0110000000000001</v>
      </c>
    </row>
    <row r="70" spans="1:99" s="3" customFormat="1" x14ac:dyDescent="0.35">
      <c r="A70" s="2" t="s">
        <v>8</v>
      </c>
      <c r="B70" s="2">
        <v>9.5</v>
      </c>
      <c r="C70" s="2" t="s">
        <v>168</v>
      </c>
      <c r="D70" s="2" t="s">
        <v>403</v>
      </c>
      <c r="F70" s="3">
        <v>4.032</v>
      </c>
      <c r="G70" s="3">
        <v>4.0149999999999997</v>
      </c>
      <c r="H70" s="11" t="e">
        <v>#N/A</v>
      </c>
      <c r="I70" s="3">
        <v>4.016</v>
      </c>
      <c r="K70" s="3">
        <v>4.0149999999999997</v>
      </c>
      <c r="L70" s="3">
        <v>3.9989999999999997</v>
      </c>
      <c r="M70" s="11" t="e">
        <v>#N/A</v>
      </c>
      <c r="N70" s="3">
        <v>3.9829999999999997</v>
      </c>
      <c r="P70" s="3">
        <v>2.0500001180917025</v>
      </c>
      <c r="Q70" s="3">
        <v>2.9469998935237527</v>
      </c>
      <c r="R70" s="11" t="e">
        <v>#N/A</v>
      </c>
      <c r="S70" s="3">
        <v>1.3170000314712524</v>
      </c>
      <c r="U70" s="3">
        <v>12</v>
      </c>
      <c r="V70" s="3">
        <v>14</v>
      </c>
      <c r="W70" s="11" t="e">
        <v>#N/A</v>
      </c>
      <c r="X70" s="3">
        <v>8</v>
      </c>
      <c r="Z70" s="3">
        <v>4.0149999999999997</v>
      </c>
      <c r="AA70" s="3">
        <v>3.8659999999999997</v>
      </c>
      <c r="AB70" s="11" t="e">
        <v>#N/A</v>
      </c>
      <c r="AC70" s="3">
        <v>3.9</v>
      </c>
      <c r="AE70" s="3">
        <v>2.0500001180917025</v>
      </c>
      <c r="AF70" s="3">
        <v>2.9469998935237527</v>
      </c>
      <c r="AG70" s="11" t="e">
        <v>#N/A</v>
      </c>
      <c r="AH70" s="3">
        <v>1.3170000314712524</v>
      </c>
      <c r="AJ70" s="3">
        <v>12</v>
      </c>
      <c r="AK70" s="3">
        <v>14</v>
      </c>
      <c r="AL70" s="11" t="e">
        <v>#N/A</v>
      </c>
      <c r="AM70" s="3">
        <v>8</v>
      </c>
      <c r="AO70" s="3">
        <v>1</v>
      </c>
      <c r="AP70" s="3">
        <v>5</v>
      </c>
      <c r="AQ70" s="11" t="e">
        <v>#N/A</v>
      </c>
      <c r="AR70" s="3">
        <v>3</v>
      </c>
      <c r="AT70" s="3">
        <v>1.6000000759959221E-2</v>
      </c>
      <c r="AU70" s="3">
        <v>8.0000003799796104E-3</v>
      </c>
      <c r="AV70" s="11" t="e">
        <v>#N/A</v>
      </c>
      <c r="AW70" s="3">
        <v>0.34099999070167542</v>
      </c>
      <c r="AY70" s="3">
        <v>0.81799999999999962</v>
      </c>
      <c r="AZ70" s="3">
        <v>0.79899999999999982</v>
      </c>
      <c r="BA70" s="11" t="e">
        <v>#N/A</v>
      </c>
      <c r="BB70" s="3">
        <v>0.56800000000000028</v>
      </c>
      <c r="BD70" s="3">
        <v>0.48300004005432129</v>
      </c>
      <c r="BE70" s="3">
        <v>0.78200006484985352</v>
      </c>
      <c r="BF70" s="11" t="e">
        <v>#N/A</v>
      </c>
      <c r="BG70" s="3">
        <v>0.53400015830993652</v>
      </c>
      <c r="BI70" s="3">
        <v>2</v>
      </c>
      <c r="BJ70" s="3">
        <v>4</v>
      </c>
      <c r="BK70" s="11" t="e">
        <v>#N/A</v>
      </c>
      <c r="BL70" s="3">
        <v>3</v>
      </c>
      <c r="BN70" s="3">
        <v>20</v>
      </c>
      <c r="BO70" s="3">
        <v>11</v>
      </c>
      <c r="BP70" s="11" t="e">
        <v>#N/A</v>
      </c>
      <c r="BQ70" s="3">
        <v>12</v>
      </c>
      <c r="BS70" s="3">
        <v>1.1150000095367432</v>
      </c>
      <c r="BT70" s="3">
        <v>0.45800000429153442</v>
      </c>
      <c r="BU70" s="11" t="e">
        <v>#N/A</v>
      </c>
      <c r="BV70" s="3">
        <v>2.5739998817443848</v>
      </c>
      <c r="BX70" s="3">
        <v>0.23299999999999965</v>
      </c>
      <c r="BY70" s="3">
        <v>0</v>
      </c>
      <c r="BZ70" s="11" t="e">
        <v>#N/A</v>
      </c>
      <c r="CA70" s="3">
        <v>0</v>
      </c>
      <c r="CC70" s="3">
        <v>0.15000009536743164</v>
      </c>
      <c r="CD70" s="3">
        <v>0</v>
      </c>
      <c r="CE70" s="11" t="e">
        <v>#N/A</v>
      </c>
      <c r="CF70" s="3">
        <v>0</v>
      </c>
      <c r="CH70" s="3">
        <v>1</v>
      </c>
      <c r="CI70" s="3">
        <v>0</v>
      </c>
      <c r="CJ70" s="11" t="e">
        <v>#N/A</v>
      </c>
      <c r="CK70" s="3">
        <v>0</v>
      </c>
      <c r="CM70" s="3">
        <v>4</v>
      </c>
      <c r="CN70" s="3">
        <v>0</v>
      </c>
      <c r="CO70" s="11" t="e">
        <v>#N/A</v>
      </c>
      <c r="CP70" s="3">
        <v>0</v>
      </c>
      <c r="CR70" s="3">
        <v>2.497999906539917</v>
      </c>
      <c r="CS70" s="3">
        <v>4.0149999999999997</v>
      </c>
      <c r="CT70" s="11" t="e">
        <v>#N/A</v>
      </c>
      <c r="CU70" s="3">
        <v>4.016</v>
      </c>
    </row>
    <row r="71" spans="1:99" s="3" customFormat="1" x14ac:dyDescent="0.35">
      <c r="A71" s="2" t="s">
        <v>32</v>
      </c>
      <c r="B71" s="2">
        <v>9.5</v>
      </c>
      <c r="C71" s="2" t="s">
        <v>167</v>
      </c>
      <c r="D71" s="2" t="s">
        <v>403</v>
      </c>
      <c r="F71" s="3">
        <v>4.0110000000000001</v>
      </c>
      <c r="G71" s="3">
        <v>4.0149999999999997</v>
      </c>
      <c r="H71" s="3">
        <v>4.01</v>
      </c>
      <c r="I71" s="3">
        <v>4.01</v>
      </c>
      <c r="K71" s="3">
        <v>3.9159999999999995</v>
      </c>
      <c r="L71" s="3">
        <v>3.6320000000000001</v>
      </c>
      <c r="M71" s="3">
        <v>3.9319999999999999</v>
      </c>
      <c r="N71" s="3">
        <v>4</v>
      </c>
      <c r="P71" s="3">
        <v>3.2330003306269646</v>
      </c>
      <c r="Q71" s="3">
        <v>2.830000102519989</v>
      </c>
      <c r="R71" s="3">
        <v>3.6310000494122505</v>
      </c>
      <c r="S71" s="3">
        <v>3.6529999412596226</v>
      </c>
      <c r="U71" s="3">
        <v>10</v>
      </c>
      <c r="V71" s="3">
        <v>11</v>
      </c>
      <c r="W71" s="3">
        <v>13</v>
      </c>
      <c r="X71" s="3">
        <v>13</v>
      </c>
      <c r="Z71" s="3">
        <v>3.9159999999999995</v>
      </c>
      <c r="AA71" s="3">
        <v>3.4820000000000002</v>
      </c>
      <c r="AB71" s="3">
        <v>3.9319999999999999</v>
      </c>
      <c r="AC71" s="3">
        <v>4</v>
      </c>
      <c r="AE71" s="3">
        <v>3.2330003306269646</v>
      </c>
      <c r="AF71" s="3">
        <v>2.830000102519989</v>
      </c>
      <c r="AG71" s="3">
        <v>3.6310000494122505</v>
      </c>
      <c r="AH71" s="3">
        <v>3.6529999412596226</v>
      </c>
      <c r="AJ71" s="3">
        <v>10</v>
      </c>
      <c r="AK71" s="3">
        <v>11</v>
      </c>
      <c r="AL71" s="3">
        <v>13</v>
      </c>
      <c r="AM71" s="3">
        <v>13</v>
      </c>
      <c r="AO71" s="3">
        <v>1</v>
      </c>
      <c r="AP71" s="3">
        <v>2</v>
      </c>
      <c r="AQ71" s="3">
        <v>1</v>
      </c>
      <c r="AR71" s="3">
        <v>1</v>
      </c>
      <c r="AT71" s="3">
        <v>9.0999998152256012E-2</v>
      </c>
      <c r="AU71" s="3">
        <v>0.46799999475479126</v>
      </c>
      <c r="AV71" s="3">
        <v>1.0999999940395355E-2</v>
      </c>
      <c r="AW71" s="3">
        <v>8.999999612569809E-3</v>
      </c>
      <c r="AY71" s="3">
        <v>1.966</v>
      </c>
      <c r="AZ71" s="3">
        <v>1.5990000000000004</v>
      </c>
      <c r="BA71" s="3">
        <v>1.95</v>
      </c>
      <c r="BB71" s="3">
        <v>2.4829999999999997</v>
      </c>
      <c r="BD71" s="3">
        <v>1.8990002274513245</v>
      </c>
      <c r="BE71" s="3">
        <v>1.8320000767707825</v>
      </c>
      <c r="BF71" s="3">
        <v>2.132000096142292</v>
      </c>
      <c r="BG71" s="3">
        <v>2.43399977684021</v>
      </c>
      <c r="BI71" s="3">
        <v>5</v>
      </c>
      <c r="BJ71" s="3">
        <v>7</v>
      </c>
      <c r="BK71" s="3">
        <v>6</v>
      </c>
      <c r="BL71" s="3">
        <v>9</v>
      </c>
      <c r="BN71" s="3">
        <v>4</v>
      </c>
      <c r="BO71" s="3">
        <v>5</v>
      </c>
      <c r="BP71" s="3">
        <v>5</v>
      </c>
      <c r="BQ71" s="3">
        <v>4</v>
      </c>
      <c r="BS71" s="3">
        <v>0.42500001192092896</v>
      </c>
      <c r="BT71" s="3">
        <v>0.46799999475479126</v>
      </c>
      <c r="BU71" s="3">
        <v>1.0999999940395355E-2</v>
      </c>
      <c r="BV71" s="3">
        <v>0.55900001525878906</v>
      </c>
      <c r="BX71" s="3">
        <v>3.2999999999999974E-2</v>
      </c>
      <c r="BY71" s="3">
        <v>0</v>
      </c>
      <c r="BZ71" s="3">
        <v>0.13300000000000001</v>
      </c>
      <c r="CA71" s="3">
        <v>0</v>
      </c>
      <c r="CC71" s="3">
        <v>0</v>
      </c>
      <c r="CD71" s="3">
        <v>0</v>
      </c>
      <c r="CE71" s="3">
        <v>0.18300008773803711</v>
      </c>
      <c r="CF71" s="3">
        <v>0</v>
      </c>
      <c r="CH71" s="3">
        <v>0</v>
      </c>
      <c r="CI71" s="3">
        <v>0</v>
      </c>
      <c r="CJ71" s="3">
        <v>1</v>
      </c>
      <c r="CK71" s="3">
        <v>0</v>
      </c>
      <c r="CM71" s="3">
        <v>3</v>
      </c>
      <c r="CN71" s="3">
        <v>1</v>
      </c>
      <c r="CO71" s="3">
        <v>2</v>
      </c>
      <c r="CP71" s="3">
        <v>0</v>
      </c>
      <c r="CR71" s="3">
        <v>4.0110000000000001</v>
      </c>
      <c r="CS71" s="3">
        <v>4.0149999999999997</v>
      </c>
      <c r="CT71" s="3">
        <v>1.6599999666213989</v>
      </c>
      <c r="CU71" s="3">
        <v>4.01</v>
      </c>
    </row>
    <row r="72" spans="1:99" s="3" customFormat="1" x14ac:dyDescent="0.35">
      <c r="A72" s="2" t="s">
        <v>57</v>
      </c>
      <c r="B72" s="2">
        <v>9.5</v>
      </c>
      <c r="C72" s="2" t="s">
        <v>168</v>
      </c>
      <c r="D72" s="2" t="s">
        <v>403</v>
      </c>
      <c r="F72" s="3" t="e">
        <v>#N/A</v>
      </c>
      <c r="G72" s="3">
        <v>4.024</v>
      </c>
      <c r="H72" s="3">
        <v>4.0110000000000001</v>
      </c>
      <c r="I72" s="3">
        <v>4.0129999999999999</v>
      </c>
      <c r="K72" s="3">
        <v>1.75</v>
      </c>
      <c r="L72" s="3">
        <v>3.7990000000000004</v>
      </c>
      <c r="M72" s="3">
        <v>3.9660000000000002</v>
      </c>
      <c r="N72" s="3">
        <v>3.6989999999999994</v>
      </c>
      <c r="P72" s="3">
        <v>1.5329999923706055</v>
      </c>
      <c r="Q72" s="3">
        <v>3.1150002777576447</v>
      </c>
      <c r="R72" s="3">
        <v>3.3490000795572996</v>
      </c>
      <c r="S72" s="3">
        <v>2.8980002403259277</v>
      </c>
      <c r="U72" s="3">
        <v>3</v>
      </c>
      <c r="V72" s="3">
        <v>7</v>
      </c>
      <c r="W72" s="3">
        <v>11</v>
      </c>
      <c r="X72" s="3">
        <v>14</v>
      </c>
      <c r="Z72" s="3">
        <v>1.633</v>
      </c>
      <c r="AA72" s="3">
        <v>3.2320000000000002</v>
      </c>
      <c r="AB72" s="3">
        <v>3.3489999999999998</v>
      </c>
      <c r="AC72" s="3">
        <v>2.8829999999999996</v>
      </c>
      <c r="AE72" s="3">
        <v>1.5329999923706055</v>
      </c>
      <c r="AF72" s="3">
        <v>2.9980002641677856</v>
      </c>
      <c r="AG72" s="3">
        <v>3.0819999873638153</v>
      </c>
      <c r="AH72" s="3">
        <v>2.2830002307891846</v>
      </c>
      <c r="AJ72" s="3">
        <v>3</v>
      </c>
      <c r="AK72" s="3">
        <v>6</v>
      </c>
      <c r="AL72" s="3">
        <v>9</v>
      </c>
      <c r="AM72" s="3">
        <v>11</v>
      </c>
      <c r="AO72" s="3">
        <v>3</v>
      </c>
      <c r="AP72" s="3">
        <v>3</v>
      </c>
      <c r="AQ72" s="3">
        <v>3</v>
      </c>
      <c r="AR72" s="3">
        <v>2</v>
      </c>
      <c r="AT72" s="3">
        <v>0.40299999713897705</v>
      </c>
      <c r="AU72" s="3">
        <v>0.35100001096725464</v>
      </c>
      <c r="AV72" s="3">
        <v>0.24799999594688416</v>
      </c>
      <c r="AW72" s="3">
        <v>0.30500000715255737</v>
      </c>
      <c r="AY72" s="3">
        <v>3.300000000000014E-2</v>
      </c>
      <c r="AZ72" s="3">
        <v>0.2330000000000001</v>
      </c>
      <c r="BA72" s="3">
        <v>1.6000000000000014E-2</v>
      </c>
      <c r="BB72" s="3">
        <v>1.2330000000000001</v>
      </c>
      <c r="BD72" s="3">
        <v>0</v>
      </c>
      <c r="BE72" s="3">
        <v>0</v>
      </c>
      <c r="BF72" s="3">
        <v>0</v>
      </c>
      <c r="BG72" s="3">
        <v>1.232999861240387</v>
      </c>
      <c r="BI72" s="3">
        <v>0</v>
      </c>
      <c r="BJ72" s="3">
        <v>0</v>
      </c>
      <c r="BK72" s="3">
        <v>0</v>
      </c>
      <c r="BL72" s="3">
        <v>6</v>
      </c>
      <c r="BN72" s="3">
        <v>1</v>
      </c>
      <c r="BO72" s="3">
        <v>1</v>
      </c>
      <c r="BP72" s="3">
        <v>1</v>
      </c>
      <c r="BQ72" s="3">
        <v>3</v>
      </c>
      <c r="BS72" s="3">
        <v>4.0209999999999999</v>
      </c>
      <c r="BT72" s="3">
        <v>4.024</v>
      </c>
      <c r="BU72" s="3">
        <v>4.0110000000000001</v>
      </c>
      <c r="BV72" s="3">
        <v>0.58799999952316284</v>
      </c>
      <c r="BX72" s="3">
        <v>0</v>
      </c>
      <c r="BY72" s="3">
        <v>0</v>
      </c>
      <c r="BZ72" s="3">
        <v>0</v>
      </c>
      <c r="CA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0</v>
      </c>
      <c r="CI72" s="3">
        <v>0</v>
      </c>
      <c r="CJ72" s="3">
        <v>0</v>
      </c>
      <c r="CK72" s="3">
        <v>0</v>
      </c>
      <c r="CM72" s="3">
        <v>0</v>
      </c>
      <c r="CN72" s="3">
        <v>0</v>
      </c>
      <c r="CO72" s="3">
        <v>0</v>
      </c>
      <c r="CP72" s="3">
        <v>0</v>
      </c>
      <c r="CR72" s="3">
        <v>4.0209999999999999</v>
      </c>
      <c r="CS72" s="3">
        <v>4.024</v>
      </c>
      <c r="CT72" s="3">
        <v>4.0110000000000001</v>
      </c>
      <c r="CU72" s="3">
        <v>4.0129999999999999</v>
      </c>
    </row>
    <row r="73" spans="1:99" s="3" customFormat="1" x14ac:dyDescent="0.35">
      <c r="A73" s="2" t="s">
        <v>82</v>
      </c>
      <c r="B73" s="2">
        <v>9.5</v>
      </c>
      <c r="C73" s="2" t="s">
        <v>167</v>
      </c>
      <c r="D73" s="2" t="s">
        <v>403</v>
      </c>
      <c r="F73" s="3">
        <v>4.016</v>
      </c>
      <c r="G73" s="3">
        <v>4.0060000000000002</v>
      </c>
      <c r="H73" s="3" t="e">
        <v>#N/A</v>
      </c>
      <c r="I73" s="3">
        <v>4.016</v>
      </c>
      <c r="K73" s="3">
        <v>3.7329999999999997</v>
      </c>
      <c r="L73" s="3">
        <v>3.3490000000000002</v>
      </c>
      <c r="M73" s="3">
        <v>2.2329999999999997</v>
      </c>
      <c r="N73" s="3">
        <v>3.9990000000000001</v>
      </c>
      <c r="P73" s="3">
        <v>1.8339999318122864</v>
      </c>
      <c r="Q73" s="3">
        <v>1.3500001709908247</v>
      </c>
      <c r="R73" s="3">
        <v>1.1670001745223999</v>
      </c>
      <c r="S73" s="3">
        <v>3.5670000989921391</v>
      </c>
      <c r="U73" s="3">
        <v>10</v>
      </c>
      <c r="V73" s="3">
        <v>4</v>
      </c>
      <c r="W73" s="3">
        <v>8</v>
      </c>
      <c r="X73" s="3">
        <v>9</v>
      </c>
      <c r="Z73" s="3">
        <v>2.8490000000000002</v>
      </c>
      <c r="AA73" s="3">
        <v>3.3149999999999999</v>
      </c>
      <c r="AB73" s="3">
        <v>1.4999999999999998</v>
      </c>
      <c r="AC73" s="3">
        <v>3.4320000000000004</v>
      </c>
      <c r="AE73" s="3">
        <v>1.7169999480247498</v>
      </c>
      <c r="AF73" s="3">
        <v>1.3500001709908247</v>
      </c>
      <c r="AG73" s="3">
        <v>1.0170000791549683</v>
      </c>
      <c r="AH73" s="3">
        <v>3.1170000513084233</v>
      </c>
      <c r="AJ73" s="3">
        <v>9</v>
      </c>
      <c r="AK73" s="3">
        <v>4</v>
      </c>
      <c r="AL73" s="3">
        <v>7</v>
      </c>
      <c r="AM73" s="3">
        <v>8</v>
      </c>
      <c r="AO73" s="3">
        <v>4</v>
      </c>
      <c r="AP73" s="3">
        <v>3</v>
      </c>
      <c r="AQ73" s="3">
        <v>3</v>
      </c>
      <c r="AR73" s="3">
        <v>3</v>
      </c>
      <c r="AT73" s="3">
        <v>0.30099999904632568</v>
      </c>
      <c r="AU73" s="3">
        <v>1.4000000432133675E-2</v>
      </c>
      <c r="AV73" s="3">
        <v>1.3839999437332153</v>
      </c>
      <c r="AW73" s="3">
        <v>4.0000001899898052E-3</v>
      </c>
      <c r="AY73" s="3">
        <v>0</v>
      </c>
      <c r="AZ73" s="3">
        <v>9.8999999999999755E-2</v>
      </c>
      <c r="BA73" s="3">
        <v>0.18299999999999983</v>
      </c>
      <c r="BB73" s="3">
        <v>0</v>
      </c>
      <c r="BD73" s="3">
        <v>0</v>
      </c>
      <c r="BE73" s="3">
        <v>0</v>
      </c>
      <c r="BF73" s="3">
        <v>0.18300008773803711</v>
      </c>
      <c r="BG73" s="3">
        <v>0</v>
      </c>
      <c r="BI73" s="3">
        <v>0</v>
      </c>
      <c r="BJ73" s="3">
        <v>0</v>
      </c>
      <c r="BK73" s="3">
        <v>1</v>
      </c>
      <c r="BL73" s="3">
        <v>0</v>
      </c>
      <c r="BN73" s="3">
        <v>1</v>
      </c>
      <c r="BO73" s="3">
        <v>6</v>
      </c>
      <c r="BP73" s="3">
        <v>1</v>
      </c>
      <c r="BQ73" s="3">
        <v>0</v>
      </c>
      <c r="BS73" s="3">
        <v>4.016</v>
      </c>
      <c r="BT73" s="3">
        <v>4.0060000000000002</v>
      </c>
      <c r="BU73" s="3">
        <v>2.7170000076293945</v>
      </c>
      <c r="BV73" s="3">
        <v>4.016</v>
      </c>
      <c r="BX73" s="3">
        <v>0.39999999999999947</v>
      </c>
      <c r="BY73" s="3">
        <v>0</v>
      </c>
      <c r="BZ73" s="3">
        <v>0</v>
      </c>
      <c r="CA73" s="3">
        <v>0</v>
      </c>
      <c r="CC73" s="3">
        <v>0.43400001525878906</v>
      </c>
      <c r="CD73" s="3">
        <v>0</v>
      </c>
      <c r="CE73" s="3">
        <v>0</v>
      </c>
      <c r="CF73" s="3">
        <v>0</v>
      </c>
      <c r="CH73" s="3">
        <v>3</v>
      </c>
      <c r="CI73" s="3">
        <v>0</v>
      </c>
      <c r="CJ73" s="3">
        <v>0</v>
      </c>
      <c r="CK73" s="3">
        <v>0</v>
      </c>
      <c r="CM73" s="3">
        <v>7</v>
      </c>
      <c r="CN73" s="3">
        <v>0</v>
      </c>
      <c r="CO73" s="3">
        <v>0</v>
      </c>
      <c r="CP73" s="3">
        <v>0</v>
      </c>
      <c r="CR73" s="3">
        <v>2.8010001182556152</v>
      </c>
      <c r="CS73" s="3">
        <v>4.0060000000000002</v>
      </c>
      <c r="CT73" s="3">
        <v>4.016</v>
      </c>
      <c r="CU73" s="3">
        <v>4.016</v>
      </c>
    </row>
    <row r="74" spans="1:99" s="3" customFormat="1" x14ac:dyDescent="0.35">
      <c r="A74" s="2" t="s">
        <v>89</v>
      </c>
      <c r="B74" s="2">
        <v>9.5</v>
      </c>
      <c r="C74" s="2" t="s">
        <v>167</v>
      </c>
      <c r="D74" s="2" t="s">
        <v>403</v>
      </c>
      <c r="F74" s="3">
        <v>4.0110000000000001</v>
      </c>
      <c r="G74" s="3">
        <v>4.016</v>
      </c>
      <c r="H74" s="3">
        <v>4.01</v>
      </c>
      <c r="I74" s="3">
        <v>4.0110000000000001</v>
      </c>
      <c r="K74" s="3">
        <v>3.8990000000000005</v>
      </c>
      <c r="L74" s="3">
        <v>3.9990000000000001</v>
      </c>
      <c r="M74" s="3">
        <v>3.9820000000000002</v>
      </c>
      <c r="N74" s="3">
        <v>3.9989999999999997</v>
      </c>
      <c r="P74" s="3">
        <v>3.6629997193813324</v>
      </c>
      <c r="Q74" s="3">
        <v>3.815000026486814</v>
      </c>
      <c r="R74" s="3">
        <v>3.6320007685571909</v>
      </c>
      <c r="S74" s="3">
        <v>3.4980003489181399</v>
      </c>
      <c r="U74" s="3">
        <v>9</v>
      </c>
      <c r="V74" s="3">
        <v>7</v>
      </c>
      <c r="W74" s="3">
        <v>13</v>
      </c>
      <c r="X74" s="3">
        <v>8</v>
      </c>
      <c r="Z74" s="3">
        <v>3.8490000000000002</v>
      </c>
      <c r="AA74" s="3">
        <v>3.9329999999999998</v>
      </c>
      <c r="AB74" s="3">
        <v>3.9820000000000002</v>
      </c>
      <c r="AC74" s="3">
        <v>3.7159999999999993</v>
      </c>
      <c r="AE74" s="3">
        <v>3.6629997193813324</v>
      </c>
      <c r="AF74" s="3">
        <v>3.815000026486814</v>
      </c>
      <c r="AG74" s="3">
        <v>3.6320007685571909</v>
      </c>
      <c r="AH74" s="3">
        <v>3.4980003489181399</v>
      </c>
      <c r="AJ74" s="3">
        <v>9</v>
      </c>
      <c r="AK74" s="3">
        <v>7</v>
      </c>
      <c r="AL74" s="3">
        <v>13</v>
      </c>
      <c r="AM74" s="3">
        <v>8</v>
      </c>
      <c r="AO74" s="3">
        <v>2</v>
      </c>
      <c r="AP74" s="3">
        <v>2</v>
      </c>
      <c r="AQ74" s="3">
        <v>1</v>
      </c>
      <c r="AR74" s="3">
        <v>2</v>
      </c>
      <c r="AT74" s="3">
        <v>0.14300000667572021</v>
      </c>
      <c r="AU74" s="3">
        <v>7.0000002160668373E-3</v>
      </c>
      <c r="AV74" s="3">
        <v>1.2000000104308128E-2</v>
      </c>
      <c r="AW74" s="3">
        <v>4.999999888241291E-3</v>
      </c>
      <c r="AY74" s="3">
        <v>1.1670000000000003</v>
      </c>
      <c r="AZ74" s="3">
        <v>2.1829999999999998</v>
      </c>
      <c r="BA74" s="3">
        <v>1.633</v>
      </c>
      <c r="BB74" s="3">
        <v>1.9169999999999998</v>
      </c>
      <c r="BD74" s="3">
        <v>1.2159999907016754</v>
      </c>
      <c r="BE74" s="3">
        <v>2.0160001516342163</v>
      </c>
      <c r="BF74" s="3">
        <v>1.4000004529953003</v>
      </c>
      <c r="BG74" s="3">
        <v>2.3820000886917114</v>
      </c>
      <c r="BI74" s="3">
        <v>3</v>
      </c>
      <c r="BJ74" s="3">
        <v>5</v>
      </c>
      <c r="BK74" s="3">
        <v>5</v>
      </c>
      <c r="BL74" s="3">
        <v>4</v>
      </c>
      <c r="BN74" s="3">
        <v>3</v>
      </c>
      <c r="BO74" s="3">
        <v>3</v>
      </c>
      <c r="BP74" s="3">
        <v>5</v>
      </c>
      <c r="BQ74" s="3">
        <v>4</v>
      </c>
      <c r="BS74" s="3">
        <v>0.29300001263618469</v>
      </c>
      <c r="BT74" s="3">
        <v>0.87300002574920654</v>
      </c>
      <c r="BU74" s="3">
        <v>0.67799997329711914</v>
      </c>
      <c r="BV74" s="3">
        <v>0.50499999523162842</v>
      </c>
      <c r="BX74" s="3">
        <v>1.115</v>
      </c>
      <c r="BY74" s="3">
        <v>0</v>
      </c>
      <c r="BZ74" s="3">
        <v>0</v>
      </c>
      <c r="CA74" s="3">
        <v>0</v>
      </c>
      <c r="CC74" s="3">
        <v>1.2489999532699585</v>
      </c>
      <c r="CD74" s="3">
        <v>0</v>
      </c>
      <c r="CE74" s="3">
        <v>0</v>
      </c>
      <c r="CF74" s="3">
        <v>0</v>
      </c>
      <c r="CH74" s="3">
        <v>2</v>
      </c>
      <c r="CI74" s="3">
        <v>0</v>
      </c>
      <c r="CJ74" s="3">
        <v>0</v>
      </c>
      <c r="CK74" s="3">
        <v>0</v>
      </c>
      <c r="CM74" s="3">
        <v>3</v>
      </c>
      <c r="CN74" s="3">
        <v>0</v>
      </c>
      <c r="CO74" s="3">
        <v>0</v>
      </c>
      <c r="CP74" s="3">
        <v>0</v>
      </c>
      <c r="CR74" s="3">
        <v>1.9759999513626099</v>
      </c>
      <c r="CS74" s="3">
        <v>4.016</v>
      </c>
      <c r="CT74" s="3">
        <v>4.01</v>
      </c>
      <c r="CU74" s="3">
        <v>4.0110000000000001</v>
      </c>
    </row>
    <row r="75" spans="1:99" s="3" customFormat="1" x14ac:dyDescent="0.35">
      <c r="A75" s="2" t="s">
        <v>20</v>
      </c>
      <c r="B75" s="2">
        <v>9.5833333333333339</v>
      </c>
      <c r="C75" s="2" t="s">
        <v>167</v>
      </c>
      <c r="D75" s="2" t="s">
        <v>403</v>
      </c>
      <c r="F75" s="3">
        <v>4.008</v>
      </c>
      <c r="G75" s="3">
        <v>4.0010000000000003</v>
      </c>
      <c r="H75" s="3" t="e">
        <v>#N/A</v>
      </c>
      <c r="I75" s="3">
        <v>4.016</v>
      </c>
      <c r="K75" s="3">
        <v>3.4319999999999999</v>
      </c>
      <c r="L75" s="3">
        <v>3.9820000000000002</v>
      </c>
      <c r="M75" s="11" t="e">
        <v>#N/A</v>
      </c>
      <c r="N75" s="3">
        <v>3.9489999999999998</v>
      </c>
      <c r="P75" s="3">
        <v>1.9659999907016754</v>
      </c>
      <c r="Q75" s="3">
        <v>1.3180000111460686</v>
      </c>
      <c r="R75" s="11" t="e">
        <v>#N/A</v>
      </c>
      <c r="S75" s="3">
        <v>2.0859995130449533</v>
      </c>
      <c r="U75" s="3">
        <v>11</v>
      </c>
      <c r="V75" s="3">
        <v>9</v>
      </c>
      <c r="W75" s="11" t="e">
        <v>#N/A</v>
      </c>
      <c r="X75" s="3">
        <v>10</v>
      </c>
      <c r="Z75" s="3">
        <v>3.1819999999999999</v>
      </c>
      <c r="AA75" s="3">
        <v>3.9820000000000002</v>
      </c>
      <c r="AB75" s="11" t="e">
        <v>#N/A</v>
      </c>
      <c r="AC75" s="3">
        <v>3.4820000000000002</v>
      </c>
      <c r="AE75" s="3">
        <v>1.7990001738071442</v>
      </c>
      <c r="AF75" s="3">
        <v>1.3180000111460686</v>
      </c>
      <c r="AG75" s="11" t="e">
        <v>#N/A</v>
      </c>
      <c r="AH75" s="3">
        <v>2.0859995130449533</v>
      </c>
      <c r="AJ75" s="3">
        <v>10</v>
      </c>
      <c r="AK75" s="3">
        <v>9</v>
      </c>
      <c r="AL75" s="11" t="e">
        <v>#N/A</v>
      </c>
      <c r="AM75" s="3">
        <v>10</v>
      </c>
      <c r="AO75" s="3">
        <v>3</v>
      </c>
      <c r="AP75" s="3">
        <v>1</v>
      </c>
      <c r="AQ75" s="11" t="e">
        <v>#N/A</v>
      </c>
      <c r="AR75" s="3">
        <v>3</v>
      </c>
      <c r="AT75" s="3">
        <v>0.460999995470047</v>
      </c>
      <c r="AU75" s="3">
        <v>1.7999999225139618E-2</v>
      </c>
      <c r="AV75" s="11" t="e">
        <v>#N/A</v>
      </c>
      <c r="AW75" s="3">
        <v>1.2000000104308128E-2</v>
      </c>
      <c r="AY75" s="3">
        <v>0.30100000000000027</v>
      </c>
      <c r="AZ75" s="3">
        <v>0.25000000000000022</v>
      </c>
      <c r="BA75" s="11" t="e">
        <v>#N/A</v>
      </c>
      <c r="BB75" s="3">
        <v>0.38300000000000012</v>
      </c>
      <c r="BD75" s="3">
        <v>0.28299999237060547</v>
      </c>
      <c r="BE75" s="3">
        <v>0.10000014305114746</v>
      </c>
      <c r="BF75" s="11" t="e">
        <v>#N/A</v>
      </c>
      <c r="BG75" s="3">
        <v>0.14999985694885254</v>
      </c>
      <c r="BI75" s="3">
        <v>2</v>
      </c>
      <c r="BJ75" s="3">
        <v>1</v>
      </c>
      <c r="BK75" s="11" t="e">
        <v>#N/A</v>
      </c>
      <c r="BL75" s="3">
        <v>1</v>
      </c>
      <c r="BN75" s="3">
        <v>7</v>
      </c>
      <c r="BO75" s="3">
        <v>9</v>
      </c>
      <c r="BP75" s="11" t="e">
        <v>#N/A</v>
      </c>
      <c r="BQ75" s="3">
        <v>8</v>
      </c>
      <c r="BS75" s="3">
        <v>1.593999981880188</v>
      </c>
      <c r="BT75" s="3">
        <v>2.0169999599456787</v>
      </c>
      <c r="BU75" s="11" t="e">
        <v>#N/A</v>
      </c>
      <c r="BV75" s="3">
        <v>2.0950000286102295</v>
      </c>
      <c r="BX75" s="3">
        <v>0.26600000000000001</v>
      </c>
      <c r="BY75" s="3">
        <v>0.43400000000000072</v>
      </c>
      <c r="BZ75" s="11" t="e">
        <v>#N/A</v>
      </c>
      <c r="CA75" s="3">
        <v>0.88400000000000034</v>
      </c>
      <c r="CC75" s="3">
        <v>0.28299999237060547</v>
      </c>
      <c r="CD75" s="3">
        <v>0.2499999925494194</v>
      </c>
      <c r="CE75" s="11" t="e">
        <v>#N/A</v>
      </c>
      <c r="CF75" s="3">
        <v>0.95099976100027561</v>
      </c>
      <c r="CH75" s="3">
        <v>1</v>
      </c>
      <c r="CI75" s="3">
        <v>2</v>
      </c>
      <c r="CJ75" s="11" t="e">
        <v>#N/A</v>
      </c>
      <c r="CK75" s="3">
        <v>4</v>
      </c>
      <c r="CM75" s="3">
        <v>3</v>
      </c>
      <c r="CN75" s="3">
        <v>12</v>
      </c>
      <c r="CO75" s="11" t="e">
        <v>#N/A</v>
      </c>
      <c r="CP75" s="3">
        <v>8</v>
      </c>
      <c r="CR75" s="3">
        <v>0.77799999713897705</v>
      </c>
      <c r="CS75" s="3">
        <v>1.7999999225139618E-2</v>
      </c>
      <c r="CT75" s="11" t="e">
        <v>#N/A</v>
      </c>
      <c r="CU75" s="3">
        <v>1.2000000104308128E-2</v>
      </c>
    </row>
    <row r="76" spans="1:99" s="3" customFormat="1" x14ac:dyDescent="0.35">
      <c r="A76" s="2" t="s">
        <v>58</v>
      </c>
      <c r="B76" s="2">
        <v>9.5833333333333339</v>
      </c>
      <c r="C76" s="2" t="s">
        <v>168</v>
      </c>
      <c r="D76" s="2" t="s">
        <v>403</v>
      </c>
      <c r="F76" s="3">
        <v>4.0090000000000003</v>
      </c>
      <c r="G76" s="3">
        <v>4.0019999999999998</v>
      </c>
      <c r="H76" s="3">
        <v>4.0110000000000001</v>
      </c>
      <c r="I76" s="3">
        <v>4.0199999999999996</v>
      </c>
      <c r="K76" s="3">
        <v>3.9989999999999997</v>
      </c>
      <c r="L76" s="3">
        <v>3.9990000000000006</v>
      </c>
      <c r="M76" s="3">
        <v>3.9990000000000001</v>
      </c>
      <c r="N76" s="3">
        <v>3.9990000000000001</v>
      </c>
      <c r="P76" s="3">
        <v>3.2000001072883606</v>
      </c>
      <c r="Q76" s="3">
        <v>3.8999999503139406</v>
      </c>
      <c r="R76" s="3">
        <v>3.898000180721283</v>
      </c>
      <c r="S76" s="3">
        <v>3.6499998215585947</v>
      </c>
      <c r="U76" s="3">
        <v>6</v>
      </c>
      <c r="V76" s="3">
        <v>4</v>
      </c>
      <c r="W76" s="3">
        <v>7</v>
      </c>
      <c r="X76" s="3">
        <v>10</v>
      </c>
      <c r="Z76" s="3">
        <v>3.9989999999999997</v>
      </c>
      <c r="AA76" s="3">
        <v>3.9990000000000006</v>
      </c>
      <c r="AB76" s="3">
        <v>3.9990000000000001</v>
      </c>
      <c r="AC76" s="3">
        <v>3.7160000000000002</v>
      </c>
      <c r="AE76" s="3">
        <v>3.2000001072883606</v>
      </c>
      <c r="AF76" s="3">
        <v>3.8999999503139406</v>
      </c>
      <c r="AG76" s="3">
        <v>3.898000180721283</v>
      </c>
      <c r="AH76" s="3">
        <v>3.4329998195171356</v>
      </c>
      <c r="AJ76" s="3">
        <v>6</v>
      </c>
      <c r="AK76" s="3">
        <v>4</v>
      </c>
      <c r="AL76" s="3">
        <v>7</v>
      </c>
      <c r="AM76" s="3">
        <v>9</v>
      </c>
      <c r="AO76" s="3">
        <v>1</v>
      </c>
      <c r="AP76" s="3">
        <v>1</v>
      </c>
      <c r="AQ76" s="3">
        <v>1</v>
      </c>
      <c r="AR76" s="3">
        <v>2</v>
      </c>
      <c r="AT76" s="3">
        <v>0.17100000381469727</v>
      </c>
      <c r="AU76" s="3">
        <v>2.0000000949949026E-3</v>
      </c>
      <c r="AV76" s="3">
        <v>0</v>
      </c>
      <c r="AW76" s="3">
        <v>0.31200000643730164</v>
      </c>
      <c r="AY76" s="3">
        <v>0.9689999999999992</v>
      </c>
      <c r="AZ76" s="3">
        <v>0.95000000000000018</v>
      </c>
      <c r="BA76" s="3">
        <v>1.8660000000000003</v>
      </c>
      <c r="BB76" s="3">
        <v>1.2830000000000001</v>
      </c>
      <c r="BD76" s="3">
        <v>0.56700015068054199</v>
      </c>
      <c r="BE76" s="3">
        <v>1.6329998970031738</v>
      </c>
      <c r="BF76" s="3">
        <v>1.7660001516342163</v>
      </c>
      <c r="BG76" s="3">
        <v>1.8659999072551727</v>
      </c>
      <c r="BI76" s="3">
        <v>1</v>
      </c>
      <c r="BJ76" s="3">
        <v>1</v>
      </c>
      <c r="BK76" s="3">
        <v>2</v>
      </c>
      <c r="BL76" s="3">
        <v>3</v>
      </c>
      <c r="BN76" s="3">
        <v>9</v>
      </c>
      <c r="BO76" s="3">
        <v>1</v>
      </c>
      <c r="BP76" s="3">
        <v>3</v>
      </c>
      <c r="BQ76" s="3">
        <v>4</v>
      </c>
      <c r="BS76" s="3">
        <v>3.437000036239624</v>
      </c>
      <c r="BT76" s="3">
        <v>2.1010000705718994</v>
      </c>
      <c r="BU76" s="3">
        <v>1.715999960899353</v>
      </c>
      <c r="BV76" s="3">
        <v>0.31200000643730164</v>
      </c>
      <c r="BX76" s="3">
        <v>0.15000000000000002</v>
      </c>
      <c r="BY76" s="3">
        <v>0</v>
      </c>
      <c r="BZ76" s="3">
        <v>0.1160000000000001</v>
      </c>
      <c r="CA76" s="3">
        <v>0</v>
      </c>
      <c r="CC76" s="3">
        <v>0</v>
      </c>
      <c r="CD76" s="3">
        <v>0</v>
      </c>
      <c r="CE76" s="3">
        <v>0</v>
      </c>
      <c r="CF76" s="3">
        <v>0</v>
      </c>
      <c r="CH76" s="3">
        <v>0</v>
      </c>
      <c r="CI76" s="3">
        <v>0</v>
      </c>
      <c r="CJ76" s="3">
        <v>0</v>
      </c>
      <c r="CK76" s="3">
        <v>0</v>
      </c>
      <c r="CM76" s="3">
        <v>7</v>
      </c>
      <c r="CN76" s="3">
        <v>0</v>
      </c>
      <c r="CO76" s="3">
        <v>1</v>
      </c>
      <c r="CP76" s="3">
        <v>0</v>
      </c>
      <c r="CR76" s="3">
        <v>4.0090000000000003</v>
      </c>
      <c r="CS76" s="3">
        <v>4.0019999999999998</v>
      </c>
      <c r="CT76" s="3">
        <v>4.0110000000000001</v>
      </c>
      <c r="CU76" s="3">
        <v>4.0199999999999996</v>
      </c>
    </row>
    <row r="77" spans="1:99" s="3" customFormat="1" x14ac:dyDescent="0.35">
      <c r="A77" s="2" t="s">
        <v>41</v>
      </c>
      <c r="B77" s="2">
        <v>9.6666666666666661</v>
      </c>
      <c r="C77" s="2" t="s">
        <v>167</v>
      </c>
      <c r="D77" s="2" t="s">
        <v>403</v>
      </c>
      <c r="F77" s="3">
        <v>4.01</v>
      </c>
      <c r="G77" s="3">
        <v>4.0149999999999997</v>
      </c>
      <c r="H77" s="3">
        <v>4.0140000000000002</v>
      </c>
      <c r="I77" s="3" t="e">
        <v>#N/A</v>
      </c>
      <c r="K77" s="3">
        <v>3.782</v>
      </c>
      <c r="L77" s="3">
        <v>3.9990000000000001</v>
      </c>
      <c r="M77" s="3">
        <v>3.9989999999999997</v>
      </c>
      <c r="N77" s="3">
        <v>2.649</v>
      </c>
      <c r="P77" s="3">
        <v>3.7670003548264503</v>
      </c>
      <c r="Q77" s="3">
        <v>3.2669994831085205</v>
      </c>
      <c r="R77" s="3">
        <v>3.2510002166964114</v>
      </c>
      <c r="S77" s="3">
        <v>2.2460002424195409</v>
      </c>
      <c r="U77" s="3">
        <v>9</v>
      </c>
      <c r="V77" s="3">
        <v>13</v>
      </c>
      <c r="W77" s="3">
        <v>14</v>
      </c>
      <c r="X77" s="3">
        <v>9</v>
      </c>
      <c r="Z77" s="3">
        <v>3.7320000000000002</v>
      </c>
      <c r="AA77" s="3">
        <v>3.9990000000000001</v>
      </c>
      <c r="AB77" s="3">
        <v>3.649</v>
      </c>
      <c r="AC77" s="3">
        <v>1.6989999999999996</v>
      </c>
      <c r="AE77" s="3">
        <v>3.7670003548264503</v>
      </c>
      <c r="AF77" s="3">
        <v>3.2669994831085205</v>
      </c>
      <c r="AG77" s="3">
        <v>2.9350002110004425</v>
      </c>
      <c r="AH77" s="3">
        <v>1.297000122256577</v>
      </c>
      <c r="AJ77" s="3">
        <v>9</v>
      </c>
      <c r="AK77" s="3">
        <v>13</v>
      </c>
      <c r="AL77" s="3">
        <v>13</v>
      </c>
      <c r="AM77" s="3">
        <v>7</v>
      </c>
      <c r="AO77" s="3">
        <v>2</v>
      </c>
      <c r="AP77" s="3">
        <v>1</v>
      </c>
      <c r="AQ77" s="3">
        <v>1</v>
      </c>
      <c r="AR77" s="3">
        <v>3</v>
      </c>
      <c r="AT77" s="3">
        <v>1.0999999940395355E-2</v>
      </c>
      <c r="AU77" s="3">
        <v>0.29800000786781311</v>
      </c>
      <c r="AV77" s="3">
        <v>0.36899998784065247</v>
      </c>
      <c r="AW77" s="3">
        <v>6.0000000521540642E-3</v>
      </c>
      <c r="AY77" s="3">
        <v>9.8999999999999977E-2</v>
      </c>
      <c r="AZ77" s="3">
        <v>0.74999999999999956</v>
      </c>
      <c r="BA77" s="3">
        <v>0.53400000000000014</v>
      </c>
      <c r="BB77" s="3">
        <v>0.11699999999999977</v>
      </c>
      <c r="BD77" s="3">
        <v>0</v>
      </c>
      <c r="BE77" s="3">
        <v>0.86699992418289185</v>
      </c>
      <c r="BF77" s="3">
        <v>0.54999998211860657</v>
      </c>
      <c r="BG77" s="3">
        <v>0</v>
      </c>
      <c r="BI77" s="3">
        <v>0</v>
      </c>
      <c r="BJ77" s="3">
        <v>4</v>
      </c>
      <c r="BK77" s="3">
        <v>2</v>
      </c>
      <c r="BL77" s="3">
        <v>0</v>
      </c>
      <c r="BN77" s="3">
        <v>2</v>
      </c>
      <c r="BO77" s="3">
        <v>5</v>
      </c>
      <c r="BP77" s="3">
        <v>3</v>
      </c>
      <c r="BQ77" s="3">
        <v>3</v>
      </c>
      <c r="BS77" s="3">
        <v>4.01</v>
      </c>
      <c r="BT77" s="3">
        <v>0.48199999332427979</v>
      </c>
      <c r="BU77" s="3">
        <v>0.36899998784065247</v>
      </c>
      <c r="BV77" s="3">
        <v>4.0110000000000001</v>
      </c>
      <c r="BX77" s="3">
        <v>1.3329999999999997</v>
      </c>
      <c r="BY77" s="3">
        <v>8.3999999999999728E-2</v>
      </c>
      <c r="BZ77" s="3">
        <v>0.63500000000000001</v>
      </c>
      <c r="CA77" s="3">
        <v>0.39900000000000002</v>
      </c>
      <c r="CC77" s="3">
        <v>0.94999980926513672</v>
      </c>
      <c r="CD77" s="3">
        <v>0</v>
      </c>
      <c r="CE77" s="3">
        <v>0.63300013542175293</v>
      </c>
      <c r="CF77" s="3">
        <v>0.39900000113993883</v>
      </c>
      <c r="CH77" s="3">
        <v>3</v>
      </c>
      <c r="CI77" s="3">
        <v>0</v>
      </c>
      <c r="CJ77" s="3">
        <v>2</v>
      </c>
      <c r="CK77" s="3">
        <v>1</v>
      </c>
      <c r="CM77" s="3">
        <v>3</v>
      </c>
      <c r="CN77" s="3">
        <v>2</v>
      </c>
      <c r="CO77" s="3">
        <v>4</v>
      </c>
      <c r="CP77" s="3">
        <v>1</v>
      </c>
      <c r="CR77" s="3">
        <v>2.8610000610351563</v>
      </c>
      <c r="CS77" s="3">
        <v>4.0149999999999997</v>
      </c>
      <c r="CT77" s="3">
        <v>1.5360000133514404</v>
      </c>
      <c r="CU77" s="3">
        <v>6.0000000521540642E-3</v>
      </c>
    </row>
    <row r="78" spans="1:99" s="3" customFormat="1" x14ac:dyDescent="0.35">
      <c r="A78" s="2" t="s">
        <v>52</v>
      </c>
      <c r="B78" s="2">
        <v>9.6666666666666661</v>
      </c>
      <c r="C78" s="2" t="s">
        <v>168</v>
      </c>
      <c r="D78" s="2" t="s">
        <v>403</v>
      </c>
      <c r="F78" s="3">
        <v>4.01</v>
      </c>
      <c r="G78" s="3">
        <v>4.016</v>
      </c>
      <c r="H78" s="3">
        <v>4.016</v>
      </c>
      <c r="I78" s="3">
        <v>4.0149999999999997</v>
      </c>
      <c r="K78" s="3">
        <v>3.9830000000000001</v>
      </c>
      <c r="L78" s="3">
        <v>3.9990000000000001</v>
      </c>
      <c r="M78" s="3">
        <v>4</v>
      </c>
      <c r="N78" s="3">
        <v>3.9990000000000001</v>
      </c>
      <c r="P78" s="3">
        <v>3.8669999502599239</v>
      </c>
      <c r="Q78" s="3">
        <v>3.9329999722540379</v>
      </c>
      <c r="R78" s="3">
        <v>3.8180000991560519</v>
      </c>
      <c r="S78" s="3">
        <v>3.380999892950058</v>
      </c>
      <c r="U78" s="3">
        <v>6</v>
      </c>
      <c r="V78" s="3">
        <v>5</v>
      </c>
      <c r="W78" s="3">
        <v>12</v>
      </c>
      <c r="X78" s="3">
        <v>12</v>
      </c>
      <c r="Z78" s="3">
        <v>3.9830000000000001</v>
      </c>
      <c r="AA78" s="3">
        <v>3.9990000000000001</v>
      </c>
      <c r="AB78" s="3">
        <v>4</v>
      </c>
      <c r="AC78" s="3">
        <v>3.9990000000000001</v>
      </c>
      <c r="AE78" s="3">
        <v>3.8669999502599239</v>
      </c>
      <c r="AF78" s="3">
        <v>3.9329999722540379</v>
      </c>
      <c r="AG78" s="3">
        <v>3.8180000991560519</v>
      </c>
      <c r="AH78" s="3">
        <v>3.380999892950058</v>
      </c>
      <c r="AJ78" s="3">
        <v>6</v>
      </c>
      <c r="AK78" s="3">
        <v>5</v>
      </c>
      <c r="AL78" s="3">
        <v>12</v>
      </c>
      <c r="AM78" s="3">
        <v>12</v>
      </c>
      <c r="AO78" s="3">
        <v>1</v>
      </c>
      <c r="AP78" s="3">
        <v>1</v>
      </c>
      <c r="AQ78" s="3">
        <v>1</v>
      </c>
      <c r="AR78" s="3">
        <v>1</v>
      </c>
      <c r="AT78" s="3">
        <v>1.3000000268220901E-2</v>
      </c>
      <c r="AU78" s="3">
        <v>8.999999612569809E-3</v>
      </c>
      <c r="AV78" s="3">
        <v>3.0000000260770321E-3</v>
      </c>
      <c r="AW78" s="3">
        <v>0.26399999856948853</v>
      </c>
      <c r="AY78" s="3">
        <v>3.45</v>
      </c>
      <c r="AZ78" s="3">
        <v>3.1660000000000004</v>
      </c>
      <c r="BA78" s="3">
        <v>2.2830000000000004</v>
      </c>
      <c r="BB78" s="3">
        <v>2.399</v>
      </c>
      <c r="BD78" s="3">
        <v>3.4659998677670956</v>
      </c>
      <c r="BE78" s="3">
        <v>2.9330000281333923</v>
      </c>
      <c r="BF78" s="3">
        <v>2.5340000600554049</v>
      </c>
      <c r="BG78" s="3">
        <v>2.4149999022483826</v>
      </c>
      <c r="BI78" s="3">
        <v>4</v>
      </c>
      <c r="BJ78" s="3">
        <v>3</v>
      </c>
      <c r="BK78" s="3">
        <v>7</v>
      </c>
      <c r="BL78" s="3">
        <v>7</v>
      </c>
      <c r="BN78" s="3">
        <v>2</v>
      </c>
      <c r="BO78" s="3">
        <v>2</v>
      </c>
      <c r="BP78" s="3">
        <v>4</v>
      </c>
      <c r="BQ78" s="3">
        <v>2</v>
      </c>
      <c r="BS78" s="3">
        <v>1.3000000268220901E-2</v>
      </c>
      <c r="BT78" s="3">
        <v>0.57499998807907104</v>
      </c>
      <c r="BU78" s="3">
        <v>3.0000000260770321E-3</v>
      </c>
      <c r="BV78" s="3">
        <v>0.48100000619888306</v>
      </c>
      <c r="BX78" s="3">
        <v>0</v>
      </c>
      <c r="BY78" s="3">
        <v>0</v>
      </c>
      <c r="BZ78" s="3">
        <v>0</v>
      </c>
      <c r="CA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0</v>
      </c>
      <c r="CI78" s="3">
        <v>0</v>
      </c>
      <c r="CJ78" s="3">
        <v>0</v>
      </c>
      <c r="CK78" s="3">
        <v>0</v>
      </c>
      <c r="CM78" s="3">
        <v>0</v>
      </c>
      <c r="CN78" s="3">
        <v>0</v>
      </c>
      <c r="CO78" s="3">
        <v>0</v>
      </c>
      <c r="CP78" s="3">
        <v>0</v>
      </c>
      <c r="CR78" s="3">
        <v>4.01</v>
      </c>
      <c r="CS78" s="3">
        <v>4.016</v>
      </c>
      <c r="CT78" s="3">
        <v>4.016</v>
      </c>
      <c r="CU78" s="3">
        <v>4.0149999999999997</v>
      </c>
    </row>
    <row r="79" spans="1:99" s="3" customFormat="1" x14ac:dyDescent="0.35">
      <c r="A79" s="2" t="s">
        <v>61</v>
      </c>
      <c r="B79" s="2">
        <v>9.8333333333333339</v>
      </c>
      <c r="C79" s="2" t="s">
        <v>168</v>
      </c>
      <c r="D79" s="2" t="s">
        <v>403</v>
      </c>
      <c r="F79" s="3">
        <v>4.0090000000000003</v>
      </c>
      <c r="G79" s="3">
        <v>4.0149999999999997</v>
      </c>
      <c r="H79" s="3">
        <v>4.0060000000000002</v>
      </c>
      <c r="I79" s="3">
        <v>4.0110000000000001</v>
      </c>
      <c r="K79" s="3">
        <v>3.9830000000000001</v>
      </c>
      <c r="L79" s="3">
        <v>3.9990000000000001</v>
      </c>
      <c r="M79" s="3">
        <v>3.9990000000000006</v>
      </c>
      <c r="N79" s="3">
        <v>3.7989999999999999</v>
      </c>
      <c r="P79" s="3">
        <v>3.5810000225901604</v>
      </c>
      <c r="Q79" s="3">
        <v>3.6660006884485483</v>
      </c>
      <c r="R79" s="3">
        <v>3.4989998976234347</v>
      </c>
      <c r="S79" s="3">
        <v>3.3479999005794525</v>
      </c>
      <c r="U79" s="3">
        <v>8</v>
      </c>
      <c r="V79" s="3">
        <v>14</v>
      </c>
      <c r="W79" s="3">
        <v>14</v>
      </c>
      <c r="X79" s="3">
        <v>9</v>
      </c>
      <c r="Z79" s="3">
        <v>3.9830000000000001</v>
      </c>
      <c r="AA79" s="3">
        <v>3.9990000000000001</v>
      </c>
      <c r="AB79" s="3">
        <v>3.9990000000000006</v>
      </c>
      <c r="AC79" s="3">
        <v>3.6989999999999998</v>
      </c>
      <c r="AE79" s="3">
        <v>3.5810000225901604</v>
      </c>
      <c r="AF79" s="3">
        <v>3.6660006884485483</v>
      </c>
      <c r="AG79" s="3">
        <v>3.4989998976234347</v>
      </c>
      <c r="AH79" s="3">
        <v>3.3479999005794525</v>
      </c>
      <c r="AJ79" s="3">
        <v>8</v>
      </c>
      <c r="AK79" s="3">
        <v>14</v>
      </c>
      <c r="AL79" s="3">
        <v>14</v>
      </c>
      <c r="AM79" s="3">
        <v>9</v>
      </c>
      <c r="AO79" s="3">
        <v>1</v>
      </c>
      <c r="AP79" s="3">
        <v>1</v>
      </c>
      <c r="AQ79" s="3">
        <v>1</v>
      </c>
      <c r="AR79" s="3">
        <v>2</v>
      </c>
      <c r="AT79" s="3">
        <v>6.3000001013278961E-2</v>
      </c>
      <c r="AU79" s="3">
        <v>1.2000000104308128E-2</v>
      </c>
      <c r="AV79" s="3">
        <v>2.0000000949949026E-3</v>
      </c>
      <c r="AW79" s="3">
        <v>0.35899999737739563</v>
      </c>
      <c r="AY79" s="3">
        <v>1.8489999999999995</v>
      </c>
      <c r="AZ79" s="3">
        <v>1.5680000000000001</v>
      </c>
      <c r="BA79" s="3">
        <v>2.3330000000000002</v>
      </c>
      <c r="BB79" s="3">
        <v>1.4989999999999997</v>
      </c>
      <c r="BD79" s="3">
        <v>1.6820000410079956</v>
      </c>
      <c r="BE79" s="3">
        <v>1.8500002920627594</v>
      </c>
      <c r="BF79" s="3">
        <v>2.0830000936985016</v>
      </c>
      <c r="BG79" s="3">
        <v>1.4660000503063202</v>
      </c>
      <c r="BI79" s="3">
        <v>3</v>
      </c>
      <c r="BJ79" s="3">
        <v>7</v>
      </c>
      <c r="BK79" s="3">
        <v>8</v>
      </c>
      <c r="BL79" s="3">
        <v>5</v>
      </c>
      <c r="BN79" s="3">
        <v>4</v>
      </c>
      <c r="BO79" s="3">
        <v>5</v>
      </c>
      <c r="BP79" s="3">
        <v>6</v>
      </c>
      <c r="BQ79" s="3">
        <v>2</v>
      </c>
      <c r="BS79" s="3">
        <v>0.71299999952316284</v>
      </c>
      <c r="BT79" s="3">
        <v>0.39500001072883606</v>
      </c>
      <c r="BU79" s="3">
        <v>0.45199999213218689</v>
      </c>
      <c r="BV79" s="3">
        <v>0.35899999737739563</v>
      </c>
      <c r="BX79" s="3">
        <v>0.18399999999999972</v>
      </c>
      <c r="BY79" s="3">
        <v>0</v>
      </c>
      <c r="BZ79" s="3">
        <v>4.9999999999999822E-2</v>
      </c>
      <c r="CA79" s="3">
        <v>0.46599999999999975</v>
      </c>
      <c r="CC79" s="3">
        <v>0</v>
      </c>
      <c r="CD79" s="3">
        <v>0</v>
      </c>
      <c r="CE79" s="3">
        <v>0.29999995231628418</v>
      </c>
      <c r="CF79" s="3">
        <v>0.44900012016296387</v>
      </c>
      <c r="CH79" s="3">
        <v>0</v>
      </c>
      <c r="CI79" s="3">
        <v>0</v>
      </c>
      <c r="CJ79" s="3">
        <v>1</v>
      </c>
      <c r="CK79" s="3">
        <v>1</v>
      </c>
      <c r="CM79" s="3">
        <v>1</v>
      </c>
      <c r="CN79" s="3">
        <v>1</v>
      </c>
      <c r="CO79" s="3">
        <v>3</v>
      </c>
      <c r="CP79" s="3">
        <v>1</v>
      </c>
      <c r="CR79" s="3">
        <v>4.0090000000000003</v>
      </c>
      <c r="CS79" s="3">
        <v>4.0149999999999997</v>
      </c>
      <c r="CT79" s="3">
        <v>3.6840000152587891</v>
      </c>
      <c r="CU79" s="3">
        <v>1.6089999675750732</v>
      </c>
    </row>
    <row r="80" spans="1:99" s="3" customFormat="1" x14ac:dyDescent="0.35">
      <c r="A80" s="2" t="s">
        <v>62</v>
      </c>
      <c r="B80" s="2">
        <v>9.8333333333333339</v>
      </c>
      <c r="C80" s="2" t="s">
        <v>167</v>
      </c>
      <c r="D80" s="2" t="s">
        <v>403</v>
      </c>
      <c r="F80" s="3">
        <v>4.0090000000000003</v>
      </c>
      <c r="G80" s="3">
        <v>4.0110000000000001</v>
      </c>
      <c r="H80" s="3">
        <v>4.016</v>
      </c>
      <c r="I80" s="3">
        <v>4.0010000000000003</v>
      </c>
      <c r="K80" s="3">
        <v>3.9650000000000003</v>
      </c>
      <c r="L80" s="3">
        <v>3.9989999999999997</v>
      </c>
      <c r="M80" s="3">
        <v>3.9990000000000006</v>
      </c>
      <c r="N80" s="3">
        <v>3.9830000000000001</v>
      </c>
      <c r="P80" s="3">
        <v>3.316000122576952</v>
      </c>
      <c r="Q80" s="3">
        <v>3.4640002623200417</v>
      </c>
      <c r="R80" s="3">
        <v>3.7520000378135592</v>
      </c>
      <c r="S80" s="3">
        <v>3.5699995746836066</v>
      </c>
      <c r="U80" s="3">
        <v>9</v>
      </c>
      <c r="V80" s="3">
        <v>7</v>
      </c>
      <c r="W80" s="3">
        <v>13</v>
      </c>
      <c r="X80" s="3">
        <v>10</v>
      </c>
      <c r="Z80" s="3">
        <v>3.9650000000000003</v>
      </c>
      <c r="AA80" s="3">
        <v>3.9989999999999997</v>
      </c>
      <c r="AB80" s="3">
        <v>3.9990000000000006</v>
      </c>
      <c r="AC80" s="3">
        <v>3.9830000000000001</v>
      </c>
      <c r="AE80" s="3">
        <v>3.316000122576952</v>
      </c>
      <c r="AF80" s="3">
        <v>3.4640002623200417</v>
      </c>
      <c r="AG80" s="3">
        <v>3.7520000378135592</v>
      </c>
      <c r="AH80" s="3">
        <v>3.5699995746836066</v>
      </c>
      <c r="AJ80" s="3">
        <v>9</v>
      </c>
      <c r="AK80" s="3">
        <v>7</v>
      </c>
      <c r="AL80" s="3">
        <v>13</v>
      </c>
      <c r="AM80" s="3">
        <v>10</v>
      </c>
      <c r="AO80" s="3">
        <v>1</v>
      </c>
      <c r="AP80" s="3">
        <v>1</v>
      </c>
      <c r="AQ80" s="3">
        <v>1</v>
      </c>
      <c r="AR80" s="3">
        <v>1</v>
      </c>
      <c r="AT80" s="3">
        <v>3.7999998778104782E-2</v>
      </c>
      <c r="AU80" s="3">
        <v>1.0999999940395355E-2</v>
      </c>
      <c r="AV80" s="3">
        <v>2.0000000949949026E-3</v>
      </c>
      <c r="AW80" s="3">
        <v>7.0000002160668373E-3</v>
      </c>
      <c r="AY80" s="3">
        <v>2.867</v>
      </c>
      <c r="AZ80" s="3">
        <v>1.617</v>
      </c>
      <c r="BA80" s="3">
        <v>0.8829999999999999</v>
      </c>
      <c r="BB80" s="3">
        <v>1.1340000000000003</v>
      </c>
      <c r="BD80" s="3">
        <v>2.8829999156296253</v>
      </c>
      <c r="BE80" s="3">
        <v>1.8319999575614929</v>
      </c>
      <c r="BF80" s="3">
        <v>0.98399996757507324</v>
      </c>
      <c r="BG80" s="3">
        <v>1.2190000712871552</v>
      </c>
      <c r="BI80" s="3">
        <v>6</v>
      </c>
      <c r="BJ80" s="3">
        <v>3</v>
      </c>
      <c r="BK80" s="3">
        <v>3</v>
      </c>
      <c r="BL80" s="3">
        <v>3</v>
      </c>
      <c r="BN80" s="3">
        <v>3</v>
      </c>
      <c r="BO80" s="3">
        <v>2</v>
      </c>
      <c r="BP80" s="3">
        <v>1</v>
      </c>
      <c r="BQ80" s="3">
        <v>3</v>
      </c>
      <c r="BS80" s="3">
        <v>3.7999998778104782E-2</v>
      </c>
      <c r="BT80" s="3">
        <v>0.41100001335144043</v>
      </c>
      <c r="BU80" s="3">
        <v>0.43500000238418579</v>
      </c>
      <c r="BV80" s="3">
        <v>0.37299999594688416</v>
      </c>
      <c r="BX80" s="3">
        <v>0.2669999999999999</v>
      </c>
      <c r="BY80" s="3">
        <v>0.46600000000000019</v>
      </c>
      <c r="BZ80" s="3">
        <v>0.30000000000000027</v>
      </c>
      <c r="CA80" s="3">
        <v>0.51599999999999968</v>
      </c>
      <c r="CC80" s="3">
        <v>0.20000004768371582</v>
      </c>
      <c r="CD80" s="3">
        <v>0.54900002479553223</v>
      </c>
      <c r="CE80" s="3">
        <v>0.26700019836425781</v>
      </c>
      <c r="CF80" s="3">
        <v>0.46599984169006348</v>
      </c>
      <c r="CH80" s="3">
        <v>1</v>
      </c>
      <c r="CI80" s="3">
        <v>1</v>
      </c>
      <c r="CJ80" s="3">
        <v>2</v>
      </c>
      <c r="CK80" s="3">
        <v>1</v>
      </c>
      <c r="CM80" s="3">
        <v>1</v>
      </c>
      <c r="CN80" s="3">
        <v>2</v>
      </c>
      <c r="CO80" s="3">
        <v>3</v>
      </c>
      <c r="CP80" s="3">
        <v>3</v>
      </c>
      <c r="CR80" s="3">
        <v>1.1710000038146973</v>
      </c>
      <c r="CS80" s="3">
        <v>2.9769999980926514</v>
      </c>
      <c r="CT80" s="3">
        <v>2.5179998874664307</v>
      </c>
      <c r="CU80" s="3">
        <v>2.6070001125335693</v>
      </c>
    </row>
    <row r="81" spans="1:99" s="3" customFormat="1" x14ac:dyDescent="0.35">
      <c r="A81" s="2" t="s">
        <v>2</v>
      </c>
      <c r="B81" s="2">
        <v>10.083333333333334</v>
      </c>
      <c r="C81" s="2" t="s">
        <v>167</v>
      </c>
      <c r="D81" s="2" t="s">
        <v>403</v>
      </c>
      <c r="F81" s="3">
        <v>4.0149999999999997</v>
      </c>
      <c r="G81" s="3">
        <v>4.016</v>
      </c>
      <c r="H81" s="3">
        <v>4.016</v>
      </c>
      <c r="I81" s="3">
        <v>4.016</v>
      </c>
      <c r="K81" s="3">
        <v>3.9999999999999996</v>
      </c>
      <c r="L81" s="3">
        <v>4</v>
      </c>
      <c r="M81" s="3">
        <v>3.7499999999999996</v>
      </c>
      <c r="N81" s="3">
        <v>3.3010000000000002</v>
      </c>
      <c r="P81" s="3">
        <v>2.2000003457069397</v>
      </c>
      <c r="Q81" s="3">
        <v>2.5330002158880234</v>
      </c>
      <c r="R81" s="3">
        <v>3.6310006007552147</v>
      </c>
      <c r="S81" s="3">
        <v>2.4839994171634316</v>
      </c>
      <c r="U81" s="3">
        <v>11</v>
      </c>
      <c r="V81" s="3">
        <v>15</v>
      </c>
      <c r="W81" s="3">
        <v>12</v>
      </c>
      <c r="X81" s="3">
        <v>8</v>
      </c>
      <c r="Z81" s="3">
        <v>0.85099999999999931</v>
      </c>
      <c r="AA81" s="3">
        <v>1.3979999999999999</v>
      </c>
      <c r="AB81" s="3">
        <v>0.83299999999999996</v>
      </c>
      <c r="AC81" s="3">
        <v>1.0999999999999999</v>
      </c>
      <c r="AE81" s="3">
        <v>0.83400040864944458</v>
      </c>
      <c r="AF81" s="3">
        <v>1.3830001652240753</v>
      </c>
      <c r="AG81" s="3">
        <v>1.0000001415610313</v>
      </c>
      <c r="AH81" s="3">
        <v>0.63399994373321533</v>
      </c>
      <c r="AJ81" s="3">
        <v>3</v>
      </c>
      <c r="AK81" s="3">
        <v>8</v>
      </c>
      <c r="AL81" s="3">
        <v>4</v>
      </c>
      <c r="AM81" s="3">
        <v>2</v>
      </c>
      <c r="AO81" s="3">
        <v>9</v>
      </c>
      <c r="AP81" s="3">
        <v>11</v>
      </c>
      <c r="AQ81" s="3">
        <v>4</v>
      </c>
      <c r="AR81" s="3">
        <v>6</v>
      </c>
      <c r="AT81" s="3">
        <v>0.87099999189376831</v>
      </c>
      <c r="AU81" s="3">
        <v>0.36700001358985901</v>
      </c>
      <c r="AV81" s="3">
        <v>0.12099999934434891</v>
      </c>
      <c r="AW81" s="3">
        <v>1.0249999761581421</v>
      </c>
      <c r="AY81" s="3">
        <v>0</v>
      </c>
      <c r="AZ81" s="3">
        <v>0</v>
      </c>
      <c r="BA81" s="3">
        <v>0</v>
      </c>
      <c r="BB81" s="3">
        <v>0</v>
      </c>
      <c r="BD81" s="3">
        <v>0</v>
      </c>
      <c r="BE81" s="3">
        <v>0</v>
      </c>
      <c r="BF81" s="3">
        <v>0</v>
      </c>
      <c r="BG81" s="3">
        <v>0</v>
      </c>
      <c r="BI81" s="3">
        <v>0</v>
      </c>
      <c r="BJ81" s="3">
        <v>0</v>
      </c>
      <c r="BK81" s="3">
        <v>0</v>
      </c>
      <c r="BL81" s="3">
        <v>0</v>
      </c>
      <c r="BN81" s="3">
        <v>0</v>
      </c>
      <c r="BO81" s="3">
        <v>0</v>
      </c>
      <c r="BP81" s="3">
        <v>0</v>
      </c>
      <c r="BQ81" s="3">
        <v>0</v>
      </c>
      <c r="BS81" s="3">
        <v>4.0149999999999997</v>
      </c>
      <c r="BT81" s="3">
        <v>4.016</v>
      </c>
      <c r="BU81" s="3">
        <v>4.016</v>
      </c>
      <c r="BV81" s="3">
        <v>4.016</v>
      </c>
      <c r="BX81" s="3">
        <v>0.1839999999999998</v>
      </c>
      <c r="BY81" s="3">
        <v>0.34799999999999986</v>
      </c>
      <c r="BZ81" s="3">
        <v>0.60099999999999976</v>
      </c>
      <c r="CA81" s="3">
        <v>0.36699999999999999</v>
      </c>
      <c r="CC81" s="3">
        <v>0.20000028610229492</v>
      </c>
      <c r="CD81" s="3">
        <v>0.46700012683868408</v>
      </c>
      <c r="CE81" s="3">
        <v>0.53299999237060547</v>
      </c>
      <c r="CF81" s="3">
        <v>0.36699998378753662</v>
      </c>
      <c r="CH81" s="3">
        <v>1</v>
      </c>
      <c r="CI81" s="3">
        <v>3</v>
      </c>
      <c r="CJ81" s="3">
        <v>2</v>
      </c>
      <c r="CK81" s="3">
        <v>1</v>
      </c>
      <c r="CM81" s="3">
        <v>3</v>
      </c>
      <c r="CN81" s="3">
        <v>4</v>
      </c>
      <c r="CO81" s="3">
        <v>3</v>
      </c>
      <c r="CP81" s="3">
        <v>1</v>
      </c>
      <c r="CR81" s="3">
        <v>3.8039999008178711</v>
      </c>
      <c r="CS81" s="3">
        <v>1.6829999685287476</v>
      </c>
      <c r="CT81" s="3">
        <v>1.3209999799728394</v>
      </c>
      <c r="CU81" s="3">
        <v>1.0249999761581421</v>
      </c>
    </row>
    <row r="82" spans="1:99" s="3" customFormat="1" x14ac:dyDescent="0.35">
      <c r="A82" s="2" t="s">
        <v>22</v>
      </c>
      <c r="B82" s="2">
        <v>10.083333333333334</v>
      </c>
      <c r="C82" s="2" t="s">
        <v>167</v>
      </c>
      <c r="D82" s="2" t="s">
        <v>403</v>
      </c>
      <c r="F82" s="3">
        <v>4.016</v>
      </c>
      <c r="G82" s="3">
        <v>4.0090000000000003</v>
      </c>
      <c r="H82" s="3">
        <v>4.016</v>
      </c>
      <c r="I82" s="3">
        <v>4.0149999999999997</v>
      </c>
      <c r="K82" s="3">
        <v>3.9989999999999997</v>
      </c>
      <c r="L82" s="3">
        <v>3.9989999999999997</v>
      </c>
      <c r="M82" s="3">
        <v>3.9990000000000006</v>
      </c>
      <c r="N82" s="3">
        <v>3.9990000000000001</v>
      </c>
      <c r="P82" s="3">
        <v>3.8649999708868563</v>
      </c>
      <c r="Q82" s="3">
        <v>3.8300002375617623</v>
      </c>
      <c r="R82" s="3">
        <v>3.7649999465793371</v>
      </c>
      <c r="S82" s="3">
        <v>3.8649999499320984</v>
      </c>
      <c r="U82" s="3">
        <v>6</v>
      </c>
      <c r="V82" s="3">
        <v>11</v>
      </c>
      <c r="W82" s="3">
        <v>9</v>
      </c>
      <c r="X82" s="3">
        <v>7</v>
      </c>
      <c r="Z82" s="3">
        <v>3.9989999999999997</v>
      </c>
      <c r="AA82" s="3">
        <v>3.9989999999999997</v>
      </c>
      <c r="AB82" s="3">
        <v>3.9990000000000006</v>
      </c>
      <c r="AC82" s="3">
        <v>3.9990000000000001</v>
      </c>
      <c r="AE82" s="3">
        <v>3.8649999708868563</v>
      </c>
      <c r="AF82" s="3">
        <v>3.8300002375617623</v>
      </c>
      <c r="AG82" s="3">
        <v>3.7649999465793371</v>
      </c>
      <c r="AH82" s="3">
        <v>3.8649999499320984</v>
      </c>
      <c r="AJ82" s="3">
        <v>6</v>
      </c>
      <c r="AK82" s="3">
        <v>11</v>
      </c>
      <c r="AL82" s="3">
        <v>9</v>
      </c>
      <c r="AM82" s="3">
        <v>7</v>
      </c>
      <c r="AO82" s="3">
        <v>1</v>
      </c>
      <c r="AP82" s="3">
        <v>1</v>
      </c>
      <c r="AQ82" s="3">
        <v>1</v>
      </c>
      <c r="AR82" s="3">
        <v>1</v>
      </c>
      <c r="AT82" s="3">
        <v>3.0000000260770321E-3</v>
      </c>
      <c r="AU82" s="3">
        <v>8.0000003799796104E-3</v>
      </c>
      <c r="AV82" s="3">
        <v>9.9999997764825821E-3</v>
      </c>
      <c r="AW82" s="3">
        <v>0</v>
      </c>
      <c r="AY82" s="3">
        <v>2.4989999999999997</v>
      </c>
      <c r="AZ82" s="3">
        <v>1.6320000000000003</v>
      </c>
      <c r="BA82" s="3">
        <v>1.9490000000000003</v>
      </c>
      <c r="BB82" s="3">
        <v>1.2829999999999999</v>
      </c>
      <c r="BD82" s="3">
        <v>2.599000096321106</v>
      </c>
      <c r="BE82" s="3">
        <v>1.9799999594688416</v>
      </c>
      <c r="BF82" s="3">
        <v>2.0320000257343054</v>
      </c>
      <c r="BG82" s="3">
        <v>1.281999945640564</v>
      </c>
      <c r="BI82" s="3">
        <v>3</v>
      </c>
      <c r="BJ82" s="3">
        <v>5</v>
      </c>
      <c r="BK82" s="3">
        <v>4</v>
      </c>
      <c r="BL82" s="3">
        <v>2</v>
      </c>
      <c r="BN82" s="3">
        <v>1</v>
      </c>
      <c r="BO82" s="3">
        <v>4</v>
      </c>
      <c r="BP82" s="3">
        <v>2</v>
      </c>
      <c r="BQ82" s="3">
        <v>1</v>
      </c>
      <c r="BS82" s="3">
        <v>1.1529999971389771</v>
      </c>
      <c r="BT82" s="3">
        <v>0.70800000429153442</v>
      </c>
      <c r="BU82" s="3">
        <v>9.9999997764825821E-3</v>
      </c>
      <c r="BV82" s="3">
        <v>1.8999999761581421</v>
      </c>
      <c r="BX82" s="3">
        <v>0.36699999999999966</v>
      </c>
      <c r="BY82" s="3">
        <v>0.58399999999999952</v>
      </c>
      <c r="BZ82" s="3">
        <v>0.65100000000000025</v>
      </c>
      <c r="CA82" s="3">
        <v>1.133</v>
      </c>
      <c r="CC82" s="3">
        <v>0.35000002384185791</v>
      </c>
      <c r="CD82" s="3">
        <v>0.13400006294250488</v>
      </c>
      <c r="CE82" s="3">
        <v>0.56599998474121094</v>
      </c>
      <c r="CF82" s="3">
        <v>0.93300002813339233</v>
      </c>
      <c r="CH82" s="3">
        <v>1</v>
      </c>
      <c r="CI82" s="3">
        <v>1</v>
      </c>
      <c r="CJ82" s="3">
        <v>1</v>
      </c>
      <c r="CK82" s="3">
        <v>1</v>
      </c>
      <c r="CM82" s="3">
        <v>2</v>
      </c>
      <c r="CN82" s="3">
        <v>2</v>
      </c>
      <c r="CO82" s="3">
        <v>2</v>
      </c>
      <c r="CP82" s="3">
        <v>3</v>
      </c>
      <c r="CR82" s="3">
        <v>0.78600001335144043</v>
      </c>
      <c r="CS82" s="3">
        <v>3.872999906539917</v>
      </c>
      <c r="CT82" s="3">
        <v>3.3429999351501465</v>
      </c>
      <c r="CU82" s="3">
        <v>0.80000001192092896</v>
      </c>
    </row>
    <row r="83" spans="1:99" s="3" customFormat="1" x14ac:dyDescent="0.35">
      <c r="A83" s="2" t="s">
        <v>65</v>
      </c>
      <c r="B83" s="2">
        <v>10.166666666666666</v>
      </c>
      <c r="C83" s="2" t="s">
        <v>168</v>
      </c>
      <c r="D83" s="2" t="s">
        <v>403</v>
      </c>
      <c r="F83" s="3">
        <v>4.0149999999999997</v>
      </c>
      <c r="G83" s="3">
        <v>4.016</v>
      </c>
      <c r="H83" s="3">
        <v>4.016</v>
      </c>
      <c r="I83" s="3">
        <v>4.016</v>
      </c>
      <c r="K83" s="3">
        <v>3.7830000000000004</v>
      </c>
      <c r="L83" s="3">
        <v>4</v>
      </c>
      <c r="M83" s="3">
        <v>4</v>
      </c>
      <c r="N83" s="3">
        <v>3.9979999999999998</v>
      </c>
      <c r="P83" s="3">
        <v>3.0959993340075016</v>
      </c>
      <c r="Q83" s="3">
        <v>3.3169998954981565</v>
      </c>
      <c r="R83" s="3">
        <v>3.3000000640749931</v>
      </c>
      <c r="S83" s="3">
        <v>3.4800002817064524</v>
      </c>
      <c r="U83" s="3">
        <v>14</v>
      </c>
      <c r="V83" s="3">
        <v>9</v>
      </c>
      <c r="W83" s="3">
        <v>15</v>
      </c>
      <c r="X83" s="3">
        <v>12</v>
      </c>
      <c r="Z83" s="3">
        <v>4</v>
      </c>
      <c r="AA83" s="3">
        <v>4</v>
      </c>
      <c r="AB83" s="3">
        <v>3.9</v>
      </c>
      <c r="AC83" s="3">
        <v>3.8479999999999999</v>
      </c>
      <c r="AE83" s="3">
        <v>3.0959993340075016</v>
      </c>
      <c r="AF83" s="3">
        <v>3.3169998954981565</v>
      </c>
      <c r="AG83" s="3">
        <v>3.3000000640749931</v>
      </c>
      <c r="AH83" s="3">
        <v>3.4800002817064524</v>
      </c>
      <c r="AJ83" s="3">
        <v>14</v>
      </c>
      <c r="AK83" s="3">
        <v>9</v>
      </c>
      <c r="AL83" s="3">
        <v>15</v>
      </c>
      <c r="AM83" s="3">
        <v>12</v>
      </c>
      <c r="AO83" s="3">
        <v>1</v>
      </c>
      <c r="AP83" s="3">
        <v>1</v>
      </c>
      <c r="AQ83" s="3">
        <v>1</v>
      </c>
      <c r="AR83" s="3">
        <v>5</v>
      </c>
      <c r="AT83" s="3">
        <v>8.999999612569809E-3</v>
      </c>
      <c r="AU83" s="3">
        <v>1.4000000432133675E-2</v>
      </c>
      <c r="AV83" s="3">
        <v>0.10499999672174454</v>
      </c>
      <c r="AW83" s="3">
        <v>1.2000000104308128E-2</v>
      </c>
      <c r="AY83" s="3">
        <v>1.216999999999999</v>
      </c>
      <c r="AZ83" s="3">
        <v>2.3489999999999998</v>
      </c>
      <c r="BA83" s="3">
        <v>1.3979999999999999</v>
      </c>
      <c r="BB83" s="3">
        <v>0.93200000000000016</v>
      </c>
      <c r="BD83" s="3">
        <v>1.3310000598430634</v>
      </c>
      <c r="BE83" s="3">
        <v>2.4339998662471771</v>
      </c>
      <c r="BF83" s="3">
        <v>1.5680001080036163</v>
      </c>
      <c r="BG83" s="3">
        <v>0.99900004267692566</v>
      </c>
      <c r="BI83" s="3">
        <v>5</v>
      </c>
      <c r="BJ83" s="3">
        <v>6</v>
      </c>
      <c r="BK83" s="3">
        <v>7</v>
      </c>
      <c r="BL83" s="3">
        <v>4</v>
      </c>
      <c r="BN83" s="3">
        <v>12</v>
      </c>
      <c r="BO83" s="3">
        <v>10</v>
      </c>
      <c r="BP83" s="3">
        <v>10</v>
      </c>
      <c r="BQ83" s="3">
        <v>13</v>
      </c>
      <c r="BS83" s="3">
        <v>0.49300000071525574</v>
      </c>
      <c r="BT83" s="3">
        <v>0.49799999594688416</v>
      </c>
      <c r="BU83" s="3">
        <v>0.4050000011920929</v>
      </c>
      <c r="BV83" s="3">
        <v>0.460999995470047</v>
      </c>
      <c r="BX83" s="3">
        <v>0.33400000000000052</v>
      </c>
      <c r="BY83" s="3">
        <v>1.6000000000000014E-2</v>
      </c>
      <c r="BZ83" s="3">
        <v>0</v>
      </c>
      <c r="CA83" s="3">
        <v>0</v>
      </c>
      <c r="CC83" s="3">
        <v>0.5</v>
      </c>
      <c r="CD83" s="3">
        <v>0</v>
      </c>
      <c r="CE83" s="3">
        <v>0</v>
      </c>
      <c r="CF83" s="3">
        <v>0</v>
      </c>
      <c r="CH83" s="3">
        <v>2</v>
      </c>
      <c r="CI83" s="3">
        <v>0</v>
      </c>
      <c r="CJ83" s="3">
        <v>0</v>
      </c>
      <c r="CK83" s="3">
        <v>0</v>
      </c>
      <c r="CM83" s="3">
        <v>6</v>
      </c>
      <c r="CN83" s="3">
        <v>1</v>
      </c>
      <c r="CO83" s="3">
        <v>0</v>
      </c>
      <c r="CP83" s="3">
        <v>0</v>
      </c>
      <c r="CR83" s="3">
        <v>2.0590000152587891</v>
      </c>
      <c r="CS83" s="3">
        <v>4.016</v>
      </c>
      <c r="CT83" s="3">
        <v>4.016</v>
      </c>
      <c r="CU83" s="3">
        <v>4.016</v>
      </c>
    </row>
    <row r="84" spans="1:99" s="3" customFormat="1" x14ac:dyDescent="0.35">
      <c r="A84" s="2" t="s">
        <v>10</v>
      </c>
      <c r="B84" s="2">
        <v>10.5</v>
      </c>
      <c r="C84" s="2" t="s">
        <v>168</v>
      </c>
      <c r="D84" s="2" t="s">
        <v>403</v>
      </c>
      <c r="F84" s="3">
        <v>4.0039999999999996</v>
      </c>
      <c r="G84" s="3">
        <v>4.01</v>
      </c>
      <c r="H84" s="3">
        <v>4.0259999999999998</v>
      </c>
      <c r="I84" s="3">
        <v>4.01</v>
      </c>
      <c r="K84" s="3">
        <v>3.9820000000000002</v>
      </c>
      <c r="L84" s="3">
        <v>3.9830000000000001</v>
      </c>
      <c r="M84" s="3">
        <v>4.016</v>
      </c>
      <c r="N84" s="3">
        <v>3.9820000000000002</v>
      </c>
      <c r="P84" s="3">
        <v>3.8659997098147869</v>
      </c>
      <c r="Q84" s="3">
        <v>3.9499999145045877</v>
      </c>
      <c r="R84" s="3">
        <v>3.4639999051578343</v>
      </c>
      <c r="S84" s="3">
        <v>3.2000002078711987</v>
      </c>
      <c r="U84" s="3">
        <v>8</v>
      </c>
      <c r="V84" s="3">
        <v>3</v>
      </c>
      <c r="W84" s="3">
        <v>14</v>
      </c>
      <c r="X84" s="3">
        <v>12</v>
      </c>
      <c r="Z84" s="3">
        <v>3.9820000000000002</v>
      </c>
      <c r="AA84" s="3">
        <v>3.9830000000000001</v>
      </c>
      <c r="AB84" s="3">
        <v>4.016</v>
      </c>
      <c r="AC84" s="3">
        <v>2.7490000000000001</v>
      </c>
      <c r="AE84" s="3">
        <v>3.8659997098147869</v>
      </c>
      <c r="AF84" s="3">
        <v>3.9499999145045877</v>
      </c>
      <c r="AG84" s="3">
        <v>3.4639999051578343</v>
      </c>
      <c r="AH84" s="3">
        <v>2.334000151604414</v>
      </c>
      <c r="AJ84" s="3">
        <v>8</v>
      </c>
      <c r="AK84" s="3">
        <v>3</v>
      </c>
      <c r="AL84" s="3">
        <v>14</v>
      </c>
      <c r="AM84" s="3">
        <v>9</v>
      </c>
      <c r="AO84" s="3">
        <v>1</v>
      </c>
      <c r="AP84" s="3">
        <v>1</v>
      </c>
      <c r="AQ84" s="3">
        <v>1</v>
      </c>
      <c r="AR84" s="3">
        <v>5</v>
      </c>
      <c r="AT84" s="3">
        <v>1.3000000268220901E-2</v>
      </c>
      <c r="AU84" s="3">
        <v>1.4999999664723873E-2</v>
      </c>
      <c r="AV84" s="3">
        <v>4.0000001899898052E-3</v>
      </c>
      <c r="AW84" s="3">
        <v>1.3000000268220901E-2</v>
      </c>
      <c r="AY84" s="3">
        <v>3.1829999999999998</v>
      </c>
      <c r="AZ84" s="3">
        <v>3.9830000000000001</v>
      </c>
      <c r="BA84" s="3">
        <v>1.1999999999999997</v>
      </c>
      <c r="BB84" s="3">
        <v>1.5999999999999999</v>
      </c>
      <c r="BD84" s="3">
        <v>3.2159998118877411</v>
      </c>
      <c r="BE84" s="3">
        <v>3.9499999145045877</v>
      </c>
      <c r="BF84" s="3">
        <v>1.2319998145103455</v>
      </c>
      <c r="BG84" s="3">
        <v>1.6670001149177551</v>
      </c>
      <c r="BI84" s="3">
        <v>6</v>
      </c>
      <c r="BJ84" s="3">
        <v>3</v>
      </c>
      <c r="BK84" s="3">
        <v>4</v>
      </c>
      <c r="BL84" s="3">
        <v>6</v>
      </c>
      <c r="BN84" s="3">
        <v>2</v>
      </c>
      <c r="BO84" s="3">
        <v>1</v>
      </c>
      <c r="BP84" s="3">
        <v>4</v>
      </c>
      <c r="BQ84" s="3">
        <v>7</v>
      </c>
      <c r="BS84" s="3">
        <v>0.36300000548362732</v>
      </c>
      <c r="BT84" s="3">
        <v>1.4999999664723873E-2</v>
      </c>
      <c r="BU84" s="3">
        <v>0.37099999189376831</v>
      </c>
      <c r="BV84" s="3">
        <v>0.37900000810623169</v>
      </c>
      <c r="BX84" s="3">
        <v>0.16599999999999998</v>
      </c>
      <c r="BY84" s="3">
        <v>0</v>
      </c>
      <c r="BZ84" s="3">
        <v>0.41699999999999982</v>
      </c>
      <c r="CA84" s="3">
        <v>3.3000000000000002E-2</v>
      </c>
      <c r="CC84" s="3">
        <v>0</v>
      </c>
      <c r="CD84" s="3">
        <v>0</v>
      </c>
      <c r="CE84" s="3">
        <v>0.45000004768371582</v>
      </c>
      <c r="CF84" s="3">
        <v>0</v>
      </c>
      <c r="CH84" s="3">
        <v>0</v>
      </c>
      <c r="CI84" s="3">
        <v>0</v>
      </c>
      <c r="CJ84" s="3">
        <v>1</v>
      </c>
      <c r="CK84" s="3">
        <v>0</v>
      </c>
      <c r="CM84" s="3">
        <v>1</v>
      </c>
      <c r="CN84" s="3">
        <v>0</v>
      </c>
      <c r="CO84" s="3">
        <v>1</v>
      </c>
      <c r="CP84" s="3">
        <v>1</v>
      </c>
      <c r="CR84" s="3">
        <v>4.0039999999999996</v>
      </c>
      <c r="CS84" s="3">
        <v>4.01</v>
      </c>
      <c r="CT84" s="3">
        <v>2.4539999961853027</v>
      </c>
      <c r="CU84" s="3">
        <v>4.01</v>
      </c>
    </row>
    <row r="85" spans="1:99" s="3" customFormat="1" x14ac:dyDescent="0.35">
      <c r="A85" s="2" t="s">
        <v>79</v>
      </c>
      <c r="B85" s="2">
        <v>10.5</v>
      </c>
      <c r="C85" s="2" t="s">
        <v>168</v>
      </c>
      <c r="D85" s="2" t="s">
        <v>403</v>
      </c>
      <c r="F85" s="3">
        <v>4.01</v>
      </c>
      <c r="G85" s="3">
        <v>4.01</v>
      </c>
      <c r="H85" s="3">
        <v>4.0010000000000003</v>
      </c>
      <c r="I85" s="3">
        <v>4.0090000000000003</v>
      </c>
      <c r="K85" s="3">
        <v>3.9989999999999997</v>
      </c>
      <c r="L85" s="3">
        <v>3.9990000000000001</v>
      </c>
      <c r="M85" s="3">
        <v>3.9830000000000001</v>
      </c>
      <c r="N85" s="3">
        <v>3.8329999999999997</v>
      </c>
      <c r="P85" s="3">
        <v>2.3320004553534091</v>
      </c>
      <c r="Q85" s="3">
        <v>3.0999997556209564</v>
      </c>
      <c r="R85" s="3">
        <v>3.0999999383930117</v>
      </c>
      <c r="S85" s="3">
        <v>2.7490000538527966</v>
      </c>
      <c r="U85" s="3">
        <v>11</v>
      </c>
      <c r="V85" s="3">
        <v>11</v>
      </c>
      <c r="W85" s="3">
        <v>8</v>
      </c>
      <c r="X85" s="3">
        <v>14</v>
      </c>
      <c r="Z85" s="3">
        <v>3.0840000000000001</v>
      </c>
      <c r="AA85" s="3">
        <v>3.8819999999999997</v>
      </c>
      <c r="AB85" s="3">
        <v>3.016</v>
      </c>
      <c r="AC85" s="3">
        <v>3.6829999999999998</v>
      </c>
      <c r="AE85" s="3">
        <v>2.0160004496574402</v>
      </c>
      <c r="AF85" s="3">
        <v>3.0999997556209564</v>
      </c>
      <c r="AG85" s="3">
        <v>2.4999999403953552</v>
      </c>
      <c r="AH85" s="3">
        <v>2.7490000538527966</v>
      </c>
      <c r="AJ85" s="3">
        <v>10</v>
      </c>
      <c r="AK85" s="3">
        <v>11</v>
      </c>
      <c r="AL85" s="3">
        <v>6</v>
      </c>
      <c r="AM85" s="3">
        <v>14</v>
      </c>
      <c r="AO85" s="3">
        <v>8</v>
      </c>
      <c r="AP85" s="3">
        <v>3</v>
      </c>
      <c r="AQ85" s="3">
        <v>4</v>
      </c>
      <c r="AR85" s="3">
        <v>5</v>
      </c>
      <c r="AT85" s="3">
        <v>0.50300002098083496</v>
      </c>
      <c r="AU85" s="3">
        <v>0.22499999403953552</v>
      </c>
      <c r="AV85" s="3">
        <v>0.75199997425079346</v>
      </c>
      <c r="AW85" s="3">
        <v>1.3000000268220901E-2</v>
      </c>
      <c r="AY85" s="3">
        <v>0.91800000000000093</v>
      </c>
      <c r="AZ85" s="3">
        <v>0.83300000000000007</v>
      </c>
      <c r="BA85" s="3">
        <v>1.333</v>
      </c>
      <c r="BB85" s="3">
        <v>1.4</v>
      </c>
      <c r="BD85" s="3">
        <v>1.1830001473426819</v>
      </c>
      <c r="BE85" s="3">
        <v>0.6829998791217804</v>
      </c>
      <c r="BF85" s="3">
        <v>1.6499999761581421</v>
      </c>
      <c r="BG85" s="3">
        <v>1.4000000171363354</v>
      </c>
      <c r="BI85" s="3">
        <v>5</v>
      </c>
      <c r="BJ85" s="3">
        <v>2</v>
      </c>
      <c r="BK85" s="3">
        <v>3</v>
      </c>
      <c r="BL85" s="3">
        <v>6</v>
      </c>
      <c r="BN85" s="3">
        <v>17</v>
      </c>
      <c r="BO85" s="3">
        <v>3</v>
      </c>
      <c r="BP85" s="3">
        <v>4</v>
      </c>
      <c r="BQ85" s="3">
        <v>7</v>
      </c>
      <c r="BS85" s="3">
        <v>0.50300002098083496</v>
      </c>
      <c r="BT85" s="3">
        <v>0.22499999403953552</v>
      </c>
      <c r="BU85" s="3">
        <v>1.1189999580383301</v>
      </c>
      <c r="BV85" s="3">
        <v>1.3000000268220901E-2</v>
      </c>
      <c r="BX85" s="3">
        <v>0</v>
      </c>
      <c r="BY85" s="3">
        <v>0</v>
      </c>
      <c r="BZ85" s="3">
        <v>0</v>
      </c>
      <c r="CA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0</v>
      </c>
      <c r="CI85" s="3">
        <v>0</v>
      </c>
      <c r="CJ85" s="3">
        <v>0</v>
      </c>
      <c r="CK85" s="3">
        <v>0</v>
      </c>
      <c r="CM85" s="3">
        <v>0</v>
      </c>
      <c r="CN85" s="3">
        <v>0</v>
      </c>
      <c r="CO85" s="3">
        <v>1</v>
      </c>
      <c r="CP85" s="3">
        <v>0</v>
      </c>
      <c r="CR85" s="3">
        <v>4.01</v>
      </c>
      <c r="CS85" s="3">
        <v>4.01</v>
      </c>
      <c r="CT85" s="3">
        <v>4.0010000000000003</v>
      </c>
      <c r="CU85" s="3">
        <v>4.0090000000000003</v>
      </c>
    </row>
    <row r="86" spans="1:99" s="3" customFormat="1" x14ac:dyDescent="0.35">
      <c r="A86" s="2" t="s">
        <v>91</v>
      </c>
      <c r="B86" s="2">
        <v>10.75</v>
      </c>
      <c r="C86" s="2" t="s">
        <v>168</v>
      </c>
      <c r="D86" s="2" t="s">
        <v>403</v>
      </c>
      <c r="F86" s="3">
        <v>4.0149999999999997</v>
      </c>
      <c r="G86" s="3">
        <v>4.016</v>
      </c>
      <c r="H86" s="3">
        <v>4.016</v>
      </c>
      <c r="I86" s="3">
        <v>4.0469999999999997</v>
      </c>
      <c r="K86" s="3">
        <v>3.9990000000000001</v>
      </c>
      <c r="L86" s="3">
        <v>3.9989999999999997</v>
      </c>
      <c r="M86" s="3">
        <v>3.9989999999999997</v>
      </c>
      <c r="N86" s="3">
        <v>4.016</v>
      </c>
      <c r="P86" s="3">
        <v>3.9670000672340393</v>
      </c>
      <c r="Q86" s="3">
        <v>3.7650002101436257</v>
      </c>
      <c r="R86" s="3">
        <v>3.5340003781020641</v>
      </c>
      <c r="S86" s="3">
        <v>3.0650003235787153</v>
      </c>
      <c r="U86" s="3">
        <v>3</v>
      </c>
      <c r="V86" s="3">
        <v>11</v>
      </c>
      <c r="W86" s="3">
        <v>11</v>
      </c>
      <c r="X86" s="3">
        <v>12</v>
      </c>
      <c r="Z86" s="3">
        <v>3.9990000000000001</v>
      </c>
      <c r="AA86" s="3">
        <v>3.9489999999999998</v>
      </c>
      <c r="AB86" s="3">
        <v>3.9989999999999997</v>
      </c>
      <c r="AC86" s="3">
        <v>3.649</v>
      </c>
      <c r="AE86" s="3">
        <v>3.9670000672340393</v>
      </c>
      <c r="AF86" s="3">
        <v>3.7650002101436257</v>
      </c>
      <c r="AG86" s="3">
        <v>3.5340003781020641</v>
      </c>
      <c r="AH86" s="3">
        <v>3.0650003235787153</v>
      </c>
      <c r="AJ86" s="3">
        <v>3</v>
      </c>
      <c r="AK86" s="3">
        <v>11</v>
      </c>
      <c r="AL86" s="3">
        <v>11</v>
      </c>
      <c r="AM86" s="3">
        <v>12</v>
      </c>
      <c r="AO86" s="3">
        <v>1</v>
      </c>
      <c r="AP86" s="3">
        <v>2</v>
      </c>
      <c r="AQ86" s="3">
        <v>1</v>
      </c>
      <c r="AR86" s="3">
        <v>2</v>
      </c>
      <c r="AT86" s="3">
        <v>0</v>
      </c>
      <c r="AU86" s="3">
        <v>8.0000003799796104E-3</v>
      </c>
      <c r="AV86" s="3">
        <v>1.3000000268220901E-2</v>
      </c>
      <c r="AW86" s="3">
        <v>1.4000000432133675E-2</v>
      </c>
      <c r="AY86" s="3">
        <v>0</v>
      </c>
      <c r="AZ86" s="3">
        <v>0.41599999999999993</v>
      </c>
      <c r="BA86" s="3">
        <v>0.93299999999999983</v>
      </c>
      <c r="BB86" s="3">
        <v>0.66700000000000026</v>
      </c>
      <c r="BD86" s="3">
        <v>0</v>
      </c>
      <c r="BE86" s="3">
        <v>0.58299994468688965</v>
      </c>
      <c r="BF86" s="3">
        <v>1.0830000638961792</v>
      </c>
      <c r="BG86" s="3">
        <v>0.76600027084350586</v>
      </c>
      <c r="BI86" s="3">
        <v>0</v>
      </c>
      <c r="BJ86" s="3">
        <v>2</v>
      </c>
      <c r="BK86" s="3">
        <v>2</v>
      </c>
      <c r="BL86" s="3">
        <v>3</v>
      </c>
      <c r="BN86" s="3">
        <v>0</v>
      </c>
      <c r="BO86" s="3">
        <v>3</v>
      </c>
      <c r="BP86" s="3">
        <v>5</v>
      </c>
      <c r="BQ86" s="3">
        <v>1</v>
      </c>
      <c r="BS86" s="3">
        <v>4.0149999999999997</v>
      </c>
      <c r="BT86" s="3">
        <v>1.1749999523162842</v>
      </c>
      <c r="BU86" s="3">
        <v>1.5959999561309814</v>
      </c>
      <c r="BV86" s="3">
        <v>3.2300000190734863</v>
      </c>
      <c r="BX86" s="3">
        <v>0.59899999999999998</v>
      </c>
      <c r="BY86" s="3">
        <v>1.1169999999999995</v>
      </c>
      <c r="BZ86" s="3">
        <v>0.53300000000000003</v>
      </c>
      <c r="CA86" s="3">
        <v>0.51600000000000001</v>
      </c>
      <c r="CC86" s="3">
        <v>0.63300001621246338</v>
      </c>
      <c r="CD86" s="3">
        <v>1.0160001376643777</v>
      </c>
      <c r="CE86" s="3">
        <v>0.16699999570846558</v>
      </c>
      <c r="CF86" s="3">
        <v>0.64900007657706738</v>
      </c>
      <c r="CH86" s="3">
        <v>1</v>
      </c>
      <c r="CI86" s="3">
        <v>3</v>
      </c>
      <c r="CJ86" s="3">
        <v>1</v>
      </c>
      <c r="CK86" s="3">
        <v>2</v>
      </c>
      <c r="CM86" s="3">
        <v>1</v>
      </c>
      <c r="CN86" s="3">
        <v>4</v>
      </c>
      <c r="CO86" s="3">
        <v>3</v>
      </c>
      <c r="CP86" s="3">
        <v>3</v>
      </c>
      <c r="CR86" s="3">
        <v>0</v>
      </c>
      <c r="CS86" s="3">
        <v>8.0000003799796104E-3</v>
      </c>
      <c r="CT86" s="3">
        <v>0.81199997663497925</v>
      </c>
      <c r="CU86" s="3">
        <v>1.4000000432133675E-2</v>
      </c>
    </row>
    <row r="87" spans="1:99" s="3" customFormat="1" x14ac:dyDescent="0.35">
      <c r="A87" s="2" t="s">
        <v>44</v>
      </c>
      <c r="B87" s="2">
        <v>10.916666666666666</v>
      </c>
      <c r="C87" s="2" t="s">
        <v>167</v>
      </c>
      <c r="D87" s="2" t="s">
        <v>403</v>
      </c>
      <c r="F87" s="3">
        <v>4.0149999999999997</v>
      </c>
      <c r="G87" s="3">
        <v>4.0149999999999997</v>
      </c>
      <c r="H87" s="3">
        <v>4.016</v>
      </c>
      <c r="I87" s="3">
        <v>4.016</v>
      </c>
      <c r="K87" s="3">
        <v>3.9990000000000006</v>
      </c>
      <c r="L87" s="3">
        <v>3.9999999999999996</v>
      </c>
      <c r="M87" s="3">
        <v>3.9989999999999997</v>
      </c>
      <c r="N87" s="3">
        <v>3.9990000000000001</v>
      </c>
      <c r="P87" s="3">
        <v>3.5149999801069498</v>
      </c>
      <c r="Q87" s="3">
        <v>3.9000000944361091</v>
      </c>
      <c r="R87" s="3">
        <v>3.4170001111924648</v>
      </c>
      <c r="S87" s="3">
        <v>3.5309995748102665</v>
      </c>
      <c r="U87" s="3">
        <v>12</v>
      </c>
      <c r="V87" s="3">
        <v>7</v>
      </c>
      <c r="W87" s="3">
        <v>11</v>
      </c>
      <c r="X87" s="3">
        <v>10</v>
      </c>
      <c r="Z87" s="3">
        <v>3.9990000000000006</v>
      </c>
      <c r="AA87" s="3">
        <v>3.9999999999999996</v>
      </c>
      <c r="AB87" s="3">
        <v>3.7659999999999996</v>
      </c>
      <c r="AC87" s="3">
        <v>3.9990000000000001</v>
      </c>
      <c r="AE87" s="3">
        <v>3.5149999801069498</v>
      </c>
      <c r="AF87" s="3">
        <v>3.9000000944361091</v>
      </c>
      <c r="AG87" s="3">
        <v>3.2340001165866852</v>
      </c>
      <c r="AH87" s="3">
        <v>3.5309995748102665</v>
      </c>
      <c r="AJ87" s="3">
        <v>12</v>
      </c>
      <c r="AK87" s="3">
        <v>7</v>
      </c>
      <c r="AL87" s="3">
        <v>10</v>
      </c>
      <c r="AM87" s="3">
        <v>10</v>
      </c>
      <c r="AO87" s="3">
        <v>1</v>
      </c>
      <c r="AP87" s="3">
        <v>1</v>
      </c>
      <c r="AQ87" s="3">
        <v>2</v>
      </c>
      <c r="AR87" s="3">
        <v>1</v>
      </c>
      <c r="AT87" s="3">
        <v>2.7000000700354576E-2</v>
      </c>
      <c r="AU87" s="3">
        <v>7.0000002160668373E-3</v>
      </c>
      <c r="AV87" s="3">
        <v>0.2800000011920929</v>
      </c>
      <c r="AW87" s="3">
        <v>8.999999612569809E-3</v>
      </c>
      <c r="AY87" s="3">
        <v>0.19999999999999982</v>
      </c>
      <c r="AZ87" s="3">
        <v>0.88300000000000001</v>
      </c>
      <c r="BA87" s="3">
        <v>1.0659999999999998</v>
      </c>
      <c r="BB87" s="3">
        <v>0.8829999999999999</v>
      </c>
      <c r="BD87" s="3">
        <v>0.13299999572336674</v>
      </c>
      <c r="BE87" s="3">
        <v>1.1330000758171082</v>
      </c>
      <c r="BF87" s="3">
        <v>0.83399993181228638</v>
      </c>
      <c r="BG87" s="3">
        <v>0.58300003409385681</v>
      </c>
      <c r="BI87" s="3">
        <v>1</v>
      </c>
      <c r="BJ87" s="3">
        <v>2</v>
      </c>
      <c r="BK87" s="3">
        <v>3</v>
      </c>
      <c r="BL87" s="3">
        <v>1</v>
      </c>
      <c r="BN87" s="3">
        <v>2</v>
      </c>
      <c r="BO87" s="3">
        <v>2</v>
      </c>
      <c r="BP87" s="3">
        <v>4</v>
      </c>
      <c r="BQ87" s="3">
        <v>3</v>
      </c>
      <c r="BS87" s="3">
        <v>2.7000000700354576E-2</v>
      </c>
      <c r="BT87" s="3">
        <v>0.40700000524520874</v>
      </c>
      <c r="BU87" s="3">
        <v>0.81300002336502075</v>
      </c>
      <c r="BV87" s="3">
        <v>0.27599999308586121</v>
      </c>
      <c r="BX87" s="3">
        <v>0</v>
      </c>
      <c r="BY87" s="3">
        <v>1.7000000000000015E-2</v>
      </c>
      <c r="BZ87" s="3">
        <v>0</v>
      </c>
      <c r="CA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0</v>
      </c>
      <c r="CI87" s="3">
        <v>0</v>
      </c>
      <c r="CJ87" s="3">
        <v>0</v>
      </c>
      <c r="CK87" s="3">
        <v>0</v>
      </c>
      <c r="CM87" s="3">
        <v>0</v>
      </c>
      <c r="CN87" s="3">
        <v>2</v>
      </c>
      <c r="CO87" s="3">
        <v>0</v>
      </c>
      <c r="CP87" s="3">
        <v>0</v>
      </c>
      <c r="CR87" s="3">
        <v>4.0149999999999997</v>
      </c>
      <c r="CS87" s="3">
        <v>4.0149999999999997</v>
      </c>
      <c r="CT87" s="3">
        <v>4.016</v>
      </c>
      <c r="CU87" s="3">
        <v>4.016</v>
      </c>
    </row>
    <row r="88" spans="1:99" s="3" customFormat="1" x14ac:dyDescent="0.35">
      <c r="A88" s="2" t="s">
        <v>54</v>
      </c>
      <c r="B88" s="2">
        <v>10.916666666666666</v>
      </c>
      <c r="C88" s="2" t="s">
        <v>167</v>
      </c>
      <c r="D88" s="2" t="s">
        <v>403</v>
      </c>
      <c r="F88" s="3">
        <v>4.0019999999999998</v>
      </c>
      <c r="G88" s="3">
        <v>4.0140000000000002</v>
      </c>
      <c r="H88" s="3">
        <v>4.016</v>
      </c>
      <c r="I88" s="3">
        <v>4.0110000000000001</v>
      </c>
      <c r="K88" s="3">
        <v>3.9330000000000003</v>
      </c>
      <c r="L88" s="3">
        <v>3.9819999999999998</v>
      </c>
      <c r="M88" s="3">
        <v>4</v>
      </c>
      <c r="N88" s="3">
        <v>3.8320000000000003</v>
      </c>
      <c r="P88" s="3">
        <v>3.7020000172778964</v>
      </c>
      <c r="Q88" s="3">
        <v>3.2839995920658112</v>
      </c>
      <c r="R88" s="3">
        <v>3.6840003039687872</v>
      </c>
      <c r="S88" s="3">
        <v>3.6320001985877752</v>
      </c>
      <c r="U88" s="3">
        <v>10</v>
      </c>
      <c r="V88" s="3">
        <v>12</v>
      </c>
      <c r="W88" s="3">
        <v>11</v>
      </c>
      <c r="X88" s="3">
        <v>13</v>
      </c>
      <c r="Z88" s="3">
        <v>3.9330000000000003</v>
      </c>
      <c r="AA88" s="3">
        <v>3.3490000000000002</v>
      </c>
      <c r="AB88" s="3">
        <v>3.4179999999999997</v>
      </c>
      <c r="AC88" s="3">
        <v>3.8320000000000003</v>
      </c>
      <c r="AE88" s="3">
        <v>3.7020000172778964</v>
      </c>
      <c r="AF88" s="3">
        <v>2.9009996950626373</v>
      </c>
      <c r="AG88" s="3">
        <v>3.3000002410262823</v>
      </c>
      <c r="AH88" s="3">
        <v>3.6320001985877752</v>
      </c>
      <c r="AJ88" s="3">
        <v>10</v>
      </c>
      <c r="AK88" s="3">
        <v>10</v>
      </c>
      <c r="AL88" s="3">
        <v>10</v>
      </c>
      <c r="AM88" s="3">
        <v>13</v>
      </c>
      <c r="AO88" s="3">
        <v>1</v>
      </c>
      <c r="AP88" s="3">
        <v>3</v>
      </c>
      <c r="AQ88" s="3">
        <v>4</v>
      </c>
      <c r="AR88" s="3">
        <v>1</v>
      </c>
      <c r="AT88" s="3">
        <v>4.999999888241291E-3</v>
      </c>
      <c r="AU88" s="3">
        <v>0.25299999117851257</v>
      </c>
      <c r="AV88" s="3">
        <v>9.9999997764825821E-3</v>
      </c>
      <c r="AW88" s="3">
        <v>9.9999997764825821E-3</v>
      </c>
      <c r="AY88" s="3">
        <v>0.24999999999999978</v>
      </c>
      <c r="AZ88" s="3">
        <v>4.9999999999999822E-2</v>
      </c>
      <c r="BA88" s="3">
        <v>0</v>
      </c>
      <c r="BB88" s="3">
        <v>0.50000000000000044</v>
      </c>
      <c r="BD88" s="3">
        <v>0</v>
      </c>
      <c r="BE88" s="3">
        <v>0</v>
      </c>
      <c r="BF88" s="3">
        <v>0</v>
      </c>
      <c r="BG88" s="3">
        <v>0.4160001277923584</v>
      </c>
      <c r="BI88" s="3">
        <v>0</v>
      </c>
      <c r="BJ88" s="3">
        <v>0</v>
      </c>
      <c r="BK88" s="3">
        <v>0</v>
      </c>
      <c r="BL88" s="3">
        <v>2</v>
      </c>
      <c r="BN88" s="3">
        <v>1</v>
      </c>
      <c r="BO88" s="3">
        <v>2</v>
      </c>
      <c r="BP88" s="3">
        <v>0</v>
      </c>
      <c r="BQ88" s="3">
        <v>3</v>
      </c>
      <c r="BS88" s="3">
        <v>4.0019999999999998</v>
      </c>
      <c r="BT88" s="3">
        <v>4.0140000000000002</v>
      </c>
      <c r="BU88" s="3">
        <v>4.016</v>
      </c>
      <c r="BV88" s="3">
        <v>0.67599999904632568</v>
      </c>
      <c r="BX88" s="3">
        <v>0.44999999999999996</v>
      </c>
      <c r="BY88" s="3">
        <v>0.18299999999999983</v>
      </c>
      <c r="BZ88" s="3">
        <v>1.7000000000000348E-2</v>
      </c>
      <c r="CA88" s="3">
        <v>8.2999999999999963E-2</v>
      </c>
      <c r="CC88" s="3">
        <v>0.84999995958060026</v>
      </c>
      <c r="CD88" s="3">
        <v>0</v>
      </c>
      <c r="CE88" s="3">
        <v>0</v>
      </c>
      <c r="CF88" s="3">
        <v>0.11600005626678467</v>
      </c>
      <c r="CH88" s="3">
        <v>2</v>
      </c>
      <c r="CI88" s="3">
        <v>0</v>
      </c>
      <c r="CJ88" s="3">
        <v>0</v>
      </c>
      <c r="CK88" s="3">
        <v>1</v>
      </c>
      <c r="CM88" s="3">
        <v>2</v>
      </c>
      <c r="CN88" s="3">
        <v>1</v>
      </c>
      <c r="CO88" s="3">
        <v>1</v>
      </c>
      <c r="CP88" s="3">
        <v>1</v>
      </c>
      <c r="CR88" s="3">
        <v>4.999999888241291E-3</v>
      </c>
      <c r="CS88" s="3">
        <v>4.0140000000000002</v>
      </c>
      <c r="CT88" s="3">
        <v>4.016</v>
      </c>
      <c r="CU88" s="3">
        <v>1.1599999666213989</v>
      </c>
    </row>
    <row r="89" spans="1:99" s="3" customFormat="1" x14ac:dyDescent="0.35">
      <c r="A89" s="2" t="s">
        <v>9</v>
      </c>
      <c r="B89" s="2">
        <v>11.083333333333334</v>
      </c>
      <c r="C89" s="2" t="s">
        <v>168</v>
      </c>
      <c r="D89" s="2" t="s">
        <v>403</v>
      </c>
      <c r="F89" s="3">
        <v>4.0149999999999997</v>
      </c>
      <c r="G89" s="3">
        <v>4.0149999999999997</v>
      </c>
      <c r="H89" s="3">
        <v>4.01</v>
      </c>
      <c r="I89" s="11" t="e">
        <v>#N/A</v>
      </c>
      <c r="K89" s="3">
        <v>3.9989999999999997</v>
      </c>
      <c r="L89" s="3">
        <v>3.9990000000000001</v>
      </c>
      <c r="M89" s="3">
        <v>3.7490000000000006</v>
      </c>
      <c r="N89" s="11" t="e">
        <v>#N/A</v>
      </c>
      <c r="P89" s="3">
        <v>3.6509997919201851</v>
      </c>
      <c r="Q89" s="3">
        <v>3.4310002624988556</v>
      </c>
      <c r="R89" s="3">
        <v>3.3319998383522034</v>
      </c>
      <c r="S89" s="11" t="e">
        <v>#N/A</v>
      </c>
      <c r="U89" s="3">
        <v>9</v>
      </c>
      <c r="V89" s="3">
        <v>9</v>
      </c>
      <c r="W89" s="3">
        <v>10</v>
      </c>
      <c r="X89" s="11" t="e">
        <v>#N/A</v>
      </c>
      <c r="Z89" s="3">
        <v>3.8159999999999998</v>
      </c>
      <c r="AA89" s="3">
        <v>3.9990000000000001</v>
      </c>
      <c r="AB89" s="3">
        <v>3.7490000000000006</v>
      </c>
      <c r="AC89" s="11" t="e">
        <v>#N/A</v>
      </c>
      <c r="AE89" s="3">
        <v>3.6509997919201851</v>
      </c>
      <c r="AF89" s="3">
        <v>3.4310002624988556</v>
      </c>
      <c r="AG89" s="3">
        <v>3.3319998383522034</v>
      </c>
      <c r="AH89" s="11" t="e">
        <v>#N/A</v>
      </c>
      <c r="AJ89" s="3">
        <v>9</v>
      </c>
      <c r="AK89" s="3">
        <v>9</v>
      </c>
      <c r="AL89" s="3">
        <v>10</v>
      </c>
      <c r="AM89" s="11" t="e">
        <v>#N/A</v>
      </c>
      <c r="AO89" s="3">
        <v>2</v>
      </c>
      <c r="AP89" s="3">
        <v>1</v>
      </c>
      <c r="AQ89" s="3">
        <v>1</v>
      </c>
      <c r="AR89" s="11" t="e">
        <v>#N/A</v>
      </c>
      <c r="AT89" s="3">
        <v>1.0999999940395355E-2</v>
      </c>
      <c r="AU89" s="3">
        <v>0</v>
      </c>
      <c r="AV89" s="3">
        <v>0.25200000405311584</v>
      </c>
      <c r="AW89" s="11" t="e">
        <v>#N/A</v>
      </c>
      <c r="AY89" s="3">
        <v>0.23299999999999998</v>
      </c>
      <c r="AZ89" s="3">
        <v>0.21699999999999997</v>
      </c>
      <c r="BA89" s="3">
        <v>4.9000000000000377E-2</v>
      </c>
      <c r="BB89" s="11" t="e">
        <v>#N/A</v>
      </c>
      <c r="BD89" s="3">
        <v>0</v>
      </c>
      <c r="BE89" s="3">
        <v>0.49900001287460327</v>
      </c>
      <c r="BF89" s="3">
        <v>0</v>
      </c>
      <c r="BG89" s="11" t="e">
        <v>#N/A</v>
      </c>
      <c r="BI89" s="3">
        <v>0</v>
      </c>
      <c r="BJ89" s="3">
        <v>2</v>
      </c>
      <c r="BK89" s="3">
        <v>0</v>
      </c>
      <c r="BL89" s="11" t="e">
        <v>#N/A</v>
      </c>
      <c r="BN89" s="3">
        <v>2</v>
      </c>
      <c r="BO89" s="3">
        <v>2</v>
      </c>
      <c r="BP89" s="3">
        <v>3</v>
      </c>
      <c r="BQ89" s="11" t="e">
        <v>#N/A</v>
      </c>
      <c r="BS89" s="3">
        <v>4.0149999999999997</v>
      </c>
      <c r="BT89" s="3">
        <v>0.44999998807907104</v>
      </c>
      <c r="BU89" s="3">
        <v>4.01</v>
      </c>
      <c r="BV89" s="11" t="e">
        <v>#N/A</v>
      </c>
      <c r="BX89" s="3">
        <v>0.95099999999999985</v>
      </c>
      <c r="BY89" s="3">
        <v>2.1160000000000001</v>
      </c>
      <c r="BZ89" s="3">
        <v>0.78400000000000036</v>
      </c>
      <c r="CA89" s="11" t="e">
        <v>#N/A</v>
      </c>
      <c r="CC89" s="3">
        <v>1.1349999904632568</v>
      </c>
      <c r="CD89" s="3">
        <v>2.1490001976490021</v>
      </c>
      <c r="CE89" s="3">
        <v>0.83299994468688965</v>
      </c>
      <c r="CF89" s="11" t="e">
        <v>#N/A</v>
      </c>
      <c r="CH89" s="3">
        <v>4</v>
      </c>
      <c r="CI89" s="3">
        <v>6</v>
      </c>
      <c r="CJ89" s="3">
        <v>2</v>
      </c>
      <c r="CK89" s="11" t="e">
        <v>#N/A</v>
      </c>
      <c r="CM89" s="3">
        <v>4</v>
      </c>
      <c r="CN89" s="3">
        <v>4</v>
      </c>
      <c r="CO89" s="3">
        <v>2</v>
      </c>
      <c r="CP89" s="11" t="e">
        <v>#N/A</v>
      </c>
      <c r="CR89" s="3">
        <v>0.86000001430511475</v>
      </c>
      <c r="CS89" s="3">
        <v>0</v>
      </c>
      <c r="CT89" s="3">
        <v>2.0680000782012939</v>
      </c>
      <c r="CU89" s="11" t="e">
        <v>#N/A</v>
      </c>
    </row>
    <row r="90" spans="1:99" s="3" customFormat="1" x14ac:dyDescent="0.35">
      <c r="A90" s="2" t="s">
        <v>67</v>
      </c>
      <c r="B90" s="2">
        <v>11.083333333333334</v>
      </c>
      <c r="C90" s="2" t="s">
        <v>167</v>
      </c>
      <c r="D90" s="2" t="s">
        <v>403</v>
      </c>
      <c r="F90" s="3">
        <v>4.0149999999999997</v>
      </c>
      <c r="G90" s="3">
        <v>4.016</v>
      </c>
      <c r="H90" s="3">
        <v>4.01</v>
      </c>
      <c r="I90" s="3">
        <v>4.0149999999999997</v>
      </c>
      <c r="K90" s="3">
        <v>3.9989999999999997</v>
      </c>
      <c r="L90" s="3">
        <v>3.9989999999999997</v>
      </c>
      <c r="M90" s="3">
        <v>3.9820000000000002</v>
      </c>
      <c r="N90" s="3">
        <v>4</v>
      </c>
      <c r="P90" s="3">
        <v>3.8660006476566195</v>
      </c>
      <c r="Q90" s="3">
        <v>3.9159999648109078</v>
      </c>
      <c r="R90" s="3">
        <v>3.8480000477284193</v>
      </c>
      <c r="S90" s="3">
        <v>3.8489996902644634</v>
      </c>
      <c r="U90" s="3">
        <v>9</v>
      </c>
      <c r="V90" s="3">
        <v>6</v>
      </c>
      <c r="W90" s="3">
        <v>9</v>
      </c>
      <c r="X90" s="3">
        <v>10</v>
      </c>
      <c r="Z90" s="3">
        <v>3.9989999999999997</v>
      </c>
      <c r="AA90" s="3">
        <v>3.9989999999999997</v>
      </c>
      <c r="AB90" s="3">
        <v>3.9820000000000002</v>
      </c>
      <c r="AC90" s="3">
        <v>4</v>
      </c>
      <c r="AE90" s="3">
        <v>3.8660006476566195</v>
      </c>
      <c r="AF90" s="3">
        <v>3.9159999648109078</v>
      </c>
      <c r="AG90" s="3">
        <v>3.8480000477284193</v>
      </c>
      <c r="AH90" s="3">
        <v>3.8489996902644634</v>
      </c>
      <c r="AJ90" s="3">
        <v>9</v>
      </c>
      <c r="AK90" s="3">
        <v>6</v>
      </c>
      <c r="AL90" s="3">
        <v>9</v>
      </c>
      <c r="AM90" s="3">
        <v>10</v>
      </c>
      <c r="AO90" s="3">
        <v>1</v>
      </c>
      <c r="AP90" s="3">
        <v>1</v>
      </c>
      <c r="AQ90" s="3">
        <v>1</v>
      </c>
      <c r="AR90" s="3">
        <v>1</v>
      </c>
      <c r="AT90" s="3">
        <v>4.999999888241291E-3</v>
      </c>
      <c r="AU90" s="3">
        <v>8.0000003799796104E-3</v>
      </c>
      <c r="AV90" s="3">
        <v>1.4000000432133675E-2</v>
      </c>
      <c r="AW90" s="3">
        <v>1.3000000268220901E-2</v>
      </c>
      <c r="AY90" s="3">
        <v>1.8839999999999992</v>
      </c>
      <c r="AZ90" s="3">
        <v>1.6660000000000001</v>
      </c>
      <c r="BA90" s="3">
        <v>2.4170000000000003</v>
      </c>
      <c r="BB90" s="3">
        <v>1.4660000000000004</v>
      </c>
      <c r="BD90" s="3">
        <v>2.184000551700592</v>
      </c>
      <c r="BE90" s="3">
        <v>1.4830000400543213</v>
      </c>
      <c r="BF90" s="3">
        <v>2.3829999566078186</v>
      </c>
      <c r="BG90" s="3">
        <v>1.2339999675750732</v>
      </c>
      <c r="BI90" s="3">
        <v>6</v>
      </c>
      <c r="BJ90" s="3">
        <v>3</v>
      </c>
      <c r="BK90" s="3">
        <v>5</v>
      </c>
      <c r="BL90" s="3">
        <v>4</v>
      </c>
      <c r="BN90" s="3">
        <v>3</v>
      </c>
      <c r="BO90" s="3">
        <v>3</v>
      </c>
      <c r="BP90" s="3">
        <v>2</v>
      </c>
      <c r="BQ90" s="3">
        <v>3</v>
      </c>
      <c r="BS90" s="3">
        <v>0.70499998331069946</v>
      </c>
      <c r="BT90" s="3">
        <v>2.4900000095367432</v>
      </c>
      <c r="BU90" s="3">
        <v>0.61299997568130493</v>
      </c>
      <c r="BV90" s="3">
        <v>1.7130000591278076</v>
      </c>
      <c r="BX90" s="3">
        <v>0.24900000000000011</v>
      </c>
      <c r="BY90" s="3">
        <v>0.23399999999999999</v>
      </c>
      <c r="BZ90" s="3">
        <v>0.28300000000000014</v>
      </c>
      <c r="CA90" s="3">
        <v>0.43299999999999961</v>
      </c>
      <c r="CC90" s="3">
        <v>0</v>
      </c>
      <c r="CD90" s="3">
        <v>0</v>
      </c>
      <c r="CE90" s="3">
        <v>0</v>
      </c>
      <c r="CF90" s="3">
        <v>0</v>
      </c>
      <c r="CH90" s="3">
        <v>0</v>
      </c>
      <c r="CI90" s="3">
        <v>0</v>
      </c>
      <c r="CJ90" s="3">
        <v>0</v>
      </c>
      <c r="CK90" s="3">
        <v>0</v>
      </c>
      <c r="CM90" s="3">
        <v>1</v>
      </c>
      <c r="CN90" s="3">
        <v>1</v>
      </c>
      <c r="CO90" s="3">
        <v>1</v>
      </c>
      <c r="CP90" s="3">
        <v>2</v>
      </c>
      <c r="CR90" s="3">
        <v>4.0149999999999997</v>
      </c>
      <c r="CS90" s="3">
        <v>4.016</v>
      </c>
      <c r="CT90" s="3">
        <v>4.01</v>
      </c>
      <c r="CU90" s="3">
        <v>4.0149999999999997</v>
      </c>
    </row>
    <row r="91" spans="1:99" s="3" customFormat="1" x14ac:dyDescent="0.35">
      <c r="A91" s="2" t="s">
        <v>73</v>
      </c>
      <c r="B91" s="2">
        <v>11.333333333333334</v>
      </c>
      <c r="C91" s="2" t="s">
        <v>167</v>
      </c>
      <c r="D91" s="2" t="s">
        <v>403</v>
      </c>
      <c r="F91" s="3">
        <v>4.0110000000000001</v>
      </c>
      <c r="G91" s="3">
        <v>4.01</v>
      </c>
      <c r="H91" s="3">
        <v>3.9849999999999999</v>
      </c>
      <c r="I91" s="3">
        <v>4.01</v>
      </c>
      <c r="K91" s="3">
        <v>3.9820000000000002</v>
      </c>
      <c r="L91" s="3">
        <v>3.4649999999999999</v>
      </c>
      <c r="M91" s="3">
        <v>3.9490000000000003</v>
      </c>
      <c r="N91" s="3">
        <v>3.7320000000000002</v>
      </c>
      <c r="P91" s="3">
        <v>3.716999975964427</v>
      </c>
      <c r="Q91" s="3">
        <v>1.981000155210495</v>
      </c>
      <c r="R91" s="3">
        <v>2.9500000178813934</v>
      </c>
      <c r="S91" s="3">
        <v>2.8969999477267265</v>
      </c>
      <c r="U91" s="3">
        <v>12</v>
      </c>
      <c r="V91" s="3">
        <v>7</v>
      </c>
      <c r="W91" s="3">
        <v>11</v>
      </c>
      <c r="X91" s="3">
        <v>13</v>
      </c>
      <c r="Z91" s="3">
        <v>3.9820000000000002</v>
      </c>
      <c r="AA91" s="3">
        <v>3.282</v>
      </c>
      <c r="AB91" s="3">
        <v>3.9490000000000003</v>
      </c>
      <c r="AC91" s="3">
        <v>3.7320000000000002</v>
      </c>
      <c r="AE91" s="3">
        <v>3.716999975964427</v>
      </c>
      <c r="AF91" s="3">
        <v>1.981000155210495</v>
      </c>
      <c r="AG91" s="3">
        <v>2.9500000178813934</v>
      </c>
      <c r="AH91" s="3">
        <v>2.8969999477267265</v>
      </c>
      <c r="AJ91" s="3">
        <v>12</v>
      </c>
      <c r="AK91" s="3">
        <v>7</v>
      </c>
      <c r="AL91" s="3">
        <v>11</v>
      </c>
      <c r="AM91" s="3">
        <v>13</v>
      </c>
      <c r="AO91" s="3">
        <v>1</v>
      </c>
      <c r="AP91" s="3">
        <v>2</v>
      </c>
      <c r="AQ91" s="3">
        <v>1</v>
      </c>
      <c r="AR91" s="3">
        <v>1</v>
      </c>
      <c r="AT91" s="3">
        <v>1.4000000432133675E-2</v>
      </c>
      <c r="AU91" s="3">
        <v>0.40099999308586121</v>
      </c>
      <c r="AV91" s="3">
        <v>0.20800000429153442</v>
      </c>
      <c r="AW91" s="3">
        <v>9.7999997437000275E-2</v>
      </c>
      <c r="AY91" s="3">
        <v>2.5190000000000001</v>
      </c>
      <c r="AZ91" s="3">
        <v>0.64900000000000002</v>
      </c>
      <c r="BA91" s="3">
        <v>1.9819999999999998</v>
      </c>
      <c r="BB91" s="3">
        <v>1.7499999999999993</v>
      </c>
      <c r="BD91" s="3">
        <v>2.3849997222423553</v>
      </c>
      <c r="BE91" s="3">
        <v>0.49899998307228088</v>
      </c>
      <c r="BF91" s="3">
        <v>1.6500000059604645</v>
      </c>
      <c r="BG91" s="3">
        <v>2.1150000393390656</v>
      </c>
      <c r="BI91" s="3">
        <v>7</v>
      </c>
      <c r="BJ91" s="3">
        <v>1</v>
      </c>
      <c r="BK91" s="3">
        <v>5</v>
      </c>
      <c r="BL91" s="3">
        <v>9</v>
      </c>
      <c r="BN91" s="3">
        <v>9</v>
      </c>
      <c r="BO91" s="3">
        <v>5</v>
      </c>
      <c r="BP91" s="3">
        <v>10</v>
      </c>
      <c r="BQ91" s="3">
        <v>14</v>
      </c>
      <c r="BS91" s="3">
        <v>0.44699999690055847</v>
      </c>
      <c r="BT91" s="3">
        <v>0.40099999308586121</v>
      </c>
      <c r="BU91" s="3">
        <v>0.34099999070167542</v>
      </c>
      <c r="BV91" s="3">
        <v>0.414000004529953</v>
      </c>
      <c r="BX91" s="3">
        <v>0.20000000000000018</v>
      </c>
      <c r="BY91" s="3">
        <v>0.76499999999999946</v>
      </c>
      <c r="BZ91" s="3">
        <v>0.30000000000000004</v>
      </c>
      <c r="CA91" s="3">
        <v>0</v>
      </c>
      <c r="CC91" s="3">
        <v>0.15000009536743164</v>
      </c>
      <c r="CD91" s="3">
        <v>0.96500003337860107</v>
      </c>
      <c r="CE91" s="3">
        <v>0.33299994468688965</v>
      </c>
      <c r="CF91" s="3">
        <v>0</v>
      </c>
      <c r="CH91" s="3">
        <v>1</v>
      </c>
      <c r="CI91" s="3">
        <v>3</v>
      </c>
      <c r="CJ91" s="3">
        <v>1</v>
      </c>
      <c r="CK91" s="3">
        <v>0</v>
      </c>
      <c r="CM91" s="3">
        <v>2</v>
      </c>
      <c r="CN91" s="3">
        <v>3</v>
      </c>
      <c r="CO91" s="3">
        <v>1</v>
      </c>
      <c r="CP91" s="3">
        <v>3</v>
      </c>
      <c r="CR91" s="3">
        <v>2.496999979019165</v>
      </c>
      <c r="CS91" s="3">
        <v>1.0839999914169312</v>
      </c>
      <c r="CT91" s="3">
        <v>1.5410000085830688</v>
      </c>
      <c r="CU91" s="3">
        <v>4.01</v>
      </c>
    </row>
    <row r="92" spans="1:99" s="3" customFormat="1" x14ac:dyDescent="0.35">
      <c r="A92" s="2" t="s">
        <v>31</v>
      </c>
      <c r="B92" s="2">
        <v>11.5</v>
      </c>
      <c r="C92" s="2" t="s">
        <v>167</v>
      </c>
      <c r="D92" s="2" t="s">
        <v>403</v>
      </c>
      <c r="F92" s="3">
        <v>4.01</v>
      </c>
      <c r="G92" s="3">
        <v>4.0110000000000001</v>
      </c>
      <c r="H92" s="3">
        <v>4.0110000000000001</v>
      </c>
      <c r="I92" s="3">
        <v>4.0110000000000001</v>
      </c>
      <c r="K92" s="3">
        <v>3.9820000000000002</v>
      </c>
      <c r="L92" s="3">
        <v>3.9329999999999998</v>
      </c>
      <c r="M92" s="3">
        <v>3.9990000000000001</v>
      </c>
      <c r="N92" s="3">
        <v>3.9990000000000001</v>
      </c>
      <c r="P92" s="3">
        <v>3.5319997482001781</v>
      </c>
      <c r="Q92" s="3">
        <v>3.3799994513392448</v>
      </c>
      <c r="R92" s="3">
        <v>3.8149997373111546</v>
      </c>
      <c r="S92" s="3">
        <v>3.8179997076513246</v>
      </c>
      <c r="U92" s="3">
        <v>9</v>
      </c>
      <c r="V92" s="3">
        <v>15</v>
      </c>
      <c r="W92" s="3">
        <v>12</v>
      </c>
      <c r="X92" s="3">
        <v>12</v>
      </c>
      <c r="Z92" s="3">
        <v>3.9820000000000002</v>
      </c>
      <c r="AA92" s="3">
        <v>3.9329999999999998</v>
      </c>
      <c r="AB92" s="3">
        <v>3.9990000000000001</v>
      </c>
      <c r="AC92" s="3">
        <v>3.8820000000000001</v>
      </c>
      <c r="AE92" s="3">
        <v>3.5319997482001781</v>
      </c>
      <c r="AF92" s="3">
        <v>3.3799994513392448</v>
      </c>
      <c r="AG92" s="3">
        <v>3.8149997373111546</v>
      </c>
      <c r="AH92" s="3">
        <v>3.8179997076513246</v>
      </c>
      <c r="AJ92" s="3">
        <v>9</v>
      </c>
      <c r="AK92" s="3">
        <v>15</v>
      </c>
      <c r="AL92" s="3">
        <v>12</v>
      </c>
      <c r="AM92" s="3">
        <v>12</v>
      </c>
      <c r="AO92" s="3">
        <v>1</v>
      </c>
      <c r="AP92" s="3">
        <v>1</v>
      </c>
      <c r="AQ92" s="3">
        <v>1</v>
      </c>
      <c r="AR92" s="3">
        <v>2</v>
      </c>
      <c r="AT92" s="3">
        <v>1.3000000268220901E-2</v>
      </c>
      <c r="AU92" s="3">
        <v>6.8999998271465302E-2</v>
      </c>
      <c r="AV92" s="3">
        <v>4.0000001899898052E-3</v>
      </c>
      <c r="AW92" s="3">
        <v>1.0000000474974513E-3</v>
      </c>
      <c r="AY92" s="3">
        <v>2.9159999999999995</v>
      </c>
      <c r="AZ92" s="3">
        <v>2.9659999999999997</v>
      </c>
      <c r="BA92" s="3">
        <v>3.5670000000000002</v>
      </c>
      <c r="BB92" s="3">
        <v>1.65</v>
      </c>
      <c r="BD92" s="3">
        <v>2.8829997777938843</v>
      </c>
      <c r="BE92" s="3">
        <v>2.3649992495775223</v>
      </c>
      <c r="BF92" s="3">
        <v>3.3819997310638428</v>
      </c>
      <c r="BG92" s="3">
        <v>1.501999706029892</v>
      </c>
      <c r="BI92" s="3">
        <v>7</v>
      </c>
      <c r="BJ92" s="3">
        <v>10</v>
      </c>
      <c r="BK92" s="3">
        <v>11</v>
      </c>
      <c r="BL92" s="3">
        <v>6</v>
      </c>
      <c r="BN92" s="3">
        <v>4</v>
      </c>
      <c r="BO92" s="3">
        <v>3</v>
      </c>
      <c r="BP92" s="3">
        <v>2</v>
      </c>
      <c r="BQ92" s="3">
        <v>2</v>
      </c>
      <c r="BS92" s="3">
        <v>0.46299999952316284</v>
      </c>
      <c r="BT92" s="3">
        <v>0.18600000441074371</v>
      </c>
      <c r="BU92" s="3">
        <v>0.45399999618530273</v>
      </c>
      <c r="BV92" s="3">
        <v>0.41800001263618469</v>
      </c>
      <c r="BX92" s="3">
        <v>6.6000000000000281E-2</v>
      </c>
      <c r="BY92" s="3">
        <v>0.13400000000000004</v>
      </c>
      <c r="BZ92" s="3">
        <v>0</v>
      </c>
      <c r="CA92" s="3">
        <v>0.39999999999999991</v>
      </c>
      <c r="CC92" s="3">
        <v>0</v>
      </c>
      <c r="CD92" s="3">
        <v>0.10000000149011612</v>
      </c>
      <c r="CE92" s="3">
        <v>0</v>
      </c>
      <c r="CF92" s="3">
        <v>0.43299984931945801</v>
      </c>
      <c r="CH92" s="3">
        <v>0</v>
      </c>
      <c r="CI92" s="3">
        <v>1</v>
      </c>
      <c r="CJ92" s="3">
        <v>0</v>
      </c>
      <c r="CK92" s="3">
        <v>1</v>
      </c>
      <c r="CM92" s="3">
        <v>1</v>
      </c>
      <c r="CN92" s="3">
        <v>2</v>
      </c>
      <c r="CO92" s="3">
        <v>0</v>
      </c>
      <c r="CP92" s="3">
        <v>1</v>
      </c>
      <c r="CR92" s="3">
        <v>4.01</v>
      </c>
      <c r="CS92" s="3">
        <v>6.8999998271465302E-2</v>
      </c>
      <c r="CT92" s="3">
        <v>4.0110000000000001</v>
      </c>
      <c r="CU92" s="3">
        <v>2.1170001029968262</v>
      </c>
    </row>
    <row r="93" spans="1:99" s="3" customFormat="1" x14ac:dyDescent="0.35">
      <c r="A93" s="2" t="s">
        <v>64</v>
      </c>
      <c r="B93" s="2">
        <v>12</v>
      </c>
      <c r="C93" s="2" t="s">
        <v>167</v>
      </c>
      <c r="D93" s="2" t="s">
        <v>403</v>
      </c>
      <c r="F93" s="3">
        <v>4.016</v>
      </c>
      <c r="G93" s="3">
        <v>4.016</v>
      </c>
      <c r="H93" s="3">
        <v>4.0309999999999997</v>
      </c>
      <c r="I93" s="3">
        <v>4.0110000000000001</v>
      </c>
      <c r="K93" s="3">
        <v>4</v>
      </c>
      <c r="L93" s="3">
        <v>3.9990000000000001</v>
      </c>
      <c r="M93" s="3">
        <v>4.016</v>
      </c>
      <c r="N93" s="3">
        <v>3.9990000000000001</v>
      </c>
      <c r="P93" s="3">
        <v>3.8840001476928592</v>
      </c>
      <c r="Q93" s="3">
        <v>3.781999752856791</v>
      </c>
      <c r="R93" s="3">
        <v>3.8660001237876713</v>
      </c>
      <c r="S93" s="3">
        <v>3.533000061288476</v>
      </c>
      <c r="U93" s="3">
        <v>8</v>
      </c>
      <c r="V93" s="3">
        <v>6</v>
      </c>
      <c r="W93" s="3">
        <v>10</v>
      </c>
      <c r="X93" s="3">
        <v>10</v>
      </c>
      <c r="Z93" s="3">
        <v>4</v>
      </c>
      <c r="AA93" s="3">
        <v>3.9990000000000001</v>
      </c>
      <c r="AB93" s="3">
        <v>4.016</v>
      </c>
      <c r="AC93" s="3">
        <v>3.6660000000000004</v>
      </c>
      <c r="AE93" s="3">
        <v>3.8840001476928592</v>
      </c>
      <c r="AF93" s="3">
        <v>3.781999752856791</v>
      </c>
      <c r="AG93" s="3">
        <v>3.8660001237876713</v>
      </c>
      <c r="AH93" s="3">
        <v>3.533000061288476</v>
      </c>
      <c r="AJ93" s="3">
        <v>8</v>
      </c>
      <c r="AK93" s="3">
        <v>6</v>
      </c>
      <c r="AL93" s="3">
        <v>10</v>
      </c>
      <c r="AM93" s="3">
        <v>10</v>
      </c>
      <c r="AO93" s="3">
        <v>1</v>
      </c>
      <c r="AP93" s="3">
        <v>1</v>
      </c>
      <c r="AQ93" s="3">
        <v>1</v>
      </c>
      <c r="AR93" s="3">
        <v>3</v>
      </c>
      <c r="AT93" s="3">
        <v>4.999999888241291E-3</v>
      </c>
      <c r="AU93" s="3">
        <v>1.4999999664723873E-2</v>
      </c>
      <c r="AV93" s="3">
        <v>4.0000001899898052E-3</v>
      </c>
      <c r="AW93" s="3">
        <v>1.2000000104308128E-2</v>
      </c>
      <c r="AY93" s="3">
        <v>1.4</v>
      </c>
      <c r="AZ93" s="3">
        <v>2.6660000000000004</v>
      </c>
      <c r="BA93" s="3">
        <v>2.4009999999999998</v>
      </c>
      <c r="BB93" s="3">
        <v>1.6680000000000001</v>
      </c>
      <c r="BD93" s="3">
        <v>1.449999988079071</v>
      </c>
      <c r="BE93" s="3">
        <v>2.5989998579025269</v>
      </c>
      <c r="BF93" s="3">
        <v>2.349000096321106</v>
      </c>
      <c r="BG93" s="3">
        <v>1.7829999327659607</v>
      </c>
      <c r="BI93" s="3">
        <v>2</v>
      </c>
      <c r="BJ93" s="3">
        <v>3</v>
      </c>
      <c r="BK93" s="3">
        <v>7</v>
      </c>
      <c r="BL93" s="3">
        <v>4</v>
      </c>
      <c r="BN93" s="3">
        <v>2</v>
      </c>
      <c r="BO93" s="3">
        <v>3</v>
      </c>
      <c r="BP93" s="3">
        <v>3</v>
      </c>
      <c r="BQ93" s="3">
        <v>5</v>
      </c>
      <c r="BS93" s="3">
        <v>0.98900002241134644</v>
      </c>
      <c r="BT93" s="3">
        <v>0.54799997806549072</v>
      </c>
      <c r="BU93" s="3">
        <v>0.51999998092651367</v>
      </c>
      <c r="BV93" s="3">
        <v>0.49500000476837158</v>
      </c>
      <c r="BX93" s="3">
        <v>1.1999999999999997</v>
      </c>
      <c r="BY93" s="3">
        <v>0</v>
      </c>
      <c r="BZ93" s="3">
        <v>0</v>
      </c>
      <c r="CA93" s="3">
        <v>0.18300000000000002</v>
      </c>
      <c r="CC93" s="3">
        <v>1.2170000029727817</v>
      </c>
      <c r="CD93" s="3">
        <v>0</v>
      </c>
      <c r="CE93" s="3">
        <v>0</v>
      </c>
      <c r="CF93" s="3">
        <v>0.19999999739229679</v>
      </c>
      <c r="CH93" s="3">
        <v>2</v>
      </c>
      <c r="CI93" s="3">
        <v>0</v>
      </c>
      <c r="CJ93" s="3">
        <v>0</v>
      </c>
      <c r="CK93" s="3">
        <v>1</v>
      </c>
      <c r="CM93" s="3">
        <v>2</v>
      </c>
      <c r="CN93" s="3">
        <v>0</v>
      </c>
      <c r="CO93" s="3">
        <v>0</v>
      </c>
      <c r="CP93" s="3">
        <v>2</v>
      </c>
      <c r="CR93" s="3">
        <v>4.999999888241291E-3</v>
      </c>
      <c r="CS93" s="3">
        <v>4.016</v>
      </c>
      <c r="CT93" s="3">
        <v>4.0309999999999997</v>
      </c>
      <c r="CU93" s="3">
        <v>1.2000000104308128E-2</v>
      </c>
    </row>
    <row r="94" spans="1:99" s="3" customFormat="1" x14ac:dyDescent="0.35">
      <c r="A94" s="2" t="s">
        <v>50</v>
      </c>
      <c r="B94" s="2">
        <v>12.083333333333334</v>
      </c>
      <c r="C94" s="2" t="s">
        <v>168</v>
      </c>
      <c r="D94" s="2" t="s">
        <v>403</v>
      </c>
      <c r="F94" s="3">
        <v>4.0090000000000003</v>
      </c>
      <c r="G94" s="3">
        <v>4.0599999999999996</v>
      </c>
      <c r="H94" s="3">
        <v>4.0469999999999997</v>
      </c>
      <c r="I94" s="3" t="e">
        <v>#N/A</v>
      </c>
      <c r="K94" s="3">
        <v>3.9990000000000001</v>
      </c>
      <c r="L94" s="3">
        <v>4.0489999999999995</v>
      </c>
      <c r="M94" s="3">
        <v>4.0329999999999995</v>
      </c>
      <c r="N94" s="11" t="e">
        <v>#N/A</v>
      </c>
      <c r="P94" s="3">
        <v>3.781999655533582</v>
      </c>
      <c r="Q94" s="3">
        <v>3.6830002279020846</v>
      </c>
      <c r="R94" s="3">
        <v>1.2840003371238708</v>
      </c>
      <c r="S94" s="11" t="e">
        <v>#N/A</v>
      </c>
      <c r="U94" s="3">
        <v>6</v>
      </c>
      <c r="V94" s="3">
        <v>6</v>
      </c>
      <c r="W94" s="3">
        <v>7</v>
      </c>
      <c r="X94" s="11" t="e">
        <v>#N/A</v>
      </c>
      <c r="Z94" s="3">
        <v>3.9990000000000001</v>
      </c>
      <c r="AA94" s="3">
        <v>4.0489999999999995</v>
      </c>
      <c r="AB94" s="3">
        <v>3.1820000000000004</v>
      </c>
      <c r="AC94" s="11" t="e">
        <v>#N/A</v>
      </c>
      <c r="AE94" s="3">
        <v>3.781999655533582</v>
      </c>
      <c r="AF94" s="3">
        <v>3.6830002279020846</v>
      </c>
      <c r="AG94" s="3">
        <v>0.90000027418136597</v>
      </c>
      <c r="AH94" s="11" t="e">
        <v>#N/A</v>
      </c>
      <c r="AJ94" s="3">
        <v>6</v>
      </c>
      <c r="AK94" s="3">
        <v>6</v>
      </c>
      <c r="AL94" s="3">
        <v>5</v>
      </c>
      <c r="AM94" s="11" t="e">
        <v>#N/A</v>
      </c>
      <c r="AO94" s="3">
        <v>1</v>
      </c>
      <c r="AP94" s="3">
        <v>1</v>
      </c>
      <c r="AQ94" s="3">
        <v>3</v>
      </c>
      <c r="AR94" s="11" t="e">
        <v>#N/A</v>
      </c>
      <c r="AT94" s="3">
        <v>4.0000001899898052E-3</v>
      </c>
      <c r="AU94" s="3">
        <v>3.0000000260770321E-3</v>
      </c>
      <c r="AV94" s="3">
        <v>7.2999998927116394E-2</v>
      </c>
      <c r="AW94" s="11" t="e">
        <v>#N/A</v>
      </c>
      <c r="AY94" s="3">
        <v>1.3329999999999997</v>
      </c>
      <c r="AZ94" s="3">
        <v>1.0990000000000002</v>
      </c>
      <c r="BA94" s="3">
        <v>1.0010000000000003</v>
      </c>
      <c r="BB94" s="11" t="e">
        <v>#N/A</v>
      </c>
      <c r="BD94" s="3">
        <v>0.38299989700317383</v>
      </c>
      <c r="BE94" s="3">
        <v>1.1330000162124634</v>
      </c>
      <c r="BF94" s="3">
        <v>0.61600029468536377</v>
      </c>
      <c r="BG94" s="11" t="e">
        <v>#N/A</v>
      </c>
      <c r="BI94" s="3">
        <v>1</v>
      </c>
      <c r="BJ94" s="3">
        <v>2</v>
      </c>
      <c r="BK94" s="3">
        <v>3</v>
      </c>
      <c r="BL94" s="11" t="e">
        <v>#N/A</v>
      </c>
      <c r="BN94" s="3">
        <v>4</v>
      </c>
      <c r="BO94" s="3">
        <v>4</v>
      </c>
      <c r="BP94" s="3">
        <v>18</v>
      </c>
      <c r="BQ94" s="11" t="e">
        <v>#N/A</v>
      </c>
      <c r="BS94" s="3">
        <v>1.7369999885559082</v>
      </c>
      <c r="BT94" s="3">
        <v>1.5859999656677246</v>
      </c>
      <c r="BU94" s="3">
        <v>0.8059999942779541</v>
      </c>
      <c r="BV94" s="11" t="e">
        <v>#N/A</v>
      </c>
      <c r="BX94" s="3">
        <v>0</v>
      </c>
      <c r="BY94" s="3">
        <v>0</v>
      </c>
      <c r="BZ94" s="3">
        <v>0</v>
      </c>
      <c r="CA94" s="11" t="e">
        <v>#N/A</v>
      </c>
      <c r="CC94" s="3">
        <v>0</v>
      </c>
      <c r="CD94" s="3">
        <v>0</v>
      </c>
      <c r="CE94" s="3">
        <v>0</v>
      </c>
      <c r="CF94" s="11" t="e">
        <v>#N/A</v>
      </c>
      <c r="CH94" s="3">
        <v>0</v>
      </c>
      <c r="CI94" s="3">
        <v>0</v>
      </c>
      <c r="CJ94" s="3">
        <v>0</v>
      </c>
      <c r="CK94" s="11" t="e">
        <v>#N/A</v>
      </c>
      <c r="CM94" s="3">
        <v>0</v>
      </c>
      <c r="CN94" s="3">
        <v>0</v>
      </c>
      <c r="CO94" s="3">
        <v>0</v>
      </c>
      <c r="CP94" s="11" t="e">
        <v>#N/A</v>
      </c>
      <c r="CR94" s="3">
        <v>4.0090000000000003</v>
      </c>
      <c r="CS94" s="3">
        <v>4.0599999999999996</v>
      </c>
      <c r="CT94" s="3">
        <v>4.0469999999999997</v>
      </c>
      <c r="CU94" s="11" t="e">
        <v>#N/A</v>
      </c>
    </row>
    <row r="95" spans="1:99" s="3" customFormat="1" x14ac:dyDescent="0.35">
      <c r="A95" s="2" t="s">
        <v>11</v>
      </c>
      <c r="B95" s="2">
        <v>12.25</v>
      </c>
      <c r="C95" s="2" t="s">
        <v>167</v>
      </c>
      <c r="D95" s="2" t="s">
        <v>403</v>
      </c>
      <c r="F95" s="3">
        <v>4.032</v>
      </c>
      <c r="G95" s="3">
        <v>4.016</v>
      </c>
      <c r="H95" s="3">
        <v>4.016</v>
      </c>
      <c r="I95" s="3">
        <v>4.016</v>
      </c>
      <c r="K95" s="3">
        <v>4.016</v>
      </c>
      <c r="L95" s="3">
        <v>3.9990000000000001</v>
      </c>
      <c r="M95" s="3">
        <v>3.9989999999999997</v>
      </c>
      <c r="N95" s="3">
        <v>3.9989999999999997</v>
      </c>
      <c r="P95" s="3">
        <v>3.8150001540780067</v>
      </c>
      <c r="Q95" s="3">
        <v>3.7989995052339509</v>
      </c>
      <c r="R95" s="3">
        <v>3.8499999255873263</v>
      </c>
      <c r="S95" s="3">
        <v>3.9150001360103488</v>
      </c>
      <c r="U95" s="3">
        <v>8</v>
      </c>
      <c r="V95" s="3">
        <v>13</v>
      </c>
      <c r="W95" s="3">
        <v>10</v>
      </c>
      <c r="X95" s="3">
        <v>6</v>
      </c>
      <c r="Z95" s="3">
        <v>4.016</v>
      </c>
      <c r="AA95" s="3">
        <v>3.9990000000000001</v>
      </c>
      <c r="AB95" s="3">
        <v>3.9989999999999997</v>
      </c>
      <c r="AC95" s="3">
        <v>3.9989999999999997</v>
      </c>
      <c r="AE95" s="3">
        <v>3.8150001540780067</v>
      </c>
      <c r="AF95" s="3">
        <v>3.7989995052339509</v>
      </c>
      <c r="AG95" s="3">
        <v>3.8499999255873263</v>
      </c>
      <c r="AH95" s="3">
        <v>3.9150001360103488</v>
      </c>
      <c r="AJ95" s="3">
        <v>8</v>
      </c>
      <c r="AK95" s="3">
        <v>13</v>
      </c>
      <c r="AL95" s="3">
        <v>10</v>
      </c>
      <c r="AM95" s="3">
        <v>6</v>
      </c>
      <c r="AO95" s="3">
        <v>1</v>
      </c>
      <c r="AP95" s="3">
        <v>1</v>
      </c>
      <c r="AQ95" s="3">
        <v>1</v>
      </c>
      <c r="AR95" s="3">
        <v>1</v>
      </c>
      <c r="AT95" s="3">
        <v>1.0999999940395355E-2</v>
      </c>
      <c r="AU95" s="3">
        <v>1.0000000474974513E-3</v>
      </c>
      <c r="AV95" s="3">
        <v>3.0000000260770321E-3</v>
      </c>
      <c r="AW95" s="3">
        <v>4.999999888241291E-3</v>
      </c>
      <c r="AY95" s="3">
        <v>1.5829999999999997</v>
      </c>
      <c r="AZ95" s="3">
        <v>1.2330000000000001</v>
      </c>
      <c r="BA95" s="3">
        <v>2.1340000000000003</v>
      </c>
      <c r="BB95" s="3">
        <v>1.2329999999999997</v>
      </c>
      <c r="BD95" s="3">
        <v>1.6319999694824219</v>
      </c>
      <c r="BE95" s="3">
        <v>1.2829997539520264</v>
      </c>
      <c r="BF95" s="3">
        <v>2.1839999170042574</v>
      </c>
      <c r="BG95" s="3">
        <v>1.2160000801086426</v>
      </c>
      <c r="BI95" s="3">
        <v>4</v>
      </c>
      <c r="BJ95" s="3">
        <v>4</v>
      </c>
      <c r="BK95" s="3">
        <v>5</v>
      </c>
      <c r="BL95" s="3">
        <v>3</v>
      </c>
      <c r="BN95" s="3">
        <v>4</v>
      </c>
      <c r="BO95" s="3">
        <v>4</v>
      </c>
      <c r="BP95" s="3">
        <v>3</v>
      </c>
      <c r="BQ95" s="3">
        <v>5</v>
      </c>
      <c r="BS95" s="3">
        <v>1.0110000371932983</v>
      </c>
      <c r="BT95" s="3">
        <v>0.43500000238418579</v>
      </c>
      <c r="BU95" s="3">
        <v>3.0000000260770321E-3</v>
      </c>
      <c r="BV95" s="3">
        <v>0.3880000114440918</v>
      </c>
      <c r="BX95" s="3">
        <v>0</v>
      </c>
      <c r="BY95" s="3">
        <v>0.3490000000000002</v>
      </c>
      <c r="BZ95" s="3">
        <v>0</v>
      </c>
      <c r="CA95" s="3">
        <v>0</v>
      </c>
      <c r="CC95" s="3">
        <v>0</v>
      </c>
      <c r="CD95" s="3">
        <v>0.38299989700317383</v>
      </c>
      <c r="CE95" s="3">
        <v>0</v>
      </c>
      <c r="CF95" s="3">
        <v>0</v>
      </c>
      <c r="CH95" s="3">
        <v>0</v>
      </c>
      <c r="CI95" s="3">
        <v>1</v>
      </c>
      <c r="CJ95" s="3">
        <v>0</v>
      </c>
      <c r="CK95" s="3">
        <v>0</v>
      </c>
      <c r="CM95" s="3">
        <v>0</v>
      </c>
      <c r="CN95" s="3">
        <v>1</v>
      </c>
      <c r="CO95" s="3">
        <v>0</v>
      </c>
      <c r="CP95" s="3">
        <v>0</v>
      </c>
      <c r="CR95" s="3">
        <v>4.032</v>
      </c>
      <c r="CS95" s="3">
        <v>2.8840000629425049</v>
      </c>
      <c r="CT95" s="3">
        <v>4.016</v>
      </c>
      <c r="CU95" s="3">
        <v>4.016</v>
      </c>
    </row>
    <row r="96" spans="1:99" s="3" customFormat="1" x14ac:dyDescent="0.35">
      <c r="A96" s="2" t="s">
        <v>60</v>
      </c>
      <c r="B96" s="2">
        <v>13</v>
      </c>
      <c r="C96" s="2" t="s">
        <v>167</v>
      </c>
      <c r="D96" s="2" t="s">
        <v>403</v>
      </c>
      <c r="F96" s="3">
        <v>4.0110000000000001</v>
      </c>
      <c r="G96" s="3">
        <v>4.01</v>
      </c>
      <c r="H96" s="3">
        <v>4.01</v>
      </c>
      <c r="I96" s="3">
        <v>4.01</v>
      </c>
      <c r="K96" s="3">
        <v>3.9990000000000006</v>
      </c>
      <c r="L96" s="3">
        <v>3.9990000000000006</v>
      </c>
      <c r="M96" s="3">
        <v>3.9820000000000002</v>
      </c>
      <c r="N96" s="3">
        <v>3.9990000000000006</v>
      </c>
      <c r="P96" s="3">
        <v>3.8969997372478247</v>
      </c>
      <c r="Q96" s="3">
        <v>3.696999391540885</v>
      </c>
      <c r="R96" s="3">
        <v>3.8149999994784594</v>
      </c>
      <c r="S96" s="3">
        <v>3.7660001257900149</v>
      </c>
      <c r="U96" s="3">
        <v>7</v>
      </c>
      <c r="V96" s="3">
        <v>15</v>
      </c>
      <c r="W96" s="3">
        <v>11</v>
      </c>
      <c r="X96" s="3">
        <v>6</v>
      </c>
      <c r="Z96" s="3">
        <v>3.9990000000000006</v>
      </c>
      <c r="AA96" s="3">
        <v>3.9990000000000006</v>
      </c>
      <c r="AB96" s="3">
        <v>3.9820000000000002</v>
      </c>
      <c r="AC96" s="3">
        <v>3.9990000000000006</v>
      </c>
      <c r="AE96" s="3">
        <v>3.8969997372478247</v>
      </c>
      <c r="AF96" s="3">
        <v>3.696999391540885</v>
      </c>
      <c r="AG96" s="3">
        <v>3.8149999994784594</v>
      </c>
      <c r="AH96" s="3">
        <v>3.7660001257900149</v>
      </c>
      <c r="AJ96" s="3">
        <v>7</v>
      </c>
      <c r="AK96" s="3">
        <v>15</v>
      </c>
      <c r="AL96" s="3">
        <v>11</v>
      </c>
      <c r="AM96" s="3">
        <v>6</v>
      </c>
      <c r="AO96" s="3">
        <v>1</v>
      </c>
      <c r="AP96" s="3">
        <v>1</v>
      </c>
      <c r="AQ96" s="3">
        <v>1</v>
      </c>
      <c r="AR96" s="3">
        <v>1</v>
      </c>
      <c r="AT96" s="3">
        <v>9.9999997764825821E-3</v>
      </c>
      <c r="AU96" s="3">
        <v>9.9999997764825821E-3</v>
      </c>
      <c r="AV96" s="3">
        <v>1.6000000759959221E-2</v>
      </c>
      <c r="AW96" s="3">
        <v>2.0000000949949026E-3</v>
      </c>
      <c r="AY96" s="3">
        <v>1.8339999999999999</v>
      </c>
      <c r="AZ96" s="3">
        <v>0.21699999999999997</v>
      </c>
      <c r="BA96" s="3">
        <v>1.7990000000000002</v>
      </c>
      <c r="BB96" s="3">
        <v>1.1500000000000001</v>
      </c>
      <c r="BD96" s="3">
        <v>1.5490000247955322</v>
      </c>
      <c r="BE96" s="3">
        <v>0.26599988341331482</v>
      </c>
      <c r="BF96" s="3">
        <v>1.5830002129077911</v>
      </c>
      <c r="BG96" s="3">
        <v>0.96700000762939453</v>
      </c>
      <c r="BI96" s="3">
        <v>3</v>
      </c>
      <c r="BJ96" s="3">
        <v>2</v>
      </c>
      <c r="BK96" s="3">
        <v>5</v>
      </c>
      <c r="BL96" s="3">
        <v>3</v>
      </c>
      <c r="BN96" s="3">
        <v>4</v>
      </c>
      <c r="BO96" s="3">
        <v>3</v>
      </c>
      <c r="BP96" s="3">
        <v>2</v>
      </c>
      <c r="BQ96" s="3">
        <v>2</v>
      </c>
      <c r="BS96" s="3">
        <v>0.34299999475479126</v>
      </c>
      <c r="BT96" s="3">
        <v>0.31000000238418579</v>
      </c>
      <c r="BU96" s="3">
        <v>0.43299999833106995</v>
      </c>
      <c r="BV96" s="3">
        <v>2.5510001182556152</v>
      </c>
      <c r="BX96" s="3">
        <v>0.55000000000000027</v>
      </c>
      <c r="BY96" s="3">
        <v>0.58300000000000018</v>
      </c>
      <c r="BZ96" s="3">
        <v>0</v>
      </c>
      <c r="CA96" s="3">
        <v>0</v>
      </c>
      <c r="CC96" s="3">
        <v>0.54999971389770508</v>
      </c>
      <c r="CD96" s="3">
        <v>0.73299992084503174</v>
      </c>
      <c r="CE96" s="3">
        <v>0</v>
      </c>
      <c r="CF96" s="3">
        <v>0</v>
      </c>
      <c r="CH96" s="3">
        <v>1</v>
      </c>
      <c r="CI96" s="3">
        <v>1</v>
      </c>
      <c r="CJ96" s="3">
        <v>0</v>
      </c>
      <c r="CK96" s="3">
        <v>0</v>
      </c>
      <c r="CM96" s="3">
        <v>1</v>
      </c>
      <c r="CN96" s="3">
        <v>1</v>
      </c>
      <c r="CO96" s="3">
        <v>0</v>
      </c>
      <c r="CP96" s="3">
        <v>0</v>
      </c>
      <c r="CR96" s="3">
        <v>3.4590001106262207</v>
      </c>
      <c r="CS96" s="3">
        <v>1.9259999990463257</v>
      </c>
      <c r="CT96" s="3">
        <v>4.01</v>
      </c>
      <c r="CU96" s="3">
        <v>4.01</v>
      </c>
    </row>
    <row r="97" spans="1:99" s="5" customFormat="1" x14ac:dyDescent="0.35">
      <c r="A97" s="4" t="s">
        <v>104</v>
      </c>
      <c r="B97" s="4">
        <v>2.6666666666666665</v>
      </c>
      <c r="C97" s="4" t="s">
        <v>167</v>
      </c>
      <c r="D97" s="4" t="s">
        <v>404</v>
      </c>
      <c r="E97" s="3"/>
      <c r="F97" s="5">
        <v>4.01</v>
      </c>
      <c r="G97" s="5">
        <v>4.016</v>
      </c>
      <c r="H97" s="5">
        <v>4.0149999999999997</v>
      </c>
      <c r="I97" s="5">
        <v>4.016</v>
      </c>
      <c r="K97" s="5">
        <v>3.9990000000000001</v>
      </c>
      <c r="L97" s="5">
        <v>3.9990000000000006</v>
      </c>
      <c r="M97" s="5">
        <v>3.9820000000000002</v>
      </c>
      <c r="N97" s="5">
        <v>3.9990000000000001</v>
      </c>
      <c r="P97" s="5">
        <v>3.4499997915700078</v>
      </c>
      <c r="Q97" s="5">
        <v>3.4809999803546816</v>
      </c>
      <c r="R97" s="5">
        <v>3.7669999562203884</v>
      </c>
      <c r="S97" s="5">
        <v>3.3819998791441321</v>
      </c>
      <c r="U97" s="5">
        <v>7</v>
      </c>
      <c r="V97" s="5">
        <v>10</v>
      </c>
      <c r="W97" s="5">
        <v>11</v>
      </c>
      <c r="X97" s="5">
        <v>10</v>
      </c>
      <c r="Z97" s="5">
        <v>3.5500000000000003</v>
      </c>
      <c r="AA97" s="5">
        <v>3.9990000000000006</v>
      </c>
      <c r="AB97" s="5">
        <v>3.9820000000000002</v>
      </c>
      <c r="AC97" s="5">
        <v>3.9990000000000001</v>
      </c>
      <c r="AE97" s="5">
        <v>3.4499997915700078</v>
      </c>
      <c r="AF97" s="5">
        <v>3.4809999803546816</v>
      </c>
      <c r="AG97" s="5">
        <v>3.7669999562203884</v>
      </c>
      <c r="AH97" s="5">
        <v>3.3819998791441321</v>
      </c>
      <c r="AJ97" s="5">
        <v>7</v>
      </c>
      <c r="AK97" s="5">
        <v>10</v>
      </c>
      <c r="AL97" s="5">
        <v>11</v>
      </c>
      <c r="AM97" s="5">
        <v>10</v>
      </c>
      <c r="AO97" s="5">
        <v>3</v>
      </c>
      <c r="AP97" s="5">
        <v>1</v>
      </c>
      <c r="AQ97" s="5">
        <v>1</v>
      </c>
      <c r="AR97" s="5">
        <v>1</v>
      </c>
      <c r="AT97" s="5">
        <v>6.0000000521540642E-3</v>
      </c>
      <c r="AU97" s="5">
        <v>2.0000000949949026E-3</v>
      </c>
      <c r="AV97" s="5">
        <v>4.8999998718500137E-2</v>
      </c>
      <c r="AW97" s="5">
        <v>7.0000002160668373E-3</v>
      </c>
      <c r="AY97" s="5">
        <v>1.9</v>
      </c>
      <c r="AZ97" s="5">
        <v>1.7159999999999993</v>
      </c>
      <c r="BA97" s="5">
        <v>3.2320000000000007</v>
      </c>
      <c r="BB97" s="5">
        <v>1.6</v>
      </c>
      <c r="BD97" s="5">
        <v>2.0820000767707825</v>
      </c>
      <c r="BE97" s="5">
        <v>2.1320000290870667</v>
      </c>
      <c r="BF97" s="5">
        <v>3.4329999685287476</v>
      </c>
      <c r="BG97" s="5">
        <v>1.3999999165534973</v>
      </c>
      <c r="BI97" s="5">
        <v>3</v>
      </c>
      <c r="BJ97" s="5">
        <v>5</v>
      </c>
      <c r="BK97" s="5">
        <v>10</v>
      </c>
      <c r="BL97" s="5">
        <v>3</v>
      </c>
      <c r="BN97" s="5">
        <v>3</v>
      </c>
      <c r="BO97" s="5">
        <v>5</v>
      </c>
      <c r="BP97" s="5">
        <v>4</v>
      </c>
      <c r="BQ97" s="5">
        <v>4</v>
      </c>
      <c r="BS97" s="5">
        <v>0.53899997472763062</v>
      </c>
      <c r="BT97" s="5">
        <v>0.5350000262260437</v>
      </c>
      <c r="BU97" s="5">
        <v>0.39899998903274536</v>
      </c>
      <c r="BV97" s="5">
        <v>0.68999999761581421</v>
      </c>
      <c r="BX97" s="5">
        <v>0</v>
      </c>
      <c r="BY97" s="5">
        <v>0.2330000000000001</v>
      </c>
      <c r="BZ97" s="5">
        <v>0</v>
      </c>
      <c r="CA97" s="5">
        <v>0</v>
      </c>
      <c r="CC97" s="5">
        <v>0</v>
      </c>
      <c r="CD97" s="5">
        <v>0</v>
      </c>
      <c r="CE97" s="5">
        <v>0</v>
      </c>
      <c r="CF97" s="5">
        <v>0</v>
      </c>
      <c r="CH97" s="5">
        <v>0</v>
      </c>
      <c r="CI97" s="5">
        <v>0</v>
      </c>
      <c r="CJ97" s="5">
        <v>0</v>
      </c>
      <c r="CK97" s="5">
        <v>0</v>
      </c>
      <c r="CM97" s="5">
        <v>0</v>
      </c>
      <c r="CN97" s="5">
        <v>1</v>
      </c>
      <c r="CO97" s="5">
        <v>1</v>
      </c>
      <c r="CP97" s="5">
        <v>2</v>
      </c>
      <c r="CR97" s="5">
        <v>4.01</v>
      </c>
      <c r="CS97" s="5">
        <v>4.016</v>
      </c>
      <c r="CT97" s="5">
        <v>4.0149999999999997</v>
      </c>
      <c r="CU97" s="5">
        <v>4.016</v>
      </c>
    </row>
    <row r="98" spans="1:99" s="5" customFormat="1" x14ac:dyDescent="0.35">
      <c r="A98" s="4" t="s">
        <v>103</v>
      </c>
      <c r="B98" s="4">
        <v>3.3333333333333335</v>
      </c>
      <c r="C98" s="4" t="s">
        <v>168</v>
      </c>
      <c r="D98" s="4" t="s">
        <v>404</v>
      </c>
      <c r="E98" s="3"/>
      <c r="F98" s="5" t="e">
        <v>#N/A</v>
      </c>
      <c r="G98" s="11" t="e">
        <v>#N/A</v>
      </c>
      <c r="H98" s="11" t="e">
        <v>#N/A</v>
      </c>
      <c r="I98" s="11" t="e">
        <v>#N/A</v>
      </c>
      <c r="K98" s="11" t="e">
        <v>#N/A</v>
      </c>
      <c r="L98" s="11" t="e">
        <v>#N/A</v>
      </c>
      <c r="M98" s="11" t="e">
        <v>#N/A</v>
      </c>
      <c r="N98" s="11" t="e">
        <v>#N/A</v>
      </c>
      <c r="P98" s="11" t="e">
        <v>#N/A</v>
      </c>
      <c r="Q98" s="11" t="e">
        <v>#N/A</v>
      </c>
      <c r="R98" s="11" t="e">
        <v>#N/A</v>
      </c>
      <c r="S98" s="11" t="e">
        <v>#N/A</v>
      </c>
      <c r="U98" s="11" t="e">
        <v>#N/A</v>
      </c>
      <c r="V98" s="11" t="e">
        <v>#N/A</v>
      </c>
      <c r="W98" s="11" t="e">
        <v>#N/A</v>
      </c>
      <c r="X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E98" s="11" t="e">
        <v>#N/A</v>
      </c>
      <c r="AF98" s="11" t="e">
        <v>#N/A</v>
      </c>
      <c r="AG98" s="11" t="e">
        <v>#N/A</v>
      </c>
      <c r="AH98" s="11" t="e">
        <v>#N/A</v>
      </c>
      <c r="AJ98" s="11" t="e">
        <v>#N/A</v>
      </c>
      <c r="AK98" s="11" t="e">
        <v>#N/A</v>
      </c>
      <c r="AL98" s="11" t="e">
        <v>#N/A</v>
      </c>
      <c r="AM98" s="11" t="e">
        <v>#N/A</v>
      </c>
      <c r="AO98" s="11" t="e">
        <v>#N/A</v>
      </c>
      <c r="AP98" s="11" t="e">
        <v>#N/A</v>
      </c>
      <c r="AQ98" s="11" t="e">
        <v>#N/A</v>
      </c>
      <c r="AR98" s="11" t="e">
        <v>#N/A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Y98" s="11" t="e">
        <v>#N/A</v>
      </c>
      <c r="AZ98" s="11" t="e">
        <v>#N/A</v>
      </c>
      <c r="BA98" s="11" t="e">
        <v>#N/A</v>
      </c>
      <c r="BB98" s="11" t="e">
        <v>#N/A</v>
      </c>
      <c r="BD98" s="11" t="e">
        <v>#N/A</v>
      </c>
      <c r="BE98" s="11" t="e">
        <v>#N/A</v>
      </c>
      <c r="BF98" s="11" t="e">
        <v>#N/A</v>
      </c>
      <c r="BG98" s="11" t="e">
        <v>#N/A</v>
      </c>
      <c r="BI98" s="11" t="e">
        <v>#N/A</v>
      </c>
      <c r="BJ98" s="11" t="e">
        <v>#N/A</v>
      </c>
      <c r="BK98" s="11" t="e">
        <v>#N/A</v>
      </c>
      <c r="BL98" s="11" t="e">
        <v>#N/A</v>
      </c>
      <c r="BN98" s="11" t="e">
        <v>#N/A</v>
      </c>
      <c r="BO98" s="11" t="e">
        <v>#N/A</v>
      </c>
      <c r="BP98" s="11" t="e">
        <v>#N/A</v>
      </c>
      <c r="BQ98" s="11" t="e">
        <v>#N/A</v>
      </c>
      <c r="BS98" s="11" t="e">
        <v>#N/A</v>
      </c>
      <c r="BT98" s="11" t="e">
        <v>#N/A</v>
      </c>
      <c r="BU98" s="11" t="e">
        <v>#N/A</v>
      </c>
      <c r="BV98" s="11" t="e">
        <v>#N/A</v>
      </c>
      <c r="BX98" s="11" t="e">
        <v>#N/A</v>
      </c>
      <c r="BY98" s="11" t="e">
        <v>#N/A</v>
      </c>
      <c r="BZ98" s="11" t="e">
        <v>#N/A</v>
      </c>
      <c r="CA98" s="11" t="e">
        <v>#N/A</v>
      </c>
      <c r="CC98" s="11" t="e">
        <v>#N/A</v>
      </c>
      <c r="CD98" s="11" t="e">
        <v>#N/A</v>
      </c>
      <c r="CE98" s="11" t="e">
        <v>#N/A</v>
      </c>
      <c r="CF98" s="11" t="e">
        <v>#N/A</v>
      </c>
      <c r="CH98" s="11" t="e">
        <v>#N/A</v>
      </c>
      <c r="CI98" s="11" t="e">
        <v>#N/A</v>
      </c>
      <c r="CJ98" s="11" t="e">
        <v>#N/A</v>
      </c>
      <c r="CK98" s="11" t="e">
        <v>#N/A</v>
      </c>
      <c r="CM98" s="11" t="e">
        <v>#N/A</v>
      </c>
      <c r="CN98" s="11" t="e">
        <v>#N/A</v>
      </c>
      <c r="CO98" s="11" t="e">
        <v>#N/A</v>
      </c>
      <c r="CP98" s="11" t="e">
        <v>#N/A</v>
      </c>
      <c r="CR98" s="11" t="e">
        <v>#N/A</v>
      </c>
      <c r="CS98" s="11" t="e">
        <v>#N/A</v>
      </c>
      <c r="CT98" s="11" t="e">
        <v>#N/A</v>
      </c>
      <c r="CU98" s="11" t="e">
        <v>#N/A</v>
      </c>
    </row>
    <row r="99" spans="1:99" s="5" customFormat="1" x14ac:dyDescent="0.35">
      <c r="A99" s="4" t="s">
        <v>105</v>
      </c>
      <c r="B99" s="4">
        <v>3.4166666666666665</v>
      </c>
      <c r="C99" s="4" t="s">
        <v>168</v>
      </c>
      <c r="D99" s="4" t="s">
        <v>404</v>
      </c>
      <c r="E99" s="3"/>
      <c r="F99" s="5">
        <v>4.0019999999999998</v>
      </c>
      <c r="G99" s="11" t="e">
        <v>#N/A</v>
      </c>
      <c r="H99" s="5">
        <v>3.194</v>
      </c>
      <c r="I99" s="5" t="e">
        <v>#N/A</v>
      </c>
      <c r="K99" s="5">
        <v>3.9820000000000002</v>
      </c>
      <c r="L99" s="11" t="e">
        <v>#N/A</v>
      </c>
      <c r="M99" s="5">
        <v>3.1819999999999999</v>
      </c>
      <c r="N99" s="5">
        <v>2.8000000000000003</v>
      </c>
      <c r="P99" s="5">
        <v>3.6170000592246652</v>
      </c>
      <c r="Q99" s="11" t="e">
        <v>#N/A</v>
      </c>
      <c r="R99" s="5">
        <v>2.5330002000555396</v>
      </c>
      <c r="S99" s="5">
        <v>2.7000000458210707</v>
      </c>
      <c r="U99" s="5">
        <v>7</v>
      </c>
      <c r="V99" s="11" t="e">
        <v>#N/A</v>
      </c>
      <c r="W99" s="5">
        <v>5</v>
      </c>
      <c r="X99" s="5">
        <v>6</v>
      </c>
      <c r="Z99" s="5">
        <v>3.7650000000000001</v>
      </c>
      <c r="AA99" s="11" t="e">
        <v>#N/A</v>
      </c>
      <c r="AB99" s="5">
        <v>2.5660000000000003</v>
      </c>
      <c r="AC99" s="5">
        <v>2.5499999999999998</v>
      </c>
      <c r="AE99" s="5">
        <v>3.6170000592246652</v>
      </c>
      <c r="AF99" s="11" t="e">
        <v>#N/A</v>
      </c>
      <c r="AG99" s="5">
        <v>2.5330002000555396</v>
      </c>
      <c r="AH99" s="5">
        <v>2.7000000458210707</v>
      </c>
      <c r="AJ99" s="5">
        <v>7</v>
      </c>
      <c r="AK99" s="11" t="e">
        <v>#N/A</v>
      </c>
      <c r="AL99" s="5">
        <v>5</v>
      </c>
      <c r="AM99" s="5">
        <v>6</v>
      </c>
      <c r="AO99" s="5">
        <v>2</v>
      </c>
      <c r="AP99" s="11" t="e">
        <v>#N/A</v>
      </c>
      <c r="AQ99" s="5">
        <v>3</v>
      </c>
      <c r="AR99" s="5">
        <v>2</v>
      </c>
      <c r="AT99" s="5">
        <v>8.0000003799796104E-3</v>
      </c>
      <c r="AU99" s="11" t="e">
        <v>#N/A</v>
      </c>
      <c r="AV99" s="5">
        <v>7.0000002160668373E-3</v>
      </c>
      <c r="AW99" s="5">
        <v>1.4000000432133675E-2</v>
      </c>
      <c r="AY99" s="5">
        <v>0.25</v>
      </c>
      <c r="AZ99" s="11" t="e">
        <v>#N/A</v>
      </c>
      <c r="BA99" s="5">
        <v>0.44999999999999996</v>
      </c>
      <c r="BB99" s="5">
        <v>0</v>
      </c>
      <c r="BD99" s="5">
        <v>0.53299987316131592</v>
      </c>
      <c r="BE99" s="11" t="e">
        <v>#N/A</v>
      </c>
      <c r="BF99" s="5">
        <v>0.51700007915496826</v>
      </c>
      <c r="BG99" s="5">
        <v>0</v>
      </c>
      <c r="BI99" s="5">
        <v>1</v>
      </c>
      <c r="BJ99" s="11" t="e">
        <v>#N/A</v>
      </c>
      <c r="BK99" s="5">
        <v>2</v>
      </c>
      <c r="BL99" s="5">
        <v>0</v>
      </c>
      <c r="BN99" s="5">
        <v>1</v>
      </c>
      <c r="BO99" s="11" t="e">
        <v>#N/A</v>
      </c>
      <c r="BP99" s="5">
        <v>1</v>
      </c>
      <c r="BQ99" s="5">
        <v>0</v>
      </c>
      <c r="BS99" s="5">
        <v>1.7580000162124634</v>
      </c>
      <c r="BT99" s="11" t="e">
        <v>#N/A</v>
      </c>
      <c r="BU99" s="5">
        <v>1.3229999542236328</v>
      </c>
      <c r="BV99" s="5">
        <v>4.0110000000000001</v>
      </c>
      <c r="BX99" s="5">
        <v>0.61699999999999999</v>
      </c>
      <c r="BY99" s="11" t="e">
        <v>#N/A</v>
      </c>
      <c r="BZ99" s="5">
        <v>0</v>
      </c>
      <c r="CA99" s="5">
        <v>0</v>
      </c>
      <c r="CC99" s="5">
        <v>0.55099999904632568</v>
      </c>
      <c r="CD99" s="11" t="e">
        <v>#N/A</v>
      </c>
      <c r="CE99" s="5">
        <v>0</v>
      </c>
      <c r="CF99" s="5">
        <v>0</v>
      </c>
      <c r="CH99" s="5">
        <v>2</v>
      </c>
      <c r="CI99" s="11" t="e">
        <v>#N/A</v>
      </c>
      <c r="CJ99" s="5">
        <v>0</v>
      </c>
      <c r="CK99" s="5">
        <v>0</v>
      </c>
      <c r="CM99" s="5">
        <v>3</v>
      </c>
      <c r="CN99" s="11" t="e">
        <v>#N/A</v>
      </c>
      <c r="CO99" s="5">
        <v>0</v>
      </c>
      <c r="CP99" s="5">
        <v>1</v>
      </c>
      <c r="CR99" s="5">
        <v>1.0410000085830688</v>
      </c>
      <c r="CS99" s="11" t="e">
        <v>#N/A</v>
      </c>
      <c r="CT99" s="5">
        <v>4.0110000000000001</v>
      </c>
      <c r="CU99" s="5">
        <v>4.0110000000000001</v>
      </c>
    </row>
    <row r="100" spans="1:99" s="5" customFormat="1" x14ac:dyDescent="0.35">
      <c r="A100" s="4" t="s">
        <v>112</v>
      </c>
      <c r="B100" s="4">
        <v>3.5833333333333335</v>
      </c>
      <c r="C100" s="4" t="s">
        <v>168</v>
      </c>
      <c r="D100" s="4" t="s">
        <v>404</v>
      </c>
      <c r="E100" s="3"/>
      <c r="F100" s="5" t="e">
        <v>#N/A</v>
      </c>
      <c r="G100" s="5">
        <v>4.0359999999999996</v>
      </c>
      <c r="H100" s="5">
        <v>4.016</v>
      </c>
      <c r="I100" s="5" t="e">
        <v>#N/A</v>
      </c>
      <c r="K100" s="5">
        <v>2.1660000000000004</v>
      </c>
      <c r="L100" s="5">
        <v>3.8160000000000007</v>
      </c>
      <c r="M100" s="5">
        <v>3.399</v>
      </c>
      <c r="N100" s="11" t="e">
        <v>#N/A</v>
      </c>
      <c r="P100" s="5">
        <v>1.7340002059936523</v>
      </c>
      <c r="Q100" s="5">
        <v>3.6500003058463335</v>
      </c>
      <c r="R100" s="5">
        <v>2.9640003144741058</v>
      </c>
      <c r="S100" s="11" t="e">
        <v>#N/A</v>
      </c>
      <c r="U100" s="5">
        <v>5</v>
      </c>
      <c r="V100" s="5">
        <v>9</v>
      </c>
      <c r="W100" s="5">
        <v>9</v>
      </c>
      <c r="X100" s="11" t="e">
        <v>#N/A</v>
      </c>
      <c r="Z100" s="5">
        <v>2.1660000000000004</v>
      </c>
      <c r="AA100" s="5">
        <v>3.7990000000000004</v>
      </c>
      <c r="AB100" s="5">
        <v>2.6159999999999997</v>
      </c>
      <c r="AC100" s="11" t="e">
        <v>#N/A</v>
      </c>
      <c r="AE100" s="5">
        <v>1.7340002059936523</v>
      </c>
      <c r="AF100" s="5">
        <v>3.6500003058463335</v>
      </c>
      <c r="AG100" s="5">
        <v>2.2470003068447113</v>
      </c>
      <c r="AH100" s="11" t="e">
        <v>#N/A</v>
      </c>
      <c r="AJ100" s="5">
        <v>5</v>
      </c>
      <c r="AK100" s="5">
        <v>9</v>
      </c>
      <c r="AL100" s="5">
        <v>7</v>
      </c>
      <c r="AM100" s="11" t="e">
        <v>#N/A</v>
      </c>
      <c r="AO100" s="5">
        <v>1</v>
      </c>
      <c r="AP100" s="5">
        <v>2</v>
      </c>
      <c r="AQ100" s="5">
        <v>2</v>
      </c>
      <c r="AR100" s="11" t="e">
        <v>#N/A</v>
      </c>
      <c r="AT100" s="5">
        <v>2.2249999046325684</v>
      </c>
      <c r="AU100" s="5">
        <v>2.9999999329447746E-2</v>
      </c>
      <c r="AV100" s="5">
        <v>0.40400001406669617</v>
      </c>
      <c r="AW100" s="11" t="e">
        <v>#N/A</v>
      </c>
      <c r="AY100" s="5">
        <v>1.4000000000000008</v>
      </c>
      <c r="AZ100" s="5">
        <v>2.3990000000000005</v>
      </c>
      <c r="BA100" s="5">
        <v>0.64899999999999991</v>
      </c>
      <c r="BB100" s="11" t="e">
        <v>#N/A</v>
      </c>
      <c r="BD100" s="5">
        <v>1.4660000801086426</v>
      </c>
      <c r="BE100" s="5">
        <v>2.4330002665519714</v>
      </c>
      <c r="BF100" s="5">
        <v>0.74900007247924805</v>
      </c>
      <c r="BG100" s="11" t="e">
        <v>#N/A</v>
      </c>
      <c r="BI100" s="5">
        <v>3</v>
      </c>
      <c r="BJ100" s="5">
        <v>4</v>
      </c>
      <c r="BK100" s="5">
        <v>2</v>
      </c>
      <c r="BL100" s="11" t="e">
        <v>#N/A</v>
      </c>
      <c r="BN100" s="5">
        <v>3</v>
      </c>
      <c r="BO100" s="5">
        <v>4</v>
      </c>
      <c r="BP100" s="5">
        <v>2</v>
      </c>
      <c r="BQ100" s="11" t="e">
        <v>#N/A</v>
      </c>
      <c r="BS100" s="5">
        <v>2.5250000953674316</v>
      </c>
      <c r="BT100" s="5">
        <v>0.46399998664855957</v>
      </c>
      <c r="BU100" s="5">
        <v>0.83700001239776611</v>
      </c>
      <c r="BV100" s="11" t="e">
        <v>#N/A</v>
      </c>
      <c r="BX100" s="5">
        <v>0</v>
      </c>
      <c r="BY100" s="5">
        <v>0</v>
      </c>
      <c r="BZ100" s="5">
        <v>0.55000000000000027</v>
      </c>
      <c r="CA100" s="11" t="e">
        <v>#N/A</v>
      </c>
      <c r="CC100" s="5">
        <v>0</v>
      </c>
      <c r="CD100" s="5">
        <v>0</v>
      </c>
      <c r="CE100" s="5">
        <v>0.68300008773803711</v>
      </c>
      <c r="CF100" s="11" t="e">
        <v>#N/A</v>
      </c>
      <c r="CH100" s="5">
        <v>0</v>
      </c>
      <c r="CI100" s="5">
        <v>0</v>
      </c>
      <c r="CJ100" s="5">
        <v>2</v>
      </c>
      <c r="CK100" s="11" t="e">
        <v>#N/A</v>
      </c>
      <c r="CM100" s="5">
        <v>2</v>
      </c>
      <c r="CN100" s="5">
        <v>1</v>
      </c>
      <c r="CO100" s="5">
        <v>4</v>
      </c>
      <c r="CP100" s="11" t="e">
        <v>#N/A</v>
      </c>
      <c r="CR100" s="5">
        <v>4.0259999999999998</v>
      </c>
      <c r="CS100" s="5">
        <v>4.0359999999999996</v>
      </c>
      <c r="CT100" s="5">
        <v>1.7200000286102295</v>
      </c>
      <c r="CU100" s="11" t="e">
        <v>#N/A</v>
      </c>
    </row>
    <row r="101" spans="1:99" s="5" customFormat="1" x14ac:dyDescent="0.35">
      <c r="A101" s="4" t="s">
        <v>110</v>
      </c>
      <c r="B101" s="4">
        <v>3.8333333333333335</v>
      </c>
      <c r="C101" s="4" t="s">
        <v>167</v>
      </c>
      <c r="D101" s="4" t="s">
        <v>404</v>
      </c>
      <c r="E101" s="3"/>
      <c r="F101" s="11" t="e">
        <v>#N/A</v>
      </c>
      <c r="G101" s="5" t="e">
        <v>#N/A</v>
      </c>
      <c r="H101" s="5" t="e">
        <v>#N/A</v>
      </c>
      <c r="I101" s="5" t="e">
        <v>#N/A</v>
      </c>
      <c r="K101" s="11" t="e">
        <v>#N/A</v>
      </c>
      <c r="L101" s="11" t="e">
        <v>#N/A</v>
      </c>
      <c r="M101" s="5">
        <v>1.4489999999999998</v>
      </c>
      <c r="N101" s="11" t="e">
        <v>#N/A</v>
      </c>
      <c r="P101" s="11" t="e">
        <v>#N/A</v>
      </c>
      <c r="Q101" s="11" t="e">
        <v>#N/A</v>
      </c>
      <c r="R101" s="5">
        <v>1.4159998297691345</v>
      </c>
      <c r="S101" s="11" t="e">
        <v>#N/A</v>
      </c>
      <c r="U101" s="11" t="e">
        <v>#N/A</v>
      </c>
      <c r="V101" s="11" t="e">
        <v>#N/A</v>
      </c>
      <c r="W101" s="5">
        <v>2</v>
      </c>
      <c r="X101" s="11" t="e">
        <v>#N/A</v>
      </c>
      <c r="Z101" s="11" t="e">
        <v>#N/A</v>
      </c>
      <c r="AA101" s="11" t="e">
        <v>#N/A</v>
      </c>
      <c r="AB101" s="5">
        <v>1.4489999999999998</v>
      </c>
      <c r="AC101" s="11" t="e">
        <v>#N/A</v>
      </c>
      <c r="AE101" s="11" t="e">
        <v>#N/A</v>
      </c>
      <c r="AF101" s="11" t="e">
        <v>#N/A</v>
      </c>
      <c r="AG101" s="5">
        <v>1.4159998297691345</v>
      </c>
      <c r="AH101" s="11" t="e">
        <v>#N/A</v>
      </c>
      <c r="AJ101" s="11" t="e">
        <v>#N/A</v>
      </c>
      <c r="AK101" s="11" t="e">
        <v>#N/A</v>
      </c>
      <c r="AL101" s="5">
        <v>2</v>
      </c>
      <c r="AM101" s="11" t="e">
        <v>#N/A</v>
      </c>
      <c r="AO101" s="11" t="e">
        <v>#N/A</v>
      </c>
      <c r="AP101" s="11" t="e">
        <v>#N/A</v>
      </c>
      <c r="AQ101" s="5">
        <v>2</v>
      </c>
      <c r="AR101" s="11" t="e">
        <v>#N/A</v>
      </c>
      <c r="AT101" s="11" t="e">
        <v>#N/A</v>
      </c>
      <c r="AU101" s="11" t="e">
        <v>#N/A</v>
      </c>
      <c r="AV101" s="5">
        <v>0.52899998426437378</v>
      </c>
      <c r="AW101" s="11" t="e">
        <v>#N/A</v>
      </c>
      <c r="AY101" s="11" t="e">
        <v>#N/A</v>
      </c>
      <c r="AZ101" s="11" t="e">
        <v>#N/A</v>
      </c>
      <c r="BA101" s="5">
        <v>0</v>
      </c>
      <c r="BB101" s="11" t="e">
        <v>#N/A</v>
      </c>
      <c r="BD101" s="11" t="e">
        <v>#N/A</v>
      </c>
      <c r="BE101" s="11" t="e">
        <v>#N/A</v>
      </c>
      <c r="BF101" s="5">
        <v>0</v>
      </c>
      <c r="BG101" s="11" t="e">
        <v>#N/A</v>
      </c>
      <c r="BI101" s="11" t="e">
        <v>#N/A</v>
      </c>
      <c r="BJ101" s="11" t="e">
        <v>#N/A</v>
      </c>
      <c r="BK101" s="5">
        <v>0</v>
      </c>
      <c r="BL101" s="11" t="e">
        <v>#N/A</v>
      </c>
      <c r="BN101" s="11" t="e">
        <v>#N/A</v>
      </c>
      <c r="BO101" s="11" t="e">
        <v>#N/A</v>
      </c>
      <c r="BP101" s="5">
        <v>0</v>
      </c>
      <c r="BQ101" s="11" t="e">
        <v>#N/A</v>
      </c>
      <c r="BS101" s="11" t="e">
        <v>#N/A</v>
      </c>
      <c r="BT101" s="11" t="e">
        <v>#N/A</v>
      </c>
      <c r="BU101" s="5">
        <v>4.0279999999999996</v>
      </c>
      <c r="BV101" s="11" t="e">
        <v>#N/A</v>
      </c>
      <c r="BX101" s="11" t="e">
        <v>#N/A</v>
      </c>
      <c r="BY101" s="11" t="e">
        <v>#N/A</v>
      </c>
      <c r="BZ101" s="5">
        <v>0</v>
      </c>
      <c r="CA101" s="11" t="e">
        <v>#N/A</v>
      </c>
      <c r="CC101" s="11" t="e">
        <v>#N/A</v>
      </c>
      <c r="CD101" s="11" t="e">
        <v>#N/A</v>
      </c>
      <c r="CE101" s="5">
        <v>0</v>
      </c>
      <c r="CF101" s="11" t="e">
        <v>#N/A</v>
      </c>
      <c r="CH101" s="11" t="e">
        <v>#N/A</v>
      </c>
      <c r="CI101" s="11" t="e">
        <v>#N/A</v>
      </c>
      <c r="CJ101" s="5">
        <v>0</v>
      </c>
      <c r="CK101" s="11" t="e">
        <v>#N/A</v>
      </c>
      <c r="CM101" s="11" t="e">
        <v>#N/A</v>
      </c>
      <c r="CN101" s="11" t="e">
        <v>#N/A</v>
      </c>
      <c r="CO101" s="5">
        <v>0</v>
      </c>
      <c r="CP101" s="11" t="e">
        <v>#N/A</v>
      </c>
      <c r="CR101" s="11" t="e">
        <v>#N/A</v>
      </c>
      <c r="CS101" s="11" t="e">
        <v>#N/A</v>
      </c>
      <c r="CT101" s="5">
        <v>4.0279999999999996</v>
      </c>
      <c r="CU101" s="11" t="e">
        <v>#N/A</v>
      </c>
    </row>
    <row r="102" spans="1:99" s="5" customFormat="1" x14ac:dyDescent="0.35">
      <c r="A102" s="4" t="s">
        <v>148</v>
      </c>
      <c r="B102" s="4">
        <v>4.083333333333333</v>
      </c>
      <c r="C102" s="4" t="s">
        <v>168</v>
      </c>
      <c r="D102" s="4" t="s">
        <v>404</v>
      </c>
      <c r="E102" s="3"/>
      <c r="F102" s="11" t="e">
        <v>#N/A</v>
      </c>
      <c r="G102" s="11" t="e">
        <v>#N/A</v>
      </c>
      <c r="H102" s="5" t="e">
        <v>#N/A</v>
      </c>
      <c r="I102" s="11" t="e">
        <v>#N/A</v>
      </c>
      <c r="K102" s="11" t="e">
        <v>#N/A</v>
      </c>
      <c r="L102" s="11" t="e">
        <v>#N/A</v>
      </c>
      <c r="M102" s="11" t="e">
        <v>#N/A</v>
      </c>
      <c r="N102" s="11" t="e">
        <v>#N/A</v>
      </c>
      <c r="P102" s="11" t="e">
        <v>#N/A</v>
      </c>
      <c r="Q102" s="11" t="e">
        <v>#N/A</v>
      </c>
      <c r="R102" s="11" t="e">
        <v>#N/A</v>
      </c>
      <c r="S102" s="11" t="e">
        <v>#N/A</v>
      </c>
      <c r="U102" s="11" t="e">
        <v>#N/A</v>
      </c>
      <c r="V102" s="11" t="e">
        <v>#N/A</v>
      </c>
      <c r="W102" s="11" t="e">
        <v>#N/A</v>
      </c>
      <c r="X102" s="11" t="e">
        <v>#N/A</v>
      </c>
      <c r="Z102" s="11" t="e">
        <v>#N/A</v>
      </c>
      <c r="AA102" s="11" t="e">
        <v>#N/A</v>
      </c>
      <c r="AB102" s="11" t="e">
        <v>#N/A</v>
      </c>
      <c r="AC102" s="11" t="e">
        <v>#N/A</v>
      </c>
      <c r="AE102" s="11" t="e">
        <v>#N/A</v>
      </c>
      <c r="AF102" s="11" t="e">
        <v>#N/A</v>
      </c>
      <c r="AG102" s="11" t="e">
        <v>#N/A</v>
      </c>
      <c r="AH102" s="11" t="e">
        <v>#N/A</v>
      </c>
      <c r="AJ102" s="11" t="e">
        <v>#N/A</v>
      </c>
      <c r="AK102" s="11" t="e">
        <v>#N/A</v>
      </c>
      <c r="AL102" s="11" t="e">
        <v>#N/A</v>
      </c>
      <c r="AM102" s="11" t="e">
        <v>#N/A</v>
      </c>
      <c r="AO102" s="11" t="e">
        <v>#N/A</v>
      </c>
      <c r="AP102" s="11" t="e">
        <v>#N/A</v>
      </c>
      <c r="AQ102" s="11" t="e">
        <v>#N/A</v>
      </c>
      <c r="AR102" s="11" t="e">
        <v>#N/A</v>
      </c>
      <c r="AT102" s="11" t="e">
        <v>#N/A</v>
      </c>
      <c r="AU102" s="11" t="e">
        <v>#N/A</v>
      </c>
      <c r="AV102" s="11" t="e">
        <v>#N/A</v>
      </c>
      <c r="AW102" s="11" t="e">
        <v>#N/A</v>
      </c>
      <c r="AY102" s="11" t="e">
        <v>#N/A</v>
      </c>
      <c r="AZ102" s="11" t="e">
        <v>#N/A</v>
      </c>
      <c r="BA102" s="11" t="e">
        <v>#N/A</v>
      </c>
      <c r="BB102" s="11" t="e">
        <v>#N/A</v>
      </c>
      <c r="BD102" s="11" t="e">
        <v>#N/A</v>
      </c>
      <c r="BE102" s="11" t="e">
        <v>#N/A</v>
      </c>
      <c r="BF102" s="11" t="e">
        <v>#N/A</v>
      </c>
      <c r="BG102" s="11" t="e">
        <v>#N/A</v>
      </c>
      <c r="BI102" s="11" t="e">
        <v>#N/A</v>
      </c>
      <c r="BJ102" s="11" t="e">
        <v>#N/A</v>
      </c>
      <c r="BK102" s="11" t="e">
        <v>#N/A</v>
      </c>
      <c r="BL102" s="11" t="e">
        <v>#N/A</v>
      </c>
      <c r="BN102" s="11" t="e">
        <v>#N/A</v>
      </c>
      <c r="BO102" s="11" t="e">
        <v>#N/A</v>
      </c>
      <c r="BP102" s="11" t="e">
        <v>#N/A</v>
      </c>
      <c r="BQ102" s="11" t="e">
        <v>#N/A</v>
      </c>
      <c r="BS102" s="11" t="e">
        <v>#N/A</v>
      </c>
      <c r="BT102" s="11" t="e">
        <v>#N/A</v>
      </c>
      <c r="BU102" s="11" t="e">
        <v>#N/A</v>
      </c>
      <c r="BV102" s="11" t="e">
        <v>#N/A</v>
      </c>
      <c r="BX102" s="11" t="e">
        <v>#N/A</v>
      </c>
      <c r="BY102" s="11" t="e">
        <v>#N/A</v>
      </c>
      <c r="BZ102" s="11" t="e">
        <v>#N/A</v>
      </c>
      <c r="CA102" s="11" t="e">
        <v>#N/A</v>
      </c>
      <c r="CC102" s="11" t="e">
        <v>#N/A</v>
      </c>
      <c r="CD102" s="11" t="e">
        <v>#N/A</v>
      </c>
      <c r="CE102" s="11" t="e">
        <v>#N/A</v>
      </c>
      <c r="CF102" s="11" t="e">
        <v>#N/A</v>
      </c>
      <c r="CH102" s="11" t="e">
        <v>#N/A</v>
      </c>
      <c r="CI102" s="11" t="e">
        <v>#N/A</v>
      </c>
      <c r="CJ102" s="11" t="e">
        <v>#N/A</v>
      </c>
      <c r="CK102" s="11" t="e">
        <v>#N/A</v>
      </c>
      <c r="CM102" s="11" t="e">
        <v>#N/A</v>
      </c>
      <c r="CN102" s="11" t="e">
        <v>#N/A</v>
      </c>
      <c r="CO102" s="11" t="e">
        <v>#N/A</v>
      </c>
      <c r="CP102" s="11" t="e">
        <v>#N/A</v>
      </c>
      <c r="CR102" s="11" t="e">
        <v>#N/A</v>
      </c>
      <c r="CS102" s="11" t="e">
        <v>#N/A</v>
      </c>
      <c r="CT102" s="11" t="e">
        <v>#N/A</v>
      </c>
      <c r="CU102" s="11" t="e">
        <v>#N/A</v>
      </c>
    </row>
    <row r="103" spans="1:99" s="5" customFormat="1" x14ac:dyDescent="0.35">
      <c r="A103" s="4" t="s">
        <v>127</v>
      </c>
      <c r="B103" s="4">
        <v>4.25</v>
      </c>
      <c r="C103" s="4" t="s">
        <v>168</v>
      </c>
      <c r="D103" s="4" t="s">
        <v>404</v>
      </c>
      <c r="E103" s="3"/>
      <c r="F103" s="5">
        <v>4</v>
      </c>
      <c r="G103" s="5">
        <v>4.0220000000000002</v>
      </c>
      <c r="H103" s="5">
        <v>4.0149999999999997</v>
      </c>
      <c r="I103" s="5">
        <v>4.016</v>
      </c>
      <c r="K103" s="5">
        <v>3.9820000000000002</v>
      </c>
      <c r="L103" s="5">
        <v>4.016</v>
      </c>
      <c r="M103" s="5">
        <v>3.9990000000000006</v>
      </c>
      <c r="N103" s="5">
        <v>3.9989999999999997</v>
      </c>
      <c r="P103" s="5">
        <v>3.7970002498477697</v>
      </c>
      <c r="Q103" s="5">
        <v>3.7639998197555542</v>
      </c>
      <c r="R103" s="5">
        <v>3.6819999555591494</v>
      </c>
      <c r="S103" s="5">
        <v>3.7170002572238445</v>
      </c>
      <c r="U103" s="5">
        <v>9</v>
      </c>
      <c r="V103" s="5">
        <v>12</v>
      </c>
      <c r="W103" s="5">
        <v>9</v>
      </c>
      <c r="X103" s="5">
        <v>9</v>
      </c>
      <c r="Z103" s="5">
        <v>3.9820000000000002</v>
      </c>
      <c r="AA103" s="5">
        <v>4.016</v>
      </c>
      <c r="AB103" s="5">
        <v>3.9990000000000006</v>
      </c>
      <c r="AC103" s="5">
        <v>3.9989999999999997</v>
      </c>
      <c r="AE103" s="5">
        <v>3.7970002498477697</v>
      </c>
      <c r="AF103" s="5">
        <v>3.7639998197555542</v>
      </c>
      <c r="AG103" s="5">
        <v>3.6819999555591494</v>
      </c>
      <c r="AH103" s="5">
        <v>3.7170002572238445</v>
      </c>
      <c r="AJ103" s="5">
        <v>9</v>
      </c>
      <c r="AK103" s="5">
        <v>12</v>
      </c>
      <c r="AL103" s="5">
        <v>9</v>
      </c>
      <c r="AM103" s="5">
        <v>9</v>
      </c>
      <c r="AO103" s="5">
        <v>1</v>
      </c>
      <c r="AP103" s="5">
        <v>1</v>
      </c>
      <c r="AQ103" s="5">
        <v>1</v>
      </c>
      <c r="AR103" s="5">
        <v>1</v>
      </c>
      <c r="AT103" s="5">
        <v>9.9999997764825821E-3</v>
      </c>
      <c r="AU103" s="5">
        <v>3.7000000476837158E-2</v>
      </c>
      <c r="AV103" s="5">
        <v>2.0000000949949026E-3</v>
      </c>
      <c r="AW103" s="5">
        <v>1.3000000268220901E-2</v>
      </c>
      <c r="AY103" s="5">
        <v>1.0649999999999995</v>
      </c>
      <c r="AZ103" s="5">
        <v>0.36699999999999994</v>
      </c>
      <c r="BA103" s="5">
        <v>0</v>
      </c>
      <c r="BB103" s="5">
        <v>0.20100000000000001</v>
      </c>
      <c r="BD103" s="5">
        <v>1.2150000333786011</v>
      </c>
      <c r="BE103" s="5">
        <v>0.21700000762939453</v>
      </c>
      <c r="BF103" s="5">
        <v>0</v>
      </c>
      <c r="BG103" s="5">
        <v>0.384000014513731</v>
      </c>
      <c r="BI103" s="5">
        <v>3</v>
      </c>
      <c r="BJ103" s="5">
        <v>1</v>
      </c>
      <c r="BK103" s="5">
        <v>0</v>
      </c>
      <c r="BL103" s="5">
        <v>1</v>
      </c>
      <c r="BN103" s="5">
        <v>5</v>
      </c>
      <c r="BO103" s="5">
        <v>4</v>
      </c>
      <c r="BP103" s="5">
        <v>0</v>
      </c>
      <c r="BQ103" s="5">
        <v>3</v>
      </c>
      <c r="BS103" s="5">
        <v>0.50999999046325684</v>
      </c>
      <c r="BT103" s="5">
        <v>1.3029999732971191</v>
      </c>
      <c r="BU103" s="5">
        <v>4.0149999999999997</v>
      </c>
      <c r="BV103" s="5">
        <v>1.3000000268220901E-2</v>
      </c>
      <c r="BX103" s="5">
        <v>1.4659999999999997</v>
      </c>
      <c r="BY103" s="5">
        <v>0.25</v>
      </c>
      <c r="BZ103" s="5">
        <v>0</v>
      </c>
      <c r="CA103" s="5">
        <v>0</v>
      </c>
      <c r="CC103" s="5">
        <v>1.5</v>
      </c>
      <c r="CD103" s="5">
        <v>0.25</v>
      </c>
      <c r="CE103" s="5">
        <v>0</v>
      </c>
      <c r="CF103" s="5">
        <v>0</v>
      </c>
      <c r="CH103" s="5">
        <v>2</v>
      </c>
      <c r="CI103" s="5">
        <v>1</v>
      </c>
      <c r="CJ103" s="5">
        <v>0</v>
      </c>
      <c r="CK103" s="5">
        <v>0</v>
      </c>
      <c r="CM103" s="5">
        <v>2</v>
      </c>
      <c r="CN103" s="5">
        <v>1</v>
      </c>
      <c r="CO103" s="5">
        <v>0</v>
      </c>
      <c r="CP103" s="5">
        <v>0</v>
      </c>
      <c r="CR103" s="5">
        <v>2.4760000705718994</v>
      </c>
      <c r="CS103" s="5">
        <v>3.6359999179840088</v>
      </c>
      <c r="CT103" s="5">
        <v>4.0149999999999997</v>
      </c>
      <c r="CU103" s="5">
        <v>4.016</v>
      </c>
    </row>
    <row r="104" spans="1:99" s="5" customFormat="1" x14ac:dyDescent="0.35">
      <c r="A104" s="4" t="s">
        <v>106</v>
      </c>
      <c r="B104" s="4">
        <v>4.583333333333333</v>
      </c>
      <c r="C104" s="4" t="s">
        <v>167</v>
      </c>
      <c r="D104" s="4" t="s">
        <v>404</v>
      </c>
      <c r="E104" s="3"/>
      <c r="F104" s="5">
        <v>4.016</v>
      </c>
      <c r="G104" s="5">
        <v>4.016</v>
      </c>
      <c r="H104" s="5">
        <v>4.0149999999999997</v>
      </c>
      <c r="I104" s="5">
        <v>4.016</v>
      </c>
      <c r="K104" s="5">
        <v>3.3650000000000002</v>
      </c>
      <c r="L104" s="5">
        <v>3.3330000000000002</v>
      </c>
      <c r="M104" s="5">
        <v>3.9980000000000002</v>
      </c>
      <c r="N104" s="5">
        <v>3.9990000000000001</v>
      </c>
      <c r="P104" s="5">
        <v>3.0650002956390381</v>
      </c>
      <c r="Q104" s="5">
        <v>3.2149999141693115</v>
      </c>
      <c r="R104" s="5">
        <v>3.8810002545360476</v>
      </c>
      <c r="S104" s="5">
        <v>3.765000281855464</v>
      </c>
      <c r="U104" s="5">
        <v>9</v>
      </c>
      <c r="V104" s="5">
        <v>7</v>
      </c>
      <c r="W104" s="5">
        <v>8</v>
      </c>
      <c r="X104" s="5">
        <v>8</v>
      </c>
      <c r="Z104" s="5">
        <v>3.3149999999999999</v>
      </c>
      <c r="AA104" s="5">
        <v>3.3330000000000002</v>
      </c>
      <c r="AB104" s="5">
        <v>3.9980000000000002</v>
      </c>
      <c r="AC104" s="5">
        <v>3.9990000000000001</v>
      </c>
      <c r="AE104" s="5">
        <v>3.0650002956390381</v>
      </c>
      <c r="AF104" s="5">
        <v>3.2149999141693115</v>
      </c>
      <c r="AG104" s="5">
        <v>3.8810002545360476</v>
      </c>
      <c r="AH104" s="5">
        <v>3.765000281855464</v>
      </c>
      <c r="AJ104" s="5">
        <v>9</v>
      </c>
      <c r="AK104" s="5">
        <v>7</v>
      </c>
      <c r="AL104" s="5">
        <v>8</v>
      </c>
      <c r="AM104" s="5">
        <v>8</v>
      </c>
      <c r="AO104" s="5">
        <v>1</v>
      </c>
      <c r="AP104" s="5">
        <v>1</v>
      </c>
      <c r="AQ104" s="5">
        <v>1</v>
      </c>
      <c r="AR104" s="5">
        <v>1</v>
      </c>
      <c r="AT104" s="5">
        <v>0.70899999141693115</v>
      </c>
      <c r="AU104" s="5">
        <v>0.68400001525878906</v>
      </c>
      <c r="AV104" s="5">
        <v>2.0000000949949026E-3</v>
      </c>
      <c r="AW104" s="5">
        <v>1.4000000432133675E-2</v>
      </c>
      <c r="AY104" s="5">
        <v>1.5150000000000003</v>
      </c>
      <c r="AZ104" s="5">
        <v>1.5490000000000002</v>
      </c>
      <c r="BA104" s="5">
        <v>1.0160000000000005</v>
      </c>
      <c r="BB104" s="5">
        <v>1.948</v>
      </c>
      <c r="BD104" s="5">
        <v>1.4490002393722534</v>
      </c>
      <c r="BE104" s="5">
        <v>1.4320000410079956</v>
      </c>
      <c r="BF104" s="5">
        <v>0.23299998044967651</v>
      </c>
      <c r="BG104" s="5">
        <v>1.8150001764297485</v>
      </c>
      <c r="BI104" s="5">
        <v>4</v>
      </c>
      <c r="BJ104" s="5">
        <v>3</v>
      </c>
      <c r="BK104" s="5">
        <v>1</v>
      </c>
      <c r="BL104" s="5">
        <v>4</v>
      </c>
      <c r="BN104" s="5">
        <v>5</v>
      </c>
      <c r="BO104" s="5">
        <v>3</v>
      </c>
      <c r="BP104" s="5">
        <v>5</v>
      </c>
      <c r="BQ104" s="5">
        <v>4</v>
      </c>
      <c r="BS104" s="5">
        <v>0.70899999141693115</v>
      </c>
      <c r="BT104" s="5">
        <v>0.68400001525878906</v>
      </c>
      <c r="BU104" s="5">
        <v>0.63499999046325684</v>
      </c>
      <c r="BV104" s="5">
        <v>1.3140000104904175</v>
      </c>
      <c r="BX104" s="5">
        <v>0</v>
      </c>
      <c r="BY104" s="5">
        <v>0</v>
      </c>
      <c r="BZ104" s="5">
        <v>0</v>
      </c>
      <c r="CA104" s="5">
        <v>0</v>
      </c>
      <c r="CC104" s="5">
        <v>0</v>
      </c>
      <c r="CD104" s="5">
        <v>0</v>
      </c>
      <c r="CE104" s="5">
        <v>0</v>
      </c>
      <c r="CF104" s="5">
        <v>0</v>
      </c>
      <c r="CH104" s="5">
        <v>0</v>
      </c>
      <c r="CI104" s="5">
        <v>0</v>
      </c>
      <c r="CJ104" s="5">
        <v>0</v>
      </c>
      <c r="CK104" s="5">
        <v>0</v>
      </c>
      <c r="CM104" s="5">
        <v>0</v>
      </c>
      <c r="CN104" s="5">
        <v>0</v>
      </c>
      <c r="CO104" s="5">
        <v>0</v>
      </c>
      <c r="CP104" s="5">
        <v>0</v>
      </c>
      <c r="CR104" s="5">
        <v>4.016</v>
      </c>
      <c r="CS104" s="5">
        <v>4.016</v>
      </c>
      <c r="CT104" s="5">
        <v>4.0149999999999997</v>
      </c>
      <c r="CU104" s="5">
        <v>4.016</v>
      </c>
    </row>
    <row r="105" spans="1:99" s="5" customFormat="1" x14ac:dyDescent="0.35">
      <c r="A105" s="4" t="s">
        <v>107</v>
      </c>
      <c r="B105" s="4">
        <v>4.583333333333333</v>
      </c>
      <c r="C105" s="4" t="s">
        <v>168</v>
      </c>
      <c r="D105" s="4" t="s">
        <v>404</v>
      </c>
      <c r="E105" s="3"/>
      <c r="F105" s="5">
        <v>3.0060000000000002</v>
      </c>
      <c r="G105" s="11" t="e">
        <v>#N/A</v>
      </c>
      <c r="H105" s="5" t="e">
        <v>#N/A</v>
      </c>
      <c r="I105" s="11" t="e">
        <v>#N/A</v>
      </c>
      <c r="K105" s="5">
        <v>3</v>
      </c>
      <c r="L105" s="11" t="e">
        <v>#N/A</v>
      </c>
      <c r="M105" s="5">
        <v>2.4329999999999998</v>
      </c>
      <c r="N105" s="11" t="e">
        <v>#N/A</v>
      </c>
      <c r="P105" s="5">
        <v>1.0500000715255737</v>
      </c>
      <c r="Q105" s="11" t="e">
        <v>#N/A</v>
      </c>
      <c r="R105" s="5">
        <v>1.0169998705387115</v>
      </c>
      <c r="S105" s="11" t="e">
        <v>#N/A</v>
      </c>
      <c r="U105" s="5">
        <v>7</v>
      </c>
      <c r="V105" s="11" t="e">
        <v>#N/A</v>
      </c>
      <c r="W105" s="5">
        <v>3</v>
      </c>
      <c r="X105" s="11" t="e">
        <v>#N/A</v>
      </c>
      <c r="Z105" s="5">
        <v>2.0670000000000006</v>
      </c>
      <c r="AA105" s="11" t="e">
        <v>#N/A</v>
      </c>
      <c r="AB105" s="5">
        <v>1.633</v>
      </c>
      <c r="AC105" s="11" t="e">
        <v>#N/A</v>
      </c>
      <c r="AE105" s="5">
        <v>1.0500000715255737</v>
      </c>
      <c r="AF105" s="11" t="e">
        <v>#N/A</v>
      </c>
      <c r="AG105" s="5">
        <v>1.0169998705387115</v>
      </c>
      <c r="AH105" s="11" t="e">
        <v>#N/A</v>
      </c>
      <c r="AJ105" s="5">
        <v>7</v>
      </c>
      <c r="AK105" s="11" t="e">
        <v>#N/A</v>
      </c>
      <c r="AL105" s="5">
        <v>3</v>
      </c>
      <c r="AM105" s="11" t="e">
        <v>#N/A</v>
      </c>
      <c r="AO105" s="5">
        <v>5</v>
      </c>
      <c r="AP105" s="11" t="e">
        <v>#N/A</v>
      </c>
      <c r="AQ105" s="5">
        <v>4</v>
      </c>
      <c r="AR105" s="11" t="e">
        <v>#N/A</v>
      </c>
      <c r="AT105" s="5">
        <v>1.3370000123977661</v>
      </c>
      <c r="AU105" s="11" t="e">
        <v>#N/A</v>
      </c>
      <c r="AV105" s="5">
        <v>0.48399999737739563</v>
      </c>
      <c r="AW105" s="11" t="e">
        <v>#N/A</v>
      </c>
      <c r="AY105" s="5">
        <v>0</v>
      </c>
      <c r="AZ105" s="11" t="e">
        <v>#N/A</v>
      </c>
      <c r="BA105" s="5">
        <v>0</v>
      </c>
      <c r="BB105" s="11" t="e">
        <v>#N/A</v>
      </c>
      <c r="BD105" s="5">
        <v>0</v>
      </c>
      <c r="BE105" s="11" t="e">
        <v>#N/A</v>
      </c>
      <c r="BF105" s="5">
        <v>0</v>
      </c>
      <c r="BG105" s="11" t="e">
        <v>#N/A</v>
      </c>
      <c r="BI105" s="5">
        <v>0</v>
      </c>
      <c r="BJ105" s="11" t="e">
        <v>#N/A</v>
      </c>
      <c r="BK105" s="5">
        <v>0</v>
      </c>
      <c r="BL105" s="11" t="e">
        <v>#N/A</v>
      </c>
      <c r="BN105" s="5">
        <v>1</v>
      </c>
      <c r="BO105" s="11" t="e">
        <v>#N/A</v>
      </c>
      <c r="BP105" s="5">
        <v>0</v>
      </c>
      <c r="BQ105" s="11" t="e">
        <v>#N/A</v>
      </c>
      <c r="BS105" s="5">
        <v>4.0090000000000003</v>
      </c>
      <c r="BT105" s="11" t="e">
        <v>#N/A</v>
      </c>
      <c r="BU105" s="5">
        <v>4.016</v>
      </c>
      <c r="BV105" s="11" t="e">
        <v>#N/A</v>
      </c>
      <c r="BX105" s="5">
        <v>0</v>
      </c>
      <c r="BY105" s="11" t="e">
        <v>#N/A</v>
      </c>
      <c r="BZ105" s="5">
        <v>0</v>
      </c>
      <c r="CA105" s="11" t="e">
        <v>#N/A</v>
      </c>
      <c r="CC105" s="5">
        <v>0</v>
      </c>
      <c r="CD105" s="11" t="e">
        <v>#N/A</v>
      </c>
      <c r="CE105" s="5">
        <v>0</v>
      </c>
      <c r="CF105" s="11" t="e">
        <v>#N/A</v>
      </c>
      <c r="CH105" s="5">
        <v>0</v>
      </c>
      <c r="CI105" s="11" t="e">
        <v>#N/A</v>
      </c>
      <c r="CJ105" s="5">
        <v>0</v>
      </c>
      <c r="CK105" s="11" t="e">
        <v>#N/A</v>
      </c>
      <c r="CM105" s="5">
        <v>0</v>
      </c>
      <c r="CN105" s="11" t="e">
        <v>#N/A</v>
      </c>
      <c r="CO105" s="5">
        <v>0</v>
      </c>
      <c r="CP105" s="11" t="e">
        <v>#N/A</v>
      </c>
      <c r="CR105" s="5">
        <v>4.0090000000000003</v>
      </c>
      <c r="CS105" s="11" t="e">
        <v>#N/A</v>
      </c>
      <c r="CT105" s="5">
        <v>4.016</v>
      </c>
      <c r="CU105" s="11" t="e">
        <v>#N/A</v>
      </c>
    </row>
    <row r="106" spans="1:99" s="5" customFormat="1" x14ac:dyDescent="0.35">
      <c r="A106" s="4" t="s">
        <v>113</v>
      </c>
      <c r="B106" s="4">
        <v>4.583333333333333</v>
      </c>
      <c r="C106" s="4" t="s">
        <v>167</v>
      </c>
      <c r="D106" s="4" t="s">
        <v>404</v>
      </c>
      <c r="E106" s="3"/>
      <c r="F106" s="5" t="e">
        <v>#N/A</v>
      </c>
      <c r="G106" s="5">
        <v>4.0149999999999997</v>
      </c>
      <c r="H106" s="11" t="e">
        <v>#N/A</v>
      </c>
      <c r="I106" s="5" t="e">
        <v>#N/A</v>
      </c>
      <c r="K106" s="5">
        <v>2.9830000000000005</v>
      </c>
      <c r="L106" s="5">
        <v>3.9499999999999997</v>
      </c>
      <c r="M106" s="11" t="e">
        <v>#N/A</v>
      </c>
      <c r="N106" s="11" t="e">
        <v>#N/A</v>
      </c>
      <c r="P106" s="5">
        <v>2.3819999694824219</v>
      </c>
      <c r="Q106" s="5">
        <v>3.8359999433159828</v>
      </c>
      <c r="R106" s="11" t="e">
        <v>#N/A</v>
      </c>
      <c r="S106" s="11" t="e">
        <v>#N/A</v>
      </c>
      <c r="U106" s="5">
        <v>8</v>
      </c>
      <c r="V106" s="5">
        <v>8</v>
      </c>
      <c r="W106" s="11" t="e">
        <v>#N/A</v>
      </c>
      <c r="X106" s="11" t="e">
        <v>#N/A</v>
      </c>
      <c r="Z106" s="5">
        <v>2.5</v>
      </c>
      <c r="AA106" s="5">
        <v>3.9499999999999997</v>
      </c>
      <c r="AB106" s="11" t="e">
        <v>#N/A</v>
      </c>
      <c r="AC106" s="11" t="e">
        <v>#N/A</v>
      </c>
      <c r="AE106" s="5">
        <v>1.9149999618530273</v>
      </c>
      <c r="AF106" s="5">
        <v>3.8359999433159828</v>
      </c>
      <c r="AG106" s="11" t="e">
        <v>#N/A</v>
      </c>
      <c r="AH106" s="11" t="e">
        <v>#N/A</v>
      </c>
      <c r="AJ106" s="5">
        <v>7</v>
      </c>
      <c r="AK106" s="5">
        <v>8</v>
      </c>
      <c r="AL106" s="11" t="e">
        <v>#N/A</v>
      </c>
      <c r="AM106" s="11" t="e">
        <v>#N/A</v>
      </c>
      <c r="AO106" s="5">
        <v>1</v>
      </c>
      <c r="AP106" s="5">
        <v>1</v>
      </c>
      <c r="AQ106" s="11" t="e">
        <v>#N/A</v>
      </c>
      <c r="AR106" s="11" t="e">
        <v>#N/A</v>
      </c>
      <c r="AT106" s="5">
        <v>1.6399999856948853</v>
      </c>
      <c r="AU106" s="5">
        <v>1.0999999940395355E-2</v>
      </c>
      <c r="AV106" s="11" t="e">
        <v>#N/A</v>
      </c>
      <c r="AW106" s="11" t="e">
        <v>#N/A</v>
      </c>
      <c r="AY106" s="5">
        <v>0.68400000000000016</v>
      </c>
      <c r="AZ106" s="5">
        <v>1.4989999999999997</v>
      </c>
      <c r="BA106" s="11" t="e">
        <v>#N/A</v>
      </c>
      <c r="BB106" s="11" t="e">
        <v>#N/A</v>
      </c>
      <c r="BD106" s="5">
        <v>0.88299989700317383</v>
      </c>
      <c r="BE106" s="5">
        <v>1.7179999947547913</v>
      </c>
      <c r="BF106" s="11" t="e">
        <v>#N/A</v>
      </c>
      <c r="BG106" s="11" t="e">
        <v>#N/A</v>
      </c>
      <c r="BI106" s="5">
        <v>3</v>
      </c>
      <c r="BJ106" s="5">
        <v>4</v>
      </c>
      <c r="BK106" s="11" t="e">
        <v>#N/A</v>
      </c>
      <c r="BL106" s="11" t="e">
        <v>#N/A</v>
      </c>
      <c r="BN106" s="5">
        <v>3</v>
      </c>
      <c r="BO106" s="5">
        <v>3</v>
      </c>
      <c r="BP106" s="11" t="e">
        <v>#N/A</v>
      </c>
      <c r="BQ106" s="11" t="e">
        <v>#N/A</v>
      </c>
      <c r="BS106" s="5">
        <v>2.7390000820159912</v>
      </c>
      <c r="BT106" s="5">
        <v>0.81099998950958252</v>
      </c>
      <c r="BU106" s="11" t="e">
        <v>#N/A</v>
      </c>
      <c r="BV106" s="11" t="e">
        <v>#N/A</v>
      </c>
      <c r="BX106" s="5">
        <v>1.6000000000000014E-2</v>
      </c>
      <c r="BY106" s="5">
        <v>0</v>
      </c>
      <c r="BZ106" s="11" t="e">
        <v>#N/A</v>
      </c>
      <c r="CA106" s="11" t="e">
        <v>#N/A</v>
      </c>
      <c r="CC106" s="5">
        <v>0</v>
      </c>
      <c r="CD106" s="5">
        <v>0</v>
      </c>
      <c r="CE106" s="11" t="e">
        <v>#N/A</v>
      </c>
      <c r="CF106" s="11" t="e">
        <v>#N/A</v>
      </c>
      <c r="CH106" s="5">
        <v>0</v>
      </c>
      <c r="CI106" s="5">
        <v>0</v>
      </c>
      <c r="CJ106" s="11" t="e">
        <v>#N/A</v>
      </c>
      <c r="CK106" s="11" t="e">
        <v>#N/A</v>
      </c>
      <c r="CM106" s="5">
        <v>1</v>
      </c>
      <c r="CN106" s="5">
        <v>0</v>
      </c>
      <c r="CO106" s="11" t="e">
        <v>#N/A</v>
      </c>
      <c r="CP106" s="11" t="e">
        <v>#N/A</v>
      </c>
      <c r="CR106" s="5">
        <v>4.0149999999999997</v>
      </c>
      <c r="CS106" s="5">
        <v>4.0149999999999997</v>
      </c>
      <c r="CT106" s="11" t="e">
        <v>#N/A</v>
      </c>
      <c r="CU106" s="11" t="e">
        <v>#N/A</v>
      </c>
    </row>
    <row r="107" spans="1:99" s="5" customFormat="1" x14ac:dyDescent="0.35">
      <c r="A107" s="4" t="s">
        <v>153</v>
      </c>
      <c r="B107" s="4">
        <v>5</v>
      </c>
      <c r="C107" s="4" t="s">
        <v>168</v>
      </c>
      <c r="D107" s="4" t="s">
        <v>404</v>
      </c>
      <c r="E107" s="3"/>
      <c r="F107" s="5" t="e">
        <v>#N/A</v>
      </c>
      <c r="G107" s="5" t="e">
        <v>#N/A</v>
      </c>
      <c r="H107" s="5">
        <v>4.01</v>
      </c>
      <c r="I107" s="5">
        <v>3.024</v>
      </c>
      <c r="K107" s="11" t="e">
        <v>#N/A</v>
      </c>
      <c r="L107" s="5">
        <v>2.4159999999999999</v>
      </c>
      <c r="M107" s="5">
        <v>3.633</v>
      </c>
      <c r="N107" s="5">
        <v>3.016</v>
      </c>
      <c r="P107" s="11" t="e">
        <v>#N/A</v>
      </c>
      <c r="Q107" s="5">
        <v>1.9990000501275063</v>
      </c>
      <c r="R107" s="5">
        <v>3.4680003821849823</v>
      </c>
      <c r="S107" s="5">
        <v>2.8489998737350106</v>
      </c>
      <c r="U107" s="11" t="e">
        <v>#N/A</v>
      </c>
      <c r="V107" s="5">
        <v>6</v>
      </c>
      <c r="W107" s="5">
        <v>10</v>
      </c>
      <c r="X107" s="5">
        <v>5</v>
      </c>
      <c r="Z107" s="11" t="e">
        <v>#N/A</v>
      </c>
      <c r="AA107" s="5">
        <v>2.1160000000000001</v>
      </c>
      <c r="AB107" s="5">
        <v>3.2660000000000005</v>
      </c>
      <c r="AC107" s="5">
        <v>3.016</v>
      </c>
      <c r="AE107" s="11" t="e">
        <v>#N/A</v>
      </c>
      <c r="AF107" s="5">
        <v>1.9990000501275063</v>
      </c>
      <c r="AG107" s="5">
        <v>3.2520003020763397</v>
      </c>
      <c r="AH107" s="5">
        <v>2.8489998737350106</v>
      </c>
      <c r="AJ107" s="11" t="e">
        <v>#N/A</v>
      </c>
      <c r="AK107" s="5">
        <v>6</v>
      </c>
      <c r="AL107" s="5">
        <v>9</v>
      </c>
      <c r="AM107" s="5">
        <v>5</v>
      </c>
      <c r="AO107" s="11" t="e">
        <v>#N/A</v>
      </c>
      <c r="AP107" s="5">
        <v>1</v>
      </c>
      <c r="AQ107" s="5">
        <v>2</v>
      </c>
      <c r="AR107" s="5">
        <v>1</v>
      </c>
      <c r="AT107" s="11" t="e">
        <v>#N/A</v>
      </c>
      <c r="AU107" s="5">
        <v>6.1999998986721039E-2</v>
      </c>
      <c r="AV107" s="5">
        <v>0.37299999594688416</v>
      </c>
      <c r="AW107" s="5">
        <v>8.0000003799796104E-3</v>
      </c>
      <c r="AY107" s="11" t="e">
        <v>#N/A</v>
      </c>
      <c r="AZ107" s="5">
        <v>0.69900000000000007</v>
      </c>
      <c r="BA107" s="5">
        <v>1.7</v>
      </c>
      <c r="BB107" s="5">
        <v>0.55000000000000027</v>
      </c>
      <c r="BD107" s="11" t="e">
        <v>#N/A</v>
      </c>
      <c r="BE107" s="5">
        <v>0.54899990558624268</v>
      </c>
      <c r="BF107" s="5">
        <v>1.80100017786026</v>
      </c>
      <c r="BG107" s="5">
        <v>0.56599998474121094</v>
      </c>
      <c r="BI107" s="11" t="e">
        <v>#N/A</v>
      </c>
      <c r="BJ107" s="5">
        <v>3</v>
      </c>
      <c r="BK107" s="5">
        <v>4</v>
      </c>
      <c r="BL107" s="5">
        <v>2</v>
      </c>
      <c r="BN107" s="11" t="e">
        <v>#N/A</v>
      </c>
      <c r="BO107" s="5">
        <v>3</v>
      </c>
      <c r="BP107" s="5">
        <v>3</v>
      </c>
      <c r="BQ107" s="5">
        <v>2</v>
      </c>
      <c r="BS107" s="11" t="e">
        <v>#N/A</v>
      </c>
      <c r="BT107" s="5">
        <v>0.69599997997283936</v>
      </c>
      <c r="BU107" s="5">
        <v>0.72299998998641968</v>
      </c>
      <c r="BV107" s="5">
        <v>0.64099997282028198</v>
      </c>
      <c r="BX107" s="11" t="e">
        <v>#N/A</v>
      </c>
      <c r="BY107" s="5">
        <v>0</v>
      </c>
      <c r="BZ107" s="5">
        <v>0.39999999999999991</v>
      </c>
      <c r="CA107" s="5">
        <v>0</v>
      </c>
      <c r="CC107" s="11" t="e">
        <v>#N/A</v>
      </c>
      <c r="CD107" s="5">
        <v>0</v>
      </c>
      <c r="CE107" s="5">
        <v>0.21700000762939453</v>
      </c>
      <c r="CF107" s="5">
        <v>0</v>
      </c>
      <c r="CH107" s="11" t="e">
        <v>#N/A</v>
      </c>
      <c r="CI107" s="5">
        <v>0</v>
      </c>
      <c r="CJ107" s="5">
        <v>1</v>
      </c>
      <c r="CK107" s="5">
        <v>0</v>
      </c>
      <c r="CM107" s="11" t="e">
        <v>#N/A</v>
      </c>
      <c r="CN107" s="5">
        <v>1</v>
      </c>
      <c r="CO107" s="5">
        <v>2</v>
      </c>
      <c r="CP107" s="5">
        <v>0</v>
      </c>
      <c r="CR107" s="11" t="e">
        <v>#N/A</v>
      </c>
      <c r="CS107" s="5">
        <v>4.0110000000000001</v>
      </c>
      <c r="CT107" s="5">
        <v>2.2730000019073486</v>
      </c>
      <c r="CU107" s="5">
        <v>4.0110000000000001</v>
      </c>
    </row>
    <row r="108" spans="1:99" s="5" customFormat="1" x14ac:dyDescent="0.35">
      <c r="A108" s="4" t="s">
        <v>94</v>
      </c>
      <c r="B108" s="4">
        <v>5.25</v>
      </c>
      <c r="C108" s="4" t="s">
        <v>168</v>
      </c>
      <c r="D108" s="4" t="s">
        <v>404</v>
      </c>
      <c r="E108" s="3"/>
      <c r="F108" s="11" t="e">
        <v>#N/A</v>
      </c>
      <c r="G108" s="11" t="e">
        <v>#N/A</v>
      </c>
      <c r="H108" s="11" t="e">
        <v>#N/A</v>
      </c>
      <c r="I108" s="5" t="e">
        <v>#N/A</v>
      </c>
      <c r="K108" s="11" t="e">
        <v>#N/A</v>
      </c>
      <c r="L108" s="11" t="e">
        <v>#N/A</v>
      </c>
      <c r="M108" s="11" t="e">
        <v>#N/A</v>
      </c>
      <c r="N108" s="5">
        <v>2.4499999999999997</v>
      </c>
      <c r="P108" s="11" t="e">
        <v>#N/A</v>
      </c>
      <c r="Q108" s="11" t="e">
        <v>#N/A</v>
      </c>
      <c r="R108" s="11" t="e">
        <v>#N/A</v>
      </c>
      <c r="S108" s="5">
        <v>2.2000002861022949</v>
      </c>
      <c r="U108" s="11" t="e">
        <v>#N/A</v>
      </c>
      <c r="V108" s="11" t="e">
        <v>#N/A</v>
      </c>
      <c r="W108" s="11" t="e">
        <v>#N/A</v>
      </c>
      <c r="X108" s="5">
        <v>7</v>
      </c>
      <c r="Z108" s="11" t="e">
        <v>#N/A</v>
      </c>
      <c r="AA108" s="11" t="e">
        <v>#N/A</v>
      </c>
      <c r="AB108" s="11" t="e">
        <v>#N/A</v>
      </c>
      <c r="AC108" s="5">
        <v>1.5509999999999997</v>
      </c>
      <c r="AE108" s="11" t="e">
        <v>#N/A</v>
      </c>
      <c r="AF108" s="11" t="e">
        <v>#N/A</v>
      </c>
      <c r="AG108" s="11" t="e">
        <v>#N/A</v>
      </c>
      <c r="AH108" s="5">
        <v>1.3330001831054688</v>
      </c>
      <c r="AJ108" s="11" t="e">
        <v>#N/A</v>
      </c>
      <c r="AK108" s="11" t="e">
        <v>#N/A</v>
      </c>
      <c r="AL108" s="11" t="e">
        <v>#N/A</v>
      </c>
      <c r="AM108" s="5">
        <v>5</v>
      </c>
      <c r="AO108" s="11" t="e">
        <v>#N/A</v>
      </c>
      <c r="AP108" s="11" t="e">
        <v>#N/A</v>
      </c>
      <c r="AQ108" s="11" t="e">
        <v>#N/A</v>
      </c>
      <c r="AR108" s="5">
        <v>2</v>
      </c>
      <c r="AT108" s="11" t="e">
        <v>#N/A</v>
      </c>
      <c r="AU108" s="11" t="e">
        <v>#N/A</v>
      </c>
      <c r="AV108" s="11" t="e">
        <v>#N/A</v>
      </c>
      <c r="AW108" s="5">
        <v>1.6599999666213989</v>
      </c>
      <c r="AY108" s="11" t="e">
        <v>#N/A</v>
      </c>
      <c r="AZ108" s="11" t="e">
        <v>#N/A</v>
      </c>
      <c r="BA108" s="11" t="e">
        <v>#N/A</v>
      </c>
      <c r="BB108" s="5">
        <v>0</v>
      </c>
      <c r="BD108" s="11" t="e">
        <v>#N/A</v>
      </c>
      <c r="BE108" s="11" t="e">
        <v>#N/A</v>
      </c>
      <c r="BF108" s="11" t="e">
        <v>#N/A</v>
      </c>
      <c r="BG108" s="5">
        <v>0</v>
      </c>
      <c r="BI108" s="11" t="e">
        <v>#N/A</v>
      </c>
      <c r="BJ108" s="11" t="e">
        <v>#N/A</v>
      </c>
      <c r="BK108" s="11" t="e">
        <v>#N/A</v>
      </c>
      <c r="BL108" s="5">
        <v>0</v>
      </c>
      <c r="BN108" s="11" t="e">
        <v>#N/A</v>
      </c>
      <c r="BO108" s="11" t="e">
        <v>#N/A</v>
      </c>
      <c r="BP108" s="11" t="e">
        <v>#N/A</v>
      </c>
      <c r="BQ108" s="5">
        <v>0</v>
      </c>
      <c r="BS108" s="11" t="e">
        <v>#N/A</v>
      </c>
      <c r="BT108" s="11" t="e">
        <v>#N/A</v>
      </c>
      <c r="BU108" s="11" t="e">
        <v>#N/A</v>
      </c>
      <c r="BV108" s="5">
        <v>4.016</v>
      </c>
      <c r="BX108" s="11" t="e">
        <v>#N/A</v>
      </c>
      <c r="BY108" s="11" t="e">
        <v>#N/A</v>
      </c>
      <c r="BZ108" s="11" t="e">
        <v>#N/A</v>
      </c>
      <c r="CA108" s="5">
        <v>6.5999999999999837E-2</v>
      </c>
      <c r="CC108" s="11" t="e">
        <v>#N/A</v>
      </c>
      <c r="CD108" s="11" t="e">
        <v>#N/A</v>
      </c>
      <c r="CE108" s="11" t="e">
        <v>#N/A</v>
      </c>
      <c r="CF108" s="5">
        <v>0.10000002384185791</v>
      </c>
      <c r="CH108" s="11" t="e">
        <v>#N/A</v>
      </c>
      <c r="CI108" s="11" t="e">
        <v>#N/A</v>
      </c>
      <c r="CJ108" s="11" t="e">
        <v>#N/A</v>
      </c>
      <c r="CK108" s="5">
        <v>1</v>
      </c>
      <c r="CM108" s="11" t="e">
        <v>#N/A</v>
      </c>
      <c r="CN108" s="11" t="e">
        <v>#N/A</v>
      </c>
      <c r="CO108" s="11" t="e">
        <v>#N/A</v>
      </c>
      <c r="CP108" s="5">
        <v>2</v>
      </c>
      <c r="CR108" s="11" t="e">
        <v>#N/A</v>
      </c>
      <c r="CS108" s="11" t="e">
        <v>#N/A</v>
      </c>
      <c r="CT108" s="11" t="e">
        <v>#N/A</v>
      </c>
      <c r="CU108" s="5">
        <v>1.6599999666213989</v>
      </c>
    </row>
    <row r="109" spans="1:99" s="5" customFormat="1" x14ac:dyDescent="0.35">
      <c r="A109" s="4" t="s">
        <v>124</v>
      </c>
      <c r="B109" s="4">
        <v>5.25</v>
      </c>
      <c r="C109" s="4" t="s">
        <v>168</v>
      </c>
      <c r="D109" s="4" t="s">
        <v>404</v>
      </c>
      <c r="E109" s="3"/>
      <c r="F109" s="5">
        <v>4.0309999999999997</v>
      </c>
      <c r="G109" s="5">
        <v>4.0250000000000004</v>
      </c>
      <c r="H109" s="5">
        <v>4.0110000000000001</v>
      </c>
      <c r="I109" s="11" t="e">
        <v>#N/A</v>
      </c>
      <c r="K109" s="5">
        <v>3.7319999999999998</v>
      </c>
      <c r="L109" s="5">
        <v>3.9660000000000002</v>
      </c>
      <c r="M109" s="5">
        <v>3.35</v>
      </c>
      <c r="N109" s="11" t="e">
        <v>#N/A</v>
      </c>
      <c r="P109" s="5">
        <v>3.5339998006820679</v>
      </c>
      <c r="Q109" s="5">
        <v>3.6640004217624664</v>
      </c>
      <c r="R109" s="5">
        <v>3.1849997751414776</v>
      </c>
      <c r="S109" s="11" t="e">
        <v>#N/A</v>
      </c>
      <c r="U109" s="5">
        <v>9</v>
      </c>
      <c r="V109" s="5">
        <v>15</v>
      </c>
      <c r="W109" s="5">
        <v>7</v>
      </c>
      <c r="X109" s="11" t="e">
        <v>#N/A</v>
      </c>
      <c r="Z109" s="5">
        <v>3.7319999999999998</v>
      </c>
      <c r="AA109" s="5">
        <v>3.9660000000000002</v>
      </c>
      <c r="AB109" s="5">
        <v>3.0329999999999999</v>
      </c>
      <c r="AC109" s="11" t="e">
        <v>#N/A</v>
      </c>
      <c r="AE109" s="5">
        <v>3.5339998006820679</v>
      </c>
      <c r="AF109" s="5">
        <v>3.6640004217624664</v>
      </c>
      <c r="AG109" s="5">
        <v>2.9179997742176056</v>
      </c>
      <c r="AH109" s="11" t="e">
        <v>#N/A</v>
      </c>
      <c r="AJ109" s="5">
        <v>9</v>
      </c>
      <c r="AK109" s="5">
        <v>15</v>
      </c>
      <c r="AL109" s="5">
        <v>6</v>
      </c>
      <c r="AM109" s="11" t="e">
        <v>#N/A</v>
      </c>
      <c r="AO109" s="5">
        <v>1</v>
      </c>
      <c r="AP109" s="5">
        <v>1</v>
      </c>
      <c r="AQ109" s="5">
        <v>1</v>
      </c>
      <c r="AR109" s="11" t="e">
        <v>#N/A</v>
      </c>
      <c r="AT109" s="5">
        <v>0.34700000286102295</v>
      </c>
      <c r="AU109" s="5">
        <v>6.4999997615814209E-2</v>
      </c>
      <c r="AV109" s="5">
        <v>0.36700001358985901</v>
      </c>
      <c r="AW109" s="11" t="e">
        <v>#N/A</v>
      </c>
      <c r="AY109" s="5">
        <v>1.8000000000000003</v>
      </c>
      <c r="AZ109" s="5">
        <v>0.70000000000000018</v>
      </c>
      <c r="BA109" s="5">
        <v>1.0330000000000001</v>
      </c>
      <c r="BB109" s="11" t="e">
        <v>#N/A</v>
      </c>
      <c r="BD109" s="5">
        <v>1.8159998655319214</v>
      </c>
      <c r="BE109" s="5">
        <v>0.74900007247924805</v>
      </c>
      <c r="BF109" s="5">
        <v>1.184999942779541</v>
      </c>
      <c r="BG109" s="11" t="e">
        <v>#N/A</v>
      </c>
      <c r="BI109" s="5">
        <v>3</v>
      </c>
      <c r="BJ109" s="5">
        <v>4</v>
      </c>
      <c r="BK109" s="5">
        <v>3</v>
      </c>
      <c r="BL109" s="11" t="e">
        <v>#N/A</v>
      </c>
      <c r="BN109" s="5">
        <v>2</v>
      </c>
      <c r="BO109" s="5">
        <v>4</v>
      </c>
      <c r="BP109" s="5">
        <v>3</v>
      </c>
      <c r="BQ109" s="11" t="e">
        <v>#N/A</v>
      </c>
      <c r="BS109" s="5">
        <v>0.71399998664855957</v>
      </c>
      <c r="BT109" s="5">
        <v>0.78100001811981201</v>
      </c>
      <c r="BU109" s="5">
        <v>0.75</v>
      </c>
      <c r="BV109" s="11" t="e">
        <v>#N/A</v>
      </c>
      <c r="BX109" s="5">
        <v>4.9999999999999989E-2</v>
      </c>
      <c r="BY109" s="5">
        <v>0.15</v>
      </c>
      <c r="BZ109" s="5">
        <v>8.4000000000000075E-2</v>
      </c>
      <c r="CA109" s="11" t="e">
        <v>#N/A</v>
      </c>
      <c r="CC109" s="5">
        <v>0</v>
      </c>
      <c r="CD109" s="5">
        <v>0.16600000858306885</v>
      </c>
      <c r="CE109" s="5">
        <v>0</v>
      </c>
      <c r="CF109" s="11" t="e">
        <v>#N/A</v>
      </c>
      <c r="CH109" s="5">
        <v>0</v>
      </c>
      <c r="CI109" s="5">
        <v>1</v>
      </c>
      <c r="CJ109" s="5">
        <v>0</v>
      </c>
      <c r="CK109" s="11" t="e">
        <v>#N/A</v>
      </c>
      <c r="CM109" s="5">
        <v>1</v>
      </c>
      <c r="CN109" s="5">
        <v>1</v>
      </c>
      <c r="CO109" s="5">
        <v>1</v>
      </c>
      <c r="CP109" s="11" t="e">
        <v>#N/A</v>
      </c>
      <c r="CR109" s="5">
        <v>4.0309999999999997</v>
      </c>
      <c r="CS109" s="5">
        <v>6.4999997615814209E-2</v>
      </c>
      <c r="CT109" s="5">
        <v>4.0110000000000001</v>
      </c>
      <c r="CU109" s="11" t="e">
        <v>#N/A</v>
      </c>
    </row>
    <row r="110" spans="1:99" s="5" customFormat="1" x14ac:dyDescent="0.35">
      <c r="A110" s="4" t="s">
        <v>114</v>
      </c>
      <c r="B110" s="4">
        <v>5.333333333333333</v>
      </c>
      <c r="C110" s="4" t="s">
        <v>168</v>
      </c>
      <c r="D110" s="4" t="s">
        <v>404</v>
      </c>
      <c r="E110" s="3"/>
      <c r="F110" s="5">
        <v>4.0110000000000001</v>
      </c>
      <c r="G110" s="5" t="e">
        <v>#N/A</v>
      </c>
      <c r="H110" s="5" t="e">
        <v>#N/A</v>
      </c>
      <c r="I110" s="5" t="e">
        <v>#N/A</v>
      </c>
      <c r="K110" s="5">
        <v>3.7330000000000001</v>
      </c>
      <c r="L110" s="5">
        <v>2.633</v>
      </c>
      <c r="M110" s="5">
        <v>2.3660000000000001</v>
      </c>
      <c r="N110" s="11" t="e">
        <v>#N/A</v>
      </c>
      <c r="P110" s="5">
        <v>3.201000195927918</v>
      </c>
      <c r="Q110" s="5">
        <v>2.6010000398382545</v>
      </c>
      <c r="R110" s="5">
        <v>1.7820001402869821</v>
      </c>
      <c r="S110" s="11" t="e">
        <v>#N/A</v>
      </c>
      <c r="U110" s="5">
        <v>10</v>
      </c>
      <c r="V110" s="5">
        <v>5</v>
      </c>
      <c r="W110" s="5">
        <v>6</v>
      </c>
      <c r="X110" s="11" t="e">
        <v>#N/A</v>
      </c>
      <c r="Z110" s="5">
        <v>3.4159999999999999</v>
      </c>
      <c r="AA110" s="5">
        <v>2.9329999999999998</v>
      </c>
      <c r="AB110" s="5">
        <v>2.3660000000000001</v>
      </c>
      <c r="AC110" s="11" t="e">
        <v>#N/A</v>
      </c>
      <c r="AE110" s="5">
        <v>3.201000195927918</v>
      </c>
      <c r="AF110" s="5">
        <v>2.6010000398382545</v>
      </c>
      <c r="AG110" s="5">
        <v>1.7820001402869821</v>
      </c>
      <c r="AH110" s="11" t="e">
        <v>#N/A</v>
      </c>
      <c r="AJ110" s="5">
        <v>10</v>
      </c>
      <c r="AK110" s="5">
        <v>5</v>
      </c>
      <c r="AL110" s="5">
        <v>6</v>
      </c>
      <c r="AM110" s="11" t="e">
        <v>#N/A</v>
      </c>
      <c r="AO110" s="5">
        <v>3</v>
      </c>
      <c r="AP110" s="5">
        <v>1</v>
      </c>
      <c r="AQ110" s="5">
        <v>1</v>
      </c>
      <c r="AR110" s="11" t="e">
        <v>#N/A</v>
      </c>
      <c r="AT110" s="5">
        <v>6.0000000521540642E-3</v>
      </c>
      <c r="AU110" s="5">
        <v>7.0000002160668373E-3</v>
      </c>
      <c r="AV110" s="5">
        <v>8.0000003799796104E-3</v>
      </c>
      <c r="AW110" s="11" t="e">
        <v>#N/A</v>
      </c>
      <c r="AY110" s="5">
        <v>1.4489999999999998</v>
      </c>
      <c r="AZ110" s="5">
        <v>0.21700000000000008</v>
      </c>
      <c r="BA110" s="5">
        <v>0.18300000000000016</v>
      </c>
      <c r="BB110" s="11" t="e">
        <v>#N/A</v>
      </c>
      <c r="BD110" s="5">
        <v>1.1500000953674316</v>
      </c>
      <c r="BE110" s="5">
        <v>0.46700000762939453</v>
      </c>
      <c r="BF110" s="5">
        <v>0.10000002384185791</v>
      </c>
      <c r="BG110" s="11" t="e">
        <v>#N/A</v>
      </c>
      <c r="BI110" s="5">
        <v>3</v>
      </c>
      <c r="BJ110" s="5">
        <v>1</v>
      </c>
      <c r="BK110" s="5">
        <v>1</v>
      </c>
      <c r="BL110" s="11" t="e">
        <v>#N/A</v>
      </c>
      <c r="BN110" s="5">
        <v>4</v>
      </c>
      <c r="BO110" s="5">
        <v>1</v>
      </c>
      <c r="BP110" s="5">
        <v>2</v>
      </c>
      <c r="BQ110" s="11" t="e">
        <v>#N/A</v>
      </c>
      <c r="BS110" s="5">
        <v>1.1059999465942383</v>
      </c>
      <c r="BT110" s="5">
        <v>1.3229999542236328</v>
      </c>
      <c r="BU110" s="5">
        <v>1.656999945640564</v>
      </c>
      <c r="BV110" s="11" t="e">
        <v>#N/A</v>
      </c>
      <c r="BX110" s="5">
        <v>0.50100000000000011</v>
      </c>
      <c r="BY110" s="5">
        <v>0.5</v>
      </c>
      <c r="BZ110" s="5">
        <v>0</v>
      </c>
      <c r="CA110" s="11" t="e">
        <v>#N/A</v>
      </c>
      <c r="CC110" s="5">
        <v>0.66699991840869188</v>
      </c>
      <c r="CD110" s="5">
        <v>0.50000002887099981</v>
      </c>
      <c r="CE110" s="5">
        <v>0</v>
      </c>
      <c r="CF110" s="11" t="e">
        <v>#N/A</v>
      </c>
      <c r="CH110" s="5">
        <v>3</v>
      </c>
      <c r="CI110" s="5">
        <v>1</v>
      </c>
      <c r="CJ110" s="5">
        <v>0</v>
      </c>
      <c r="CK110" s="11" t="e">
        <v>#N/A</v>
      </c>
      <c r="CM110" s="5">
        <v>4</v>
      </c>
      <c r="CN110" s="5">
        <v>1</v>
      </c>
      <c r="CO110" s="5">
        <v>1</v>
      </c>
      <c r="CP110" s="11" t="e">
        <v>#N/A</v>
      </c>
      <c r="CR110" s="5">
        <v>6.0000000521540642E-3</v>
      </c>
      <c r="CS110" s="5">
        <v>7.0000002160668373E-3</v>
      </c>
      <c r="CT110" s="5">
        <v>4.0060000000000002</v>
      </c>
      <c r="CU110" s="11" t="e">
        <v>#N/A</v>
      </c>
    </row>
    <row r="111" spans="1:99" s="5" customFormat="1" x14ac:dyDescent="0.35">
      <c r="A111" s="4" t="s">
        <v>122</v>
      </c>
      <c r="B111" s="4">
        <v>5.333333333333333</v>
      </c>
      <c r="C111" s="4" t="s">
        <v>168</v>
      </c>
      <c r="D111" s="4" t="s">
        <v>404</v>
      </c>
      <c r="E111" s="3"/>
      <c r="F111" s="5">
        <v>4.0110000000000001</v>
      </c>
      <c r="G111" s="5">
        <v>4.016</v>
      </c>
      <c r="H111" s="5">
        <v>4.016</v>
      </c>
      <c r="I111" s="5">
        <v>4.016</v>
      </c>
      <c r="K111" s="5">
        <v>3.9989999999999997</v>
      </c>
      <c r="L111" s="5">
        <v>3.9990000000000001</v>
      </c>
      <c r="M111" s="5">
        <v>3.7650000000000001</v>
      </c>
      <c r="N111" s="5">
        <v>3.9660000000000002</v>
      </c>
      <c r="P111" s="5">
        <v>3.7500001443549991</v>
      </c>
      <c r="Q111" s="5">
        <v>3.6989994794130325</v>
      </c>
      <c r="R111" s="5">
        <v>3.5149996280670166</v>
      </c>
      <c r="S111" s="5">
        <v>3.3359999060630798</v>
      </c>
      <c r="U111" s="5">
        <v>10</v>
      </c>
      <c r="V111" s="5">
        <v>12</v>
      </c>
      <c r="W111" s="5">
        <v>7</v>
      </c>
      <c r="X111" s="5">
        <v>12</v>
      </c>
      <c r="Z111" s="5">
        <v>3.7329999999999997</v>
      </c>
      <c r="AA111" s="5">
        <v>3.6160000000000005</v>
      </c>
      <c r="AB111" s="5">
        <v>3.649</v>
      </c>
      <c r="AC111" s="5">
        <v>3.4660000000000002</v>
      </c>
      <c r="AE111" s="5">
        <v>3.5000001490116119</v>
      </c>
      <c r="AF111" s="5">
        <v>3.3489993363618851</v>
      </c>
      <c r="AG111" s="5">
        <v>3.5149996280670166</v>
      </c>
      <c r="AH111" s="5">
        <v>3.0859999060630798</v>
      </c>
      <c r="AJ111" s="5">
        <v>9</v>
      </c>
      <c r="AK111" s="5">
        <v>10</v>
      </c>
      <c r="AL111" s="5">
        <v>7</v>
      </c>
      <c r="AM111" s="5">
        <v>11</v>
      </c>
      <c r="AO111" s="5">
        <v>1</v>
      </c>
      <c r="AP111" s="5">
        <v>3</v>
      </c>
      <c r="AQ111" s="5">
        <v>1</v>
      </c>
      <c r="AR111" s="5">
        <v>2</v>
      </c>
      <c r="AT111" s="5">
        <v>0.27099999785423279</v>
      </c>
      <c r="AU111" s="5">
        <v>5.9000000357627869E-2</v>
      </c>
      <c r="AV111" s="5">
        <v>0.39899998903274536</v>
      </c>
      <c r="AW111" s="5">
        <v>0.38400000333786011</v>
      </c>
      <c r="AY111" s="5">
        <v>2.0160000000000009</v>
      </c>
      <c r="AZ111" s="5">
        <v>1.6819999999999995</v>
      </c>
      <c r="BA111" s="5">
        <v>1.8330000000000004</v>
      </c>
      <c r="BB111" s="5">
        <v>2.2320000000000002</v>
      </c>
      <c r="BD111" s="5">
        <v>1.9650000929832458</v>
      </c>
      <c r="BE111" s="5">
        <v>1.6659995317459106</v>
      </c>
      <c r="BF111" s="5">
        <v>1.964999794960022</v>
      </c>
      <c r="BG111" s="5">
        <v>2.1339998841285706</v>
      </c>
      <c r="BI111" s="5">
        <v>4</v>
      </c>
      <c r="BJ111" s="5">
        <v>4</v>
      </c>
      <c r="BK111" s="5">
        <v>4</v>
      </c>
      <c r="BL111" s="5">
        <v>6</v>
      </c>
      <c r="BN111" s="5">
        <v>3</v>
      </c>
      <c r="BO111" s="5">
        <v>4</v>
      </c>
      <c r="BP111" s="5">
        <v>3</v>
      </c>
      <c r="BQ111" s="5">
        <v>3</v>
      </c>
      <c r="BS111" s="5">
        <v>0.73799997568130493</v>
      </c>
      <c r="BT111" s="5">
        <v>0.52499997615814209</v>
      </c>
      <c r="BU111" s="5">
        <v>0.39899998903274536</v>
      </c>
      <c r="BV111" s="5">
        <v>0.38400000333786011</v>
      </c>
      <c r="BX111" s="5">
        <v>0.68399999999999994</v>
      </c>
      <c r="BY111" s="5">
        <v>0.11699999999999999</v>
      </c>
      <c r="BZ111" s="5">
        <v>0</v>
      </c>
      <c r="CA111" s="5">
        <v>0.41600000000000015</v>
      </c>
      <c r="CC111" s="5">
        <v>0.48399996757507324</v>
      </c>
      <c r="CD111" s="5">
        <v>0.18300008773803711</v>
      </c>
      <c r="CE111" s="5">
        <v>0</v>
      </c>
      <c r="CF111" s="5">
        <v>0.41700005531311035</v>
      </c>
      <c r="CH111" s="5">
        <v>1</v>
      </c>
      <c r="CI111" s="5">
        <v>1</v>
      </c>
      <c r="CJ111" s="5">
        <v>0</v>
      </c>
      <c r="CK111" s="5">
        <v>1</v>
      </c>
      <c r="CM111" s="5">
        <v>2</v>
      </c>
      <c r="CN111" s="5">
        <v>1</v>
      </c>
      <c r="CO111" s="5">
        <v>0</v>
      </c>
      <c r="CP111" s="5">
        <v>2</v>
      </c>
      <c r="CR111" s="5">
        <v>2.3870000839233398</v>
      </c>
      <c r="CS111" s="5">
        <v>3.2079999446868896</v>
      </c>
      <c r="CT111" s="5">
        <v>4.016</v>
      </c>
      <c r="CU111" s="5">
        <v>3.5829999446868896</v>
      </c>
    </row>
    <row r="112" spans="1:99" s="5" customFormat="1" x14ac:dyDescent="0.35">
      <c r="A112" s="4" t="s">
        <v>118</v>
      </c>
      <c r="B112" s="4">
        <v>5.416666666666667</v>
      </c>
      <c r="C112" s="4" t="s">
        <v>168</v>
      </c>
      <c r="D112" s="4" t="s">
        <v>404</v>
      </c>
      <c r="E112" s="3"/>
      <c r="F112" s="5" t="e">
        <v>#N/A</v>
      </c>
      <c r="G112" s="5" t="e">
        <v>#N/A</v>
      </c>
      <c r="H112" s="5" t="e">
        <v>#N/A</v>
      </c>
      <c r="I112" s="5">
        <v>3.1989999999999998</v>
      </c>
      <c r="K112" s="11" t="e">
        <v>#N/A</v>
      </c>
      <c r="L112" s="11" t="e">
        <v>#N/A</v>
      </c>
      <c r="M112" s="11" t="e">
        <v>#N/A</v>
      </c>
      <c r="N112" s="5">
        <v>2.1670000000000003</v>
      </c>
      <c r="P112" s="11" t="e">
        <v>#N/A</v>
      </c>
      <c r="Q112" s="11" t="e">
        <v>#N/A</v>
      </c>
      <c r="R112" s="11" t="e">
        <v>#N/A</v>
      </c>
      <c r="S112" s="5">
        <v>1.446999728679657</v>
      </c>
      <c r="U112" s="11" t="e">
        <v>#N/A</v>
      </c>
      <c r="V112" s="11" t="e">
        <v>#N/A</v>
      </c>
      <c r="W112" s="11" t="e">
        <v>#N/A</v>
      </c>
      <c r="X112" s="5">
        <v>8</v>
      </c>
      <c r="Z112" s="11" t="e">
        <v>#N/A</v>
      </c>
      <c r="AA112" s="11" t="e">
        <v>#N/A</v>
      </c>
      <c r="AB112" s="11" t="e">
        <v>#N/A</v>
      </c>
      <c r="AC112" s="5">
        <v>1.2490000000000003</v>
      </c>
      <c r="AE112" s="11" t="e">
        <v>#N/A</v>
      </c>
      <c r="AF112" s="11" t="e">
        <v>#N/A</v>
      </c>
      <c r="AG112" s="11" t="e">
        <v>#N/A</v>
      </c>
      <c r="AH112" s="5">
        <v>1.1809999346733093</v>
      </c>
      <c r="AJ112" s="11" t="e">
        <v>#N/A</v>
      </c>
      <c r="AK112" s="11" t="e">
        <v>#N/A</v>
      </c>
      <c r="AL112" s="11" t="e">
        <v>#N/A</v>
      </c>
      <c r="AM112" s="5">
        <v>6</v>
      </c>
      <c r="AO112" s="11" t="e">
        <v>#N/A</v>
      </c>
      <c r="AP112" s="11" t="e">
        <v>#N/A</v>
      </c>
      <c r="AQ112" s="11" t="e">
        <v>#N/A</v>
      </c>
      <c r="AR112" s="5">
        <v>6</v>
      </c>
      <c r="AT112" s="11" t="e">
        <v>#N/A</v>
      </c>
      <c r="AU112" s="11" t="e">
        <v>#N/A</v>
      </c>
      <c r="AV112" s="11" t="e">
        <v>#N/A</v>
      </c>
      <c r="AW112" s="5">
        <v>0.62099999189376831</v>
      </c>
      <c r="AY112" s="11" t="e">
        <v>#N/A</v>
      </c>
      <c r="AZ112" s="11" t="e">
        <v>#N/A</v>
      </c>
      <c r="BA112" s="11" t="e">
        <v>#N/A</v>
      </c>
      <c r="BB112" s="5">
        <v>0.23299999999999987</v>
      </c>
      <c r="BD112" s="11" t="e">
        <v>#N/A</v>
      </c>
      <c r="BE112" s="11" t="e">
        <v>#N/A</v>
      </c>
      <c r="BF112" s="11" t="e">
        <v>#N/A</v>
      </c>
      <c r="BG112" s="5">
        <v>0.31599998474121094</v>
      </c>
      <c r="BI112" s="11" t="e">
        <v>#N/A</v>
      </c>
      <c r="BJ112" s="11" t="e">
        <v>#N/A</v>
      </c>
      <c r="BK112" s="11" t="e">
        <v>#N/A</v>
      </c>
      <c r="BL112" s="5">
        <v>1</v>
      </c>
      <c r="BN112" s="11" t="e">
        <v>#N/A</v>
      </c>
      <c r="BO112" s="11" t="e">
        <v>#N/A</v>
      </c>
      <c r="BP112" s="11" t="e">
        <v>#N/A</v>
      </c>
      <c r="BQ112" s="5">
        <v>1</v>
      </c>
      <c r="BS112" s="11" t="e">
        <v>#N/A</v>
      </c>
      <c r="BT112" s="11" t="e">
        <v>#N/A</v>
      </c>
      <c r="BU112" s="11" t="e">
        <v>#N/A</v>
      </c>
      <c r="BV112" s="5">
        <v>1.3380000591278076</v>
      </c>
      <c r="BX112" s="11" t="e">
        <v>#N/A</v>
      </c>
      <c r="BY112" s="11" t="e">
        <v>#N/A</v>
      </c>
      <c r="BZ112" s="11" t="e">
        <v>#N/A</v>
      </c>
      <c r="CA112" s="5">
        <v>0</v>
      </c>
      <c r="CC112" s="11" t="e">
        <v>#N/A</v>
      </c>
      <c r="CD112" s="11" t="e">
        <v>#N/A</v>
      </c>
      <c r="CE112" s="11" t="e">
        <v>#N/A</v>
      </c>
      <c r="CF112" s="5">
        <v>0</v>
      </c>
      <c r="CH112" s="11" t="e">
        <v>#N/A</v>
      </c>
      <c r="CI112" s="11" t="e">
        <v>#N/A</v>
      </c>
      <c r="CJ112" s="11" t="e">
        <v>#N/A</v>
      </c>
      <c r="CK112" s="5">
        <v>0</v>
      </c>
      <c r="CM112" s="11" t="e">
        <v>#N/A</v>
      </c>
      <c r="CN112" s="11" t="e">
        <v>#N/A</v>
      </c>
      <c r="CO112" s="11" t="e">
        <v>#N/A</v>
      </c>
      <c r="CP112" s="5">
        <v>0</v>
      </c>
      <c r="CR112" s="11" t="e">
        <v>#N/A</v>
      </c>
      <c r="CS112" s="11" t="e">
        <v>#N/A</v>
      </c>
      <c r="CT112" s="11" t="e">
        <v>#N/A</v>
      </c>
      <c r="CU112" s="5">
        <v>4.0149999999999997</v>
      </c>
    </row>
    <row r="113" spans="1:99" s="5" customFormat="1" x14ac:dyDescent="0.35">
      <c r="A113" s="4" t="s">
        <v>119</v>
      </c>
      <c r="B113" s="4">
        <v>5.416666666666667</v>
      </c>
      <c r="C113" s="4" t="s">
        <v>168</v>
      </c>
      <c r="D113" s="4" t="s">
        <v>404</v>
      </c>
      <c r="E113" s="3"/>
      <c r="F113" s="5">
        <v>4.01</v>
      </c>
      <c r="G113" s="5">
        <v>4.0019999999999998</v>
      </c>
      <c r="H113" s="5">
        <v>4.016</v>
      </c>
      <c r="I113" s="5">
        <v>4.0250000000000004</v>
      </c>
      <c r="K113" s="5">
        <v>3.9820000000000002</v>
      </c>
      <c r="L113" s="5">
        <v>3.25</v>
      </c>
      <c r="M113" s="5">
        <v>3.9990000000000001</v>
      </c>
      <c r="N113" s="5">
        <v>3.9990000000000001</v>
      </c>
      <c r="P113" s="5">
        <v>3.8989999704062939</v>
      </c>
      <c r="Q113" s="5">
        <v>2.9179999530315399</v>
      </c>
      <c r="R113" s="5">
        <v>3.8820000072009861</v>
      </c>
      <c r="S113" s="5">
        <v>3.849999831058085</v>
      </c>
      <c r="U113" s="5">
        <v>6</v>
      </c>
      <c r="V113" s="5">
        <v>7</v>
      </c>
      <c r="W113" s="5">
        <v>8</v>
      </c>
      <c r="X113" s="5">
        <v>10</v>
      </c>
      <c r="Z113" s="5">
        <v>3.9820000000000002</v>
      </c>
      <c r="AA113" s="5">
        <v>3.0169999999999999</v>
      </c>
      <c r="AB113" s="5">
        <v>3.9990000000000001</v>
      </c>
      <c r="AC113" s="5">
        <v>3.9990000000000001</v>
      </c>
      <c r="AE113" s="5">
        <v>3.8989999704062939</v>
      </c>
      <c r="AF113" s="5">
        <v>2.9179999530315399</v>
      </c>
      <c r="AG113" s="5">
        <v>3.8820000072009861</v>
      </c>
      <c r="AH113" s="5">
        <v>3.849999831058085</v>
      </c>
      <c r="AJ113" s="5">
        <v>6</v>
      </c>
      <c r="AK113" s="5">
        <v>7</v>
      </c>
      <c r="AL113" s="5">
        <v>8</v>
      </c>
      <c r="AM113" s="5">
        <v>10</v>
      </c>
      <c r="AO113" s="5">
        <v>1</v>
      </c>
      <c r="AP113" s="5">
        <v>1</v>
      </c>
      <c r="AQ113" s="5">
        <v>1</v>
      </c>
      <c r="AR113" s="5">
        <v>1</v>
      </c>
      <c r="AT113" s="5">
        <v>1.3000000268220901E-2</v>
      </c>
      <c r="AU113" s="5">
        <v>0.23800000548362732</v>
      </c>
      <c r="AV113" s="5">
        <v>4.0000001899898052E-3</v>
      </c>
      <c r="AW113" s="5">
        <v>1.4999999664723873E-2</v>
      </c>
      <c r="AY113" s="5">
        <v>0.53299999999999992</v>
      </c>
      <c r="AZ113" s="5">
        <v>1.1679999999999997</v>
      </c>
      <c r="BA113" s="5">
        <v>3.4169999999999998</v>
      </c>
      <c r="BB113" s="5">
        <v>2.1660000000000004</v>
      </c>
      <c r="BD113" s="5">
        <v>1.2170000486075878</v>
      </c>
      <c r="BE113" s="5">
        <v>1.668000191450119</v>
      </c>
      <c r="BF113" s="5">
        <v>3.4160000085830688</v>
      </c>
      <c r="BG113" s="5">
        <v>2.1169999241828918</v>
      </c>
      <c r="BI113" s="5">
        <v>2</v>
      </c>
      <c r="BJ113" s="5">
        <v>5</v>
      </c>
      <c r="BK113" s="5">
        <v>7</v>
      </c>
      <c r="BL113" s="5">
        <v>6</v>
      </c>
      <c r="BN113" s="5">
        <v>2</v>
      </c>
      <c r="BO113" s="5">
        <v>3</v>
      </c>
      <c r="BP113" s="5">
        <v>2</v>
      </c>
      <c r="BQ113" s="5">
        <v>3</v>
      </c>
      <c r="BS113" s="5">
        <v>1.3000000268220901E-2</v>
      </c>
      <c r="BT113" s="5">
        <v>0.23800000548362732</v>
      </c>
      <c r="BU113" s="5">
        <v>0.4869999885559082</v>
      </c>
      <c r="BV113" s="5">
        <v>0.5820000171661377</v>
      </c>
      <c r="BX113" s="5">
        <v>0</v>
      </c>
      <c r="BY113" s="5">
        <v>0.53299999999999992</v>
      </c>
      <c r="BZ113" s="5">
        <v>0</v>
      </c>
      <c r="CA113" s="5">
        <v>0</v>
      </c>
      <c r="CC113" s="5">
        <v>0</v>
      </c>
      <c r="CD113" s="5">
        <v>0.59999990463256836</v>
      </c>
      <c r="CE113" s="5">
        <v>0</v>
      </c>
      <c r="CF113" s="5">
        <v>0</v>
      </c>
      <c r="CH113" s="5">
        <v>0</v>
      </c>
      <c r="CI113" s="5">
        <v>1</v>
      </c>
      <c r="CJ113" s="5">
        <v>0</v>
      </c>
      <c r="CK113" s="5">
        <v>0</v>
      </c>
      <c r="CM113" s="5">
        <v>0</v>
      </c>
      <c r="CN113" s="5">
        <v>1</v>
      </c>
      <c r="CO113" s="5">
        <v>0</v>
      </c>
      <c r="CP113" s="5">
        <v>0</v>
      </c>
      <c r="CR113" s="5">
        <v>4.01</v>
      </c>
      <c r="CS113" s="5">
        <v>2.255000114440918</v>
      </c>
      <c r="CT113" s="5">
        <v>4.016</v>
      </c>
      <c r="CU113" s="5">
        <v>4.0250000000000004</v>
      </c>
    </row>
    <row r="114" spans="1:99" s="5" customFormat="1" x14ac:dyDescent="0.35">
      <c r="A114" s="4" t="s">
        <v>142</v>
      </c>
      <c r="B114" s="4">
        <v>5.5</v>
      </c>
      <c r="C114" s="4" t="s">
        <v>168</v>
      </c>
      <c r="D114" s="4" t="s">
        <v>404</v>
      </c>
      <c r="E114" s="3"/>
      <c r="F114" s="11" t="e">
        <v>#N/A</v>
      </c>
      <c r="G114" s="5">
        <v>4.0030000000000001</v>
      </c>
      <c r="H114" s="5">
        <v>4.0309999999999997</v>
      </c>
      <c r="I114" s="5">
        <v>3.9750000000000001</v>
      </c>
      <c r="K114" s="11" t="e">
        <v>#N/A</v>
      </c>
      <c r="L114" s="5">
        <v>3.9830000000000001</v>
      </c>
      <c r="M114" s="5">
        <v>4.016</v>
      </c>
      <c r="N114" s="5">
        <v>3.4659999999999997</v>
      </c>
      <c r="P114" s="11" t="e">
        <v>#N/A</v>
      </c>
      <c r="Q114" s="5">
        <v>3.8639998426660895</v>
      </c>
      <c r="R114" s="5">
        <v>3.7979998867958784</v>
      </c>
      <c r="S114" s="5">
        <v>3.0829998031258583</v>
      </c>
      <c r="U114" s="11" t="e">
        <v>#N/A</v>
      </c>
      <c r="V114" s="5">
        <v>8</v>
      </c>
      <c r="W114" s="5">
        <v>9</v>
      </c>
      <c r="X114" s="5">
        <v>8</v>
      </c>
      <c r="Z114" s="11" t="e">
        <v>#N/A</v>
      </c>
      <c r="AA114" s="5">
        <v>3.9830000000000001</v>
      </c>
      <c r="AB114" s="5">
        <v>4.016</v>
      </c>
      <c r="AC114" s="5">
        <v>3.1829999999999998</v>
      </c>
      <c r="AE114" s="11" t="e">
        <v>#N/A</v>
      </c>
      <c r="AF114" s="5">
        <v>3.8639998426660895</v>
      </c>
      <c r="AG114" s="5">
        <v>3.7979998867958784</v>
      </c>
      <c r="AH114" s="5">
        <v>3.0829998031258583</v>
      </c>
      <c r="AJ114" s="11" t="e">
        <v>#N/A</v>
      </c>
      <c r="AK114" s="5">
        <v>8</v>
      </c>
      <c r="AL114" s="5">
        <v>9</v>
      </c>
      <c r="AM114" s="5">
        <v>8</v>
      </c>
      <c r="AO114" s="11" t="e">
        <v>#N/A</v>
      </c>
      <c r="AP114" s="5">
        <v>1</v>
      </c>
      <c r="AQ114" s="5">
        <v>1</v>
      </c>
      <c r="AR114" s="5">
        <v>2</v>
      </c>
      <c r="AT114" s="11" t="e">
        <v>#N/A</v>
      </c>
      <c r="AU114" s="5">
        <v>7.0000002160668373E-3</v>
      </c>
      <c r="AV114" s="5">
        <v>1.4000000432133675E-2</v>
      </c>
      <c r="AW114" s="5">
        <v>1.0999999940395355E-2</v>
      </c>
      <c r="AY114" s="11" t="e">
        <v>#N/A</v>
      </c>
      <c r="AZ114" s="5">
        <v>1.9329999999999998</v>
      </c>
      <c r="BA114" s="5">
        <v>3.2149999999999999</v>
      </c>
      <c r="BB114" s="5">
        <v>2.117</v>
      </c>
      <c r="BD114" s="11" t="e">
        <v>#N/A</v>
      </c>
      <c r="BE114" s="5">
        <v>1.9150000512599945</v>
      </c>
      <c r="BF114" s="5">
        <v>3.4149998724460602</v>
      </c>
      <c r="BG114" s="5">
        <v>1.9660000801086426</v>
      </c>
      <c r="BI114" s="11" t="e">
        <v>#N/A</v>
      </c>
      <c r="BJ114" s="5">
        <v>4</v>
      </c>
      <c r="BK114" s="5">
        <v>8</v>
      </c>
      <c r="BL114" s="5">
        <v>4</v>
      </c>
      <c r="BN114" s="11" t="e">
        <v>#N/A</v>
      </c>
      <c r="BO114" s="5">
        <v>2</v>
      </c>
      <c r="BP114" s="5">
        <v>3</v>
      </c>
      <c r="BQ114" s="5">
        <v>2</v>
      </c>
      <c r="BS114" s="11" t="e">
        <v>#N/A</v>
      </c>
      <c r="BT114" s="5">
        <v>0.42399999499320984</v>
      </c>
      <c r="BU114" s="5">
        <v>0.414000004529953</v>
      </c>
      <c r="BV114" s="5">
        <v>0.36100000143051147</v>
      </c>
      <c r="BX114" s="11" t="e">
        <v>#N/A</v>
      </c>
      <c r="BY114" s="5">
        <v>1.2999999999999998</v>
      </c>
      <c r="BZ114" s="5">
        <v>0</v>
      </c>
      <c r="CA114" s="5">
        <v>0</v>
      </c>
      <c r="CC114" s="11" t="e">
        <v>#N/A</v>
      </c>
      <c r="CD114" s="5">
        <v>1.2159998416900635</v>
      </c>
      <c r="CE114" s="5">
        <v>0</v>
      </c>
      <c r="CF114" s="5">
        <v>0</v>
      </c>
      <c r="CH114" s="11" t="e">
        <v>#N/A</v>
      </c>
      <c r="CI114" s="5">
        <v>1</v>
      </c>
      <c r="CJ114" s="5">
        <v>0</v>
      </c>
      <c r="CK114" s="5">
        <v>0</v>
      </c>
      <c r="CM114" s="11" t="e">
        <v>#N/A</v>
      </c>
      <c r="CN114" s="5">
        <v>2</v>
      </c>
      <c r="CO114" s="5">
        <v>0</v>
      </c>
      <c r="CP114" s="5">
        <v>0</v>
      </c>
      <c r="CR114" s="11" t="e">
        <v>#N/A</v>
      </c>
      <c r="CS114" s="5">
        <v>2.4070000648498535</v>
      </c>
      <c r="CT114" s="5">
        <v>4.0309999999999997</v>
      </c>
      <c r="CU114" s="5">
        <v>3.9750000000000001</v>
      </c>
    </row>
    <row r="115" spans="1:99" s="5" customFormat="1" x14ac:dyDescent="0.35">
      <c r="A115" s="4" t="s">
        <v>138</v>
      </c>
      <c r="B115" s="4">
        <v>5.583333333333333</v>
      </c>
      <c r="C115" s="4" t="s">
        <v>168</v>
      </c>
      <c r="D115" s="4" t="s">
        <v>404</v>
      </c>
      <c r="E115" s="3"/>
      <c r="F115" s="11" t="e">
        <v>#N/A</v>
      </c>
      <c r="G115" s="11" t="e">
        <v>#N/A</v>
      </c>
      <c r="H115" s="5" t="e">
        <v>#N/A</v>
      </c>
      <c r="I115" s="11" t="e">
        <v>#N/A</v>
      </c>
      <c r="K115" s="11" t="e">
        <v>#N/A</v>
      </c>
      <c r="L115" s="11" t="e">
        <v>#N/A</v>
      </c>
      <c r="M115" s="11" t="e">
        <v>#N/A</v>
      </c>
      <c r="N115" s="11" t="e">
        <v>#N/A</v>
      </c>
      <c r="P115" s="11" t="e">
        <v>#N/A</v>
      </c>
      <c r="Q115" s="11" t="e">
        <v>#N/A</v>
      </c>
      <c r="R115" s="11" t="e">
        <v>#N/A</v>
      </c>
      <c r="S115" s="11" t="e">
        <v>#N/A</v>
      </c>
      <c r="U115" s="11" t="e">
        <v>#N/A</v>
      </c>
      <c r="V115" s="11" t="e">
        <v>#N/A</v>
      </c>
      <c r="W115" s="11" t="e">
        <v>#N/A</v>
      </c>
      <c r="X115" s="11" t="e">
        <v>#N/A</v>
      </c>
      <c r="Z115" s="11" t="e">
        <v>#N/A</v>
      </c>
      <c r="AA115" s="11" t="e">
        <v>#N/A</v>
      </c>
      <c r="AB115" s="11" t="e">
        <v>#N/A</v>
      </c>
      <c r="AC115" s="11" t="e">
        <v>#N/A</v>
      </c>
      <c r="AE115" s="11" t="e">
        <v>#N/A</v>
      </c>
      <c r="AF115" s="11" t="e">
        <v>#N/A</v>
      </c>
      <c r="AG115" s="11" t="e">
        <v>#N/A</v>
      </c>
      <c r="AH115" s="11" t="e">
        <v>#N/A</v>
      </c>
      <c r="AJ115" s="11" t="e">
        <v>#N/A</v>
      </c>
      <c r="AK115" s="11" t="e">
        <v>#N/A</v>
      </c>
      <c r="AL115" s="11" t="e">
        <v>#N/A</v>
      </c>
      <c r="AM115" s="11" t="e">
        <v>#N/A</v>
      </c>
      <c r="AO115" s="11" t="e">
        <v>#N/A</v>
      </c>
      <c r="AP115" s="11" t="e">
        <v>#N/A</v>
      </c>
      <c r="AQ115" s="11" t="e">
        <v>#N/A</v>
      </c>
      <c r="AR115" s="11" t="e">
        <v>#N/A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Y115" s="11" t="e">
        <v>#N/A</v>
      </c>
      <c r="AZ115" s="11" t="e">
        <v>#N/A</v>
      </c>
      <c r="BA115" s="11" t="e">
        <v>#N/A</v>
      </c>
      <c r="BB115" s="11" t="e">
        <v>#N/A</v>
      </c>
      <c r="BD115" s="11" t="e">
        <v>#N/A</v>
      </c>
      <c r="BE115" s="11" t="e">
        <v>#N/A</v>
      </c>
      <c r="BF115" s="11" t="e">
        <v>#N/A</v>
      </c>
      <c r="BG115" s="11" t="e">
        <v>#N/A</v>
      </c>
      <c r="BI115" s="11" t="e">
        <v>#N/A</v>
      </c>
      <c r="BJ115" s="11" t="e">
        <v>#N/A</v>
      </c>
      <c r="BK115" s="11" t="e">
        <v>#N/A</v>
      </c>
      <c r="BL115" s="11" t="e">
        <v>#N/A</v>
      </c>
      <c r="BN115" s="11" t="e">
        <v>#N/A</v>
      </c>
      <c r="BO115" s="11" t="e">
        <v>#N/A</v>
      </c>
      <c r="BP115" s="11" t="e">
        <v>#N/A</v>
      </c>
      <c r="BQ115" s="11" t="e">
        <v>#N/A</v>
      </c>
      <c r="BS115" s="11" t="e">
        <v>#N/A</v>
      </c>
      <c r="BT115" s="11" t="e">
        <v>#N/A</v>
      </c>
      <c r="BU115" s="11" t="e">
        <v>#N/A</v>
      </c>
      <c r="BV115" s="11" t="e">
        <v>#N/A</v>
      </c>
      <c r="BX115" s="11" t="e">
        <v>#N/A</v>
      </c>
      <c r="BY115" s="11" t="e">
        <v>#N/A</v>
      </c>
      <c r="BZ115" s="11" t="e">
        <v>#N/A</v>
      </c>
      <c r="CA115" s="11" t="e">
        <v>#N/A</v>
      </c>
      <c r="CC115" s="11" t="e">
        <v>#N/A</v>
      </c>
      <c r="CD115" s="11" t="e">
        <v>#N/A</v>
      </c>
      <c r="CE115" s="11" t="e">
        <v>#N/A</v>
      </c>
      <c r="CF115" s="11" t="e">
        <v>#N/A</v>
      </c>
      <c r="CH115" s="11" t="e">
        <v>#N/A</v>
      </c>
      <c r="CI115" s="11" t="e">
        <v>#N/A</v>
      </c>
      <c r="CJ115" s="11" t="e">
        <v>#N/A</v>
      </c>
      <c r="CK115" s="11" t="e">
        <v>#N/A</v>
      </c>
      <c r="CM115" s="11" t="e">
        <v>#N/A</v>
      </c>
      <c r="CN115" s="11" t="e">
        <v>#N/A</v>
      </c>
      <c r="CO115" s="11" t="e">
        <v>#N/A</v>
      </c>
      <c r="CP115" s="11" t="e">
        <v>#N/A</v>
      </c>
      <c r="CR115" s="11" t="e">
        <v>#N/A</v>
      </c>
      <c r="CS115" s="11" t="e">
        <v>#N/A</v>
      </c>
      <c r="CT115" s="11" t="e">
        <v>#N/A</v>
      </c>
      <c r="CU115" s="11" t="e">
        <v>#N/A</v>
      </c>
    </row>
    <row r="116" spans="1:99" s="5" customFormat="1" x14ac:dyDescent="0.35">
      <c r="A116" s="4" t="s">
        <v>108</v>
      </c>
      <c r="B116" s="4">
        <v>5.75</v>
      </c>
      <c r="C116" s="4" t="s">
        <v>168</v>
      </c>
      <c r="D116" s="4" t="s">
        <v>404</v>
      </c>
      <c r="E116" s="3"/>
      <c r="F116" s="5">
        <v>4.0039999999999996</v>
      </c>
      <c r="G116" s="5">
        <v>4.0039999999999996</v>
      </c>
      <c r="H116" s="5" t="e">
        <v>#N/A</v>
      </c>
      <c r="I116" s="5" t="e">
        <v>#N/A</v>
      </c>
      <c r="K116" s="5">
        <v>4</v>
      </c>
      <c r="L116" s="5">
        <v>3.367</v>
      </c>
      <c r="M116" s="11" t="e">
        <v>#N/A</v>
      </c>
      <c r="N116" s="11" t="e">
        <v>#N/A</v>
      </c>
      <c r="P116" s="5">
        <v>3.9329997510649264</v>
      </c>
      <c r="Q116" s="5">
        <v>3.1490000357152894</v>
      </c>
      <c r="R116" s="11" t="e">
        <v>#N/A</v>
      </c>
      <c r="S116" s="11" t="e">
        <v>#N/A</v>
      </c>
      <c r="U116" s="5">
        <v>5</v>
      </c>
      <c r="V116" s="5">
        <v>6</v>
      </c>
      <c r="W116" s="11" t="e">
        <v>#N/A</v>
      </c>
      <c r="X116" s="11" t="e">
        <v>#N/A</v>
      </c>
      <c r="Z116" s="5">
        <v>4</v>
      </c>
      <c r="AA116" s="5">
        <v>3.367</v>
      </c>
      <c r="AB116" s="11" t="e">
        <v>#N/A</v>
      </c>
      <c r="AC116" s="11" t="e">
        <v>#N/A</v>
      </c>
      <c r="AE116" s="5">
        <v>3.9329997510649264</v>
      </c>
      <c r="AF116" s="5">
        <v>3.1490000357152894</v>
      </c>
      <c r="AG116" s="11" t="e">
        <v>#N/A</v>
      </c>
      <c r="AH116" s="11" t="e">
        <v>#N/A</v>
      </c>
      <c r="AJ116" s="5">
        <v>5</v>
      </c>
      <c r="AK116" s="5">
        <v>6</v>
      </c>
      <c r="AL116" s="11" t="e">
        <v>#N/A</v>
      </c>
      <c r="AM116" s="11" t="e">
        <v>#N/A</v>
      </c>
      <c r="AO116" s="5">
        <v>1</v>
      </c>
      <c r="AP116" s="5">
        <v>1</v>
      </c>
      <c r="AQ116" s="11" t="e">
        <v>#N/A</v>
      </c>
      <c r="AR116" s="11" t="e">
        <v>#N/A</v>
      </c>
      <c r="AT116" s="5">
        <v>3.0000000260770321E-3</v>
      </c>
      <c r="AU116" s="5">
        <v>1.0000000474974513E-3</v>
      </c>
      <c r="AV116" s="11" t="e">
        <v>#N/A</v>
      </c>
      <c r="AW116" s="11" t="e">
        <v>#N/A</v>
      </c>
      <c r="AY116" s="5">
        <v>0.7999999999999996</v>
      </c>
      <c r="AZ116" s="5">
        <v>2.1989999999999998</v>
      </c>
      <c r="BA116" s="11" t="e">
        <v>#N/A</v>
      </c>
      <c r="BB116" s="11" t="e">
        <v>#N/A</v>
      </c>
      <c r="BD116" s="5">
        <v>0.18299996852874756</v>
      </c>
      <c r="BE116" s="5">
        <v>2.2150000333786011</v>
      </c>
      <c r="BF116" s="11" t="e">
        <v>#N/A</v>
      </c>
      <c r="BG116" s="11" t="e">
        <v>#N/A</v>
      </c>
      <c r="BI116" s="5">
        <v>1</v>
      </c>
      <c r="BJ116" s="5">
        <v>4</v>
      </c>
      <c r="BK116" s="11" t="e">
        <v>#N/A</v>
      </c>
      <c r="BL116" s="11" t="e">
        <v>#N/A</v>
      </c>
      <c r="BN116" s="5">
        <v>4</v>
      </c>
      <c r="BO116" s="5">
        <v>1</v>
      </c>
      <c r="BP116" s="11" t="e">
        <v>#N/A</v>
      </c>
      <c r="BQ116" s="11" t="e">
        <v>#N/A</v>
      </c>
      <c r="BS116" s="5">
        <v>0.50300002098083496</v>
      </c>
      <c r="BT116" s="5">
        <v>0.51800000667572021</v>
      </c>
      <c r="BU116" s="11" t="e">
        <v>#N/A</v>
      </c>
      <c r="BV116" s="11" t="e">
        <v>#N/A</v>
      </c>
      <c r="BX116" s="5">
        <v>0</v>
      </c>
      <c r="BY116" s="5">
        <v>0.78500000000000014</v>
      </c>
      <c r="BZ116" s="11" t="e">
        <v>#N/A</v>
      </c>
      <c r="CA116" s="11" t="e">
        <v>#N/A</v>
      </c>
      <c r="CC116" s="5">
        <v>0</v>
      </c>
      <c r="CD116" s="5">
        <v>0.43400001525878906</v>
      </c>
      <c r="CE116" s="11" t="e">
        <v>#N/A</v>
      </c>
      <c r="CF116" s="11" t="e">
        <v>#N/A</v>
      </c>
      <c r="CH116" s="5">
        <v>0</v>
      </c>
      <c r="CI116" s="5">
        <v>1</v>
      </c>
      <c r="CJ116" s="11" t="e">
        <v>#N/A</v>
      </c>
      <c r="CK116" s="11" t="e">
        <v>#N/A</v>
      </c>
      <c r="CM116" s="5">
        <v>0</v>
      </c>
      <c r="CN116" s="5">
        <v>3</v>
      </c>
      <c r="CO116" s="11" t="e">
        <v>#N/A</v>
      </c>
      <c r="CP116" s="11" t="e">
        <v>#N/A</v>
      </c>
      <c r="CR116" s="5">
        <v>4.0039999999999996</v>
      </c>
      <c r="CS116" s="5">
        <v>2.8840000629425049</v>
      </c>
      <c r="CT116" s="11" t="e">
        <v>#N/A</v>
      </c>
      <c r="CU116" s="11" t="e">
        <v>#N/A</v>
      </c>
    </row>
    <row r="117" spans="1:99" s="5" customFormat="1" x14ac:dyDescent="0.35">
      <c r="A117" s="4" t="s">
        <v>151</v>
      </c>
      <c r="B117" s="4">
        <v>5.75</v>
      </c>
      <c r="C117" s="4" t="s">
        <v>168</v>
      </c>
      <c r="D117" s="4" t="s">
        <v>404</v>
      </c>
      <c r="E117" s="3"/>
      <c r="F117" s="5">
        <v>4.016</v>
      </c>
      <c r="G117" s="5">
        <v>4.016</v>
      </c>
      <c r="H117" s="5" t="e">
        <v>#N/A</v>
      </c>
      <c r="I117" s="5" t="e">
        <v>#N/A</v>
      </c>
      <c r="K117" s="5">
        <v>3.9990000000000006</v>
      </c>
      <c r="L117" s="5">
        <v>3.9990000000000001</v>
      </c>
      <c r="M117" s="11" t="e">
        <v>#N/A</v>
      </c>
      <c r="N117" s="11" t="e">
        <v>#N/A</v>
      </c>
      <c r="P117" s="5">
        <v>3.915000174427405</v>
      </c>
      <c r="Q117" s="5">
        <v>3.4319998305290937</v>
      </c>
      <c r="R117" s="11" t="e">
        <v>#N/A</v>
      </c>
      <c r="S117" s="11" t="e">
        <v>#N/A</v>
      </c>
      <c r="U117" s="5">
        <v>6</v>
      </c>
      <c r="V117" s="5">
        <v>7</v>
      </c>
      <c r="W117" s="11" t="e">
        <v>#N/A</v>
      </c>
      <c r="X117" s="11" t="e">
        <v>#N/A</v>
      </c>
      <c r="Z117" s="5">
        <v>3.9990000000000006</v>
      </c>
      <c r="AA117" s="5">
        <v>3.9990000000000001</v>
      </c>
      <c r="AB117" s="11" t="e">
        <v>#N/A</v>
      </c>
      <c r="AC117" s="11" t="e">
        <v>#N/A</v>
      </c>
      <c r="AE117" s="5">
        <v>3.915000174427405</v>
      </c>
      <c r="AF117" s="5">
        <v>3.4319998305290937</v>
      </c>
      <c r="AG117" s="11" t="e">
        <v>#N/A</v>
      </c>
      <c r="AH117" s="11" t="e">
        <v>#N/A</v>
      </c>
      <c r="AJ117" s="5">
        <v>6</v>
      </c>
      <c r="AK117" s="5">
        <v>7</v>
      </c>
      <c r="AL117" s="11" t="e">
        <v>#N/A</v>
      </c>
      <c r="AM117" s="11" t="e">
        <v>#N/A</v>
      </c>
      <c r="AO117" s="5">
        <v>1</v>
      </c>
      <c r="AP117" s="5">
        <v>1</v>
      </c>
      <c r="AQ117" s="11" t="e">
        <v>#N/A</v>
      </c>
      <c r="AR117" s="11" t="e">
        <v>#N/A</v>
      </c>
      <c r="AT117" s="5">
        <v>2.0000000949949026E-3</v>
      </c>
      <c r="AU117" s="5">
        <v>1.4000000432133675E-2</v>
      </c>
      <c r="AV117" s="11" t="e">
        <v>#N/A</v>
      </c>
      <c r="AW117" s="11" t="e">
        <v>#N/A</v>
      </c>
      <c r="AY117" s="5">
        <v>0.20100000000000029</v>
      </c>
      <c r="AZ117" s="5">
        <v>1.581999999999999</v>
      </c>
      <c r="BA117" s="11" t="e">
        <v>#N/A</v>
      </c>
      <c r="BB117" s="11" t="e">
        <v>#N/A</v>
      </c>
      <c r="BD117" s="5">
        <v>0.13300001621246338</v>
      </c>
      <c r="BE117" s="5">
        <v>2.0990000367164612</v>
      </c>
      <c r="BF117" s="11" t="e">
        <v>#N/A</v>
      </c>
      <c r="BG117" s="11" t="e">
        <v>#N/A</v>
      </c>
      <c r="BI117" s="5">
        <v>1</v>
      </c>
      <c r="BJ117" s="5">
        <v>2</v>
      </c>
      <c r="BK117" s="11" t="e">
        <v>#N/A</v>
      </c>
      <c r="BL117" s="11" t="e">
        <v>#N/A</v>
      </c>
      <c r="BN117" s="5">
        <v>3</v>
      </c>
      <c r="BO117" s="5">
        <v>5</v>
      </c>
      <c r="BP117" s="11" t="e">
        <v>#N/A</v>
      </c>
      <c r="BQ117" s="11" t="e">
        <v>#N/A</v>
      </c>
      <c r="BS117" s="5">
        <v>1.8519999980926514</v>
      </c>
      <c r="BT117" s="5">
        <v>0.61400002241134644</v>
      </c>
      <c r="BU117" s="11" t="e">
        <v>#N/A</v>
      </c>
      <c r="BV117" s="11" t="e">
        <v>#N/A</v>
      </c>
      <c r="BX117" s="5">
        <v>0.18300000000000027</v>
      </c>
      <c r="BY117" s="5">
        <v>0.68299999999999983</v>
      </c>
      <c r="BZ117" s="11" t="e">
        <v>#N/A</v>
      </c>
      <c r="CA117" s="11" t="e">
        <v>#N/A</v>
      </c>
      <c r="CC117" s="5">
        <v>0</v>
      </c>
      <c r="CD117" s="5">
        <v>0.74999993853271008</v>
      </c>
      <c r="CE117" s="11" t="e">
        <v>#N/A</v>
      </c>
      <c r="CF117" s="11" t="e">
        <v>#N/A</v>
      </c>
      <c r="CH117" s="5">
        <v>0</v>
      </c>
      <c r="CI117" s="5">
        <v>2</v>
      </c>
      <c r="CJ117" s="11" t="e">
        <v>#N/A</v>
      </c>
      <c r="CK117" s="11" t="e">
        <v>#N/A</v>
      </c>
      <c r="CM117" s="5">
        <v>1</v>
      </c>
      <c r="CN117" s="5">
        <v>4</v>
      </c>
      <c r="CO117" s="11" t="e">
        <v>#N/A</v>
      </c>
      <c r="CP117" s="11" t="e">
        <v>#N/A</v>
      </c>
      <c r="CR117" s="5">
        <v>4.016</v>
      </c>
      <c r="CS117" s="5">
        <v>1.4000000432133675E-2</v>
      </c>
      <c r="CT117" s="11" t="e">
        <v>#N/A</v>
      </c>
      <c r="CU117" s="11" t="e">
        <v>#N/A</v>
      </c>
    </row>
    <row r="118" spans="1:99" s="5" customFormat="1" x14ac:dyDescent="0.35">
      <c r="A118" s="4" t="s">
        <v>96</v>
      </c>
      <c r="B118" s="4">
        <v>5.833333333333333</v>
      </c>
      <c r="C118" s="4" t="s">
        <v>168</v>
      </c>
      <c r="D118" s="4" t="s">
        <v>404</v>
      </c>
      <c r="E118" s="3"/>
      <c r="F118" s="5" t="e">
        <v>#N/A</v>
      </c>
      <c r="G118" s="5">
        <v>4.0250000000000004</v>
      </c>
      <c r="H118" s="5" t="e">
        <v>#N/A</v>
      </c>
      <c r="I118" s="5" t="e">
        <v>#N/A</v>
      </c>
      <c r="K118" s="5">
        <v>2.2489999999999997</v>
      </c>
      <c r="L118" s="5">
        <v>3.9989999999999997</v>
      </c>
      <c r="M118" s="5">
        <v>2.6660000000000004</v>
      </c>
      <c r="N118" s="5">
        <v>2</v>
      </c>
      <c r="P118" s="5">
        <v>2.0659998916089535</v>
      </c>
      <c r="Q118" s="5">
        <v>3.8990001492202282</v>
      </c>
      <c r="R118" s="5">
        <v>1.9149999618530273</v>
      </c>
      <c r="S118" s="5">
        <v>1.1500000413507223</v>
      </c>
      <c r="U118" s="5">
        <v>7</v>
      </c>
      <c r="V118" s="5">
        <v>5</v>
      </c>
      <c r="W118" s="5">
        <v>7</v>
      </c>
      <c r="X118" s="5">
        <v>3</v>
      </c>
      <c r="Z118" s="5">
        <v>2.2489999999999997</v>
      </c>
      <c r="AA118" s="5">
        <v>3.9989999999999997</v>
      </c>
      <c r="AB118" s="5">
        <v>2.0500000000000003</v>
      </c>
      <c r="AC118" s="5">
        <v>1.35</v>
      </c>
      <c r="AE118" s="5">
        <v>2.0659998916089535</v>
      </c>
      <c r="AF118" s="5">
        <v>3.8990001492202282</v>
      </c>
      <c r="AG118" s="5">
        <v>1.9149999618530273</v>
      </c>
      <c r="AH118" s="5">
        <v>1.1500000413507223</v>
      </c>
      <c r="AJ118" s="5">
        <v>7</v>
      </c>
      <c r="AK118" s="5">
        <v>5</v>
      </c>
      <c r="AL118" s="5">
        <v>7</v>
      </c>
      <c r="AM118" s="5">
        <v>3</v>
      </c>
      <c r="AO118" s="5">
        <v>2</v>
      </c>
      <c r="AP118" s="5">
        <v>1</v>
      </c>
      <c r="AQ118" s="5">
        <v>2</v>
      </c>
      <c r="AR118" s="5">
        <v>3</v>
      </c>
      <c r="AT118" s="5">
        <v>5.000000074505806E-2</v>
      </c>
      <c r="AU118" s="5">
        <v>1.3000000268220901E-2</v>
      </c>
      <c r="AV118" s="5">
        <v>1.9769999980926514</v>
      </c>
      <c r="AW118" s="5">
        <v>2.500000037252903E-2</v>
      </c>
      <c r="AY118" s="5">
        <v>1.2490000000000001</v>
      </c>
      <c r="AZ118" s="5">
        <v>3.2670000000000003</v>
      </c>
      <c r="BA118" s="5">
        <v>0.86699999999999999</v>
      </c>
      <c r="BB118" s="5">
        <v>0.54999999999999993</v>
      </c>
      <c r="BD118" s="5">
        <v>1.1329998970031738</v>
      </c>
      <c r="BE118" s="5">
        <v>3.5490001440048218</v>
      </c>
      <c r="BF118" s="5">
        <v>0.51600003242492676</v>
      </c>
      <c r="BG118" s="5">
        <v>0.53300002217292786</v>
      </c>
      <c r="BI118" s="5">
        <v>4</v>
      </c>
      <c r="BJ118" s="5">
        <v>4</v>
      </c>
      <c r="BK118" s="5">
        <v>2</v>
      </c>
      <c r="BL118" s="5">
        <v>1</v>
      </c>
      <c r="BN118" s="5">
        <v>2</v>
      </c>
      <c r="BO118" s="5">
        <v>2</v>
      </c>
      <c r="BP118" s="5">
        <v>3</v>
      </c>
      <c r="BQ118" s="5">
        <v>2</v>
      </c>
      <c r="BS118" s="5">
        <v>2</v>
      </c>
      <c r="BT118" s="5">
        <v>0.37900000810623169</v>
      </c>
      <c r="BU118" s="5">
        <v>2.3610000610351563</v>
      </c>
      <c r="BV118" s="5">
        <v>0.44200000166893005</v>
      </c>
      <c r="BX118" s="5">
        <v>0</v>
      </c>
      <c r="BY118" s="5">
        <v>0.1</v>
      </c>
      <c r="BZ118" s="5">
        <v>0.1160000000000001</v>
      </c>
      <c r="CA118" s="5">
        <v>1.6000000000000014E-2</v>
      </c>
      <c r="CC118" s="5">
        <v>0</v>
      </c>
      <c r="CD118" s="5">
        <v>0</v>
      </c>
      <c r="CE118" s="5">
        <v>0</v>
      </c>
      <c r="CF118" s="5">
        <v>0</v>
      </c>
      <c r="CH118" s="5">
        <v>0</v>
      </c>
      <c r="CI118" s="5">
        <v>0</v>
      </c>
      <c r="CJ118" s="5">
        <v>0</v>
      </c>
      <c r="CK118" s="5">
        <v>0</v>
      </c>
      <c r="CM118" s="5">
        <v>0</v>
      </c>
      <c r="CN118" s="5">
        <v>2</v>
      </c>
      <c r="CO118" s="5">
        <v>1</v>
      </c>
      <c r="CP118" s="5">
        <v>2</v>
      </c>
      <c r="CR118" s="5">
        <v>4.0170000000000003</v>
      </c>
      <c r="CS118" s="5">
        <v>4.0250000000000004</v>
      </c>
      <c r="CT118" s="5">
        <v>4.01</v>
      </c>
      <c r="CU118" s="5">
        <v>4.016</v>
      </c>
    </row>
    <row r="119" spans="1:99" s="5" customFormat="1" x14ac:dyDescent="0.35">
      <c r="A119" s="4" t="s">
        <v>115</v>
      </c>
      <c r="B119" s="4">
        <v>6</v>
      </c>
      <c r="C119" s="4" t="s">
        <v>168</v>
      </c>
      <c r="D119" s="4" t="s">
        <v>404</v>
      </c>
      <c r="E119" s="3"/>
      <c r="F119" s="5" t="e">
        <v>#N/A</v>
      </c>
      <c r="G119" s="5">
        <v>3.2240000000000002</v>
      </c>
      <c r="H119" s="5" t="e">
        <v>#N/A</v>
      </c>
      <c r="I119" s="11" t="e">
        <v>#N/A</v>
      </c>
      <c r="K119" s="5">
        <v>2.65</v>
      </c>
      <c r="L119" s="5">
        <v>3.1680000000000001</v>
      </c>
      <c r="M119" s="11" t="e">
        <v>#N/A</v>
      </c>
      <c r="N119" s="11" t="e">
        <v>#N/A</v>
      </c>
      <c r="P119" s="5">
        <v>1.7819997668266296</v>
      </c>
      <c r="Q119" s="5">
        <v>2.8180003743618727</v>
      </c>
      <c r="R119" s="11" t="e">
        <v>#N/A</v>
      </c>
      <c r="S119" s="11" t="e">
        <v>#N/A</v>
      </c>
      <c r="U119" s="5">
        <v>3</v>
      </c>
      <c r="V119" s="5">
        <v>9</v>
      </c>
      <c r="W119" s="11" t="e">
        <v>#N/A</v>
      </c>
      <c r="X119" s="11" t="e">
        <v>#N/A</v>
      </c>
      <c r="Z119" s="5">
        <v>1.883</v>
      </c>
      <c r="AA119" s="5">
        <v>3.0670000000000002</v>
      </c>
      <c r="AB119" s="11" t="e">
        <v>#N/A</v>
      </c>
      <c r="AC119" s="11" t="e">
        <v>#N/A</v>
      </c>
      <c r="AE119" s="5">
        <v>1.7819997668266296</v>
      </c>
      <c r="AF119" s="5">
        <v>2.7180002313107252</v>
      </c>
      <c r="AG119" s="11" t="e">
        <v>#N/A</v>
      </c>
      <c r="AH119" s="11" t="e">
        <v>#N/A</v>
      </c>
      <c r="AJ119" s="5">
        <v>3</v>
      </c>
      <c r="AK119" s="5">
        <v>8</v>
      </c>
      <c r="AL119" s="11" t="e">
        <v>#N/A</v>
      </c>
      <c r="AM119" s="11" t="e">
        <v>#N/A</v>
      </c>
      <c r="AO119" s="5">
        <v>1</v>
      </c>
      <c r="AP119" s="5">
        <v>4</v>
      </c>
      <c r="AQ119" s="11" t="e">
        <v>#N/A</v>
      </c>
      <c r="AR119" s="11" t="e">
        <v>#N/A</v>
      </c>
      <c r="AT119" s="5">
        <v>0.9089999794960022</v>
      </c>
      <c r="AU119" s="5">
        <v>1.4000000432133675E-2</v>
      </c>
      <c r="AV119" s="11" t="e">
        <v>#N/A</v>
      </c>
      <c r="AW119" s="11" t="e">
        <v>#N/A</v>
      </c>
      <c r="AY119" s="5">
        <v>1.016</v>
      </c>
      <c r="AZ119" s="5">
        <v>0.28300000000000014</v>
      </c>
      <c r="BA119" s="11" t="e">
        <v>#N/A</v>
      </c>
      <c r="BB119" s="11" t="e">
        <v>#N/A</v>
      </c>
      <c r="BD119" s="5">
        <v>1.1330000758171082</v>
      </c>
      <c r="BE119" s="5">
        <v>0.33399999141693115</v>
      </c>
      <c r="BF119" s="11" t="e">
        <v>#N/A</v>
      </c>
      <c r="BG119" s="11" t="e">
        <v>#N/A</v>
      </c>
      <c r="BI119" s="5">
        <v>1</v>
      </c>
      <c r="BJ119" s="5">
        <v>1</v>
      </c>
      <c r="BK119" s="11" t="e">
        <v>#N/A</v>
      </c>
      <c r="BL119" s="11" t="e">
        <v>#N/A</v>
      </c>
      <c r="BN119" s="5">
        <v>1</v>
      </c>
      <c r="BO119" s="5">
        <v>2</v>
      </c>
      <c r="BP119" s="11" t="e">
        <v>#N/A</v>
      </c>
      <c r="BQ119" s="11" t="e">
        <v>#N/A</v>
      </c>
      <c r="BS119" s="5">
        <v>0.9089999794960022</v>
      </c>
      <c r="BT119" s="5">
        <v>1.8140000104904175</v>
      </c>
      <c r="BU119" s="11" t="e">
        <v>#N/A</v>
      </c>
      <c r="BV119" s="11" t="e">
        <v>#N/A</v>
      </c>
      <c r="BX119" s="5">
        <v>3.3000000000000029E-2</v>
      </c>
      <c r="BY119" s="5">
        <v>1.7000000000000348E-2</v>
      </c>
      <c r="BZ119" s="11" t="e">
        <v>#N/A</v>
      </c>
      <c r="CA119" s="11" t="e">
        <v>#N/A</v>
      </c>
      <c r="CC119" s="5">
        <v>0</v>
      </c>
      <c r="CD119" s="5">
        <v>0</v>
      </c>
      <c r="CE119" s="11" t="e">
        <v>#N/A</v>
      </c>
      <c r="CF119" s="11" t="e">
        <v>#N/A</v>
      </c>
      <c r="CH119" s="5">
        <v>0</v>
      </c>
      <c r="CI119" s="5">
        <v>0</v>
      </c>
      <c r="CJ119" s="11" t="e">
        <v>#N/A</v>
      </c>
      <c r="CK119" s="11" t="e">
        <v>#N/A</v>
      </c>
      <c r="CM119" s="5">
        <v>1</v>
      </c>
      <c r="CN119" s="5">
        <v>1</v>
      </c>
      <c r="CO119" s="11" t="e">
        <v>#N/A</v>
      </c>
      <c r="CP119" s="11" t="e">
        <v>#N/A</v>
      </c>
      <c r="CR119" s="5">
        <v>4.032</v>
      </c>
      <c r="CS119" s="5">
        <v>3.99</v>
      </c>
      <c r="CT119" s="11" t="e">
        <v>#N/A</v>
      </c>
      <c r="CU119" s="11" t="e">
        <v>#N/A</v>
      </c>
    </row>
    <row r="120" spans="1:99" s="5" customFormat="1" x14ac:dyDescent="0.35">
      <c r="A120" s="4" t="s">
        <v>99</v>
      </c>
      <c r="B120" s="4">
        <v>6.083333333333333</v>
      </c>
      <c r="C120" s="4" t="s">
        <v>168</v>
      </c>
      <c r="D120" s="4" t="s">
        <v>404</v>
      </c>
      <c r="E120" s="3"/>
      <c r="F120" s="5">
        <v>4.0090000000000003</v>
      </c>
      <c r="G120" s="5">
        <v>4.016</v>
      </c>
      <c r="H120" s="5">
        <v>4.0149999999999997</v>
      </c>
      <c r="I120" s="5">
        <v>4.01</v>
      </c>
      <c r="K120" s="5">
        <v>3.9830000000000001</v>
      </c>
      <c r="L120" s="5">
        <v>4</v>
      </c>
      <c r="M120" s="5">
        <v>4</v>
      </c>
      <c r="N120" s="5">
        <v>3.9990000000000001</v>
      </c>
      <c r="P120" s="5">
        <v>3.7490000873804092</v>
      </c>
      <c r="Q120" s="5">
        <v>3.7999998284503818</v>
      </c>
      <c r="R120" s="5">
        <v>3.4810000136494637</v>
      </c>
      <c r="S120" s="5">
        <v>3.6669996976852417</v>
      </c>
      <c r="U120" s="5">
        <v>5</v>
      </c>
      <c r="V120" s="5">
        <v>7</v>
      </c>
      <c r="W120" s="5">
        <v>11</v>
      </c>
      <c r="X120" s="5">
        <v>9</v>
      </c>
      <c r="Z120" s="5">
        <v>3.9830000000000001</v>
      </c>
      <c r="AA120" s="5">
        <v>4</v>
      </c>
      <c r="AB120" s="5">
        <v>3.6829999999999998</v>
      </c>
      <c r="AC120" s="5">
        <v>3.649</v>
      </c>
      <c r="AE120" s="5">
        <v>3.7490000873804092</v>
      </c>
      <c r="AF120" s="5">
        <v>3.7999998284503818</v>
      </c>
      <c r="AG120" s="5">
        <v>3.3140000104904175</v>
      </c>
      <c r="AH120" s="5">
        <v>3.4329997301101685</v>
      </c>
      <c r="AJ120" s="5">
        <v>5</v>
      </c>
      <c r="AK120" s="5">
        <v>7</v>
      </c>
      <c r="AL120" s="5">
        <v>10</v>
      </c>
      <c r="AM120" s="5">
        <v>8</v>
      </c>
      <c r="AO120" s="5">
        <v>1</v>
      </c>
      <c r="AP120" s="5">
        <v>1</v>
      </c>
      <c r="AQ120" s="5">
        <v>2</v>
      </c>
      <c r="AR120" s="5">
        <v>2</v>
      </c>
      <c r="AT120" s="5">
        <v>4.5000001788139343E-2</v>
      </c>
      <c r="AU120" s="5">
        <v>4.999999888241291E-3</v>
      </c>
      <c r="AV120" s="5">
        <v>0.42500001192092896</v>
      </c>
      <c r="AW120" s="5">
        <v>0</v>
      </c>
      <c r="AY120" s="5">
        <v>1.1669999999999998</v>
      </c>
      <c r="AZ120" s="5">
        <v>1.0149999999999995</v>
      </c>
      <c r="BA120" s="5">
        <v>0.93399999999999994</v>
      </c>
      <c r="BB120" s="5">
        <v>0.4330000000000005</v>
      </c>
      <c r="BD120" s="5">
        <v>1.1829999685287476</v>
      </c>
      <c r="BE120" s="5">
        <v>0.39999985694885254</v>
      </c>
      <c r="BF120" s="5">
        <v>0.79900002479553223</v>
      </c>
      <c r="BG120" s="5">
        <v>0</v>
      </c>
      <c r="BI120" s="5">
        <v>2</v>
      </c>
      <c r="BJ120" s="5">
        <v>2</v>
      </c>
      <c r="BK120" s="5">
        <v>3</v>
      </c>
      <c r="BL120" s="5">
        <v>0</v>
      </c>
      <c r="BN120" s="5">
        <v>2</v>
      </c>
      <c r="BO120" s="5">
        <v>4</v>
      </c>
      <c r="BP120" s="5">
        <v>5</v>
      </c>
      <c r="BQ120" s="5">
        <v>3</v>
      </c>
      <c r="BS120" s="5">
        <v>0.92799997329711914</v>
      </c>
      <c r="BT120" s="5">
        <v>1.6549999713897705</v>
      </c>
      <c r="BU120" s="5">
        <v>0.42500001192092896</v>
      </c>
      <c r="BV120" s="5">
        <v>4.01</v>
      </c>
      <c r="BX120" s="5">
        <v>8.4000000000000075E-2</v>
      </c>
      <c r="BY120" s="5">
        <v>0.15000000000000036</v>
      </c>
      <c r="BZ120" s="5">
        <v>0</v>
      </c>
      <c r="CA120" s="5">
        <v>0</v>
      </c>
      <c r="CC120" s="5">
        <v>0</v>
      </c>
      <c r="CD120" s="5">
        <v>0</v>
      </c>
      <c r="CE120" s="5">
        <v>0</v>
      </c>
      <c r="CF120" s="5">
        <v>0</v>
      </c>
      <c r="CH120" s="5">
        <v>0</v>
      </c>
      <c r="CI120" s="5">
        <v>0</v>
      </c>
      <c r="CJ120" s="5">
        <v>0</v>
      </c>
      <c r="CK120" s="5">
        <v>0</v>
      </c>
      <c r="CM120" s="5">
        <v>3</v>
      </c>
      <c r="CN120" s="5">
        <v>1</v>
      </c>
      <c r="CO120" s="5">
        <v>1</v>
      </c>
      <c r="CP120" s="5">
        <v>0</v>
      </c>
      <c r="CR120" s="5">
        <v>4.0090000000000003</v>
      </c>
      <c r="CS120" s="5">
        <v>4.016</v>
      </c>
      <c r="CT120" s="5">
        <v>4.0149999999999997</v>
      </c>
      <c r="CU120" s="5">
        <v>4.01</v>
      </c>
    </row>
    <row r="121" spans="1:99" s="5" customFormat="1" x14ac:dyDescent="0.35">
      <c r="A121" s="4" t="s">
        <v>140</v>
      </c>
      <c r="B121" s="4">
        <v>6.083333333333333</v>
      </c>
      <c r="C121" s="4" t="s">
        <v>168</v>
      </c>
      <c r="D121" s="4" t="s">
        <v>404</v>
      </c>
      <c r="E121" s="3"/>
      <c r="F121" s="11" t="e">
        <v>#N/A</v>
      </c>
      <c r="G121" s="11" t="e">
        <v>#N/A</v>
      </c>
      <c r="H121" s="5" t="e">
        <v>#N/A</v>
      </c>
      <c r="I121" s="11" t="e">
        <v>#N/A</v>
      </c>
      <c r="K121" s="11" t="e">
        <v>#N/A</v>
      </c>
      <c r="L121" s="11" t="e">
        <v>#N/A</v>
      </c>
      <c r="M121" s="11" t="e">
        <v>#N/A</v>
      </c>
      <c r="N121" s="11" t="e">
        <v>#N/A</v>
      </c>
      <c r="P121" s="11" t="e">
        <v>#N/A</v>
      </c>
      <c r="Q121" s="11" t="e">
        <v>#N/A</v>
      </c>
      <c r="R121" s="11" t="e">
        <v>#N/A</v>
      </c>
      <c r="S121" s="11" t="e">
        <v>#N/A</v>
      </c>
      <c r="U121" s="11" t="e">
        <v>#N/A</v>
      </c>
      <c r="V121" s="11" t="e">
        <v>#N/A</v>
      </c>
      <c r="W121" s="11" t="e">
        <v>#N/A</v>
      </c>
      <c r="X121" s="11" t="e">
        <v>#N/A</v>
      </c>
      <c r="Z121" s="11" t="e">
        <v>#N/A</v>
      </c>
      <c r="AA121" s="11" t="e">
        <v>#N/A</v>
      </c>
      <c r="AB121" s="11" t="e">
        <v>#N/A</v>
      </c>
      <c r="AC121" s="11" t="e">
        <v>#N/A</v>
      </c>
      <c r="AE121" s="11" t="e">
        <v>#N/A</v>
      </c>
      <c r="AF121" s="11" t="e">
        <v>#N/A</v>
      </c>
      <c r="AG121" s="11" t="e">
        <v>#N/A</v>
      </c>
      <c r="AH121" s="11" t="e">
        <v>#N/A</v>
      </c>
      <c r="AJ121" s="11" t="e">
        <v>#N/A</v>
      </c>
      <c r="AK121" s="11" t="e">
        <v>#N/A</v>
      </c>
      <c r="AL121" s="11" t="e">
        <v>#N/A</v>
      </c>
      <c r="AM121" s="11" t="e">
        <v>#N/A</v>
      </c>
      <c r="AO121" s="11" t="e">
        <v>#N/A</v>
      </c>
      <c r="AP121" s="11" t="e">
        <v>#N/A</v>
      </c>
      <c r="AQ121" s="11" t="e">
        <v>#N/A</v>
      </c>
      <c r="AR121" s="11" t="e">
        <v>#N/A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Y121" s="11" t="e">
        <v>#N/A</v>
      </c>
      <c r="AZ121" s="11" t="e">
        <v>#N/A</v>
      </c>
      <c r="BA121" s="11" t="e">
        <v>#N/A</v>
      </c>
      <c r="BB121" s="11" t="e">
        <v>#N/A</v>
      </c>
      <c r="BD121" s="11" t="e">
        <v>#N/A</v>
      </c>
      <c r="BE121" s="11" t="e">
        <v>#N/A</v>
      </c>
      <c r="BF121" s="11" t="e">
        <v>#N/A</v>
      </c>
      <c r="BG121" s="11" t="e">
        <v>#N/A</v>
      </c>
      <c r="BI121" s="11" t="e">
        <v>#N/A</v>
      </c>
      <c r="BJ121" s="11" t="e">
        <v>#N/A</v>
      </c>
      <c r="BK121" s="11" t="e">
        <v>#N/A</v>
      </c>
      <c r="BL121" s="11" t="e">
        <v>#N/A</v>
      </c>
      <c r="BN121" s="11" t="e">
        <v>#N/A</v>
      </c>
      <c r="BO121" s="11" t="e">
        <v>#N/A</v>
      </c>
      <c r="BP121" s="11" t="e">
        <v>#N/A</v>
      </c>
      <c r="BQ121" s="11" t="e">
        <v>#N/A</v>
      </c>
      <c r="BS121" s="11" t="e">
        <v>#N/A</v>
      </c>
      <c r="BT121" s="11" t="e">
        <v>#N/A</v>
      </c>
      <c r="BU121" s="11" t="e">
        <v>#N/A</v>
      </c>
      <c r="BV121" s="11" t="e">
        <v>#N/A</v>
      </c>
      <c r="BX121" s="11" t="e">
        <v>#N/A</v>
      </c>
      <c r="BY121" s="11" t="e">
        <v>#N/A</v>
      </c>
      <c r="BZ121" s="11" t="e">
        <v>#N/A</v>
      </c>
      <c r="CA121" s="11" t="e">
        <v>#N/A</v>
      </c>
      <c r="CC121" s="11" t="e">
        <v>#N/A</v>
      </c>
      <c r="CD121" s="11" t="e">
        <v>#N/A</v>
      </c>
      <c r="CE121" s="11" t="e">
        <v>#N/A</v>
      </c>
      <c r="CF121" s="11" t="e">
        <v>#N/A</v>
      </c>
      <c r="CH121" s="11" t="e">
        <v>#N/A</v>
      </c>
      <c r="CI121" s="11" t="e">
        <v>#N/A</v>
      </c>
      <c r="CJ121" s="11" t="e">
        <v>#N/A</v>
      </c>
      <c r="CK121" s="11" t="e">
        <v>#N/A</v>
      </c>
      <c r="CM121" s="11" t="e">
        <v>#N/A</v>
      </c>
      <c r="CN121" s="11" t="e">
        <v>#N/A</v>
      </c>
      <c r="CO121" s="11" t="e">
        <v>#N/A</v>
      </c>
      <c r="CP121" s="11" t="e">
        <v>#N/A</v>
      </c>
      <c r="CR121" s="11" t="e">
        <v>#N/A</v>
      </c>
      <c r="CS121" s="11" t="e">
        <v>#N/A</v>
      </c>
      <c r="CT121" s="11" t="e">
        <v>#N/A</v>
      </c>
      <c r="CU121" s="11" t="e">
        <v>#N/A</v>
      </c>
    </row>
    <row r="122" spans="1:99" s="5" customFormat="1" x14ac:dyDescent="0.35">
      <c r="A122" s="4" t="s">
        <v>147</v>
      </c>
      <c r="B122" s="4">
        <v>6.083333333333333</v>
      </c>
      <c r="C122" s="4" t="s">
        <v>168</v>
      </c>
      <c r="D122" s="4" t="s">
        <v>404</v>
      </c>
      <c r="E122" s="3"/>
      <c r="F122" s="5">
        <v>4.0110000000000001</v>
      </c>
      <c r="G122" s="5">
        <v>4.016</v>
      </c>
      <c r="H122" s="5">
        <v>4.01</v>
      </c>
      <c r="I122" s="5">
        <v>4.0149999999999997</v>
      </c>
      <c r="K122" s="5">
        <v>3.9830000000000001</v>
      </c>
      <c r="L122" s="5">
        <v>3.9989999999999997</v>
      </c>
      <c r="M122" s="5">
        <v>3.9990000000000001</v>
      </c>
      <c r="N122" s="5">
        <v>3.9990000000000001</v>
      </c>
      <c r="P122" s="5">
        <v>3.8500000694766641</v>
      </c>
      <c r="Q122" s="5">
        <v>3.6850002482533455</v>
      </c>
      <c r="R122" s="5">
        <v>3.9330002358183265</v>
      </c>
      <c r="S122" s="5">
        <v>3.8320002080872655</v>
      </c>
      <c r="U122" s="5">
        <v>7</v>
      </c>
      <c r="V122" s="5">
        <v>11</v>
      </c>
      <c r="W122" s="5">
        <v>5</v>
      </c>
      <c r="X122" s="5">
        <v>8</v>
      </c>
      <c r="Z122" s="5">
        <v>3.9830000000000001</v>
      </c>
      <c r="AA122" s="5">
        <v>3.9149999999999996</v>
      </c>
      <c r="AB122" s="5">
        <v>3.9990000000000001</v>
      </c>
      <c r="AC122" s="5">
        <v>3.9990000000000001</v>
      </c>
      <c r="AE122" s="5">
        <v>3.8500000694766641</v>
      </c>
      <c r="AF122" s="5">
        <v>3.6850002482533455</v>
      </c>
      <c r="AG122" s="5">
        <v>3.9330002358183265</v>
      </c>
      <c r="AH122" s="5">
        <v>3.8320002080872655</v>
      </c>
      <c r="AJ122" s="5">
        <v>7</v>
      </c>
      <c r="AK122" s="5">
        <v>11</v>
      </c>
      <c r="AL122" s="5">
        <v>5</v>
      </c>
      <c r="AM122" s="5">
        <v>8</v>
      </c>
      <c r="AO122" s="5">
        <v>1</v>
      </c>
      <c r="AP122" s="5">
        <v>3</v>
      </c>
      <c r="AQ122" s="5">
        <v>1</v>
      </c>
      <c r="AR122" s="5">
        <v>1</v>
      </c>
      <c r="AT122" s="5">
        <v>1.4999999664723873E-2</v>
      </c>
      <c r="AU122" s="5">
        <v>1.0999999940395355E-2</v>
      </c>
      <c r="AV122" s="5">
        <v>7.0000002160668373E-3</v>
      </c>
      <c r="AW122" s="5">
        <v>6.0000000521540642E-3</v>
      </c>
      <c r="AY122" s="5">
        <v>0.55000000000000027</v>
      </c>
      <c r="AZ122" s="5">
        <v>1.4170000000000003</v>
      </c>
      <c r="BA122" s="5">
        <v>0.88300000000000001</v>
      </c>
      <c r="BB122" s="5">
        <v>0.68300000000000027</v>
      </c>
      <c r="BD122" s="5">
        <v>0.31700003147125244</v>
      </c>
      <c r="BE122" s="5">
        <v>1.6020000576972961</v>
      </c>
      <c r="BF122" s="5">
        <v>0.15000009536743164</v>
      </c>
      <c r="BG122" s="5">
        <v>0.71599987149238586</v>
      </c>
      <c r="BI122" s="5">
        <v>1</v>
      </c>
      <c r="BJ122" s="5">
        <v>5</v>
      </c>
      <c r="BK122" s="5">
        <v>1</v>
      </c>
      <c r="BL122" s="5">
        <v>3</v>
      </c>
      <c r="BN122" s="5">
        <v>4</v>
      </c>
      <c r="BO122" s="5">
        <v>5</v>
      </c>
      <c r="BP122" s="5">
        <v>2</v>
      </c>
      <c r="BQ122" s="5">
        <v>2</v>
      </c>
      <c r="BS122" s="5">
        <v>0.31499999761581421</v>
      </c>
      <c r="BT122" s="5">
        <v>0.36100000143051147</v>
      </c>
      <c r="BU122" s="5">
        <v>3.8559999465942383</v>
      </c>
      <c r="BV122" s="5">
        <v>0.48899999260902405</v>
      </c>
      <c r="BX122" s="5">
        <v>0</v>
      </c>
      <c r="BY122" s="5">
        <v>0.33300000000000018</v>
      </c>
      <c r="BZ122" s="5">
        <v>0</v>
      </c>
      <c r="CA122" s="5">
        <v>0.23299999999999998</v>
      </c>
      <c r="CC122" s="5">
        <v>0</v>
      </c>
      <c r="CD122" s="5">
        <v>0.33300018310546875</v>
      </c>
      <c r="CE122" s="5">
        <v>0</v>
      </c>
      <c r="CF122" s="5">
        <v>0</v>
      </c>
      <c r="CH122" s="5">
        <v>0</v>
      </c>
      <c r="CI122" s="5">
        <v>1</v>
      </c>
      <c r="CJ122" s="5">
        <v>0</v>
      </c>
      <c r="CK122" s="5">
        <v>0</v>
      </c>
      <c r="CM122" s="5">
        <v>0</v>
      </c>
      <c r="CN122" s="5">
        <v>1</v>
      </c>
      <c r="CO122" s="5">
        <v>0</v>
      </c>
      <c r="CP122" s="5">
        <v>1</v>
      </c>
      <c r="CR122" s="5">
        <v>4.0110000000000001</v>
      </c>
      <c r="CS122" s="5">
        <v>3.3269999027252197</v>
      </c>
      <c r="CT122" s="5">
        <v>4.01</v>
      </c>
      <c r="CU122" s="5">
        <v>4.0149999999999997</v>
      </c>
    </row>
    <row r="123" spans="1:99" s="5" customFormat="1" x14ac:dyDescent="0.35">
      <c r="A123" s="4" t="s">
        <v>159</v>
      </c>
      <c r="B123" s="4">
        <v>6.083333333333333</v>
      </c>
      <c r="C123" s="4" t="s">
        <v>168</v>
      </c>
      <c r="D123" s="4" t="s">
        <v>404</v>
      </c>
      <c r="E123" s="3"/>
      <c r="F123" s="5" t="e">
        <v>#N/A</v>
      </c>
      <c r="G123" s="11" t="e">
        <v>#N/A</v>
      </c>
      <c r="H123" s="11" t="e">
        <v>#N/A</v>
      </c>
      <c r="I123" s="5">
        <v>4.0110000000000001</v>
      </c>
      <c r="K123" s="5">
        <v>2.7830000000000004</v>
      </c>
      <c r="L123" s="11" t="e">
        <v>#N/A</v>
      </c>
      <c r="M123" s="11" t="e">
        <v>#N/A</v>
      </c>
      <c r="N123" s="5">
        <v>3.448</v>
      </c>
      <c r="P123" s="5">
        <v>1.4160001575946808</v>
      </c>
      <c r="Q123" s="11" t="e">
        <v>#N/A</v>
      </c>
      <c r="R123" s="11" t="e">
        <v>#N/A</v>
      </c>
      <c r="S123" s="5">
        <v>3.2519999742507935</v>
      </c>
      <c r="U123" s="5">
        <v>8</v>
      </c>
      <c r="V123" s="11" t="e">
        <v>#N/A</v>
      </c>
      <c r="W123" s="11" t="e">
        <v>#N/A</v>
      </c>
      <c r="X123" s="5">
        <v>11</v>
      </c>
      <c r="Z123" s="5">
        <v>2.1000000000000005</v>
      </c>
      <c r="AA123" s="11" t="e">
        <v>#N/A</v>
      </c>
      <c r="AB123" s="11" t="e">
        <v>#N/A</v>
      </c>
      <c r="AC123" s="5">
        <v>3.532</v>
      </c>
      <c r="AE123" s="5">
        <v>1.4160001575946808</v>
      </c>
      <c r="AF123" s="11" t="e">
        <v>#N/A</v>
      </c>
      <c r="AG123" s="11" t="e">
        <v>#N/A</v>
      </c>
      <c r="AH123" s="5">
        <v>3.2519999742507935</v>
      </c>
      <c r="AJ123" s="5">
        <v>8</v>
      </c>
      <c r="AK123" s="11" t="e">
        <v>#N/A</v>
      </c>
      <c r="AL123" s="11" t="e">
        <v>#N/A</v>
      </c>
      <c r="AM123" s="5">
        <v>11</v>
      </c>
      <c r="AO123" s="5">
        <v>3</v>
      </c>
      <c r="AP123" s="11" t="e">
        <v>#N/A</v>
      </c>
      <c r="AQ123" s="11" t="e">
        <v>#N/A</v>
      </c>
      <c r="AR123" s="5">
        <v>2</v>
      </c>
      <c r="AT123" s="5">
        <v>0.28999999165534973</v>
      </c>
      <c r="AU123" s="11" t="e">
        <v>#N/A</v>
      </c>
      <c r="AV123" s="11" t="e">
        <v>#N/A</v>
      </c>
      <c r="AW123" s="5">
        <v>0.40200001001358032</v>
      </c>
      <c r="AY123" s="5">
        <v>0.5159999999999999</v>
      </c>
      <c r="AZ123" s="11" t="e">
        <v>#N/A</v>
      </c>
      <c r="BA123" s="11" t="e">
        <v>#N/A</v>
      </c>
      <c r="BB123" s="5">
        <v>0</v>
      </c>
      <c r="BD123" s="5">
        <v>0.4989999532699585</v>
      </c>
      <c r="BE123" s="11" t="e">
        <v>#N/A</v>
      </c>
      <c r="BF123" s="11" t="e">
        <v>#N/A</v>
      </c>
      <c r="BG123" s="5">
        <v>0</v>
      </c>
      <c r="BI123" s="5">
        <v>3</v>
      </c>
      <c r="BJ123" s="11" t="e">
        <v>#N/A</v>
      </c>
      <c r="BK123" s="11" t="e">
        <v>#N/A</v>
      </c>
      <c r="BL123" s="5">
        <v>0</v>
      </c>
      <c r="BN123" s="5">
        <v>5</v>
      </c>
      <c r="BO123" s="11" t="e">
        <v>#N/A</v>
      </c>
      <c r="BP123" s="11" t="e">
        <v>#N/A</v>
      </c>
      <c r="BQ123" s="5">
        <v>0</v>
      </c>
      <c r="BS123" s="5">
        <v>0.72399997711181641</v>
      </c>
      <c r="BT123" s="11" t="e">
        <v>#N/A</v>
      </c>
      <c r="BU123" s="11" t="e">
        <v>#N/A</v>
      </c>
      <c r="BV123" s="5">
        <v>4.0110000000000001</v>
      </c>
      <c r="BX123" s="5">
        <v>0.38300000000000028</v>
      </c>
      <c r="BY123" s="11" t="e">
        <v>#N/A</v>
      </c>
      <c r="BZ123" s="11" t="e">
        <v>#N/A</v>
      </c>
      <c r="CA123" s="5">
        <v>0</v>
      </c>
      <c r="CC123" s="5">
        <v>0.13300013542175293</v>
      </c>
      <c r="CD123" s="11" t="e">
        <v>#N/A</v>
      </c>
      <c r="CE123" s="11" t="e">
        <v>#N/A</v>
      </c>
      <c r="CF123" s="5">
        <v>0</v>
      </c>
      <c r="CH123" s="5">
        <v>1</v>
      </c>
      <c r="CI123" s="11" t="e">
        <v>#N/A</v>
      </c>
      <c r="CJ123" s="11" t="e">
        <v>#N/A</v>
      </c>
      <c r="CK123" s="5">
        <v>0</v>
      </c>
      <c r="CM123" s="5">
        <v>11</v>
      </c>
      <c r="CN123" s="11" t="e">
        <v>#N/A</v>
      </c>
      <c r="CO123" s="11" t="e">
        <v>#N/A</v>
      </c>
      <c r="CP123" s="5">
        <v>0</v>
      </c>
      <c r="CR123" s="5">
        <v>3.872999906539917</v>
      </c>
      <c r="CS123" s="11" t="e">
        <v>#N/A</v>
      </c>
      <c r="CT123" s="11" t="e">
        <v>#N/A</v>
      </c>
      <c r="CU123" s="5">
        <v>4.0110000000000001</v>
      </c>
    </row>
    <row r="124" spans="1:99" s="5" customFormat="1" x14ac:dyDescent="0.35">
      <c r="A124" s="4" t="s">
        <v>136</v>
      </c>
      <c r="B124" s="4">
        <v>6.166666666666667</v>
      </c>
      <c r="C124" s="4" t="s">
        <v>168</v>
      </c>
      <c r="D124" s="4" t="s">
        <v>404</v>
      </c>
      <c r="E124" s="3"/>
      <c r="F124" s="5" t="e">
        <v>#N/A</v>
      </c>
      <c r="G124" s="5" t="e">
        <v>#N/A</v>
      </c>
      <c r="H124" s="5" t="e">
        <v>#N/A</v>
      </c>
      <c r="I124" s="5" t="e">
        <v>#N/A</v>
      </c>
      <c r="K124" s="11" t="e">
        <v>#N/A</v>
      </c>
      <c r="L124" s="11" t="e">
        <v>#N/A</v>
      </c>
      <c r="M124" s="11" t="e">
        <v>#N/A</v>
      </c>
      <c r="N124" s="5">
        <v>1.9660000000000002</v>
      </c>
      <c r="P124" s="11" t="e">
        <v>#N/A</v>
      </c>
      <c r="Q124" s="11" t="e">
        <v>#N/A</v>
      </c>
      <c r="R124" s="11" t="e">
        <v>#N/A</v>
      </c>
      <c r="S124" s="5">
        <v>0.31599998474121094</v>
      </c>
      <c r="U124" s="11" t="e">
        <v>#N/A</v>
      </c>
      <c r="V124" s="11" t="e">
        <v>#N/A</v>
      </c>
      <c r="W124" s="11" t="e">
        <v>#N/A</v>
      </c>
      <c r="X124" s="5">
        <v>1</v>
      </c>
      <c r="Z124" s="11" t="e">
        <v>#N/A</v>
      </c>
      <c r="AA124" s="11" t="e">
        <v>#N/A</v>
      </c>
      <c r="AB124" s="11" t="e">
        <v>#N/A</v>
      </c>
      <c r="AC124" s="5">
        <v>0.16700000000000026</v>
      </c>
      <c r="AE124" s="11" t="e">
        <v>#N/A</v>
      </c>
      <c r="AF124" s="11" t="e">
        <v>#N/A</v>
      </c>
      <c r="AG124" s="11" t="e">
        <v>#N/A</v>
      </c>
      <c r="AH124" s="5">
        <v>0</v>
      </c>
      <c r="AJ124" s="11" t="e">
        <v>#N/A</v>
      </c>
      <c r="AK124" s="11" t="e">
        <v>#N/A</v>
      </c>
      <c r="AL124" s="11" t="e">
        <v>#N/A</v>
      </c>
      <c r="AM124" s="5">
        <v>0</v>
      </c>
      <c r="AO124" s="11" t="e">
        <v>#N/A</v>
      </c>
      <c r="AP124" s="11" t="e">
        <v>#N/A</v>
      </c>
      <c r="AQ124" s="11" t="e">
        <v>#N/A</v>
      </c>
      <c r="AR124" s="5">
        <v>5</v>
      </c>
      <c r="AT124" s="11" t="e">
        <v>#N/A</v>
      </c>
      <c r="AU124" s="11" t="e">
        <v>#N/A</v>
      </c>
      <c r="AV124" s="11" t="e">
        <v>#N/A</v>
      </c>
      <c r="AW124" s="5">
        <v>4.0149999999999997</v>
      </c>
      <c r="AY124" s="11" t="e">
        <v>#N/A</v>
      </c>
      <c r="AZ124" s="11" t="e">
        <v>#N/A</v>
      </c>
      <c r="BA124" s="11" t="e">
        <v>#N/A</v>
      </c>
      <c r="BB124" s="5">
        <v>0</v>
      </c>
      <c r="BD124" s="11" t="e">
        <v>#N/A</v>
      </c>
      <c r="BE124" s="11" t="e">
        <v>#N/A</v>
      </c>
      <c r="BF124" s="11" t="e">
        <v>#N/A</v>
      </c>
      <c r="BG124" s="5">
        <v>0</v>
      </c>
      <c r="BI124" s="11" t="e">
        <v>#N/A</v>
      </c>
      <c r="BJ124" s="11" t="e">
        <v>#N/A</v>
      </c>
      <c r="BK124" s="11" t="e">
        <v>#N/A</v>
      </c>
      <c r="BL124" s="5">
        <v>0</v>
      </c>
      <c r="BN124" s="11" t="e">
        <v>#N/A</v>
      </c>
      <c r="BO124" s="11" t="e">
        <v>#N/A</v>
      </c>
      <c r="BP124" s="11" t="e">
        <v>#N/A</v>
      </c>
      <c r="BQ124" s="5">
        <v>1</v>
      </c>
      <c r="BS124" s="11" t="e">
        <v>#N/A</v>
      </c>
      <c r="BT124" s="11" t="e">
        <v>#N/A</v>
      </c>
      <c r="BU124" s="11" t="e">
        <v>#N/A</v>
      </c>
      <c r="BV124" s="5">
        <v>4.0149999999999997</v>
      </c>
      <c r="BX124" s="11" t="e">
        <v>#N/A</v>
      </c>
      <c r="BY124" s="11" t="e">
        <v>#N/A</v>
      </c>
      <c r="BZ124" s="11" t="e">
        <v>#N/A</v>
      </c>
      <c r="CA124" s="5">
        <v>0</v>
      </c>
      <c r="CC124" s="11" t="e">
        <v>#N/A</v>
      </c>
      <c r="CD124" s="11" t="e">
        <v>#N/A</v>
      </c>
      <c r="CE124" s="11" t="e">
        <v>#N/A</v>
      </c>
      <c r="CF124" s="5">
        <v>0</v>
      </c>
      <c r="CH124" s="11" t="e">
        <v>#N/A</v>
      </c>
      <c r="CI124" s="11" t="e">
        <v>#N/A</v>
      </c>
      <c r="CJ124" s="11" t="e">
        <v>#N/A</v>
      </c>
      <c r="CK124" s="5">
        <v>0</v>
      </c>
      <c r="CM124" s="11" t="e">
        <v>#N/A</v>
      </c>
      <c r="CN124" s="11" t="e">
        <v>#N/A</v>
      </c>
      <c r="CO124" s="11" t="e">
        <v>#N/A</v>
      </c>
      <c r="CP124" s="5">
        <v>1</v>
      </c>
      <c r="CR124" s="11" t="e">
        <v>#N/A</v>
      </c>
      <c r="CS124" s="11" t="e">
        <v>#N/A</v>
      </c>
      <c r="CT124" s="11" t="e">
        <v>#N/A</v>
      </c>
      <c r="CU124" s="5">
        <v>4.0149999999999997</v>
      </c>
    </row>
    <row r="125" spans="1:99" s="5" customFormat="1" x14ac:dyDescent="0.35">
      <c r="A125" s="4" t="s">
        <v>139</v>
      </c>
      <c r="B125" s="4">
        <v>6.333333333333333</v>
      </c>
      <c r="C125" s="4" t="s">
        <v>168</v>
      </c>
      <c r="D125" s="4" t="s">
        <v>404</v>
      </c>
      <c r="E125" s="3"/>
      <c r="F125" s="5" t="e">
        <v>#N/A</v>
      </c>
      <c r="G125" s="5">
        <v>4.0259999999999998</v>
      </c>
      <c r="H125" s="5">
        <v>4.0110000000000001</v>
      </c>
      <c r="I125" s="5">
        <v>3.0439999999999996</v>
      </c>
      <c r="K125" s="5">
        <v>2.4329999999999998</v>
      </c>
      <c r="L125" s="5">
        <v>3.9159999999999999</v>
      </c>
      <c r="M125" s="5">
        <v>3.9990000000000001</v>
      </c>
      <c r="N125" s="5">
        <v>3.0159999999999996</v>
      </c>
      <c r="P125" s="5">
        <v>1.8670001486316323</v>
      </c>
      <c r="Q125" s="5">
        <v>3.6819994618417695</v>
      </c>
      <c r="R125" s="5">
        <v>3.616999888792634</v>
      </c>
      <c r="S125" s="5">
        <v>2.6830001333728433</v>
      </c>
      <c r="U125" s="5">
        <v>7</v>
      </c>
      <c r="V125" s="5">
        <v>13</v>
      </c>
      <c r="W125" s="5">
        <v>7</v>
      </c>
      <c r="X125" s="5">
        <v>7</v>
      </c>
      <c r="Z125" s="5">
        <v>1.6</v>
      </c>
      <c r="AA125" s="5">
        <v>3.9159999999999999</v>
      </c>
      <c r="AB125" s="5">
        <v>3.532</v>
      </c>
      <c r="AC125" s="5">
        <v>3.0159999999999996</v>
      </c>
      <c r="AE125" s="5">
        <v>1.5170000055804849</v>
      </c>
      <c r="AF125" s="5">
        <v>3.6819994618417695</v>
      </c>
      <c r="AG125" s="5">
        <v>3.3169999364763498</v>
      </c>
      <c r="AH125" s="5">
        <v>2.6830001333728433</v>
      </c>
      <c r="AJ125" s="5">
        <v>5</v>
      </c>
      <c r="AK125" s="5">
        <v>13</v>
      </c>
      <c r="AL125" s="5">
        <v>6</v>
      </c>
      <c r="AM125" s="5">
        <v>7</v>
      </c>
      <c r="AO125" s="5">
        <v>1</v>
      </c>
      <c r="AP125" s="5">
        <v>1</v>
      </c>
      <c r="AQ125" s="5">
        <v>3</v>
      </c>
      <c r="AR125" s="5">
        <v>2</v>
      </c>
      <c r="AT125" s="5">
        <v>8.0000003799796104E-3</v>
      </c>
      <c r="AU125" s="5">
        <v>1.0000000474974513E-3</v>
      </c>
      <c r="AV125" s="5">
        <v>1.2000000104308128E-2</v>
      </c>
      <c r="AW125" s="5">
        <v>1.4999999664723873E-2</v>
      </c>
      <c r="AY125" s="5">
        <v>0.26699999999999996</v>
      </c>
      <c r="AZ125" s="5">
        <v>0.76800000000000024</v>
      </c>
      <c r="BA125" s="5">
        <v>1.3680000000000003</v>
      </c>
      <c r="BB125" s="5">
        <v>1.2649999999999997</v>
      </c>
      <c r="BD125" s="5">
        <v>0.56700001750141382</v>
      </c>
      <c r="BE125" s="5">
        <v>0.84999969601631165</v>
      </c>
      <c r="BF125" s="5">
        <v>0.90099996328353882</v>
      </c>
      <c r="BG125" s="5">
        <v>1.7830000380054116</v>
      </c>
      <c r="BI125" s="5">
        <v>2</v>
      </c>
      <c r="BJ125" s="5">
        <v>4</v>
      </c>
      <c r="BK125" s="5">
        <v>3</v>
      </c>
      <c r="BL125" s="5">
        <v>4</v>
      </c>
      <c r="BN125" s="5">
        <v>2</v>
      </c>
      <c r="BO125" s="5">
        <v>3</v>
      </c>
      <c r="BP125" s="5">
        <v>4</v>
      </c>
      <c r="BQ125" s="5">
        <v>4</v>
      </c>
      <c r="BS125" s="5">
        <v>8.0000003799796104E-3</v>
      </c>
      <c r="BT125" s="5">
        <v>0.36800000071525574</v>
      </c>
      <c r="BU125" s="5">
        <v>0.51200002431869507</v>
      </c>
      <c r="BV125" s="5">
        <v>1.4999999664723873E-2</v>
      </c>
      <c r="BX125" s="5">
        <v>0</v>
      </c>
      <c r="BY125" s="5">
        <v>0</v>
      </c>
      <c r="BZ125" s="5">
        <v>0</v>
      </c>
      <c r="CA125" s="5">
        <v>0</v>
      </c>
      <c r="CC125" s="5">
        <v>0</v>
      </c>
      <c r="CD125" s="5">
        <v>0</v>
      </c>
      <c r="CE125" s="5">
        <v>0</v>
      </c>
      <c r="CF125" s="5">
        <v>0</v>
      </c>
      <c r="CH125" s="5">
        <v>0</v>
      </c>
      <c r="CI125" s="5">
        <v>0</v>
      </c>
      <c r="CJ125" s="5">
        <v>0</v>
      </c>
      <c r="CK125" s="5">
        <v>0</v>
      </c>
      <c r="CM125" s="5">
        <v>0</v>
      </c>
      <c r="CN125" s="5">
        <v>0</v>
      </c>
      <c r="CO125" s="5">
        <v>0</v>
      </c>
      <c r="CP125" s="5">
        <v>0</v>
      </c>
      <c r="CR125" s="5">
        <v>4.0110000000000001</v>
      </c>
      <c r="CS125" s="5">
        <v>4.0259999999999998</v>
      </c>
      <c r="CT125" s="5">
        <v>4.0110000000000001</v>
      </c>
      <c r="CU125" s="5">
        <v>4.01</v>
      </c>
    </row>
    <row r="126" spans="1:99" s="5" customFormat="1" x14ac:dyDescent="0.35">
      <c r="A126" s="4" t="s">
        <v>161</v>
      </c>
      <c r="B126" s="4">
        <v>6.416666666666667</v>
      </c>
      <c r="C126" s="4" t="s">
        <v>168</v>
      </c>
      <c r="D126" s="4" t="s">
        <v>404</v>
      </c>
      <c r="E126" s="3"/>
      <c r="F126" s="5">
        <v>4.016</v>
      </c>
      <c r="G126" s="5" t="e">
        <v>#N/A</v>
      </c>
      <c r="H126" s="5">
        <v>4.0110000000000001</v>
      </c>
      <c r="I126" s="5">
        <v>4.0129999999999999</v>
      </c>
      <c r="K126" s="5">
        <v>3.9990000000000006</v>
      </c>
      <c r="L126" s="11" t="e">
        <v>#N/A</v>
      </c>
      <c r="M126" s="5">
        <v>3.9990000000000001</v>
      </c>
      <c r="N126" s="5">
        <v>3.9990000000000001</v>
      </c>
      <c r="P126" s="5">
        <v>1.4329998604953289</v>
      </c>
      <c r="Q126" s="11" t="e">
        <v>#N/A</v>
      </c>
      <c r="R126" s="5">
        <v>2.7830004990100861</v>
      </c>
      <c r="S126" s="5">
        <v>3.7810000665485859</v>
      </c>
      <c r="U126" s="5">
        <v>6</v>
      </c>
      <c r="V126" s="11" t="e">
        <v>#N/A</v>
      </c>
      <c r="W126" s="5">
        <v>11</v>
      </c>
      <c r="X126" s="5">
        <v>8</v>
      </c>
      <c r="Z126" s="5">
        <v>3.6830000000000003</v>
      </c>
      <c r="AA126" s="11" t="e">
        <v>#N/A</v>
      </c>
      <c r="AB126" s="5">
        <v>3.633</v>
      </c>
      <c r="AC126" s="5">
        <v>3.9990000000000001</v>
      </c>
      <c r="AE126" s="5">
        <v>1.232999861240387</v>
      </c>
      <c r="AF126" s="11" t="e">
        <v>#N/A</v>
      </c>
      <c r="AG126" s="5">
        <v>2.7830004990100861</v>
      </c>
      <c r="AH126" s="5">
        <v>3.7810000665485859</v>
      </c>
      <c r="AJ126" s="5">
        <v>5</v>
      </c>
      <c r="AK126" s="11" t="e">
        <v>#N/A</v>
      </c>
      <c r="AL126" s="5">
        <v>11</v>
      </c>
      <c r="AM126" s="5">
        <v>8</v>
      </c>
      <c r="AO126" s="5">
        <v>3</v>
      </c>
      <c r="AP126" s="11" t="e">
        <v>#N/A</v>
      </c>
      <c r="AQ126" s="5">
        <v>1</v>
      </c>
      <c r="AR126" s="5">
        <v>1</v>
      </c>
      <c r="AT126" s="5">
        <v>0.70200002193450928</v>
      </c>
      <c r="AU126" s="11" t="e">
        <v>#N/A</v>
      </c>
      <c r="AV126" s="5">
        <v>0.36700001358985901</v>
      </c>
      <c r="AW126" s="5">
        <v>2.4000000208616257E-2</v>
      </c>
      <c r="AY126" s="5">
        <v>3.2330000000000001</v>
      </c>
      <c r="AZ126" s="11" t="e">
        <v>#N/A</v>
      </c>
      <c r="BA126" s="5">
        <v>1.8320000000000003</v>
      </c>
      <c r="BB126" s="5">
        <v>2.1</v>
      </c>
      <c r="BD126" s="5">
        <v>1.232999861240387</v>
      </c>
      <c r="BE126" s="11" t="e">
        <v>#N/A</v>
      </c>
      <c r="BF126" s="5">
        <v>1.3330004513263702</v>
      </c>
      <c r="BG126" s="5">
        <v>2.01500004529953</v>
      </c>
      <c r="BI126" s="5">
        <v>5</v>
      </c>
      <c r="BJ126" s="11" t="e">
        <v>#N/A</v>
      </c>
      <c r="BK126" s="5">
        <v>7</v>
      </c>
      <c r="BL126" s="5">
        <v>5</v>
      </c>
      <c r="BN126" s="5">
        <v>4</v>
      </c>
      <c r="BO126" s="11" t="e">
        <v>#N/A</v>
      </c>
      <c r="BP126" s="5">
        <v>4</v>
      </c>
      <c r="BQ126" s="5">
        <v>2</v>
      </c>
      <c r="BS126" s="5">
        <v>0.70200002193450928</v>
      </c>
      <c r="BT126" s="11" t="e">
        <v>#N/A</v>
      </c>
      <c r="BU126" s="5">
        <v>0.36700001358985901</v>
      </c>
      <c r="BV126" s="5">
        <v>0.87400001287460327</v>
      </c>
      <c r="BX126" s="5">
        <v>0</v>
      </c>
      <c r="BY126" s="11" t="e">
        <v>#N/A</v>
      </c>
      <c r="BZ126" s="5">
        <v>0</v>
      </c>
      <c r="CA126" s="5">
        <v>0</v>
      </c>
      <c r="CC126" s="5">
        <v>0</v>
      </c>
      <c r="CD126" s="11" t="e">
        <v>#N/A</v>
      </c>
      <c r="CE126" s="5">
        <v>0</v>
      </c>
      <c r="CF126" s="5">
        <v>0</v>
      </c>
      <c r="CH126" s="5">
        <v>0</v>
      </c>
      <c r="CI126" s="11" t="e">
        <v>#N/A</v>
      </c>
      <c r="CJ126" s="5">
        <v>0</v>
      </c>
      <c r="CK126" s="5">
        <v>0</v>
      </c>
      <c r="CM126" s="5">
        <v>2</v>
      </c>
      <c r="CN126" s="11" t="e">
        <v>#N/A</v>
      </c>
      <c r="CO126" s="5">
        <v>0</v>
      </c>
      <c r="CP126" s="5">
        <v>0</v>
      </c>
      <c r="CR126" s="5">
        <v>4.016</v>
      </c>
      <c r="CS126" s="11" t="e">
        <v>#N/A</v>
      </c>
      <c r="CT126" s="5">
        <v>4.0110000000000001</v>
      </c>
      <c r="CU126" s="5">
        <v>4.0129999999999999</v>
      </c>
    </row>
    <row r="127" spans="1:99" s="5" customFormat="1" x14ac:dyDescent="0.35">
      <c r="A127" s="4" t="s">
        <v>101</v>
      </c>
      <c r="B127" s="4">
        <v>6.583333333333333</v>
      </c>
      <c r="C127" s="4" t="s">
        <v>168</v>
      </c>
      <c r="D127" s="4" t="s">
        <v>404</v>
      </c>
      <c r="E127" s="3"/>
      <c r="F127" s="5">
        <v>3.98</v>
      </c>
      <c r="G127" s="5">
        <v>4.01</v>
      </c>
      <c r="H127" s="5">
        <v>4.0090000000000003</v>
      </c>
      <c r="I127" s="5">
        <v>4.0010000000000003</v>
      </c>
      <c r="K127" s="5">
        <v>3.9489999999999998</v>
      </c>
      <c r="L127" s="5">
        <v>3.9830000000000001</v>
      </c>
      <c r="M127" s="5">
        <v>3.9990000000000001</v>
      </c>
      <c r="N127" s="5">
        <v>3.9820000000000002</v>
      </c>
      <c r="P127" s="5">
        <v>3.8820001073181629</v>
      </c>
      <c r="Q127" s="5">
        <v>3.6169997695833445</v>
      </c>
      <c r="R127" s="5">
        <v>3.3470001518726349</v>
      </c>
      <c r="S127" s="5">
        <v>3.8499998729676008</v>
      </c>
      <c r="U127" s="5">
        <v>5</v>
      </c>
      <c r="V127" s="5">
        <v>15</v>
      </c>
      <c r="W127" s="5">
        <v>13</v>
      </c>
      <c r="X127" s="5">
        <v>9</v>
      </c>
      <c r="Z127" s="5">
        <v>3.9489999999999998</v>
      </c>
      <c r="AA127" s="5">
        <v>3.9830000000000001</v>
      </c>
      <c r="AB127" s="5">
        <v>3.3319999999999999</v>
      </c>
      <c r="AC127" s="5">
        <v>3.9820000000000002</v>
      </c>
      <c r="AE127" s="5">
        <v>3.8820001073181629</v>
      </c>
      <c r="AF127" s="5">
        <v>3.6169997695833445</v>
      </c>
      <c r="AG127" s="5">
        <v>2.96300008893013</v>
      </c>
      <c r="AH127" s="5">
        <v>3.8499998729676008</v>
      </c>
      <c r="AJ127" s="5">
        <v>5</v>
      </c>
      <c r="AK127" s="5">
        <v>15</v>
      </c>
      <c r="AL127" s="5">
        <v>12</v>
      </c>
      <c r="AM127" s="5">
        <v>9</v>
      </c>
      <c r="AO127" s="5">
        <v>1</v>
      </c>
      <c r="AP127" s="5">
        <v>1</v>
      </c>
      <c r="AQ127" s="5">
        <v>2</v>
      </c>
      <c r="AR127" s="5">
        <v>1</v>
      </c>
      <c r="AT127" s="5">
        <v>2.4000000208616257E-2</v>
      </c>
      <c r="AU127" s="5">
        <v>1.2000000104308128E-2</v>
      </c>
      <c r="AV127" s="5">
        <v>0</v>
      </c>
      <c r="AW127" s="5">
        <v>1.4000000432133675E-2</v>
      </c>
      <c r="AY127" s="5">
        <v>3.5989999999999998</v>
      </c>
      <c r="AZ127" s="5">
        <v>1.5010000000000003</v>
      </c>
      <c r="BA127" s="5">
        <v>1.1159999999999997</v>
      </c>
      <c r="BB127" s="5">
        <v>2.3659999999999997</v>
      </c>
      <c r="BD127" s="5">
        <v>3.5660001039505005</v>
      </c>
      <c r="BE127" s="5">
        <v>1.6339997891336679</v>
      </c>
      <c r="BF127" s="5">
        <v>1.048000156879425</v>
      </c>
      <c r="BG127" s="5">
        <v>2.3499998152256012</v>
      </c>
      <c r="BI127" s="5">
        <v>4</v>
      </c>
      <c r="BJ127" s="5">
        <v>7</v>
      </c>
      <c r="BK127" s="5">
        <v>5</v>
      </c>
      <c r="BL127" s="5">
        <v>5</v>
      </c>
      <c r="BN127" s="5">
        <v>1</v>
      </c>
      <c r="BO127" s="5">
        <v>5</v>
      </c>
      <c r="BP127" s="5">
        <v>6</v>
      </c>
      <c r="BQ127" s="5">
        <v>4</v>
      </c>
      <c r="BS127" s="5">
        <v>0.35699999332427979</v>
      </c>
      <c r="BT127" s="5">
        <v>1.2000000104308128E-2</v>
      </c>
      <c r="BU127" s="5">
        <v>0.41600000858306885</v>
      </c>
      <c r="BV127" s="5">
        <v>0.47999998927116394</v>
      </c>
      <c r="BX127" s="5">
        <v>0</v>
      </c>
      <c r="BY127" s="5">
        <v>0</v>
      </c>
      <c r="BZ127" s="5">
        <v>0</v>
      </c>
      <c r="CA127" s="5">
        <v>0</v>
      </c>
      <c r="CC127" s="5">
        <v>0</v>
      </c>
      <c r="CD127" s="5">
        <v>0</v>
      </c>
      <c r="CE127" s="5">
        <v>0</v>
      </c>
      <c r="CF127" s="5">
        <v>0</v>
      </c>
      <c r="CH127" s="5">
        <v>0</v>
      </c>
      <c r="CI127" s="5">
        <v>0</v>
      </c>
      <c r="CJ127" s="5">
        <v>0</v>
      </c>
      <c r="CK127" s="5">
        <v>0</v>
      </c>
      <c r="CM127" s="5">
        <v>0</v>
      </c>
      <c r="CN127" s="5">
        <v>0</v>
      </c>
      <c r="CO127" s="5">
        <v>0</v>
      </c>
      <c r="CP127" s="5">
        <v>0</v>
      </c>
      <c r="CR127" s="5">
        <v>3.98</v>
      </c>
      <c r="CS127" s="5">
        <v>4.01</v>
      </c>
      <c r="CT127" s="5">
        <v>4.0090000000000003</v>
      </c>
      <c r="CU127" s="5">
        <v>4.0010000000000003</v>
      </c>
    </row>
    <row r="128" spans="1:99" s="5" customFormat="1" x14ac:dyDescent="0.35">
      <c r="A128" s="4" t="s">
        <v>145</v>
      </c>
      <c r="B128" s="4">
        <v>6.583333333333333</v>
      </c>
      <c r="C128" s="4" t="s">
        <v>168</v>
      </c>
      <c r="D128" s="4" t="s">
        <v>404</v>
      </c>
      <c r="E128" s="3"/>
      <c r="F128" s="5">
        <v>4.016</v>
      </c>
      <c r="G128" s="5">
        <v>4.0629999999999997</v>
      </c>
      <c r="H128" s="5">
        <v>4.0019999999999998</v>
      </c>
      <c r="I128" s="5">
        <v>4.0259999999999998</v>
      </c>
      <c r="K128" s="5">
        <v>3.9990000000000001</v>
      </c>
      <c r="L128" s="5">
        <v>4.0490000000000004</v>
      </c>
      <c r="M128" s="5">
        <v>3.9830000000000001</v>
      </c>
      <c r="N128" s="5">
        <v>4.0150000000000006</v>
      </c>
      <c r="P128" s="5">
        <v>2.6660002507269382</v>
      </c>
      <c r="Q128" s="5">
        <v>3.9490000088699162</v>
      </c>
      <c r="R128" s="5">
        <v>3.280000195838511</v>
      </c>
      <c r="S128" s="5">
        <v>3.282000383362174</v>
      </c>
      <c r="U128" s="5">
        <v>9</v>
      </c>
      <c r="V128" s="5">
        <v>7</v>
      </c>
      <c r="W128" s="5">
        <v>9</v>
      </c>
      <c r="X128" s="5">
        <v>10</v>
      </c>
      <c r="Z128" s="5">
        <v>3.2149999999999999</v>
      </c>
      <c r="AA128" s="5">
        <v>4.0490000000000004</v>
      </c>
      <c r="AB128" s="5">
        <v>3.9830000000000001</v>
      </c>
      <c r="AC128" s="5">
        <v>3.2150000000000007</v>
      </c>
      <c r="AE128" s="5">
        <v>2.6660002507269382</v>
      </c>
      <c r="AF128" s="5">
        <v>3.9490000088699162</v>
      </c>
      <c r="AG128" s="5">
        <v>3.280000195838511</v>
      </c>
      <c r="AH128" s="5">
        <v>2.8990003671497107</v>
      </c>
      <c r="AJ128" s="5">
        <v>9</v>
      </c>
      <c r="AK128" s="5">
        <v>7</v>
      </c>
      <c r="AL128" s="5">
        <v>9</v>
      </c>
      <c r="AM128" s="5">
        <v>8</v>
      </c>
      <c r="AO128" s="5">
        <v>3</v>
      </c>
      <c r="AP128" s="5">
        <v>1</v>
      </c>
      <c r="AQ128" s="5">
        <v>1</v>
      </c>
      <c r="AR128" s="5">
        <v>2</v>
      </c>
      <c r="AT128" s="5">
        <v>8.999999612569809E-3</v>
      </c>
      <c r="AU128" s="5">
        <v>4.0000001899898052E-3</v>
      </c>
      <c r="AV128" s="5">
        <v>1.4999999664723873E-2</v>
      </c>
      <c r="AW128" s="5">
        <v>9.9999997764825821E-3</v>
      </c>
      <c r="AY128" s="5">
        <v>1.7480000000000002</v>
      </c>
      <c r="AZ128" s="5">
        <v>2.5830000000000002</v>
      </c>
      <c r="BA128" s="5">
        <v>0.56700000000000017</v>
      </c>
      <c r="BB128" s="5">
        <v>1.3650000000000002</v>
      </c>
      <c r="BD128" s="5">
        <v>1.6990000009536743</v>
      </c>
      <c r="BE128" s="5">
        <v>2.265999972820282</v>
      </c>
      <c r="BF128" s="5">
        <v>0.49900013208389282</v>
      </c>
      <c r="BG128" s="5">
        <v>1.5340001583099365</v>
      </c>
      <c r="BI128" s="5">
        <v>5</v>
      </c>
      <c r="BJ128" s="5">
        <v>4</v>
      </c>
      <c r="BK128" s="5">
        <v>2</v>
      </c>
      <c r="BL128" s="5">
        <v>3</v>
      </c>
      <c r="BN128" s="5">
        <v>3</v>
      </c>
      <c r="BO128" s="5">
        <v>3</v>
      </c>
      <c r="BP128" s="5">
        <v>3</v>
      </c>
      <c r="BQ128" s="5">
        <v>4</v>
      </c>
      <c r="BS128" s="5">
        <v>0.55900001525878906</v>
      </c>
      <c r="BT128" s="5">
        <v>0.50400000810623169</v>
      </c>
      <c r="BU128" s="5">
        <v>0.68199998140335083</v>
      </c>
      <c r="BV128" s="5">
        <v>0.57599997520446777</v>
      </c>
      <c r="BX128" s="5">
        <v>0</v>
      </c>
      <c r="BY128" s="5">
        <v>0</v>
      </c>
      <c r="BZ128" s="5">
        <v>0</v>
      </c>
      <c r="CA128" s="5">
        <v>0.23299999999999998</v>
      </c>
      <c r="CC128" s="5">
        <v>0</v>
      </c>
      <c r="CD128" s="5">
        <v>0</v>
      </c>
      <c r="CE128" s="5">
        <v>0</v>
      </c>
      <c r="CF128" s="5">
        <v>0</v>
      </c>
      <c r="CH128" s="5">
        <v>0</v>
      </c>
      <c r="CI128" s="5">
        <v>0</v>
      </c>
      <c r="CJ128" s="5">
        <v>0</v>
      </c>
      <c r="CK128" s="5">
        <v>0</v>
      </c>
      <c r="CM128" s="5">
        <v>0</v>
      </c>
      <c r="CN128" s="5">
        <v>0</v>
      </c>
      <c r="CO128" s="5">
        <v>0</v>
      </c>
      <c r="CP128" s="5">
        <v>1</v>
      </c>
      <c r="CR128" s="5">
        <v>4.016</v>
      </c>
      <c r="CS128" s="5">
        <v>4.0629999999999997</v>
      </c>
      <c r="CT128" s="5">
        <v>4.0019999999999998</v>
      </c>
      <c r="CU128" s="5">
        <v>4.0259999999999998</v>
      </c>
    </row>
    <row r="129" spans="1:99" s="5" customFormat="1" x14ac:dyDescent="0.35">
      <c r="A129" s="4" t="s">
        <v>144</v>
      </c>
      <c r="B129" s="4">
        <v>6.833333333333333</v>
      </c>
      <c r="C129" s="4" t="s">
        <v>168</v>
      </c>
      <c r="D129" s="4" t="s">
        <v>404</v>
      </c>
      <c r="E129" s="3"/>
      <c r="F129" s="5" t="e">
        <v>#N/A</v>
      </c>
      <c r="G129" s="5" t="e">
        <v>#N/A</v>
      </c>
      <c r="H129" s="11" t="e">
        <v>#N/A</v>
      </c>
      <c r="I129" s="5">
        <v>4.0110000000000001</v>
      </c>
      <c r="K129" s="5">
        <v>2.0329999999999999</v>
      </c>
      <c r="L129" s="5">
        <v>2.6</v>
      </c>
      <c r="M129" s="11" t="e">
        <v>#N/A</v>
      </c>
      <c r="N129" s="5">
        <v>3.7489999999999997</v>
      </c>
      <c r="P129" s="5">
        <v>1.4829998761415482</v>
      </c>
      <c r="Q129" s="5">
        <v>2.2150000333786011</v>
      </c>
      <c r="R129" s="11" t="e">
        <v>#N/A</v>
      </c>
      <c r="S129" s="5">
        <v>2.8490000665187836</v>
      </c>
      <c r="U129" s="5">
        <v>4</v>
      </c>
      <c r="V129" s="5">
        <v>6</v>
      </c>
      <c r="W129" s="11" t="e">
        <v>#N/A</v>
      </c>
      <c r="X129" s="5">
        <v>9</v>
      </c>
      <c r="Z129" s="5">
        <v>2.0329999999999999</v>
      </c>
      <c r="AA129" s="5">
        <v>2.6</v>
      </c>
      <c r="AB129" s="11" t="e">
        <v>#N/A</v>
      </c>
      <c r="AC129" s="5">
        <v>3.7489999999999997</v>
      </c>
      <c r="AE129" s="5">
        <v>1.4829998761415482</v>
      </c>
      <c r="AF129" s="5">
        <v>2.2150000333786011</v>
      </c>
      <c r="AG129" s="11" t="e">
        <v>#N/A</v>
      </c>
      <c r="AH129" s="5">
        <v>2.8490000665187836</v>
      </c>
      <c r="AJ129" s="5">
        <v>4</v>
      </c>
      <c r="AK129" s="5">
        <v>6</v>
      </c>
      <c r="AL129" s="11" t="e">
        <v>#N/A</v>
      </c>
      <c r="AM129" s="5">
        <v>9</v>
      </c>
      <c r="AO129" s="5">
        <v>2</v>
      </c>
      <c r="AP129" s="5">
        <v>1</v>
      </c>
      <c r="AQ129" s="11" t="e">
        <v>#N/A</v>
      </c>
      <c r="AR129" s="5">
        <v>1</v>
      </c>
      <c r="AT129" s="5">
        <v>0.22300000488758087</v>
      </c>
      <c r="AU129" s="5">
        <v>1.2020000219345093</v>
      </c>
      <c r="AV129" s="11" t="e">
        <v>#N/A</v>
      </c>
      <c r="AW129" s="5">
        <v>0.25600001215934753</v>
      </c>
      <c r="AY129" s="5">
        <v>1.4660000000000002</v>
      </c>
      <c r="AZ129" s="5">
        <v>1.8660000000000001</v>
      </c>
      <c r="BA129" s="11" t="e">
        <v>#N/A</v>
      </c>
      <c r="BB129" s="5">
        <v>1.3819999999999997</v>
      </c>
      <c r="BD129" s="5">
        <v>1.4829998761415482</v>
      </c>
      <c r="BE129" s="5">
        <v>1.9490001201629639</v>
      </c>
      <c r="BF129" s="11" t="e">
        <v>#N/A</v>
      </c>
      <c r="BG129" s="5">
        <v>1.432999849319458</v>
      </c>
      <c r="BI129" s="5">
        <v>4</v>
      </c>
      <c r="BJ129" s="5">
        <v>4</v>
      </c>
      <c r="BK129" s="11" t="e">
        <v>#N/A</v>
      </c>
      <c r="BL129" s="5">
        <v>3</v>
      </c>
      <c r="BN129" s="5">
        <v>3</v>
      </c>
      <c r="BO129" s="5">
        <v>3</v>
      </c>
      <c r="BP129" s="11" t="e">
        <v>#N/A</v>
      </c>
      <c r="BQ129" s="5">
        <v>3</v>
      </c>
      <c r="BS129" s="5">
        <v>0.22300000488758087</v>
      </c>
      <c r="BT129" s="5">
        <v>1.3190000057220459</v>
      </c>
      <c r="BU129" s="11" t="e">
        <v>#N/A</v>
      </c>
      <c r="BV129" s="5">
        <v>1.0729999542236328</v>
      </c>
      <c r="BX129" s="5">
        <v>0</v>
      </c>
      <c r="BY129" s="5">
        <v>0</v>
      </c>
      <c r="BZ129" s="11" t="e">
        <v>#N/A</v>
      </c>
      <c r="CA129" s="5">
        <v>0.61700000000000021</v>
      </c>
      <c r="CC129" s="5">
        <v>0</v>
      </c>
      <c r="CD129" s="5">
        <v>0</v>
      </c>
      <c r="CE129" s="11" t="e">
        <v>#N/A</v>
      </c>
      <c r="CF129" s="5">
        <v>0.68200016021728516</v>
      </c>
      <c r="CH129" s="5">
        <v>0</v>
      </c>
      <c r="CI129" s="5">
        <v>0</v>
      </c>
      <c r="CJ129" s="11" t="e">
        <v>#N/A</v>
      </c>
      <c r="CK129" s="5">
        <v>3</v>
      </c>
      <c r="CM129" s="5">
        <v>1</v>
      </c>
      <c r="CN129" s="5">
        <v>0</v>
      </c>
      <c r="CO129" s="11" t="e">
        <v>#N/A</v>
      </c>
      <c r="CP129" s="5">
        <v>4</v>
      </c>
      <c r="CR129" s="5">
        <v>4.01</v>
      </c>
      <c r="CS129" s="5">
        <v>4.01</v>
      </c>
      <c r="CT129" s="11" t="e">
        <v>#N/A</v>
      </c>
      <c r="CU129" s="5">
        <v>3.0559999942779541</v>
      </c>
    </row>
    <row r="130" spans="1:99" s="5" customFormat="1" x14ac:dyDescent="0.35">
      <c r="A130" s="4" t="s">
        <v>162</v>
      </c>
      <c r="B130" s="4">
        <v>6.833333333333333</v>
      </c>
      <c r="C130" s="4" t="s">
        <v>168</v>
      </c>
      <c r="D130" s="4" t="s">
        <v>404</v>
      </c>
      <c r="E130" s="3"/>
      <c r="F130" s="5">
        <v>4.0149999999999997</v>
      </c>
      <c r="G130" s="5" t="e">
        <v>#N/A</v>
      </c>
      <c r="H130" s="5" t="e">
        <v>#N/A</v>
      </c>
      <c r="I130" s="5">
        <v>4.016</v>
      </c>
      <c r="K130" s="5">
        <v>3.9490000000000003</v>
      </c>
      <c r="L130" s="11" t="e">
        <v>#N/A</v>
      </c>
      <c r="M130" s="5">
        <v>2.8999999999999995</v>
      </c>
      <c r="N130" s="5">
        <v>3.6659999999999999</v>
      </c>
      <c r="P130" s="5">
        <v>3.3480000833515078</v>
      </c>
      <c r="Q130" s="11" t="e">
        <v>#N/A</v>
      </c>
      <c r="R130" s="5">
        <v>2.3319997610524297</v>
      </c>
      <c r="S130" s="5">
        <v>3.4169999696314335</v>
      </c>
      <c r="U130" s="5">
        <v>6</v>
      </c>
      <c r="V130" s="11" t="e">
        <v>#N/A</v>
      </c>
      <c r="W130" s="5">
        <v>7</v>
      </c>
      <c r="X130" s="5">
        <v>13</v>
      </c>
      <c r="Z130" s="5">
        <v>3.9490000000000003</v>
      </c>
      <c r="AA130" s="11" t="e">
        <v>#N/A</v>
      </c>
      <c r="AB130" s="5">
        <v>2.8829999999999996</v>
      </c>
      <c r="AC130" s="5">
        <v>3.4319999999999999</v>
      </c>
      <c r="AE130" s="5">
        <v>3.3480000833515078</v>
      </c>
      <c r="AF130" s="11" t="e">
        <v>#N/A</v>
      </c>
      <c r="AG130" s="5">
        <v>2.3319997610524297</v>
      </c>
      <c r="AH130" s="5">
        <v>3.2169999219477177</v>
      </c>
      <c r="AJ130" s="5">
        <v>6</v>
      </c>
      <c r="AK130" s="11" t="e">
        <v>#N/A</v>
      </c>
      <c r="AL130" s="5">
        <v>7</v>
      </c>
      <c r="AM130" s="5">
        <v>12</v>
      </c>
      <c r="AO130" s="5">
        <v>1</v>
      </c>
      <c r="AP130" s="11" t="e">
        <v>#N/A</v>
      </c>
      <c r="AQ130" s="5">
        <v>2</v>
      </c>
      <c r="AR130" s="5">
        <v>1</v>
      </c>
      <c r="AT130" s="5">
        <v>2.0000000949949026E-3</v>
      </c>
      <c r="AU130" s="11" t="e">
        <v>#N/A</v>
      </c>
      <c r="AV130" s="5">
        <v>6.0000000521540642E-3</v>
      </c>
      <c r="AW130" s="5">
        <v>8.999999612569809E-3</v>
      </c>
      <c r="AY130" s="5">
        <v>1.9500000000000004</v>
      </c>
      <c r="AZ130" s="11" t="e">
        <v>#N/A</v>
      </c>
      <c r="BA130" s="5">
        <v>1.9509999999999996</v>
      </c>
      <c r="BB130" s="5">
        <v>0.16599999999999998</v>
      </c>
      <c r="BD130" s="5">
        <v>2.6320001224521548</v>
      </c>
      <c r="BE130" s="11" t="e">
        <v>#N/A</v>
      </c>
      <c r="BF130" s="5">
        <v>1.8999998392537236</v>
      </c>
      <c r="BG130" s="5">
        <v>0.13300001621246338</v>
      </c>
      <c r="BI130" s="5">
        <v>4</v>
      </c>
      <c r="BJ130" s="11" t="e">
        <v>#N/A</v>
      </c>
      <c r="BK130" s="5">
        <v>5</v>
      </c>
      <c r="BL130" s="5">
        <v>1</v>
      </c>
      <c r="BN130" s="5">
        <v>4</v>
      </c>
      <c r="BO130" s="11" t="e">
        <v>#N/A</v>
      </c>
      <c r="BP130" s="5">
        <v>4</v>
      </c>
      <c r="BQ130" s="5">
        <v>1</v>
      </c>
      <c r="BS130" s="5">
        <v>2.0000000949949026E-3</v>
      </c>
      <c r="BT130" s="11" t="e">
        <v>#N/A</v>
      </c>
      <c r="BU130" s="5">
        <v>6.0000000521540642E-3</v>
      </c>
      <c r="BV130" s="5">
        <v>0.45899999141693115</v>
      </c>
      <c r="BX130" s="5">
        <v>6.6999999999999726E-2</v>
      </c>
      <c r="BY130" s="11" t="e">
        <v>#N/A</v>
      </c>
      <c r="BZ130" s="5">
        <v>0</v>
      </c>
      <c r="CA130" s="5">
        <v>0</v>
      </c>
      <c r="CC130" s="5">
        <v>0</v>
      </c>
      <c r="CD130" s="11" t="e">
        <v>#N/A</v>
      </c>
      <c r="CE130" s="5">
        <v>0</v>
      </c>
      <c r="CF130" s="5">
        <v>0</v>
      </c>
      <c r="CH130" s="5">
        <v>0</v>
      </c>
      <c r="CI130" s="11" t="e">
        <v>#N/A</v>
      </c>
      <c r="CJ130" s="5">
        <v>0</v>
      </c>
      <c r="CK130" s="5">
        <v>0</v>
      </c>
      <c r="CM130" s="5">
        <v>2</v>
      </c>
      <c r="CN130" s="11" t="e">
        <v>#N/A</v>
      </c>
      <c r="CO130" s="5">
        <v>1</v>
      </c>
      <c r="CP130" s="5">
        <v>0</v>
      </c>
      <c r="CR130" s="5">
        <v>4.0149999999999997</v>
      </c>
      <c r="CS130" s="11" t="e">
        <v>#N/A</v>
      </c>
      <c r="CT130" s="5">
        <v>4.0419999999999998</v>
      </c>
      <c r="CU130" s="5">
        <v>4.016</v>
      </c>
    </row>
    <row r="131" spans="1:99" s="5" customFormat="1" x14ac:dyDescent="0.35">
      <c r="A131" s="4" t="s">
        <v>157</v>
      </c>
      <c r="B131" s="4">
        <v>7</v>
      </c>
      <c r="C131" s="4" t="s">
        <v>168</v>
      </c>
      <c r="D131" s="4" t="s">
        <v>404</v>
      </c>
      <c r="E131" s="3"/>
      <c r="F131" s="5" t="e">
        <v>#N/A</v>
      </c>
      <c r="G131" s="5" t="e">
        <v>#N/A</v>
      </c>
      <c r="H131" s="5" t="e">
        <v>#N/A</v>
      </c>
      <c r="I131" s="5" t="e">
        <v>#N/A</v>
      </c>
      <c r="K131" s="5">
        <v>2.2669999999999999</v>
      </c>
      <c r="L131" s="11" t="e">
        <v>#N/A</v>
      </c>
      <c r="M131" s="11" t="e">
        <v>#N/A</v>
      </c>
      <c r="N131" s="11" t="e">
        <v>#N/A</v>
      </c>
      <c r="P131" s="5">
        <v>1.4340000748634338</v>
      </c>
      <c r="Q131" s="11" t="e">
        <v>#N/A</v>
      </c>
      <c r="R131" s="11" t="e">
        <v>#N/A</v>
      </c>
      <c r="S131" s="11" t="e">
        <v>#N/A</v>
      </c>
      <c r="U131" s="5">
        <v>6</v>
      </c>
      <c r="V131" s="11" t="e">
        <v>#N/A</v>
      </c>
      <c r="W131" s="11" t="e">
        <v>#N/A</v>
      </c>
      <c r="X131" s="11" t="e">
        <v>#N/A</v>
      </c>
      <c r="Z131" s="5">
        <v>1.8169999999999999</v>
      </c>
      <c r="AA131" s="11" t="e">
        <v>#N/A</v>
      </c>
      <c r="AB131" s="11" t="e">
        <v>#N/A</v>
      </c>
      <c r="AC131" s="11" t="e">
        <v>#N/A</v>
      </c>
      <c r="AE131" s="5">
        <v>1.2169998288154602</v>
      </c>
      <c r="AF131" s="11" t="e">
        <v>#N/A</v>
      </c>
      <c r="AG131" s="11" t="e">
        <v>#N/A</v>
      </c>
      <c r="AH131" s="11" t="e">
        <v>#N/A</v>
      </c>
      <c r="AJ131" s="5">
        <v>4</v>
      </c>
      <c r="AK131" s="11" t="e">
        <v>#N/A</v>
      </c>
      <c r="AL131" s="11" t="e">
        <v>#N/A</v>
      </c>
      <c r="AM131" s="11" t="e">
        <v>#N/A</v>
      </c>
      <c r="AO131" s="5">
        <v>4</v>
      </c>
      <c r="AP131" s="11" t="e">
        <v>#N/A</v>
      </c>
      <c r="AQ131" s="11" t="e">
        <v>#N/A</v>
      </c>
      <c r="AR131" s="11" t="e">
        <v>#N/A</v>
      </c>
      <c r="AT131" s="5">
        <v>0.19699999690055847</v>
      </c>
      <c r="AU131" s="11" t="e">
        <v>#N/A</v>
      </c>
      <c r="AV131" s="11" t="e">
        <v>#N/A</v>
      </c>
      <c r="AW131" s="11" t="e">
        <v>#N/A</v>
      </c>
      <c r="AY131" s="5">
        <v>0.5169999999999999</v>
      </c>
      <c r="AZ131" s="11" t="e">
        <v>#N/A</v>
      </c>
      <c r="BA131" s="11" t="e">
        <v>#N/A</v>
      </c>
      <c r="BB131" s="11" t="e">
        <v>#N/A</v>
      </c>
      <c r="BD131" s="5">
        <v>0.51699995994567871</v>
      </c>
      <c r="BE131" s="11" t="e">
        <v>#N/A</v>
      </c>
      <c r="BF131" s="11" t="e">
        <v>#N/A</v>
      </c>
      <c r="BG131" s="11" t="e">
        <v>#N/A</v>
      </c>
      <c r="BI131" s="5">
        <v>1</v>
      </c>
      <c r="BJ131" s="11" t="e">
        <v>#N/A</v>
      </c>
      <c r="BK131" s="11" t="e">
        <v>#N/A</v>
      </c>
      <c r="BL131" s="11" t="e">
        <v>#N/A</v>
      </c>
      <c r="BN131" s="5">
        <v>2</v>
      </c>
      <c r="BO131" s="11" t="e">
        <v>#N/A</v>
      </c>
      <c r="BP131" s="11" t="e">
        <v>#N/A</v>
      </c>
      <c r="BQ131" s="11" t="e">
        <v>#N/A</v>
      </c>
      <c r="BS131" s="5">
        <v>1.1130000352859497</v>
      </c>
      <c r="BT131" s="11" t="e">
        <v>#N/A</v>
      </c>
      <c r="BU131" s="11" t="e">
        <v>#N/A</v>
      </c>
      <c r="BV131" s="11" t="e">
        <v>#N/A</v>
      </c>
      <c r="BX131" s="5">
        <v>3.300000000000014E-2</v>
      </c>
      <c r="BY131" s="11" t="e">
        <v>#N/A</v>
      </c>
      <c r="BZ131" s="11" t="e">
        <v>#N/A</v>
      </c>
      <c r="CA131" s="11" t="e">
        <v>#N/A</v>
      </c>
      <c r="CC131" s="5">
        <v>0</v>
      </c>
      <c r="CD131" s="11" t="e">
        <v>#N/A</v>
      </c>
      <c r="CE131" s="11" t="e">
        <v>#N/A</v>
      </c>
      <c r="CF131" s="11" t="e">
        <v>#N/A</v>
      </c>
      <c r="CH131" s="5">
        <v>0</v>
      </c>
      <c r="CI131" s="11" t="e">
        <v>#N/A</v>
      </c>
      <c r="CJ131" s="11" t="e">
        <v>#N/A</v>
      </c>
      <c r="CK131" s="11" t="e">
        <v>#N/A</v>
      </c>
      <c r="CM131" s="5">
        <v>2</v>
      </c>
      <c r="CN131" s="11" t="e">
        <v>#N/A</v>
      </c>
      <c r="CO131" s="11" t="e">
        <v>#N/A</v>
      </c>
      <c r="CP131" s="11" t="e">
        <v>#N/A</v>
      </c>
      <c r="CR131" s="5">
        <v>4.0289999999999999</v>
      </c>
      <c r="CS131" s="11" t="e">
        <v>#N/A</v>
      </c>
      <c r="CT131" s="11" t="e">
        <v>#N/A</v>
      </c>
      <c r="CU131" s="11" t="e">
        <v>#N/A</v>
      </c>
    </row>
    <row r="132" spans="1:99" s="5" customFormat="1" x14ac:dyDescent="0.35">
      <c r="A132" s="4" t="s">
        <v>95</v>
      </c>
      <c r="B132" s="4">
        <v>7.25</v>
      </c>
      <c r="C132" s="4" t="s">
        <v>168</v>
      </c>
      <c r="D132" s="4" t="s">
        <v>404</v>
      </c>
      <c r="E132" s="3"/>
      <c r="F132" s="5" t="e">
        <v>#N/A</v>
      </c>
      <c r="G132" s="11" t="e">
        <v>#N/A</v>
      </c>
      <c r="H132" s="11" t="e">
        <v>#N/A</v>
      </c>
      <c r="I132" s="5" t="e">
        <v>#N/A</v>
      </c>
      <c r="K132" s="11" t="e">
        <v>#N/A</v>
      </c>
      <c r="L132" s="11" t="e">
        <v>#N/A</v>
      </c>
      <c r="M132" s="11" t="e">
        <v>#N/A</v>
      </c>
      <c r="N132" s="5">
        <v>2.0499999999999998</v>
      </c>
      <c r="P132" s="11" t="e">
        <v>#N/A</v>
      </c>
      <c r="Q132" s="11" t="e">
        <v>#N/A</v>
      </c>
      <c r="R132" s="11" t="e">
        <v>#N/A</v>
      </c>
      <c r="S132" s="5">
        <v>1.5669999122619629</v>
      </c>
      <c r="U132" s="11" t="e">
        <v>#N/A</v>
      </c>
      <c r="V132" s="11" t="e">
        <v>#N/A</v>
      </c>
      <c r="W132" s="11" t="e">
        <v>#N/A</v>
      </c>
      <c r="X132" s="5">
        <v>9</v>
      </c>
      <c r="Z132" s="11" t="e">
        <v>#N/A</v>
      </c>
      <c r="AA132" s="11" t="e">
        <v>#N/A</v>
      </c>
      <c r="AB132" s="11" t="e">
        <v>#N/A</v>
      </c>
      <c r="AC132" s="5">
        <v>1.7829999999999999</v>
      </c>
      <c r="AE132" s="11" t="e">
        <v>#N/A</v>
      </c>
      <c r="AF132" s="11" t="e">
        <v>#N/A</v>
      </c>
      <c r="AG132" s="11" t="e">
        <v>#N/A</v>
      </c>
      <c r="AH132" s="5">
        <v>1.432999849319458</v>
      </c>
      <c r="AJ132" s="11" t="e">
        <v>#N/A</v>
      </c>
      <c r="AK132" s="11" t="e">
        <v>#N/A</v>
      </c>
      <c r="AL132" s="11" t="e">
        <v>#N/A</v>
      </c>
      <c r="AM132" s="5">
        <v>8</v>
      </c>
      <c r="AO132" s="11" t="e">
        <v>#N/A</v>
      </c>
      <c r="AP132" s="11" t="e">
        <v>#N/A</v>
      </c>
      <c r="AQ132" s="11" t="e">
        <v>#N/A</v>
      </c>
      <c r="AR132" s="5">
        <v>3</v>
      </c>
      <c r="AT132" s="11" t="e">
        <v>#N/A</v>
      </c>
      <c r="AU132" s="11" t="e">
        <v>#N/A</v>
      </c>
      <c r="AV132" s="11" t="e">
        <v>#N/A</v>
      </c>
      <c r="AW132" s="5">
        <v>2.0190000534057617</v>
      </c>
      <c r="AY132" s="11" t="e">
        <v>#N/A</v>
      </c>
      <c r="AZ132" s="11" t="e">
        <v>#N/A</v>
      </c>
      <c r="BA132" s="11" t="e">
        <v>#N/A</v>
      </c>
      <c r="BB132" s="5">
        <v>0.25099999999999945</v>
      </c>
      <c r="BD132" s="11" t="e">
        <v>#N/A</v>
      </c>
      <c r="BE132" s="11" t="e">
        <v>#N/A</v>
      </c>
      <c r="BF132" s="11" t="e">
        <v>#N/A</v>
      </c>
      <c r="BG132" s="5">
        <v>0.21700000762939453</v>
      </c>
      <c r="BI132" s="11" t="e">
        <v>#N/A</v>
      </c>
      <c r="BJ132" s="11" t="e">
        <v>#N/A</v>
      </c>
      <c r="BK132" s="11" t="e">
        <v>#N/A</v>
      </c>
      <c r="BL132" s="5">
        <v>2</v>
      </c>
      <c r="BN132" s="11" t="e">
        <v>#N/A</v>
      </c>
      <c r="BO132" s="11" t="e">
        <v>#N/A</v>
      </c>
      <c r="BP132" s="11" t="e">
        <v>#N/A</v>
      </c>
      <c r="BQ132" s="5">
        <v>3</v>
      </c>
      <c r="BS132" s="11" t="e">
        <v>#N/A</v>
      </c>
      <c r="BT132" s="11" t="e">
        <v>#N/A</v>
      </c>
      <c r="BU132" s="11" t="e">
        <v>#N/A</v>
      </c>
      <c r="BV132" s="5">
        <v>3.7679998874664307</v>
      </c>
      <c r="BX132" s="11" t="e">
        <v>#N/A</v>
      </c>
      <c r="BY132" s="11" t="e">
        <v>#N/A</v>
      </c>
      <c r="BZ132" s="11" t="e">
        <v>#N/A</v>
      </c>
      <c r="CA132" s="5">
        <v>0.18400000000000016</v>
      </c>
      <c r="CC132" s="11" t="e">
        <v>#N/A</v>
      </c>
      <c r="CD132" s="11" t="e">
        <v>#N/A</v>
      </c>
      <c r="CE132" s="11" t="e">
        <v>#N/A</v>
      </c>
      <c r="CF132" s="5">
        <v>0.13299989700317383</v>
      </c>
      <c r="CH132" s="11" t="e">
        <v>#N/A</v>
      </c>
      <c r="CI132" s="11" t="e">
        <v>#N/A</v>
      </c>
      <c r="CJ132" s="11" t="e">
        <v>#N/A</v>
      </c>
      <c r="CK132" s="5">
        <v>1</v>
      </c>
      <c r="CM132" s="11" t="e">
        <v>#N/A</v>
      </c>
      <c r="CN132" s="11" t="e">
        <v>#N/A</v>
      </c>
      <c r="CO132" s="11" t="e">
        <v>#N/A</v>
      </c>
      <c r="CP132" s="5">
        <v>3</v>
      </c>
      <c r="CR132" s="11" t="e">
        <v>#N/A</v>
      </c>
      <c r="CS132" s="11" t="e">
        <v>#N/A</v>
      </c>
      <c r="CT132" s="11" t="e">
        <v>#N/A</v>
      </c>
      <c r="CU132" s="5">
        <v>3.6019999980926514</v>
      </c>
    </row>
    <row r="133" spans="1:99" s="5" customFormat="1" x14ac:dyDescent="0.35">
      <c r="A133" s="4" t="s">
        <v>97</v>
      </c>
      <c r="B133" s="4">
        <v>7.25</v>
      </c>
      <c r="C133" s="4" t="s">
        <v>168</v>
      </c>
      <c r="D133" s="4" t="s">
        <v>404</v>
      </c>
      <c r="E133" s="3"/>
      <c r="F133" s="11" t="e">
        <v>#N/A</v>
      </c>
      <c r="G133" s="5" t="e">
        <v>#N/A</v>
      </c>
      <c r="H133" s="5">
        <v>3.0319999999999996</v>
      </c>
      <c r="I133" s="5" t="e">
        <v>#N/A</v>
      </c>
      <c r="K133" s="11" t="e">
        <v>#N/A</v>
      </c>
      <c r="L133" s="11" t="e">
        <v>#N/A</v>
      </c>
      <c r="M133" s="5">
        <v>3.016</v>
      </c>
      <c r="N133" s="11" t="e">
        <v>#N/A</v>
      </c>
      <c r="P133" s="11" t="e">
        <v>#N/A</v>
      </c>
      <c r="Q133" s="11" t="e">
        <v>#N/A</v>
      </c>
      <c r="R133" s="5">
        <v>2.9149999618530273</v>
      </c>
      <c r="S133" s="11" t="e">
        <v>#N/A</v>
      </c>
      <c r="U133" s="11" t="e">
        <v>#N/A</v>
      </c>
      <c r="V133" s="11" t="e">
        <v>#N/A</v>
      </c>
      <c r="W133" s="5">
        <v>4</v>
      </c>
      <c r="X133" s="11" t="e">
        <v>#N/A</v>
      </c>
      <c r="Z133" s="11" t="e">
        <v>#N/A</v>
      </c>
      <c r="AA133" s="11" t="e">
        <v>#N/A</v>
      </c>
      <c r="AB133" s="5">
        <v>2.9660000000000002</v>
      </c>
      <c r="AC133" s="11" t="e">
        <v>#N/A</v>
      </c>
      <c r="AE133" s="11" t="e">
        <v>#N/A</v>
      </c>
      <c r="AF133" s="11" t="e">
        <v>#N/A</v>
      </c>
      <c r="AG133" s="5">
        <v>2.9149999618530273</v>
      </c>
      <c r="AH133" s="11" t="e">
        <v>#N/A</v>
      </c>
      <c r="AJ133" s="11" t="e">
        <v>#N/A</v>
      </c>
      <c r="AK133" s="11" t="e">
        <v>#N/A</v>
      </c>
      <c r="AL133" s="5">
        <v>4</v>
      </c>
      <c r="AM133" s="11" t="e">
        <v>#N/A</v>
      </c>
      <c r="AO133" s="11" t="e">
        <v>#N/A</v>
      </c>
      <c r="AP133" s="11" t="e">
        <v>#N/A</v>
      </c>
      <c r="AQ133" s="5">
        <v>1</v>
      </c>
      <c r="AR133" s="11" t="e">
        <v>#N/A</v>
      </c>
      <c r="AT133" s="11" t="e">
        <v>#N/A</v>
      </c>
      <c r="AU133" s="11" t="e">
        <v>#N/A</v>
      </c>
      <c r="AV133" s="5">
        <v>1.0279999971389771</v>
      </c>
      <c r="AW133" s="11" t="e">
        <v>#N/A</v>
      </c>
      <c r="AY133" s="11" t="e">
        <v>#N/A</v>
      </c>
      <c r="AZ133" s="11" t="e">
        <v>#N/A</v>
      </c>
      <c r="BA133" s="5">
        <v>1.6500000000000004</v>
      </c>
      <c r="BB133" s="11" t="e">
        <v>#N/A</v>
      </c>
      <c r="BD133" s="11" t="e">
        <v>#N/A</v>
      </c>
      <c r="BE133" s="11" t="e">
        <v>#N/A</v>
      </c>
      <c r="BF133" s="5">
        <v>1.7160000801086426</v>
      </c>
      <c r="BG133" s="11" t="e">
        <v>#N/A</v>
      </c>
      <c r="BI133" s="11" t="e">
        <v>#N/A</v>
      </c>
      <c r="BJ133" s="11" t="e">
        <v>#N/A</v>
      </c>
      <c r="BK133" s="5">
        <v>2</v>
      </c>
      <c r="BL133" s="11" t="e">
        <v>#N/A</v>
      </c>
      <c r="BN133" s="11" t="e">
        <v>#N/A</v>
      </c>
      <c r="BO133" s="11" t="e">
        <v>#N/A</v>
      </c>
      <c r="BP133" s="5">
        <v>1</v>
      </c>
      <c r="BQ133" s="11" t="e">
        <v>#N/A</v>
      </c>
      <c r="BS133" s="11" t="e">
        <v>#N/A</v>
      </c>
      <c r="BT133" s="11" t="e">
        <v>#N/A</v>
      </c>
      <c r="BU133" s="5">
        <v>2.2609999179840088</v>
      </c>
      <c r="BV133" s="11" t="e">
        <v>#N/A</v>
      </c>
      <c r="BX133" s="11" t="e">
        <v>#N/A</v>
      </c>
      <c r="BY133" s="11" t="e">
        <v>#N/A</v>
      </c>
      <c r="BZ133" s="5">
        <v>0</v>
      </c>
      <c r="CA133" s="11" t="e">
        <v>#N/A</v>
      </c>
      <c r="CC133" s="11" t="e">
        <v>#N/A</v>
      </c>
      <c r="CD133" s="11" t="e">
        <v>#N/A</v>
      </c>
      <c r="CE133" s="5">
        <v>0</v>
      </c>
      <c r="CF133" s="11" t="e">
        <v>#N/A</v>
      </c>
      <c r="CH133" s="11" t="e">
        <v>#N/A</v>
      </c>
      <c r="CI133" s="11" t="e">
        <v>#N/A</v>
      </c>
      <c r="CJ133" s="5">
        <v>0</v>
      </c>
      <c r="CK133" s="11" t="e">
        <v>#N/A</v>
      </c>
      <c r="CM133" s="11" t="e">
        <v>#N/A</v>
      </c>
      <c r="CN133" s="11" t="e">
        <v>#N/A</v>
      </c>
      <c r="CO133" s="5">
        <v>0</v>
      </c>
      <c r="CP133" s="11" t="e">
        <v>#N/A</v>
      </c>
      <c r="CR133" s="11" t="e">
        <v>#N/A</v>
      </c>
      <c r="CS133" s="11" t="e">
        <v>#N/A</v>
      </c>
      <c r="CT133" s="5">
        <v>4.01</v>
      </c>
      <c r="CU133" s="11" t="e">
        <v>#N/A</v>
      </c>
    </row>
    <row r="134" spans="1:99" s="5" customFormat="1" x14ac:dyDescent="0.35">
      <c r="A134" s="4" t="s">
        <v>126</v>
      </c>
      <c r="B134" s="4">
        <v>7.25</v>
      </c>
      <c r="C134" s="4" t="s">
        <v>168</v>
      </c>
      <c r="D134" s="4" t="s">
        <v>404</v>
      </c>
      <c r="E134" s="3"/>
      <c r="F134" s="5" t="e">
        <v>#N/A</v>
      </c>
      <c r="G134" s="5">
        <v>4.016</v>
      </c>
      <c r="H134" s="5">
        <v>4.0259999999999998</v>
      </c>
      <c r="I134" s="5">
        <v>4.01</v>
      </c>
      <c r="K134" s="11" t="e">
        <v>#N/A</v>
      </c>
      <c r="L134" s="5">
        <v>3.4490000000000007</v>
      </c>
      <c r="M134" s="5">
        <v>4.016</v>
      </c>
      <c r="N134" s="5">
        <v>3.5990000000000002</v>
      </c>
      <c r="P134" s="11" t="e">
        <v>#N/A</v>
      </c>
      <c r="Q134" s="5">
        <v>3.89799988665618</v>
      </c>
      <c r="R134" s="5">
        <v>2.882000207901001</v>
      </c>
      <c r="S134" s="5">
        <v>2.9489998519420624</v>
      </c>
      <c r="U134" s="11" t="e">
        <v>#N/A</v>
      </c>
      <c r="V134" s="5">
        <v>7</v>
      </c>
      <c r="W134" s="5">
        <v>6</v>
      </c>
      <c r="X134" s="5">
        <v>10</v>
      </c>
      <c r="Z134" s="11" t="e">
        <v>#N/A</v>
      </c>
      <c r="AA134" s="5">
        <v>3.9990000000000006</v>
      </c>
      <c r="AB134" s="5">
        <v>3.282</v>
      </c>
      <c r="AC134" s="5">
        <v>1.966</v>
      </c>
      <c r="AE134" s="11" t="e">
        <v>#N/A</v>
      </c>
      <c r="AF134" s="5">
        <v>3.89799988665618</v>
      </c>
      <c r="AG134" s="5">
        <v>2.882000207901001</v>
      </c>
      <c r="AH134" s="5">
        <v>1.6829999387264252</v>
      </c>
      <c r="AJ134" s="11" t="e">
        <v>#N/A</v>
      </c>
      <c r="AK134" s="5">
        <v>7</v>
      </c>
      <c r="AL134" s="5">
        <v>6</v>
      </c>
      <c r="AM134" s="5">
        <v>7</v>
      </c>
      <c r="AO134" s="11" t="e">
        <v>#N/A</v>
      </c>
      <c r="AP134" s="5">
        <v>1</v>
      </c>
      <c r="AQ134" s="5">
        <v>2</v>
      </c>
      <c r="AR134" s="5">
        <v>6</v>
      </c>
      <c r="AT134" s="11" t="e">
        <v>#N/A</v>
      </c>
      <c r="AU134" s="5">
        <v>2.0000000949949026E-3</v>
      </c>
      <c r="AV134" s="5">
        <v>0.27700001001358032</v>
      </c>
      <c r="AW134" s="5">
        <v>0.43200001120567322</v>
      </c>
      <c r="AY134" s="11" t="e">
        <v>#N/A</v>
      </c>
      <c r="AZ134" s="5">
        <v>0</v>
      </c>
      <c r="BA134" s="5">
        <v>0.19999999999999996</v>
      </c>
      <c r="BB134" s="5">
        <v>3.2999999999999918E-2</v>
      </c>
      <c r="BD134" s="11" t="e">
        <v>#N/A</v>
      </c>
      <c r="BE134" s="5">
        <v>0</v>
      </c>
      <c r="BF134" s="5">
        <v>0.25</v>
      </c>
      <c r="BG134" s="5">
        <v>0</v>
      </c>
      <c r="BI134" s="11" t="e">
        <v>#N/A</v>
      </c>
      <c r="BJ134" s="5">
        <v>0</v>
      </c>
      <c r="BK134" s="5">
        <v>1</v>
      </c>
      <c r="BL134" s="5">
        <v>0</v>
      </c>
      <c r="BN134" s="11" t="e">
        <v>#N/A</v>
      </c>
      <c r="BO134" s="5">
        <v>0</v>
      </c>
      <c r="BP134" s="5">
        <v>1</v>
      </c>
      <c r="BQ134" s="5">
        <v>2</v>
      </c>
      <c r="BS134" s="11" t="e">
        <v>#N/A</v>
      </c>
      <c r="BT134" s="5">
        <v>4.016</v>
      </c>
      <c r="BU134" s="5">
        <v>0.27700001001358032</v>
      </c>
      <c r="BV134" s="5">
        <v>4.01</v>
      </c>
      <c r="BX134" s="11" t="e">
        <v>#N/A</v>
      </c>
      <c r="BY134" s="5">
        <v>0.99900000000000022</v>
      </c>
      <c r="BZ134" s="5">
        <v>0.40099999999999986</v>
      </c>
      <c r="CA134" s="5">
        <v>0.33300000000000007</v>
      </c>
      <c r="CC134" s="11" t="e">
        <v>#N/A</v>
      </c>
      <c r="CD134" s="5">
        <v>1.497999906539917</v>
      </c>
      <c r="CE134" s="5">
        <v>0.3330000638961792</v>
      </c>
      <c r="CF134" s="5">
        <v>0.51700010895729065</v>
      </c>
      <c r="CH134" s="11" t="e">
        <v>#N/A</v>
      </c>
      <c r="CI134" s="5">
        <v>4</v>
      </c>
      <c r="CJ134" s="5">
        <v>1</v>
      </c>
      <c r="CK134" s="5">
        <v>2</v>
      </c>
      <c r="CM134" s="11" t="e">
        <v>#N/A</v>
      </c>
      <c r="CN134" s="5">
        <v>8</v>
      </c>
      <c r="CO134" s="5">
        <v>4</v>
      </c>
      <c r="CP134" s="5">
        <v>5</v>
      </c>
      <c r="CR134" s="11" t="e">
        <v>#N/A</v>
      </c>
      <c r="CS134" s="5">
        <v>1.3190000057220459</v>
      </c>
      <c r="CT134" s="5">
        <v>1.9759999513626099</v>
      </c>
      <c r="CU134" s="5">
        <v>0.43200001120567322</v>
      </c>
    </row>
    <row r="135" spans="1:99" s="5" customFormat="1" x14ac:dyDescent="0.35">
      <c r="A135" s="4" t="s">
        <v>163</v>
      </c>
      <c r="B135" s="4">
        <v>7.333333333333333</v>
      </c>
      <c r="C135" s="4" t="s">
        <v>168</v>
      </c>
      <c r="D135" s="4" t="s">
        <v>404</v>
      </c>
      <c r="E135" s="3"/>
      <c r="F135" s="5" t="e">
        <v>#N/A</v>
      </c>
      <c r="G135" s="5" t="e">
        <v>#N/A</v>
      </c>
      <c r="H135" s="5">
        <v>3.1019999999999994</v>
      </c>
      <c r="I135" s="11" t="e">
        <v>#N/A</v>
      </c>
      <c r="K135" s="5">
        <v>2.15</v>
      </c>
      <c r="L135" s="5">
        <v>1.7829999999999997</v>
      </c>
      <c r="M135" s="5">
        <v>2.8159999999999998</v>
      </c>
      <c r="N135" s="11" t="e">
        <v>#N/A</v>
      </c>
      <c r="P135" s="5">
        <v>1.716999888420105</v>
      </c>
      <c r="Q135" s="5">
        <v>1.4169999565929174</v>
      </c>
      <c r="R135" s="5">
        <v>2.765999972820282</v>
      </c>
      <c r="S135" s="11" t="e">
        <v>#N/A</v>
      </c>
      <c r="U135" s="5">
        <v>5</v>
      </c>
      <c r="V135" s="5">
        <v>4</v>
      </c>
      <c r="W135" s="5">
        <v>2</v>
      </c>
      <c r="X135" s="11" t="e">
        <v>#N/A</v>
      </c>
      <c r="Z135" s="5">
        <v>1.8839999999999999</v>
      </c>
      <c r="AA135" s="5">
        <v>1.7829999999999997</v>
      </c>
      <c r="AB135" s="5">
        <v>2.8159999999999998</v>
      </c>
      <c r="AC135" s="11" t="e">
        <v>#N/A</v>
      </c>
      <c r="AE135" s="5">
        <v>1.716999888420105</v>
      </c>
      <c r="AF135" s="5">
        <v>1.4169999565929174</v>
      </c>
      <c r="AG135" s="5">
        <v>2.765999972820282</v>
      </c>
      <c r="AH135" s="11" t="e">
        <v>#N/A</v>
      </c>
      <c r="AJ135" s="5">
        <v>5</v>
      </c>
      <c r="AK135" s="5">
        <v>4</v>
      </c>
      <c r="AL135" s="5">
        <v>2</v>
      </c>
      <c r="AM135" s="11" t="e">
        <v>#N/A</v>
      </c>
      <c r="AO135" s="5">
        <v>2</v>
      </c>
      <c r="AP135" s="5">
        <v>2</v>
      </c>
      <c r="AQ135" s="5">
        <v>1</v>
      </c>
      <c r="AR135" s="11" t="e">
        <v>#N/A</v>
      </c>
      <c r="AT135" s="5">
        <v>1.0950000286102295</v>
      </c>
      <c r="AU135" s="5">
        <v>9.9999997764825821E-3</v>
      </c>
      <c r="AV135" s="5">
        <v>0.93800002336502075</v>
      </c>
      <c r="AW135" s="11" t="e">
        <v>#N/A</v>
      </c>
      <c r="AY135" s="5">
        <v>0.66700000000000004</v>
      </c>
      <c r="AZ135" s="5">
        <v>1.4159999999999997</v>
      </c>
      <c r="BA135" s="5">
        <v>2.649</v>
      </c>
      <c r="BB135" s="11" t="e">
        <v>#N/A</v>
      </c>
      <c r="BD135" s="5">
        <v>0.66700005531311035</v>
      </c>
      <c r="BE135" s="5">
        <v>1.0669999420642853</v>
      </c>
      <c r="BF135" s="5">
        <v>2.765999972820282</v>
      </c>
      <c r="BG135" s="11" t="e">
        <v>#N/A</v>
      </c>
      <c r="BI135" s="5">
        <v>2</v>
      </c>
      <c r="BJ135" s="5">
        <v>3</v>
      </c>
      <c r="BK135" s="5">
        <v>2</v>
      </c>
      <c r="BL135" s="11" t="e">
        <v>#N/A</v>
      </c>
      <c r="BN135" s="5">
        <v>2</v>
      </c>
      <c r="BO135" s="5">
        <v>2</v>
      </c>
      <c r="BP135" s="5">
        <v>2</v>
      </c>
      <c r="BQ135" s="11" t="e">
        <v>#N/A</v>
      </c>
      <c r="BS135" s="5">
        <v>2.2119998931884766</v>
      </c>
      <c r="BT135" s="5">
        <v>0.37700000405311584</v>
      </c>
      <c r="BU135" s="5">
        <v>0.93800002336502075</v>
      </c>
      <c r="BV135" s="11" t="e">
        <v>#N/A</v>
      </c>
      <c r="BX135" s="5">
        <v>0.88399999999999945</v>
      </c>
      <c r="BY135" s="5">
        <v>0</v>
      </c>
      <c r="BZ135" s="5">
        <v>0</v>
      </c>
      <c r="CA135" s="11" t="e">
        <v>#N/A</v>
      </c>
      <c r="CC135" s="5">
        <v>0.88300001621246338</v>
      </c>
      <c r="CD135" s="5">
        <v>0</v>
      </c>
      <c r="CE135" s="5">
        <v>0</v>
      </c>
      <c r="CF135" s="11" t="e">
        <v>#N/A</v>
      </c>
      <c r="CH135" s="5">
        <v>2</v>
      </c>
      <c r="CI135" s="5">
        <v>0</v>
      </c>
      <c r="CJ135" s="5">
        <v>0</v>
      </c>
      <c r="CK135" s="11" t="e">
        <v>#N/A</v>
      </c>
      <c r="CM135" s="5">
        <v>3</v>
      </c>
      <c r="CN135" s="5">
        <v>0</v>
      </c>
      <c r="CO135" s="5">
        <v>1</v>
      </c>
      <c r="CP135" s="11" t="e">
        <v>#N/A</v>
      </c>
      <c r="CR135" s="5">
        <v>1.0950000286102295</v>
      </c>
      <c r="CS135" s="5">
        <v>4.0110000000000001</v>
      </c>
      <c r="CT135" s="5">
        <v>4.0069999999999997</v>
      </c>
      <c r="CU135" s="11" t="e">
        <v>#N/A</v>
      </c>
    </row>
    <row r="136" spans="1:99" s="5" customFormat="1" x14ac:dyDescent="0.35">
      <c r="A136" s="4" t="s">
        <v>141</v>
      </c>
      <c r="B136" s="4">
        <v>7.75</v>
      </c>
      <c r="C136" s="4" t="s">
        <v>168</v>
      </c>
      <c r="D136" s="4" t="s">
        <v>404</v>
      </c>
      <c r="E136" s="3"/>
      <c r="F136" s="5">
        <v>4.0110000000000001</v>
      </c>
      <c r="G136" s="5">
        <v>4.01</v>
      </c>
      <c r="H136" s="5">
        <v>4.016</v>
      </c>
      <c r="I136" s="5">
        <v>4.0460000000000003</v>
      </c>
      <c r="K136" s="5">
        <v>3.9970000000000003</v>
      </c>
      <c r="L136" s="5">
        <v>3.9810000000000003</v>
      </c>
      <c r="M136" s="5">
        <v>3.9990000000000001</v>
      </c>
      <c r="N136" s="5">
        <v>4.0280000000000005</v>
      </c>
      <c r="P136" s="5">
        <v>2.4170001039747149</v>
      </c>
      <c r="Q136" s="5">
        <v>1.7649998664855957</v>
      </c>
      <c r="R136" s="5">
        <v>3.3829998373985291</v>
      </c>
      <c r="S136" s="5">
        <v>3.4450000603683293</v>
      </c>
      <c r="U136" s="5">
        <v>14</v>
      </c>
      <c r="V136" s="5">
        <v>10</v>
      </c>
      <c r="W136" s="5">
        <v>8</v>
      </c>
      <c r="X136" s="5">
        <v>10</v>
      </c>
      <c r="Z136" s="5">
        <v>3.415</v>
      </c>
      <c r="AA136" s="5">
        <v>3.6140000000000008</v>
      </c>
      <c r="AB136" s="5">
        <v>3.9660000000000002</v>
      </c>
      <c r="AC136" s="5">
        <v>4.0280000000000005</v>
      </c>
      <c r="AE136" s="5">
        <v>2.4170001039747149</v>
      </c>
      <c r="AF136" s="5">
        <v>1.7649998664855957</v>
      </c>
      <c r="AG136" s="5">
        <v>3.3829998373985291</v>
      </c>
      <c r="AH136" s="5">
        <v>3.4450000603683293</v>
      </c>
      <c r="AJ136" s="5">
        <v>14</v>
      </c>
      <c r="AK136" s="5">
        <v>10</v>
      </c>
      <c r="AL136" s="5">
        <v>8</v>
      </c>
      <c r="AM136" s="5">
        <v>10</v>
      </c>
      <c r="AO136" s="5">
        <v>12</v>
      </c>
      <c r="AP136" s="5">
        <v>6</v>
      </c>
      <c r="AQ136" s="5">
        <v>1</v>
      </c>
      <c r="AR136" s="5">
        <v>1</v>
      </c>
      <c r="AT136" s="5">
        <v>2.0000000949949026E-3</v>
      </c>
      <c r="AU136" s="5">
        <v>0.68000000715255737</v>
      </c>
      <c r="AV136" s="5">
        <v>0</v>
      </c>
      <c r="AW136" s="5">
        <v>4.0000001899898052E-3</v>
      </c>
      <c r="AY136" s="5">
        <v>1.4349999999999992</v>
      </c>
      <c r="AZ136" s="5">
        <v>0.749000000000001</v>
      </c>
      <c r="BA136" s="5">
        <v>1.2839999999999998</v>
      </c>
      <c r="BB136" s="5">
        <v>0.51500000000000068</v>
      </c>
      <c r="BD136" s="5">
        <v>1.3339999914169312</v>
      </c>
      <c r="BE136" s="5">
        <v>0.43300008773803711</v>
      </c>
      <c r="BF136" s="5">
        <v>1.8329997658729553</v>
      </c>
      <c r="BG136" s="5">
        <v>1.1120002865791321</v>
      </c>
      <c r="BI136" s="5">
        <v>8</v>
      </c>
      <c r="BJ136" s="5">
        <v>2</v>
      </c>
      <c r="BK136" s="5">
        <v>3</v>
      </c>
      <c r="BL136" s="5">
        <v>3</v>
      </c>
      <c r="BN136" s="5">
        <v>17</v>
      </c>
      <c r="BO136" s="5">
        <v>9</v>
      </c>
      <c r="BP136" s="5">
        <v>10</v>
      </c>
      <c r="BQ136" s="5">
        <v>10</v>
      </c>
      <c r="BS136" s="5">
        <v>0.9179999828338623</v>
      </c>
      <c r="BT136" s="5">
        <v>2.9279999732971191</v>
      </c>
      <c r="BU136" s="5">
        <v>0.88400000333786011</v>
      </c>
      <c r="BV136" s="5">
        <v>0.2720000147819519</v>
      </c>
      <c r="BX136" s="5">
        <v>0</v>
      </c>
      <c r="BY136" s="5">
        <v>0.10000000000000009</v>
      </c>
      <c r="BZ136" s="5">
        <v>0.4009999999999998</v>
      </c>
      <c r="CA136" s="5">
        <v>0</v>
      </c>
      <c r="CC136" s="5">
        <v>0</v>
      </c>
      <c r="CD136" s="5">
        <v>9.9999904632568359E-2</v>
      </c>
      <c r="CE136" s="5">
        <v>0.16700005531311035</v>
      </c>
      <c r="CF136" s="5">
        <v>0</v>
      </c>
      <c r="CH136" s="5">
        <v>0</v>
      </c>
      <c r="CI136" s="5">
        <v>1</v>
      </c>
      <c r="CJ136" s="5">
        <v>1</v>
      </c>
      <c r="CK136" s="5">
        <v>0</v>
      </c>
      <c r="CM136" s="5">
        <v>0</v>
      </c>
      <c r="CN136" s="5">
        <v>3</v>
      </c>
      <c r="CO136" s="5">
        <v>3</v>
      </c>
      <c r="CP136" s="5">
        <v>0</v>
      </c>
      <c r="CR136" s="5">
        <v>4.0110000000000001</v>
      </c>
      <c r="CS136" s="5">
        <v>3.8110001087188721</v>
      </c>
      <c r="CT136" s="5">
        <v>3.3829998970031738</v>
      </c>
      <c r="CU136" s="5">
        <v>4.0460000000000003</v>
      </c>
    </row>
    <row r="137" spans="1:99" s="5" customFormat="1" x14ac:dyDescent="0.35">
      <c r="A137" s="4" t="s">
        <v>154</v>
      </c>
      <c r="B137" s="4">
        <v>7.916666666666667</v>
      </c>
      <c r="C137" s="4" t="s">
        <v>168</v>
      </c>
      <c r="D137" s="4" t="s">
        <v>404</v>
      </c>
      <c r="E137" s="3"/>
      <c r="F137" s="5">
        <v>4.016</v>
      </c>
      <c r="G137" s="5">
        <v>4.0270000000000001</v>
      </c>
      <c r="H137" s="5">
        <v>4.01</v>
      </c>
      <c r="I137" s="5" t="e">
        <v>#N/A</v>
      </c>
      <c r="K137" s="5">
        <v>4</v>
      </c>
      <c r="L137" s="5">
        <v>3.9990000000000001</v>
      </c>
      <c r="M137" s="5">
        <v>3.9820000000000002</v>
      </c>
      <c r="N137" s="5">
        <v>2.25</v>
      </c>
      <c r="P137" s="5">
        <v>3.1519997278228402</v>
      </c>
      <c r="Q137" s="5">
        <v>2.7499999944120646</v>
      </c>
      <c r="R137" s="5">
        <v>2.9489997643977404</v>
      </c>
      <c r="S137" s="5">
        <v>1.4999999870778993</v>
      </c>
      <c r="U137" s="5">
        <v>11</v>
      </c>
      <c r="V137" s="5">
        <v>12</v>
      </c>
      <c r="W137" s="5">
        <v>10</v>
      </c>
      <c r="X137" s="5">
        <v>5</v>
      </c>
      <c r="Z137" s="5">
        <v>4</v>
      </c>
      <c r="AA137" s="5">
        <v>3.8320000000000003</v>
      </c>
      <c r="AB137" s="5">
        <v>3.3150000000000004</v>
      </c>
      <c r="AC137" s="5">
        <v>2.0499999999999998</v>
      </c>
      <c r="AE137" s="5">
        <v>3.1519997278228402</v>
      </c>
      <c r="AF137" s="5">
        <v>2.7499999944120646</v>
      </c>
      <c r="AG137" s="5">
        <v>2.9489997643977404</v>
      </c>
      <c r="AH137" s="5">
        <v>1.4999999870778993</v>
      </c>
      <c r="AJ137" s="5">
        <v>11</v>
      </c>
      <c r="AK137" s="5">
        <v>12</v>
      </c>
      <c r="AL137" s="5">
        <v>10</v>
      </c>
      <c r="AM137" s="5">
        <v>5</v>
      </c>
      <c r="AO137" s="5">
        <v>1</v>
      </c>
      <c r="AP137" s="5">
        <v>2</v>
      </c>
      <c r="AQ137" s="5">
        <v>3</v>
      </c>
      <c r="AR137" s="5">
        <v>4</v>
      </c>
      <c r="AT137" s="5">
        <v>8.0000003799796104E-3</v>
      </c>
      <c r="AU137" s="5">
        <v>1.2000000104308128E-2</v>
      </c>
      <c r="AV137" s="5">
        <v>1.6000000759959221E-2</v>
      </c>
      <c r="AW137" s="5">
        <v>1.0000000474974513E-3</v>
      </c>
      <c r="AY137" s="5">
        <v>1.2159999999999997</v>
      </c>
      <c r="AZ137" s="5">
        <v>0.86799999999999988</v>
      </c>
      <c r="BA137" s="5">
        <v>1.4649999999999999</v>
      </c>
      <c r="BB137" s="5">
        <v>0.34999999999999981</v>
      </c>
      <c r="BD137" s="5">
        <v>1.4999998966231942</v>
      </c>
      <c r="BE137" s="5">
        <v>0.66699975728988647</v>
      </c>
      <c r="BF137" s="5">
        <v>0.91700005531311035</v>
      </c>
      <c r="BG137" s="5">
        <v>0.11699998378753662</v>
      </c>
      <c r="BI137" s="5">
        <v>5</v>
      </c>
      <c r="BJ137" s="5">
        <v>4</v>
      </c>
      <c r="BK137" s="5">
        <v>2</v>
      </c>
      <c r="BL137" s="5">
        <v>1</v>
      </c>
      <c r="BN137" s="5">
        <v>7</v>
      </c>
      <c r="BO137" s="5">
        <v>10</v>
      </c>
      <c r="BP137" s="5">
        <v>7</v>
      </c>
      <c r="BQ137" s="5">
        <v>6</v>
      </c>
      <c r="BS137" s="5">
        <v>8.0000003799796104E-3</v>
      </c>
      <c r="BT137" s="5">
        <v>0.87900000810623169</v>
      </c>
      <c r="BU137" s="5">
        <v>0.44900000095367432</v>
      </c>
      <c r="BV137" s="5">
        <v>0.51800000667572021</v>
      </c>
      <c r="BX137" s="5">
        <v>1.7000000000000348E-2</v>
      </c>
      <c r="BY137" s="5">
        <v>5.1000000000000156E-2</v>
      </c>
      <c r="BZ137" s="5">
        <v>9.8999999999999977E-2</v>
      </c>
      <c r="CA137" s="5">
        <v>0</v>
      </c>
      <c r="CC137" s="5">
        <v>0</v>
      </c>
      <c r="CD137" s="5">
        <v>0</v>
      </c>
      <c r="CE137" s="5">
        <v>0</v>
      </c>
      <c r="CF137" s="5">
        <v>0</v>
      </c>
      <c r="CH137" s="5">
        <v>0</v>
      </c>
      <c r="CI137" s="5">
        <v>0</v>
      </c>
      <c r="CJ137" s="5">
        <v>0</v>
      </c>
      <c r="CK137" s="5">
        <v>0</v>
      </c>
      <c r="CM137" s="5">
        <v>2</v>
      </c>
      <c r="CN137" s="5">
        <v>4</v>
      </c>
      <c r="CO137" s="5">
        <v>2</v>
      </c>
      <c r="CP137" s="5">
        <v>0</v>
      </c>
      <c r="CR137" s="5">
        <v>4.016</v>
      </c>
      <c r="CS137" s="5">
        <v>4.0270000000000001</v>
      </c>
      <c r="CT137" s="5">
        <v>4.01</v>
      </c>
      <c r="CU137" s="5">
        <v>4.0030000000000001</v>
      </c>
    </row>
    <row r="138" spans="1:99" s="5" customFormat="1" x14ac:dyDescent="0.35">
      <c r="A138" s="4" t="s">
        <v>146</v>
      </c>
      <c r="B138" s="4">
        <v>8.25</v>
      </c>
      <c r="C138" s="4" t="s">
        <v>167</v>
      </c>
      <c r="D138" s="4" t="s">
        <v>404</v>
      </c>
      <c r="E138" s="3"/>
      <c r="F138" s="11" t="e">
        <v>#N/A</v>
      </c>
      <c r="G138" s="5">
        <v>4.0259999999999998</v>
      </c>
      <c r="H138" s="5" t="e">
        <v>#N/A</v>
      </c>
      <c r="I138" s="5" t="e">
        <v>#N/A</v>
      </c>
      <c r="K138" s="11" t="e">
        <v>#N/A</v>
      </c>
      <c r="L138" s="5">
        <v>3.7489999999999997</v>
      </c>
      <c r="M138" s="11" t="e">
        <v>#N/A</v>
      </c>
      <c r="N138" s="5">
        <v>2.0150000000000006</v>
      </c>
      <c r="P138" s="11" t="e">
        <v>#N/A</v>
      </c>
      <c r="Q138" s="5">
        <v>1.632999986410141</v>
      </c>
      <c r="R138" s="11" t="e">
        <v>#N/A</v>
      </c>
      <c r="S138" s="5">
        <v>0.48400003113783896</v>
      </c>
      <c r="U138" s="11" t="e">
        <v>#N/A</v>
      </c>
      <c r="V138" s="5">
        <v>6</v>
      </c>
      <c r="W138" s="11" t="e">
        <v>#N/A</v>
      </c>
      <c r="X138" s="5">
        <v>3</v>
      </c>
      <c r="Z138" s="11" t="e">
        <v>#N/A</v>
      </c>
      <c r="AA138" s="5">
        <v>3.5329999999999999</v>
      </c>
      <c r="AB138" s="11" t="e">
        <v>#N/A</v>
      </c>
      <c r="AC138" s="5">
        <v>1.1820000000000004</v>
      </c>
      <c r="AE138" s="11" t="e">
        <v>#N/A</v>
      </c>
      <c r="AF138" s="5">
        <v>1.632999986410141</v>
      </c>
      <c r="AG138" s="11" t="e">
        <v>#N/A</v>
      </c>
      <c r="AH138" s="5">
        <v>0.48400003113783896</v>
      </c>
      <c r="AJ138" s="11" t="e">
        <v>#N/A</v>
      </c>
      <c r="AK138" s="5">
        <v>6</v>
      </c>
      <c r="AL138" s="11" t="e">
        <v>#N/A</v>
      </c>
      <c r="AM138" s="5">
        <v>3</v>
      </c>
      <c r="AO138" s="11" t="e">
        <v>#N/A</v>
      </c>
      <c r="AP138" s="5">
        <v>4</v>
      </c>
      <c r="AQ138" s="11" t="e">
        <v>#N/A</v>
      </c>
      <c r="AR138" s="5">
        <v>5</v>
      </c>
      <c r="AT138" s="11" t="e">
        <v>#N/A</v>
      </c>
      <c r="AU138" s="5">
        <v>0.43200001120567322</v>
      </c>
      <c r="AV138" s="11" t="e">
        <v>#N/A</v>
      </c>
      <c r="AW138" s="5">
        <v>2.0000000949949026E-3</v>
      </c>
      <c r="AY138" s="11" t="e">
        <v>#N/A</v>
      </c>
      <c r="AZ138" s="5">
        <v>0.25000000000000022</v>
      </c>
      <c r="BA138" s="11" t="e">
        <v>#N/A</v>
      </c>
      <c r="BB138" s="5">
        <v>0</v>
      </c>
      <c r="BD138" s="11" t="e">
        <v>#N/A</v>
      </c>
      <c r="BE138" s="5">
        <v>0.1159999668598175</v>
      </c>
      <c r="BF138" s="11" t="e">
        <v>#N/A</v>
      </c>
      <c r="BG138" s="5">
        <v>0</v>
      </c>
      <c r="BI138" s="11" t="e">
        <v>#N/A</v>
      </c>
      <c r="BJ138" s="5">
        <v>1</v>
      </c>
      <c r="BK138" s="11" t="e">
        <v>#N/A</v>
      </c>
      <c r="BL138" s="5">
        <v>0</v>
      </c>
      <c r="BN138" s="11" t="e">
        <v>#N/A</v>
      </c>
      <c r="BO138" s="5">
        <v>13</v>
      </c>
      <c r="BP138" s="11" t="e">
        <v>#N/A</v>
      </c>
      <c r="BQ138" s="5">
        <v>1</v>
      </c>
      <c r="BS138" s="11" t="e">
        <v>#N/A</v>
      </c>
      <c r="BT138" s="5">
        <v>0.43200001120567322</v>
      </c>
      <c r="BU138" s="11" t="e">
        <v>#N/A</v>
      </c>
      <c r="BV138" s="5">
        <v>4.0110000000000001</v>
      </c>
      <c r="BX138" s="11" t="e">
        <v>#N/A</v>
      </c>
      <c r="BY138" s="5">
        <v>0</v>
      </c>
      <c r="BZ138" s="11" t="e">
        <v>#N/A</v>
      </c>
      <c r="CA138" s="5">
        <v>0</v>
      </c>
      <c r="CC138" s="11" t="e">
        <v>#N/A</v>
      </c>
      <c r="CD138" s="5">
        <v>0</v>
      </c>
      <c r="CE138" s="11" t="e">
        <v>#N/A</v>
      </c>
      <c r="CF138" s="5">
        <v>0</v>
      </c>
      <c r="CH138" s="11" t="e">
        <v>#N/A</v>
      </c>
      <c r="CI138" s="5">
        <v>0</v>
      </c>
      <c r="CJ138" s="11" t="e">
        <v>#N/A</v>
      </c>
      <c r="CK138" s="5">
        <v>0</v>
      </c>
      <c r="CM138" s="11" t="e">
        <v>#N/A</v>
      </c>
      <c r="CN138" s="5">
        <v>0</v>
      </c>
      <c r="CO138" s="11" t="e">
        <v>#N/A</v>
      </c>
      <c r="CP138" s="5">
        <v>1</v>
      </c>
      <c r="CR138" s="11" t="e">
        <v>#N/A</v>
      </c>
      <c r="CS138" s="5">
        <v>4.0259999999999998</v>
      </c>
      <c r="CT138" s="11" t="e">
        <v>#N/A</v>
      </c>
      <c r="CU138" s="5">
        <v>4.0110000000000001</v>
      </c>
    </row>
    <row r="139" spans="1:99" s="5" customFormat="1" x14ac:dyDescent="0.35">
      <c r="A139" s="4" t="s">
        <v>109</v>
      </c>
      <c r="B139" s="4">
        <v>8.3333333333333339</v>
      </c>
      <c r="C139" s="4" t="s">
        <v>168</v>
      </c>
      <c r="D139" s="4" t="s">
        <v>404</v>
      </c>
      <c r="E139" s="3"/>
      <c r="F139" s="5">
        <v>4.0149999999999997</v>
      </c>
      <c r="G139" s="5" t="e">
        <v>#N/A</v>
      </c>
      <c r="H139" s="5">
        <v>3.0640000000000001</v>
      </c>
      <c r="I139" s="11" t="e">
        <v>#N/A</v>
      </c>
      <c r="K139" s="5">
        <v>2.65</v>
      </c>
      <c r="L139" s="5">
        <v>2.9330000000000003</v>
      </c>
      <c r="M139" s="5">
        <v>2.9159999999999999</v>
      </c>
      <c r="N139" s="11" t="e">
        <v>#N/A</v>
      </c>
      <c r="P139" s="5">
        <v>1.1680000424385071</v>
      </c>
      <c r="Q139" s="5">
        <v>2.1499999761581421</v>
      </c>
      <c r="R139" s="5">
        <v>2.2500001360895112</v>
      </c>
      <c r="S139" s="11" t="e">
        <v>#N/A</v>
      </c>
      <c r="U139" s="5">
        <v>5</v>
      </c>
      <c r="V139" s="5">
        <v>8</v>
      </c>
      <c r="W139" s="5">
        <v>10</v>
      </c>
      <c r="X139" s="11" t="e">
        <v>#N/A</v>
      </c>
      <c r="Z139" s="5">
        <v>1.7490000000000001</v>
      </c>
      <c r="AA139" s="5">
        <v>1.3660000000000001</v>
      </c>
      <c r="AB139" s="5">
        <v>1.9329999999999998</v>
      </c>
      <c r="AC139" s="11" t="e">
        <v>#N/A</v>
      </c>
      <c r="AE139" s="5">
        <v>1.1680000424385071</v>
      </c>
      <c r="AF139" s="5">
        <v>1.3659999370574951</v>
      </c>
      <c r="AG139" s="5">
        <v>1.7500001360895112</v>
      </c>
      <c r="AH139" s="11" t="e">
        <v>#N/A</v>
      </c>
      <c r="AJ139" s="5">
        <v>5</v>
      </c>
      <c r="AK139" s="5">
        <v>6</v>
      </c>
      <c r="AL139" s="5">
        <v>7</v>
      </c>
      <c r="AM139" s="11" t="e">
        <v>#N/A</v>
      </c>
      <c r="AO139" s="5">
        <v>1</v>
      </c>
      <c r="AP139" s="5">
        <v>2</v>
      </c>
      <c r="AQ139" s="5">
        <v>2</v>
      </c>
      <c r="AR139" s="11" t="e">
        <v>#N/A</v>
      </c>
      <c r="AT139" s="5">
        <v>0.91200000047683716</v>
      </c>
      <c r="AU139" s="5">
        <v>2.5559999942779541</v>
      </c>
      <c r="AV139" s="5">
        <v>1.0000000474974513E-3</v>
      </c>
      <c r="AW139" s="11" t="e">
        <v>#N/A</v>
      </c>
      <c r="AY139" s="5">
        <v>0.13299999999999979</v>
      </c>
      <c r="AZ139" s="5">
        <v>0.11700000000000044</v>
      </c>
      <c r="BA139" s="5">
        <v>8.3000000000000185E-2</v>
      </c>
      <c r="BB139" s="11" t="e">
        <v>#N/A</v>
      </c>
      <c r="BD139" s="5">
        <v>0.11700010299682617</v>
      </c>
      <c r="BE139" s="5">
        <v>0.16700005531311035</v>
      </c>
      <c r="BF139" s="5">
        <v>0</v>
      </c>
      <c r="BG139" s="11" t="e">
        <v>#N/A</v>
      </c>
      <c r="BI139" s="5">
        <v>1</v>
      </c>
      <c r="BJ139" s="5">
        <v>1</v>
      </c>
      <c r="BK139" s="5">
        <v>0</v>
      </c>
      <c r="BL139" s="11" t="e">
        <v>#N/A</v>
      </c>
      <c r="BN139" s="5">
        <v>1</v>
      </c>
      <c r="BO139" s="5">
        <v>1</v>
      </c>
      <c r="BP139" s="5">
        <v>2</v>
      </c>
      <c r="BQ139" s="11" t="e">
        <v>#N/A</v>
      </c>
      <c r="BS139" s="5">
        <v>1.8789999485015869</v>
      </c>
      <c r="BT139" s="5">
        <v>3.8389999866485596</v>
      </c>
      <c r="BU139" s="5">
        <v>4.0140000000000002</v>
      </c>
      <c r="BV139" s="11" t="e">
        <v>#N/A</v>
      </c>
      <c r="BX139" s="5">
        <v>0.43399999999999994</v>
      </c>
      <c r="BY139" s="5">
        <v>0.3660000000000001</v>
      </c>
      <c r="BZ139" s="5">
        <v>0.11699999999999999</v>
      </c>
      <c r="CA139" s="11" t="e">
        <v>#N/A</v>
      </c>
      <c r="CC139" s="5">
        <v>0.65000009536743164</v>
      </c>
      <c r="CD139" s="5">
        <v>0.18299984931945801</v>
      </c>
      <c r="CE139" s="5">
        <v>0.10000014305114746</v>
      </c>
      <c r="CF139" s="11" t="e">
        <v>#N/A</v>
      </c>
      <c r="CH139" s="5">
        <v>2</v>
      </c>
      <c r="CI139" s="5">
        <v>1</v>
      </c>
      <c r="CJ139" s="5">
        <v>1</v>
      </c>
      <c r="CK139" s="11" t="e">
        <v>#N/A</v>
      </c>
      <c r="CM139" s="5">
        <v>2</v>
      </c>
      <c r="CN139" s="5">
        <v>2</v>
      </c>
      <c r="CO139" s="5">
        <v>1</v>
      </c>
      <c r="CP139" s="11" t="e">
        <v>#N/A</v>
      </c>
      <c r="CR139" s="5">
        <v>1.1619999408721924</v>
      </c>
      <c r="CS139" s="5">
        <v>3.4730000495910645</v>
      </c>
      <c r="CT139" s="5">
        <v>2.5499999523162842</v>
      </c>
      <c r="CU139" s="11" t="e">
        <v>#N/A</v>
      </c>
    </row>
    <row r="140" spans="1:99" s="5" customFormat="1" x14ac:dyDescent="0.35">
      <c r="A140" s="4" t="s">
        <v>165</v>
      </c>
      <c r="B140" s="4">
        <v>8.3333333333333339</v>
      </c>
      <c r="C140" s="4" t="s">
        <v>168</v>
      </c>
      <c r="D140" s="4" t="s">
        <v>404</v>
      </c>
      <c r="E140" s="3"/>
      <c r="F140" s="5">
        <v>4.01</v>
      </c>
      <c r="G140" s="11" t="e">
        <v>#N/A</v>
      </c>
      <c r="H140" s="5" t="e">
        <v>#N/A</v>
      </c>
      <c r="I140" s="5" t="e">
        <v>#N/A</v>
      </c>
      <c r="K140" s="5">
        <v>3.5489999999999999</v>
      </c>
      <c r="L140" s="11" t="e">
        <v>#N/A</v>
      </c>
      <c r="M140" s="11" t="e">
        <v>#N/A</v>
      </c>
      <c r="N140" s="5">
        <v>1.7</v>
      </c>
      <c r="P140" s="5">
        <v>3.2810000092722476</v>
      </c>
      <c r="Q140" s="11" t="e">
        <v>#N/A</v>
      </c>
      <c r="R140" s="11" t="e">
        <v>#N/A</v>
      </c>
      <c r="S140" s="5">
        <v>1.5500000715255737</v>
      </c>
      <c r="U140" s="5">
        <v>9</v>
      </c>
      <c r="V140" s="11" t="e">
        <v>#N/A</v>
      </c>
      <c r="W140" s="11" t="e">
        <v>#N/A</v>
      </c>
      <c r="X140" s="5">
        <v>3</v>
      </c>
      <c r="Z140" s="5">
        <v>3.149</v>
      </c>
      <c r="AA140" s="11" t="e">
        <v>#N/A</v>
      </c>
      <c r="AB140" s="11" t="e">
        <v>#N/A</v>
      </c>
      <c r="AC140" s="5">
        <v>1.6170000000000002</v>
      </c>
      <c r="AE140" s="5">
        <v>2.9810000061988831</v>
      </c>
      <c r="AF140" s="11" t="e">
        <v>#N/A</v>
      </c>
      <c r="AG140" s="11" t="e">
        <v>#N/A</v>
      </c>
      <c r="AH140" s="5">
        <v>1.5500000715255737</v>
      </c>
      <c r="AJ140" s="5">
        <v>8</v>
      </c>
      <c r="AK140" s="11" t="e">
        <v>#N/A</v>
      </c>
      <c r="AL140" s="11" t="e">
        <v>#N/A</v>
      </c>
      <c r="AM140" s="5">
        <v>3</v>
      </c>
      <c r="AO140" s="5">
        <v>1</v>
      </c>
      <c r="AP140" s="11" t="e">
        <v>#N/A</v>
      </c>
      <c r="AQ140" s="11" t="e">
        <v>#N/A</v>
      </c>
      <c r="AR140" s="5">
        <v>1</v>
      </c>
      <c r="AT140" s="5">
        <v>0.43599998950958252</v>
      </c>
      <c r="AU140" s="11" t="e">
        <v>#N/A</v>
      </c>
      <c r="AV140" s="11" t="e">
        <v>#N/A</v>
      </c>
      <c r="AW140" s="5">
        <v>1.8830000162124634</v>
      </c>
      <c r="AY140" s="5">
        <v>0.61699999999999999</v>
      </c>
      <c r="AZ140" s="11" t="e">
        <v>#N/A</v>
      </c>
      <c r="BA140" s="11" t="e">
        <v>#N/A</v>
      </c>
      <c r="BB140" s="5">
        <v>0.51600000000000001</v>
      </c>
      <c r="BD140" s="5">
        <v>0.56599998474121094</v>
      </c>
      <c r="BE140" s="11" t="e">
        <v>#N/A</v>
      </c>
      <c r="BF140" s="11" t="e">
        <v>#N/A</v>
      </c>
      <c r="BG140" s="5">
        <v>0</v>
      </c>
      <c r="BI140" s="5">
        <v>3</v>
      </c>
      <c r="BJ140" s="11" t="e">
        <v>#N/A</v>
      </c>
      <c r="BK140" s="11" t="e">
        <v>#N/A</v>
      </c>
      <c r="BL140" s="5">
        <v>0</v>
      </c>
      <c r="BN140" s="5">
        <v>4</v>
      </c>
      <c r="BO140" s="11" t="e">
        <v>#N/A</v>
      </c>
      <c r="BP140" s="11" t="e">
        <v>#N/A</v>
      </c>
      <c r="BQ140" s="5">
        <v>1</v>
      </c>
      <c r="BS140" s="5">
        <v>0.43599998950958252</v>
      </c>
      <c r="BT140" s="11" t="e">
        <v>#N/A</v>
      </c>
      <c r="BU140" s="11" t="e">
        <v>#N/A</v>
      </c>
      <c r="BV140" s="5">
        <v>4.01</v>
      </c>
      <c r="BX140" s="5">
        <v>0</v>
      </c>
      <c r="BY140" s="11" t="e">
        <v>#N/A</v>
      </c>
      <c r="BZ140" s="11" t="e">
        <v>#N/A</v>
      </c>
      <c r="CA140" s="5">
        <v>0.38400000000000012</v>
      </c>
      <c r="CC140" s="5">
        <v>0</v>
      </c>
      <c r="CD140" s="11" t="e">
        <v>#N/A</v>
      </c>
      <c r="CE140" s="11" t="e">
        <v>#N/A</v>
      </c>
      <c r="CF140" s="5">
        <v>0.30000019073486328</v>
      </c>
      <c r="CH140" s="5">
        <v>0</v>
      </c>
      <c r="CI140" s="11" t="e">
        <v>#N/A</v>
      </c>
      <c r="CJ140" s="11" t="e">
        <v>#N/A</v>
      </c>
      <c r="CK140" s="5">
        <v>1</v>
      </c>
      <c r="CM140" s="5">
        <v>1</v>
      </c>
      <c r="CN140" s="11" t="e">
        <v>#N/A</v>
      </c>
      <c r="CO140" s="11" t="e">
        <v>#N/A</v>
      </c>
      <c r="CP140" s="5">
        <v>2</v>
      </c>
      <c r="CR140" s="5">
        <v>4.01</v>
      </c>
      <c r="CS140" s="11" t="e">
        <v>#N/A</v>
      </c>
      <c r="CT140" s="11" t="e">
        <v>#N/A</v>
      </c>
      <c r="CU140" s="5">
        <v>2.4159998893737793</v>
      </c>
    </row>
    <row r="141" spans="1:99" s="5" customFormat="1" x14ac:dyDescent="0.35">
      <c r="A141" s="4" t="s">
        <v>100</v>
      </c>
      <c r="B141" s="4">
        <v>8.5</v>
      </c>
      <c r="C141" s="4" t="s">
        <v>168</v>
      </c>
      <c r="D141" s="4" t="s">
        <v>404</v>
      </c>
      <c r="E141" s="3"/>
      <c r="F141" s="5">
        <v>4.01</v>
      </c>
      <c r="G141" s="5" t="e">
        <v>#N/A</v>
      </c>
      <c r="H141" s="5">
        <v>4.0039999999999996</v>
      </c>
      <c r="I141" s="5">
        <v>4.0090000000000003</v>
      </c>
      <c r="K141" s="5">
        <v>3.9319999999999999</v>
      </c>
      <c r="L141" s="5">
        <v>2.2829999999999999</v>
      </c>
      <c r="M141" s="5">
        <v>3.7989999999999999</v>
      </c>
      <c r="N141" s="5">
        <v>3.9830000000000001</v>
      </c>
      <c r="P141" s="5">
        <v>3.73400017619133</v>
      </c>
      <c r="Q141" s="5">
        <v>1.2999998331069946</v>
      </c>
      <c r="R141" s="5">
        <v>3.3999997973442078</v>
      </c>
      <c r="S141" s="5">
        <v>3.9830001033842564</v>
      </c>
      <c r="U141" s="5">
        <v>8</v>
      </c>
      <c r="V141" s="5">
        <v>6</v>
      </c>
      <c r="W141" s="5">
        <v>12</v>
      </c>
      <c r="X141" s="5">
        <v>1</v>
      </c>
      <c r="Z141" s="5">
        <v>3.9319999999999999</v>
      </c>
      <c r="AA141" s="5">
        <v>2.2829999999999999</v>
      </c>
      <c r="AB141" s="5">
        <v>3.7989999999999999</v>
      </c>
      <c r="AC141" s="5">
        <v>3.9830000000000001</v>
      </c>
      <c r="AE141" s="5">
        <v>3.73400017619133</v>
      </c>
      <c r="AF141" s="5">
        <v>1.2999998331069946</v>
      </c>
      <c r="AG141" s="5">
        <v>3.3999997973442078</v>
      </c>
      <c r="AH141" s="5">
        <v>3.9830001033842564</v>
      </c>
      <c r="AJ141" s="5">
        <v>8</v>
      </c>
      <c r="AK141" s="5">
        <v>6</v>
      </c>
      <c r="AL141" s="5">
        <v>12</v>
      </c>
      <c r="AM141" s="5">
        <v>1</v>
      </c>
      <c r="AO141" s="5">
        <v>1</v>
      </c>
      <c r="AP141" s="5">
        <v>1</v>
      </c>
      <c r="AQ141" s="5">
        <v>1</v>
      </c>
      <c r="AR141" s="5">
        <v>1</v>
      </c>
      <c r="AT141" s="5">
        <v>0.12999999523162842</v>
      </c>
      <c r="AU141" s="5">
        <v>1.8890000581741333</v>
      </c>
      <c r="AV141" s="5">
        <v>0.15999999642372131</v>
      </c>
      <c r="AW141" s="5">
        <v>8.999999612569809E-3</v>
      </c>
      <c r="AY141" s="5">
        <v>1.5990000000000002</v>
      </c>
      <c r="AZ141" s="5">
        <v>0.70000000000000018</v>
      </c>
      <c r="BA141" s="5">
        <v>2.282</v>
      </c>
      <c r="BB141" s="5">
        <v>0</v>
      </c>
      <c r="BD141" s="5">
        <v>1.6330001056194305</v>
      </c>
      <c r="BE141" s="5">
        <v>0.54999995231628418</v>
      </c>
      <c r="BF141" s="5">
        <v>2.1330000162124634</v>
      </c>
      <c r="BG141" s="5">
        <v>0</v>
      </c>
      <c r="BI141" s="5">
        <v>2</v>
      </c>
      <c r="BJ141" s="5">
        <v>3</v>
      </c>
      <c r="BK141" s="5">
        <v>6</v>
      </c>
      <c r="BL141" s="5">
        <v>0</v>
      </c>
      <c r="BN141" s="5">
        <v>3</v>
      </c>
      <c r="BO141" s="5">
        <v>3</v>
      </c>
      <c r="BP141" s="5">
        <v>3</v>
      </c>
      <c r="BQ141" s="5">
        <v>0</v>
      </c>
      <c r="BS141" s="5">
        <v>0.36399999260902405</v>
      </c>
      <c r="BT141" s="5">
        <v>3.1059999465942383</v>
      </c>
      <c r="BU141" s="5">
        <v>0.59399998188018799</v>
      </c>
      <c r="BV141" s="5">
        <v>4.0090000000000003</v>
      </c>
      <c r="BX141" s="5">
        <v>6.7000000000000254E-2</v>
      </c>
      <c r="BY141" s="5">
        <v>0</v>
      </c>
      <c r="BZ141" s="5">
        <v>4.9999999999999989E-2</v>
      </c>
      <c r="CA141" s="5">
        <v>3.9830000000000001</v>
      </c>
      <c r="CC141" s="5">
        <v>0.51699995994567871</v>
      </c>
      <c r="CD141" s="5">
        <v>0</v>
      </c>
      <c r="CE141" s="5">
        <v>0</v>
      </c>
      <c r="CF141" s="5">
        <v>3.9830001033842564</v>
      </c>
      <c r="CH141" s="5">
        <v>1</v>
      </c>
      <c r="CI141" s="5">
        <v>0</v>
      </c>
      <c r="CJ141" s="5">
        <v>0</v>
      </c>
      <c r="CK141" s="5">
        <v>1</v>
      </c>
      <c r="CM141" s="5">
        <v>2</v>
      </c>
      <c r="CN141" s="5">
        <v>1</v>
      </c>
      <c r="CO141" s="5">
        <v>1</v>
      </c>
      <c r="CP141" s="5">
        <v>1</v>
      </c>
      <c r="CR141" s="5">
        <v>3.2130000591278076</v>
      </c>
      <c r="CS141" s="5">
        <v>4.0030000000000001</v>
      </c>
      <c r="CT141" s="5">
        <v>4.0039999999999996</v>
      </c>
      <c r="CU141" s="5">
        <v>8.999999612569809E-3</v>
      </c>
    </row>
    <row r="142" spans="1:99" s="5" customFormat="1" x14ac:dyDescent="0.35">
      <c r="A142" s="4" t="s">
        <v>120</v>
      </c>
      <c r="B142" s="4">
        <v>8.5</v>
      </c>
      <c r="C142" s="4" t="s">
        <v>168</v>
      </c>
      <c r="D142" s="4" t="s">
        <v>404</v>
      </c>
      <c r="E142" s="3"/>
      <c r="F142" s="5" t="e">
        <v>#N/A</v>
      </c>
      <c r="G142" s="5" t="e">
        <v>#N/A</v>
      </c>
      <c r="H142" s="5" t="e">
        <v>#N/A</v>
      </c>
      <c r="I142" s="5" t="e">
        <v>#N/A</v>
      </c>
      <c r="K142" s="11" t="e">
        <v>#N/A</v>
      </c>
      <c r="L142" s="11" t="e">
        <v>#N/A</v>
      </c>
      <c r="M142" s="11" t="e">
        <v>#N/A</v>
      </c>
      <c r="N142" s="11" t="e">
        <v>#N/A</v>
      </c>
      <c r="P142" s="11" t="e">
        <v>#N/A</v>
      </c>
      <c r="Q142" s="11" t="e">
        <v>#N/A</v>
      </c>
      <c r="R142" s="11" t="e">
        <v>#N/A</v>
      </c>
      <c r="S142" s="11" t="e">
        <v>#N/A</v>
      </c>
      <c r="U142" s="11" t="e">
        <v>#N/A</v>
      </c>
      <c r="V142" s="11" t="e">
        <v>#N/A</v>
      </c>
      <c r="W142" s="11" t="e">
        <v>#N/A</v>
      </c>
      <c r="X142" s="11" t="e">
        <v>#N/A</v>
      </c>
      <c r="Z142" s="11" t="e">
        <v>#N/A</v>
      </c>
      <c r="AA142" s="11" t="e">
        <v>#N/A</v>
      </c>
      <c r="AB142" s="11" t="e">
        <v>#N/A</v>
      </c>
      <c r="AC142" s="11" t="e">
        <v>#N/A</v>
      </c>
      <c r="AE142" s="11" t="e">
        <v>#N/A</v>
      </c>
      <c r="AF142" s="11" t="e">
        <v>#N/A</v>
      </c>
      <c r="AG142" s="11" t="e">
        <v>#N/A</v>
      </c>
      <c r="AH142" s="11" t="e">
        <v>#N/A</v>
      </c>
      <c r="AJ142" s="11" t="e">
        <v>#N/A</v>
      </c>
      <c r="AK142" s="11" t="e">
        <v>#N/A</v>
      </c>
      <c r="AL142" s="11" t="e">
        <v>#N/A</v>
      </c>
      <c r="AM142" s="11" t="e">
        <v>#N/A</v>
      </c>
      <c r="AO142" s="11" t="e">
        <v>#N/A</v>
      </c>
      <c r="AP142" s="11" t="e">
        <v>#N/A</v>
      </c>
      <c r="AQ142" s="11" t="e">
        <v>#N/A</v>
      </c>
      <c r="AR142" s="11" t="e">
        <v>#N/A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Y142" s="11" t="e">
        <v>#N/A</v>
      </c>
      <c r="AZ142" s="11" t="e">
        <v>#N/A</v>
      </c>
      <c r="BA142" s="11" t="e">
        <v>#N/A</v>
      </c>
      <c r="BB142" s="11" t="e">
        <v>#N/A</v>
      </c>
      <c r="BD142" s="11" t="e">
        <v>#N/A</v>
      </c>
      <c r="BE142" s="11" t="e">
        <v>#N/A</v>
      </c>
      <c r="BF142" s="11" t="e">
        <v>#N/A</v>
      </c>
      <c r="BG142" s="11" t="e">
        <v>#N/A</v>
      </c>
      <c r="BI142" s="11" t="e">
        <v>#N/A</v>
      </c>
      <c r="BJ142" s="11" t="e">
        <v>#N/A</v>
      </c>
      <c r="BK142" s="11" t="e">
        <v>#N/A</v>
      </c>
      <c r="BL142" s="11" t="e">
        <v>#N/A</v>
      </c>
      <c r="BN142" s="11" t="e">
        <v>#N/A</v>
      </c>
      <c r="BO142" s="11" t="e">
        <v>#N/A</v>
      </c>
      <c r="BP142" s="11" t="e">
        <v>#N/A</v>
      </c>
      <c r="BQ142" s="11" t="e">
        <v>#N/A</v>
      </c>
      <c r="BS142" s="11" t="e">
        <v>#N/A</v>
      </c>
      <c r="BT142" s="11" t="e">
        <v>#N/A</v>
      </c>
      <c r="BU142" s="11" t="e">
        <v>#N/A</v>
      </c>
      <c r="BV142" s="11" t="e">
        <v>#N/A</v>
      </c>
      <c r="BX142" s="11" t="e">
        <v>#N/A</v>
      </c>
      <c r="BY142" s="11" t="e">
        <v>#N/A</v>
      </c>
      <c r="BZ142" s="11" t="e">
        <v>#N/A</v>
      </c>
      <c r="CA142" s="11" t="e">
        <v>#N/A</v>
      </c>
      <c r="CC142" s="11" t="e">
        <v>#N/A</v>
      </c>
      <c r="CD142" s="11" t="e">
        <v>#N/A</v>
      </c>
      <c r="CE142" s="11" t="e">
        <v>#N/A</v>
      </c>
      <c r="CF142" s="11" t="e">
        <v>#N/A</v>
      </c>
      <c r="CH142" s="11" t="e">
        <v>#N/A</v>
      </c>
      <c r="CI142" s="11" t="e">
        <v>#N/A</v>
      </c>
      <c r="CJ142" s="11" t="e">
        <v>#N/A</v>
      </c>
      <c r="CK142" s="11" t="e">
        <v>#N/A</v>
      </c>
      <c r="CM142" s="11" t="e">
        <v>#N/A</v>
      </c>
      <c r="CN142" s="11" t="e">
        <v>#N/A</v>
      </c>
      <c r="CO142" s="11" t="e">
        <v>#N/A</v>
      </c>
      <c r="CP142" s="11" t="e">
        <v>#N/A</v>
      </c>
      <c r="CR142" s="11" t="e">
        <v>#N/A</v>
      </c>
      <c r="CS142" s="11" t="e">
        <v>#N/A</v>
      </c>
      <c r="CT142" s="11" t="e">
        <v>#N/A</v>
      </c>
      <c r="CU142" s="11" t="e">
        <v>#N/A</v>
      </c>
    </row>
    <row r="143" spans="1:99" s="5" customFormat="1" x14ac:dyDescent="0.35">
      <c r="A143" s="4" t="s">
        <v>130</v>
      </c>
      <c r="B143" s="4">
        <v>8.5</v>
      </c>
      <c r="C143" s="4" t="s">
        <v>168</v>
      </c>
      <c r="D143" s="4" t="s">
        <v>404</v>
      </c>
      <c r="E143" s="3"/>
      <c r="F143" s="5" t="e">
        <v>#N/A</v>
      </c>
      <c r="G143" s="5">
        <v>4.01</v>
      </c>
      <c r="H143" s="5">
        <v>4.032</v>
      </c>
      <c r="I143" s="5">
        <v>4.01</v>
      </c>
      <c r="K143" s="5">
        <v>2.0830000000000002</v>
      </c>
      <c r="L143" s="5">
        <v>3.8000000000000003</v>
      </c>
      <c r="M143" s="5">
        <v>3.3320000000000007</v>
      </c>
      <c r="N143" s="5">
        <v>3.1659999999999999</v>
      </c>
      <c r="P143" s="5">
        <v>1.8510001768590882</v>
      </c>
      <c r="Q143" s="5">
        <v>1.884000301361084</v>
      </c>
      <c r="R143" s="5">
        <v>3.4669999163597822</v>
      </c>
      <c r="S143" s="5">
        <v>2.9479998461902142</v>
      </c>
      <c r="U143" s="5">
        <v>4</v>
      </c>
      <c r="V143" s="5">
        <v>7</v>
      </c>
      <c r="W143" s="5">
        <v>9</v>
      </c>
      <c r="X143" s="5">
        <v>7</v>
      </c>
      <c r="Z143" s="5">
        <v>2.0489999999999999</v>
      </c>
      <c r="AA143" s="5">
        <v>2.2660000000000005</v>
      </c>
      <c r="AB143" s="5">
        <v>2.4489999999999998</v>
      </c>
      <c r="AC143" s="5">
        <v>2.6990000000000003</v>
      </c>
      <c r="AE143" s="5">
        <v>1.8510001768590882</v>
      </c>
      <c r="AF143" s="5">
        <v>1.7340002655982971</v>
      </c>
      <c r="AG143" s="5">
        <v>2.2349999248981476</v>
      </c>
      <c r="AH143" s="5">
        <v>2.6149999015033245</v>
      </c>
      <c r="AJ143" s="5">
        <v>4</v>
      </c>
      <c r="AK143" s="5">
        <v>6</v>
      </c>
      <c r="AL143" s="5">
        <v>6</v>
      </c>
      <c r="AM143" s="5">
        <v>6</v>
      </c>
      <c r="AO143" s="5">
        <v>2</v>
      </c>
      <c r="AP143" s="5">
        <v>2</v>
      </c>
      <c r="AQ143" s="5">
        <v>2</v>
      </c>
      <c r="AR143" s="5">
        <v>2</v>
      </c>
      <c r="AT143" s="5">
        <v>1.0000000474974513E-3</v>
      </c>
      <c r="AU143" s="5">
        <v>0.74400001764297485</v>
      </c>
      <c r="AV143" s="5">
        <v>0.47999998927116394</v>
      </c>
      <c r="AW143" s="5">
        <v>1.3000000268220901E-2</v>
      </c>
      <c r="AY143" s="5">
        <v>1.3989999999999998</v>
      </c>
      <c r="AZ143" s="5">
        <v>1.3159999999999996</v>
      </c>
      <c r="BA143" s="5">
        <v>1.1339999999999997</v>
      </c>
      <c r="BB143" s="5">
        <v>0.99899999999999989</v>
      </c>
      <c r="BD143" s="5">
        <v>1.2840001583099365</v>
      </c>
      <c r="BE143" s="5">
        <v>1.3000002503395081</v>
      </c>
      <c r="BF143" s="5">
        <v>1.4510000050067902</v>
      </c>
      <c r="BG143" s="5">
        <v>1.0989999771118164</v>
      </c>
      <c r="BI143" s="5">
        <v>3</v>
      </c>
      <c r="BJ143" s="5">
        <v>3</v>
      </c>
      <c r="BK143" s="5">
        <v>3</v>
      </c>
      <c r="BL143" s="5">
        <v>4</v>
      </c>
      <c r="BN143" s="5">
        <v>4</v>
      </c>
      <c r="BO143" s="5">
        <v>2</v>
      </c>
      <c r="BP143" s="5">
        <v>4</v>
      </c>
      <c r="BQ143" s="5">
        <v>2</v>
      </c>
      <c r="BS143" s="5">
        <v>0.58399999141693115</v>
      </c>
      <c r="BT143" s="5">
        <v>0.74400001764297485</v>
      </c>
      <c r="BU143" s="5">
        <v>0.47999998927116394</v>
      </c>
      <c r="BV143" s="5">
        <v>0.66299998760223389</v>
      </c>
      <c r="BX143" s="5">
        <v>0</v>
      </c>
      <c r="BY143" s="5">
        <v>1.6000000000000014E-2</v>
      </c>
      <c r="BZ143" s="5">
        <v>0</v>
      </c>
      <c r="CA143" s="5">
        <v>0</v>
      </c>
      <c r="CC143" s="5">
        <v>0</v>
      </c>
      <c r="CD143" s="5">
        <v>0</v>
      </c>
      <c r="CE143" s="5">
        <v>0</v>
      </c>
      <c r="CF143" s="5">
        <v>0</v>
      </c>
      <c r="CH143" s="5">
        <v>0</v>
      </c>
      <c r="CI143" s="5">
        <v>0</v>
      </c>
      <c r="CJ143" s="5">
        <v>0</v>
      </c>
      <c r="CK143" s="5">
        <v>0</v>
      </c>
      <c r="CM143" s="5">
        <v>0</v>
      </c>
      <c r="CN143" s="5">
        <v>5</v>
      </c>
      <c r="CO143" s="5">
        <v>0</v>
      </c>
      <c r="CP143" s="5">
        <v>0</v>
      </c>
      <c r="CR143" s="5">
        <v>4.0309999999999997</v>
      </c>
      <c r="CS143" s="5">
        <v>4.01</v>
      </c>
      <c r="CT143" s="5">
        <v>4.032</v>
      </c>
      <c r="CU143" s="5">
        <v>4.01</v>
      </c>
    </row>
    <row r="144" spans="1:99" s="5" customFormat="1" x14ac:dyDescent="0.35">
      <c r="A144" s="4" t="s">
        <v>156</v>
      </c>
      <c r="B144" s="4">
        <v>8.5</v>
      </c>
      <c r="C144" s="4" t="s">
        <v>168</v>
      </c>
      <c r="D144" s="4" t="s">
        <v>404</v>
      </c>
      <c r="E144" s="3"/>
      <c r="F144" s="5" t="e">
        <v>#N/A</v>
      </c>
      <c r="G144" s="5" t="e">
        <v>#N/A</v>
      </c>
      <c r="H144" s="11" t="e">
        <v>#N/A</v>
      </c>
      <c r="I144" s="5" t="e">
        <v>#N/A</v>
      </c>
      <c r="K144" s="5">
        <v>2.0330000000000004</v>
      </c>
      <c r="L144" s="5">
        <v>2.3659999999999997</v>
      </c>
      <c r="M144" s="11" t="e">
        <v>#N/A</v>
      </c>
      <c r="N144" s="11" t="e">
        <v>#N/A</v>
      </c>
      <c r="P144" s="5">
        <v>1.6509999781847</v>
      </c>
      <c r="Q144" s="5">
        <v>2.8660000562667847</v>
      </c>
      <c r="R144" s="11" t="e">
        <v>#N/A</v>
      </c>
      <c r="S144" s="11" t="e">
        <v>#N/A</v>
      </c>
      <c r="U144" s="5">
        <v>3</v>
      </c>
      <c r="V144" s="5">
        <v>2</v>
      </c>
      <c r="W144" s="11" t="e">
        <v>#N/A</v>
      </c>
      <c r="X144" s="11" t="e">
        <v>#N/A</v>
      </c>
      <c r="Z144" s="5">
        <v>0.60000000000000009</v>
      </c>
      <c r="AA144" s="5">
        <v>2.883</v>
      </c>
      <c r="AB144" s="11" t="e">
        <v>#N/A</v>
      </c>
      <c r="AC144" s="11" t="e">
        <v>#N/A</v>
      </c>
      <c r="AE144" s="5">
        <v>0.58399999141693115</v>
      </c>
      <c r="AF144" s="5">
        <v>2.8660000562667847</v>
      </c>
      <c r="AG144" s="11" t="e">
        <v>#N/A</v>
      </c>
      <c r="AH144" s="11" t="e">
        <v>#N/A</v>
      </c>
      <c r="AJ144" s="5">
        <v>2</v>
      </c>
      <c r="AK144" s="5">
        <v>2</v>
      </c>
      <c r="AL144" s="11" t="e">
        <v>#N/A</v>
      </c>
      <c r="AM144" s="11" t="e">
        <v>#N/A</v>
      </c>
      <c r="AO144" s="5">
        <v>1</v>
      </c>
      <c r="AP144" s="5">
        <v>1</v>
      </c>
      <c r="AQ144" s="11" t="e">
        <v>#N/A</v>
      </c>
      <c r="AR144" s="11" t="e">
        <v>#N/A</v>
      </c>
      <c r="AT144" s="5">
        <v>1.5800000429153442</v>
      </c>
      <c r="AU144" s="5">
        <v>1.1230000257492065</v>
      </c>
      <c r="AV144" s="11" t="e">
        <v>#N/A</v>
      </c>
      <c r="AW144" s="11" t="e">
        <v>#N/A</v>
      </c>
      <c r="AY144" s="5">
        <v>0</v>
      </c>
      <c r="AZ144" s="5">
        <v>0</v>
      </c>
      <c r="BA144" s="11" t="e">
        <v>#N/A</v>
      </c>
      <c r="BB144" s="11" t="e">
        <v>#N/A</v>
      </c>
      <c r="BD144" s="5">
        <v>0</v>
      </c>
      <c r="BE144" s="5">
        <v>0</v>
      </c>
      <c r="BF144" s="11" t="e">
        <v>#N/A</v>
      </c>
      <c r="BG144" s="11" t="e">
        <v>#N/A</v>
      </c>
      <c r="BI144" s="5">
        <v>0</v>
      </c>
      <c r="BJ144" s="5">
        <v>0</v>
      </c>
      <c r="BK144" s="11" t="e">
        <v>#N/A</v>
      </c>
      <c r="BL144" s="11" t="e">
        <v>#N/A</v>
      </c>
      <c r="BN144" s="5">
        <v>0</v>
      </c>
      <c r="BO144" s="5">
        <v>0</v>
      </c>
      <c r="BP144" s="11" t="e">
        <v>#N/A</v>
      </c>
      <c r="BQ144" s="11" t="e">
        <v>#N/A</v>
      </c>
      <c r="BS144" s="5">
        <v>4.0129999999999999</v>
      </c>
      <c r="BT144" s="5">
        <v>4.016</v>
      </c>
      <c r="BU144" s="11" t="e">
        <v>#N/A</v>
      </c>
      <c r="BV144" s="11" t="e">
        <v>#N/A</v>
      </c>
      <c r="BX144" s="5">
        <v>0.5</v>
      </c>
      <c r="BY144" s="5">
        <v>0</v>
      </c>
      <c r="BZ144" s="11" t="e">
        <v>#N/A</v>
      </c>
      <c r="CA144" s="11" t="e">
        <v>#N/A</v>
      </c>
      <c r="CC144" s="5">
        <v>0.58399999141693115</v>
      </c>
      <c r="CD144" s="5">
        <v>0</v>
      </c>
      <c r="CE144" s="11" t="e">
        <v>#N/A</v>
      </c>
      <c r="CF144" s="11" t="e">
        <v>#N/A</v>
      </c>
      <c r="CH144" s="5">
        <v>2</v>
      </c>
      <c r="CI144" s="5">
        <v>0</v>
      </c>
      <c r="CJ144" s="11" t="e">
        <v>#N/A</v>
      </c>
      <c r="CK144" s="11" t="e">
        <v>#N/A</v>
      </c>
      <c r="CM144" s="5">
        <v>2</v>
      </c>
      <c r="CN144" s="5">
        <v>0</v>
      </c>
      <c r="CO144" s="11" t="e">
        <v>#N/A</v>
      </c>
      <c r="CP144" s="11" t="e">
        <v>#N/A</v>
      </c>
      <c r="CR144" s="5">
        <v>1.5800000429153442</v>
      </c>
      <c r="CS144" s="5">
        <v>4.016</v>
      </c>
      <c r="CT144" s="11" t="e">
        <v>#N/A</v>
      </c>
      <c r="CU144" s="11" t="e">
        <v>#N/A</v>
      </c>
    </row>
    <row r="145" spans="1:99" s="5" customFormat="1" x14ac:dyDescent="0.35">
      <c r="A145" s="4" t="s">
        <v>116</v>
      </c>
      <c r="B145" s="4">
        <v>8.5833333333333339</v>
      </c>
      <c r="C145" s="4" t="s">
        <v>168</v>
      </c>
      <c r="D145" s="4" t="s">
        <v>404</v>
      </c>
      <c r="E145" s="3">
        <f>K145/F145</f>
        <v>0.93185222166749859</v>
      </c>
      <c r="F145" s="5">
        <v>4.0060000000000002</v>
      </c>
      <c r="G145" s="5">
        <v>4.016</v>
      </c>
      <c r="H145" s="5">
        <v>4.016</v>
      </c>
      <c r="I145" s="5">
        <v>4.0129999999999999</v>
      </c>
      <c r="K145" s="5">
        <v>3.7329999999999997</v>
      </c>
      <c r="L145" s="5">
        <v>3.0990000000000002</v>
      </c>
      <c r="M145" s="5">
        <v>3.3159999999999998</v>
      </c>
      <c r="N145" s="5">
        <v>3.5989999999999998</v>
      </c>
      <c r="P145" s="5">
        <v>3.2810001075267792</v>
      </c>
      <c r="Q145" s="5">
        <v>2.9809997081756592</v>
      </c>
      <c r="R145" s="5">
        <v>2.7490001022815704</v>
      </c>
      <c r="S145" s="5">
        <v>2.3139998912811279</v>
      </c>
      <c r="U145" s="5">
        <v>10</v>
      </c>
      <c r="V145" s="5">
        <v>12</v>
      </c>
      <c r="W145" s="5">
        <v>7</v>
      </c>
      <c r="X145" s="5">
        <v>7</v>
      </c>
      <c r="Z145" s="5">
        <v>3.7329999999999997</v>
      </c>
      <c r="AA145" s="5">
        <v>3.3830000000000005</v>
      </c>
      <c r="AB145" s="5">
        <v>3.3159999999999998</v>
      </c>
      <c r="AC145" s="5">
        <v>2.9159999999999999</v>
      </c>
      <c r="AE145" s="5">
        <v>3.2810001075267792</v>
      </c>
      <c r="AF145" s="5">
        <v>2.9809997081756592</v>
      </c>
      <c r="AG145" s="5">
        <v>2.7490001022815704</v>
      </c>
      <c r="AH145" s="5">
        <v>1.7809998989105225</v>
      </c>
      <c r="AJ145" s="5">
        <v>10</v>
      </c>
      <c r="AK145" s="5">
        <v>12</v>
      </c>
      <c r="AL145" s="5">
        <v>7</v>
      </c>
      <c r="AM145" s="5">
        <v>6</v>
      </c>
      <c r="AO145" s="5">
        <v>1</v>
      </c>
      <c r="AP145" s="5">
        <v>1</v>
      </c>
      <c r="AQ145" s="5">
        <v>1</v>
      </c>
      <c r="AR145" s="5">
        <v>2</v>
      </c>
      <c r="AT145" s="5">
        <v>0.28099998831748962</v>
      </c>
      <c r="AU145" s="5">
        <v>0.6679999828338623</v>
      </c>
      <c r="AV145" s="5">
        <v>0.38199999928474426</v>
      </c>
      <c r="AW145" s="5">
        <v>0.41100001335144043</v>
      </c>
      <c r="AY145" s="5">
        <v>1.2819999999999996</v>
      </c>
      <c r="AZ145" s="5">
        <v>1.0830000000000004</v>
      </c>
      <c r="BA145" s="5">
        <v>1.4330000000000001</v>
      </c>
      <c r="BB145" s="5">
        <v>1.3320000000000003</v>
      </c>
      <c r="BD145" s="5">
        <v>1.2650000751018524</v>
      </c>
      <c r="BE145" s="5">
        <v>1.0329998731613159</v>
      </c>
      <c r="BF145" s="5">
        <v>1.4490000605583191</v>
      </c>
      <c r="BG145" s="5">
        <v>1.3319998979568481</v>
      </c>
      <c r="BI145" s="5">
        <v>3</v>
      </c>
      <c r="BJ145" s="5">
        <v>3</v>
      </c>
      <c r="BK145" s="5">
        <v>3</v>
      </c>
      <c r="BL145" s="5">
        <v>4</v>
      </c>
      <c r="BN145" s="5">
        <v>2</v>
      </c>
      <c r="BO145" s="5">
        <v>4</v>
      </c>
      <c r="BP145" s="5">
        <v>3</v>
      </c>
      <c r="BQ145" s="5">
        <v>4</v>
      </c>
      <c r="BS145" s="5">
        <v>0.28099998831748962</v>
      </c>
      <c r="BT145" s="5">
        <v>0.6679999828338623</v>
      </c>
      <c r="BU145" s="5">
        <v>0.7149999737739563</v>
      </c>
      <c r="BV145" s="5">
        <v>0.59399998188018799</v>
      </c>
      <c r="BX145" s="5">
        <v>1.2509999999999999</v>
      </c>
      <c r="BY145" s="5">
        <v>0.21599999999999986</v>
      </c>
      <c r="BZ145" s="5">
        <v>0.63300000000000001</v>
      </c>
      <c r="CA145" s="5">
        <v>0</v>
      </c>
      <c r="CC145" s="5">
        <v>1.5000001192092896</v>
      </c>
      <c r="CD145" s="5">
        <v>0.20000004768371582</v>
      </c>
      <c r="CE145" s="5">
        <v>0.86699998378753662</v>
      </c>
      <c r="CF145" s="5">
        <v>0</v>
      </c>
      <c r="CH145" s="5">
        <v>4</v>
      </c>
      <c r="CI145" s="5">
        <v>1</v>
      </c>
      <c r="CJ145" s="5">
        <v>1</v>
      </c>
      <c r="CK145" s="5">
        <v>0</v>
      </c>
      <c r="CM145" s="5">
        <v>3</v>
      </c>
      <c r="CN145" s="5">
        <v>4</v>
      </c>
      <c r="CO145" s="5">
        <v>3</v>
      </c>
      <c r="CP145" s="5">
        <v>0</v>
      </c>
      <c r="CR145" s="5">
        <v>1.4809999465942383</v>
      </c>
      <c r="CS145" s="5">
        <v>3.4839999675750732</v>
      </c>
      <c r="CT145" s="5">
        <v>1.4650000333786011</v>
      </c>
      <c r="CU145" s="5">
        <v>4.0129999999999999</v>
      </c>
    </row>
    <row r="146" spans="1:99" s="5" customFormat="1" x14ac:dyDescent="0.35">
      <c r="A146" s="4" t="s">
        <v>150</v>
      </c>
      <c r="B146" s="4">
        <v>8.5833333333333339</v>
      </c>
      <c r="C146" s="4" t="s">
        <v>168</v>
      </c>
      <c r="D146" s="4" t="s">
        <v>404</v>
      </c>
      <c r="E146" s="3"/>
      <c r="F146" s="5" t="e">
        <v>#N/A</v>
      </c>
      <c r="G146" s="5" t="e">
        <v>#N/A</v>
      </c>
      <c r="H146" s="5" t="e">
        <v>#N/A</v>
      </c>
      <c r="I146" s="11" t="e">
        <v>#N/A</v>
      </c>
      <c r="K146" s="11" t="e">
        <v>#N/A</v>
      </c>
      <c r="L146" s="11" t="e">
        <v>#N/A</v>
      </c>
      <c r="M146" s="11" t="e">
        <v>#N/A</v>
      </c>
      <c r="N146" s="11" t="e">
        <v>#N/A</v>
      </c>
      <c r="P146" s="11" t="e">
        <v>#N/A</v>
      </c>
      <c r="Q146" s="11" t="e">
        <v>#N/A</v>
      </c>
      <c r="R146" s="11" t="e">
        <v>#N/A</v>
      </c>
      <c r="S146" s="11" t="e">
        <v>#N/A</v>
      </c>
      <c r="U146" s="11" t="e">
        <v>#N/A</v>
      </c>
      <c r="V146" s="11" t="e">
        <v>#N/A</v>
      </c>
      <c r="W146" s="11" t="e">
        <v>#N/A</v>
      </c>
      <c r="X146" s="11" t="e">
        <v>#N/A</v>
      </c>
      <c r="Z146" s="11" t="e">
        <v>#N/A</v>
      </c>
      <c r="AA146" s="11" t="e">
        <v>#N/A</v>
      </c>
      <c r="AB146" s="11" t="e">
        <v>#N/A</v>
      </c>
      <c r="AC146" s="11" t="e">
        <v>#N/A</v>
      </c>
      <c r="AE146" s="11" t="e">
        <v>#N/A</v>
      </c>
      <c r="AF146" s="11" t="e">
        <v>#N/A</v>
      </c>
      <c r="AG146" s="11" t="e">
        <v>#N/A</v>
      </c>
      <c r="AH146" s="11" t="e">
        <v>#N/A</v>
      </c>
      <c r="AJ146" s="11" t="e">
        <v>#N/A</v>
      </c>
      <c r="AK146" s="11" t="e">
        <v>#N/A</v>
      </c>
      <c r="AL146" s="11" t="e">
        <v>#N/A</v>
      </c>
      <c r="AM146" s="11" t="e">
        <v>#N/A</v>
      </c>
      <c r="AO146" s="11" t="e">
        <v>#N/A</v>
      </c>
      <c r="AP146" s="11" t="e">
        <v>#N/A</v>
      </c>
      <c r="AQ146" s="11" t="e">
        <v>#N/A</v>
      </c>
      <c r="AR146" s="11" t="e">
        <v>#N/A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Y146" s="11" t="e">
        <v>#N/A</v>
      </c>
      <c r="AZ146" s="11" t="e">
        <v>#N/A</v>
      </c>
      <c r="BA146" s="11" t="e">
        <v>#N/A</v>
      </c>
      <c r="BB146" s="11" t="e">
        <v>#N/A</v>
      </c>
      <c r="BD146" s="11" t="e">
        <v>#N/A</v>
      </c>
      <c r="BE146" s="11" t="e">
        <v>#N/A</v>
      </c>
      <c r="BF146" s="11" t="e">
        <v>#N/A</v>
      </c>
      <c r="BG146" s="11" t="e">
        <v>#N/A</v>
      </c>
      <c r="BI146" s="11" t="e">
        <v>#N/A</v>
      </c>
      <c r="BJ146" s="11" t="e">
        <v>#N/A</v>
      </c>
      <c r="BK146" s="11" t="e">
        <v>#N/A</v>
      </c>
      <c r="BL146" s="11" t="e">
        <v>#N/A</v>
      </c>
      <c r="BN146" s="11" t="e">
        <v>#N/A</v>
      </c>
      <c r="BO146" s="11" t="e">
        <v>#N/A</v>
      </c>
      <c r="BP146" s="11" t="e">
        <v>#N/A</v>
      </c>
      <c r="BQ146" s="11" t="e">
        <v>#N/A</v>
      </c>
      <c r="BS146" s="11" t="e">
        <v>#N/A</v>
      </c>
      <c r="BT146" s="11" t="e">
        <v>#N/A</v>
      </c>
      <c r="BU146" s="11" t="e">
        <v>#N/A</v>
      </c>
      <c r="BV146" s="11" t="e">
        <v>#N/A</v>
      </c>
      <c r="BX146" s="11" t="e">
        <v>#N/A</v>
      </c>
      <c r="BY146" s="11" t="e">
        <v>#N/A</v>
      </c>
      <c r="BZ146" s="11" t="e">
        <v>#N/A</v>
      </c>
      <c r="CA146" s="11" t="e">
        <v>#N/A</v>
      </c>
      <c r="CC146" s="11" t="e">
        <v>#N/A</v>
      </c>
      <c r="CD146" s="11" t="e">
        <v>#N/A</v>
      </c>
      <c r="CE146" s="11" t="e">
        <v>#N/A</v>
      </c>
      <c r="CF146" s="11" t="e">
        <v>#N/A</v>
      </c>
      <c r="CH146" s="11" t="e">
        <v>#N/A</v>
      </c>
      <c r="CI146" s="11" t="e">
        <v>#N/A</v>
      </c>
      <c r="CJ146" s="11" t="e">
        <v>#N/A</v>
      </c>
      <c r="CK146" s="11" t="e">
        <v>#N/A</v>
      </c>
      <c r="CM146" s="11" t="e">
        <v>#N/A</v>
      </c>
      <c r="CN146" s="11" t="e">
        <v>#N/A</v>
      </c>
      <c r="CO146" s="11" t="e">
        <v>#N/A</v>
      </c>
      <c r="CP146" s="11" t="e">
        <v>#N/A</v>
      </c>
      <c r="CR146" s="11" t="e">
        <v>#N/A</v>
      </c>
      <c r="CS146" s="11" t="e">
        <v>#N/A</v>
      </c>
      <c r="CT146" s="11" t="e">
        <v>#N/A</v>
      </c>
      <c r="CU146" s="11" t="e">
        <v>#N/A</v>
      </c>
    </row>
    <row r="147" spans="1:99" s="5" customFormat="1" x14ac:dyDescent="0.35">
      <c r="A147" s="4" t="s">
        <v>121</v>
      </c>
      <c r="B147" s="4">
        <v>9.3333333333333339</v>
      </c>
      <c r="C147" s="4" t="s">
        <v>168</v>
      </c>
      <c r="D147" s="4" t="s">
        <v>404</v>
      </c>
      <c r="E147" s="3"/>
      <c r="F147" s="5">
        <v>4.0019999999999998</v>
      </c>
      <c r="G147" s="5">
        <v>4.016</v>
      </c>
      <c r="H147" s="5">
        <v>4.0250000000000004</v>
      </c>
      <c r="I147" s="5" t="e">
        <v>#N/A</v>
      </c>
      <c r="K147" s="5">
        <v>3.9990000000000001</v>
      </c>
      <c r="L147" s="5">
        <v>3.9990000000000006</v>
      </c>
      <c r="M147" s="5">
        <v>3.5660000000000003</v>
      </c>
      <c r="N147" s="5">
        <v>2.0990000000000002</v>
      </c>
      <c r="P147" s="5">
        <v>3.764999853563495</v>
      </c>
      <c r="Q147" s="5">
        <v>3.6830001214984804</v>
      </c>
      <c r="R147" s="5">
        <v>3.4319998919963837</v>
      </c>
      <c r="S147" s="5">
        <v>1.8829997777938843</v>
      </c>
      <c r="U147" s="5">
        <v>5</v>
      </c>
      <c r="V147" s="5">
        <v>7</v>
      </c>
      <c r="W147" s="5">
        <v>7</v>
      </c>
      <c r="X147" s="5">
        <v>3</v>
      </c>
      <c r="Z147" s="5">
        <v>3.9990000000000001</v>
      </c>
      <c r="AA147" s="5">
        <v>3.9990000000000006</v>
      </c>
      <c r="AB147" s="5">
        <v>3.5660000000000003</v>
      </c>
      <c r="AC147" s="5">
        <v>1.3830000000000002</v>
      </c>
      <c r="AE147" s="5">
        <v>3.764999853563495</v>
      </c>
      <c r="AF147" s="5">
        <v>3.6830001214984804</v>
      </c>
      <c r="AG147" s="5">
        <v>3.4319998919963837</v>
      </c>
      <c r="AH147" s="5">
        <v>1.2829997539520264</v>
      </c>
      <c r="AJ147" s="5">
        <v>5</v>
      </c>
      <c r="AK147" s="5">
        <v>7</v>
      </c>
      <c r="AL147" s="5">
        <v>7</v>
      </c>
      <c r="AM147" s="5">
        <v>2</v>
      </c>
      <c r="AO147" s="5">
        <v>1</v>
      </c>
      <c r="AP147" s="5">
        <v>1</v>
      </c>
      <c r="AQ147" s="5">
        <v>1</v>
      </c>
      <c r="AR147" s="5">
        <v>1</v>
      </c>
      <c r="AT147" s="5">
        <v>1.0000000474974513E-3</v>
      </c>
      <c r="AU147" s="5">
        <v>2.0000000949949026E-3</v>
      </c>
      <c r="AV147" s="5">
        <v>0.48399999737739563</v>
      </c>
      <c r="AW147" s="5">
        <v>1.8940000534057617</v>
      </c>
      <c r="AY147" s="5">
        <v>2.4659999999999997</v>
      </c>
      <c r="AZ147" s="5">
        <v>0.95000000000000018</v>
      </c>
      <c r="BA147" s="5">
        <v>1.1000000000000005</v>
      </c>
      <c r="BB147" s="5">
        <v>3.3000000000000362E-2</v>
      </c>
      <c r="BD147" s="5">
        <v>2.9819998145103455</v>
      </c>
      <c r="BE147" s="5">
        <v>1.4180002212524414</v>
      </c>
      <c r="BF147" s="5">
        <v>1.9670002162456512</v>
      </c>
      <c r="BG147" s="5">
        <v>0</v>
      </c>
      <c r="BI147" s="5">
        <v>3</v>
      </c>
      <c r="BJ147" s="5">
        <v>2</v>
      </c>
      <c r="BK147" s="5">
        <v>2</v>
      </c>
      <c r="BL147" s="5">
        <v>0</v>
      </c>
      <c r="BN147" s="5">
        <v>3</v>
      </c>
      <c r="BO147" s="5">
        <v>1</v>
      </c>
      <c r="BP147" s="5">
        <v>2</v>
      </c>
      <c r="BQ147" s="5">
        <v>1</v>
      </c>
      <c r="BS147" s="5">
        <v>0.98400002717971802</v>
      </c>
      <c r="BT147" s="5">
        <v>1.1009999513626099</v>
      </c>
      <c r="BU147" s="5">
        <v>0.48399999737739563</v>
      </c>
      <c r="BV147" s="5">
        <v>4.016</v>
      </c>
      <c r="BX147" s="5">
        <v>0</v>
      </c>
      <c r="BY147" s="5">
        <v>1.2169999999999999</v>
      </c>
      <c r="BZ147" s="5">
        <v>0.74900000000000011</v>
      </c>
      <c r="CA147" s="5">
        <v>0</v>
      </c>
      <c r="CC147" s="5">
        <v>0</v>
      </c>
      <c r="CD147" s="5">
        <v>1.6659998635295779</v>
      </c>
      <c r="CE147" s="5">
        <v>1.0659999847412109</v>
      </c>
      <c r="CF147" s="5">
        <v>0</v>
      </c>
      <c r="CH147" s="5">
        <v>0</v>
      </c>
      <c r="CI147" s="5">
        <v>2</v>
      </c>
      <c r="CJ147" s="5">
        <v>2</v>
      </c>
      <c r="CK147" s="5">
        <v>0</v>
      </c>
      <c r="CM147" s="5">
        <v>2</v>
      </c>
      <c r="CN147" s="5">
        <v>2</v>
      </c>
      <c r="CO147" s="5">
        <v>2</v>
      </c>
      <c r="CP147" s="5">
        <v>0</v>
      </c>
      <c r="CR147" s="5">
        <v>4.0019999999999998</v>
      </c>
      <c r="CS147" s="5">
        <v>2.0000000949949026E-3</v>
      </c>
      <c r="CT147" s="5">
        <v>2.5169999599456787</v>
      </c>
      <c r="CU147" s="5">
        <v>4.016</v>
      </c>
    </row>
    <row r="148" spans="1:99" s="5" customFormat="1" x14ac:dyDescent="0.35">
      <c r="A148" s="4" t="s">
        <v>133</v>
      </c>
      <c r="B148" s="4">
        <v>9.4166666666666661</v>
      </c>
      <c r="C148" s="4" t="s">
        <v>167</v>
      </c>
      <c r="D148" s="4" t="s">
        <v>404</v>
      </c>
      <c r="E148" s="3"/>
      <c r="F148" s="5">
        <v>3.0390000000000001</v>
      </c>
      <c r="G148" s="5">
        <v>4.0190000000000001</v>
      </c>
      <c r="H148" s="5">
        <v>4.016</v>
      </c>
      <c r="I148" s="5">
        <v>4.008</v>
      </c>
      <c r="K148" s="5">
        <v>3.0330000000000004</v>
      </c>
      <c r="L148" s="5">
        <v>3.9990000000000001</v>
      </c>
      <c r="M148" s="5">
        <v>3.9649999999999999</v>
      </c>
      <c r="N148" s="5">
        <v>3.9990000000000001</v>
      </c>
      <c r="P148" s="5">
        <v>2.0320000173524022</v>
      </c>
      <c r="Q148" s="5">
        <v>3.9819999374449253</v>
      </c>
      <c r="R148" s="5">
        <v>3.0149996988475323</v>
      </c>
      <c r="S148" s="5">
        <v>3.1150000682100654</v>
      </c>
      <c r="U148" s="5">
        <v>6</v>
      </c>
      <c r="V148" s="5">
        <v>2</v>
      </c>
      <c r="W148" s="5">
        <v>7</v>
      </c>
      <c r="X148" s="5">
        <v>7</v>
      </c>
      <c r="Z148" s="5">
        <v>2.7819999999999996</v>
      </c>
      <c r="AA148" s="5">
        <v>3.9990000000000001</v>
      </c>
      <c r="AB148" s="5">
        <v>3.1819999999999999</v>
      </c>
      <c r="AC148" s="5">
        <v>3.9150000000000005</v>
      </c>
      <c r="AE148" s="5">
        <v>2.0320000173524022</v>
      </c>
      <c r="AF148" s="5">
        <v>3.9819999374449253</v>
      </c>
      <c r="AG148" s="5">
        <v>3.0149996988475323</v>
      </c>
      <c r="AH148" s="5">
        <v>3.1150000682100654</v>
      </c>
      <c r="AJ148" s="5">
        <v>6</v>
      </c>
      <c r="AK148" s="5">
        <v>2</v>
      </c>
      <c r="AL148" s="5">
        <v>7</v>
      </c>
      <c r="AM148" s="5">
        <v>7</v>
      </c>
      <c r="AO148" s="5">
        <v>2</v>
      </c>
      <c r="AP148" s="5">
        <v>1</v>
      </c>
      <c r="AQ148" s="5">
        <v>4</v>
      </c>
      <c r="AR148" s="5">
        <v>2</v>
      </c>
      <c r="AT148" s="5">
        <v>6.0000000521540642E-3</v>
      </c>
      <c r="AU148" s="5">
        <v>8.999999612569809E-3</v>
      </c>
      <c r="AV148" s="5">
        <v>1.3000000268220901E-2</v>
      </c>
      <c r="AW148" s="5">
        <v>7.0000002160668373E-3</v>
      </c>
      <c r="AY148" s="5">
        <v>1.5329999999999997</v>
      </c>
      <c r="AZ148" s="5">
        <v>3.4489999999999998</v>
      </c>
      <c r="BA148" s="5">
        <v>1.1830000000000001</v>
      </c>
      <c r="BB148" s="5">
        <v>1.2490000000000001</v>
      </c>
      <c r="BD148" s="5">
        <v>1.5329999597743154</v>
      </c>
      <c r="BE148" s="5">
        <v>3.4319999217987061</v>
      </c>
      <c r="BF148" s="5">
        <v>0.99999982118606567</v>
      </c>
      <c r="BG148" s="5">
        <v>1.7989999642595649</v>
      </c>
      <c r="BI148" s="5">
        <v>3</v>
      </c>
      <c r="BJ148" s="5">
        <v>1</v>
      </c>
      <c r="BK148" s="5">
        <v>2</v>
      </c>
      <c r="BL148" s="5">
        <v>4</v>
      </c>
      <c r="BN148" s="5">
        <v>3</v>
      </c>
      <c r="BO148" s="5">
        <v>1</v>
      </c>
      <c r="BP148" s="5">
        <v>3</v>
      </c>
      <c r="BQ148" s="5">
        <v>5</v>
      </c>
      <c r="BS148" s="5">
        <v>6.0000000521540642E-3</v>
      </c>
      <c r="BT148" s="5">
        <v>0.57599997520446777</v>
      </c>
      <c r="BU148" s="5">
        <v>0.74599999189376831</v>
      </c>
      <c r="BV148" s="5">
        <v>7.0000002160668373E-3</v>
      </c>
      <c r="BX148" s="5">
        <v>0.6170000000000001</v>
      </c>
      <c r="BY148" s="5">
        <v>0</v>
      </c>
      <c r="BZ148" s="5">
        <v>0.94900000000000029</v>
      </c>
      <c r="CA148" s="5">
        <v>0.53400000000000003</v>
      </c>
      <c r="CC148" s="5">
        <v>0.11599993705749512</v>
      </c>
      <c r="CD148" s="5">
        <v>0</v>
      </c>
      <c r="CE148" s="5">
        <v>1.0490000247955322</v>
      </c>
      <c r="CF148" s="5">
        <v>0.45000004768371582</v>
      </c>
      <c r="CH148" s="5">
        <v>1</v>
      </c>
      <c r="CI148" s="5">
        <v>0</v>
      </c>
      <c r="CJ148" s="5">
        <v>2</v>
      </c>
      <c r="CK148" s="5">
        <v>1</v>
      </c>
      <c r="CM148" s="5">
        <v>3</v>
      </c>
      <c r="CN148" s="5">
        <v>0</v>
      </c>
      <c r="CO148" s="5">
        <v>3</v>
      </c>
      <c r="CP148" s="5">
        <v>5</v>
      </c>
      <c r="CR148" s="5">
        <v>2.7390000820159912</v>
      </c>
      <c r="CS148" s="5">
        <v>4.0190000000000001</v>
      </c>
      <c r="CT148" s="5">
        <v>2.9289999008178711</v>
      </c>
      <c r="CU148" s="5">
        <v>2.2070000171661377</v>
      </c>
    </row>
    <row r="149" spans="1:99" s="5" customFormat="1" x14ac:dyDescent="0.35">
      <c r="A149" s="4" t="s">
        <v>155</v>
      </c>
      <c r="B149" s="4">
        <v>9.4166666666666661</v>
      </c>
      <c r="C149" s="4" t="s">
        <v>168</v>
      </c>
      <c r="D149" s="4" t="s">
        <v>404</v>
      </c>
      <c r="E149" s="3"/>
      <c r="F149" s="5" t="e">
        <v>#N/A</v>
      </c>
      <c r="G149" s="5">
        <v>4.0140000000000002</v>
      </c>
      <c r="H149" s="5">
        <v>4.0069999999999997</v>
      </c>
      <c r="I149" s="5">
        <v>4.0149999999999997</v>
      </c>
      <c r="K149" s="5">
        <v>2.8</v>
      </c>
      <c r="L149" s="5">
        <v>4</v>
      </c>
      <c r="M149" s="5">
        <v>3.9990000000000001</v>
      </c>
      <c r="N149" s="5">
        <v>3.6829999999999998</v>
      </c>
      <c r="P149" s="5">
        <v>2.6659996323287487</v>
      </c>
      <c r="Q149" s="5">
        <v>3.8989998511970043</v>
      </c>
      <c r="R149" s="5">
        <v>3.8149999668821692</v>
      </c>
      <c r="S149" s="5">
        <v>3.3989998996257782</v>
      </c>
      <c r="U149" s="5">
        <v>3</v>
      </c>
      <c r="V149" s="5">
        <v>7</v>
      </c>
      <c r="W149" s="5">
        <v>6</v>
      </c>
      <c r="X149" s="5">
        <v>10</v>
      </c>
      <c r="Z149" s="5">
        <v>2.8</v>
      </c>
      <c r="AA149" s="5">
        <v>4</v>
      </c>
      <c r="AB149" s="5">
        <v>3.9990000000000001</v>
      </c>
      <c r="AC149" s="5">
        <v>3.5</v>
      </c>
      <c r="AE149" s="5">
        <v>2.6659996323287487</v>
      </c>
      <c r="AF149" s="5">
        <v>3.8989998511970043</v>
      </c>
      <c r="AG149" s="5">
        <v>3.8149999668821692</v>
      </c>
      <c r="AH149" s="5">
        <v>3.3989998996257782</v>
      </c>
      <c r="AJ149" s="5">
        <v>3</v>
      </c>
      <c r="AK149" s="5">
        <v>7</v>
      </c>
      <c r="AL149" s="5">
        <v>6</v>
      </c>
      <c r="AM149" s="5">
        <v>10</v>
      </c>
      <c r="AO149" s="5">
        <v>2</v>
      </c>
      <c r="AP149" s="5">
        <v>1</v>
      </c>
      <c r="AQ149" s="5">
        <v>1</v>
      </c>
      <c r="AR149" s="5">
        <v>2</v>
      </c>
      <c r="AT149" s="5">
        <v>1.3000000268220901E-2</v>
      </c>
      <c r="AU149" s="5">
        <v>1.3000000268220901E-2</v>
      </c>
      <c r="AV149" s="5">
        <v>7.0000002160668373E-3</v>
      </c>
      <c r="AW149" s="5">
        <v>0.32699999213218689</v>
      </c>
      <c r="AY149" s="5">
        <v>0</v>
      </c>
      <c r="AZ149" s="5">
        <v>0.18299999999999983</v>
      </c>
      <c r="BA149" s="5">
        <v>0</v>
      </c>
      <c r="BB149" s="5">
        <v>6.6999999999999726E-2</v>
      </c>
      <c r="BD149" s="5">
        <v>0</v>
      </c>
      <c r="BE149" s="5">
        <v>0</v>
      </c>
      <c r="BF149" s="5">
        <v>0</v>
      </c>
      <c r="BG149" s="5">
        <v>0</v>
      </c>
      <c r="BI149" s="5">
        <v>0</v>
      </c>
      <c r="BJ149" s="5">
        <v>0</v>
      </c>
      <c r="BK149" s="5">
        <v>0</v>
      </c>
      <c r="BL149" s="5">
        <v>0</v>
      </c>
      <c r="BN149" s="5">
        <v>0</v>
      </c>
      <c r="BO149" s="5">
        <v>1</v>
      </c>
      <c r="BP149" s="5">
        <v>0</v>
      </c>
      <c r="BQ149" s="5">
        <v>2</v>
      </c>
      <c r="BS149" s="5">
        <v>4.0309999999999997</v>
      </c>
      <c r="BT149" s="5">
        <v>4.0140000000000002</v>
      </c>
      <c r="BU149" s="5">
        <v>4.0069999999999997</v>
      </c>
      <c r="BV149" s="5">
        <v>4.0149999999999997</v>
      </c>
      <c r="BX149" s="5">
        <v>0.43299999999999988</v>
      </c>
      <c r="BY149" s="5">
        <v>0.56699999999999995</v>
      </c>
      <c r="BZ149" s="5">
        <v>0.89900000000000002</v>
      </c>
      <c r="CA149" s="5">
        <v>0.28399999999999997</v>
      </c>
      <c r="CC149" s="5">
        <v>0.43300000950694084</v>
      </c>
      <c r="CD149" s="5">
        <v>0.51599994301795959</v>
      </c>
      <c r="CE149" s="5">
        <v>0.93300011660903692</v>
      </c>
      <c r="CF149" s="5">
        <v>0.23399999737739563</v>
      </c>
      <c r="CH149" s="5">
        <v>1</v>
      </c>
      <c r="CI149" s="5">
        <v>2</v>
      </c>
      <c r="CJ149" s="5">
        <v>2</v>
      </c>
      <c r="CK149" s="5">
        <v>1</v>
      </c>
      <c r="CM149" s="5">
        <v>2</v>
      </c>
      <c r="CN149" s="5">
        <v>3</v>
      </c>
      <c r="CO149" s="5">
        <v>3</v>
      </c>
      <c r="CP149" s="5">
        <v>1</v>
      </c>
      <c r="CR149" s="5">
        <v>1.3000000268220901E-2</v>
      </c>
      <c r="CS149" s="5">
        <v>0.47999998927116394</v>
      </c>
      <c r="CT149" s="5">
        <v>7.0000002160668373E-3</v>
      </c>
      <c r="CU149" s="5">
        <v>0.32699999213218689</v>
      </c>
    </row>
    <row r="150" spans="1:99" s="5" customFormat="1" x14ac:dyDescent="0.35">
      <c r="A150" s="4" t="s">
        <v>158</v>
      </c>
      <c r="B150" s="4">
        <v>9.5</v>
      </c>
      <c r="C150" s="4" t="s">
        <v>168</v>
      </c>
      <c r="D150" s="4" t="s">
        <v>404</v>
      </c>
      <c r="E150" s="3"/>
      <c r="F150" s="5">
        <v>4.0069999999999997</v>
      </c>
      <c r="G150" s="5" t="e">
        <v>#N/A</v>
      </c>
      <c r="H150" s="5" t="e">
        <v>#N/A</v>
      </c>
      <c r="I150" s="5">
        <v>3.1980000000000004</v>
      </c>
      <c r="K150" s="5">
        <v>3.9330000000000003</v>
      </c>
      <c r="L150" s="5">
        <v>2.1</v>
      </c>
      <c r="M150" s="5">
        <v>1.9989999999999997</v>
      </c>
      <c r="N150" s="5">
        <v>3.0990000000000002</v>
      </c>
      <c r="P150" s="5">
        <v>2.8820000886917114</v>
      </c>
      <c r="Q150" s="5">
        <v>1.0980000495910645</v>
      </c>
      <c r="R150" s="5">
        <v>0.71699976921081543</v>
      </c>
      <c r="S150" s="5">
        <v>0.90000009536743164</v>
      </c>
      <c r="U150" s="5">
        <v>8</v>
      </c>
      <c r="V150" s="5">
        <v>6</v>
      </c>
      <c r="W150" s="5">
        <v>5</v>
      </c>
      <c r="X150" s="5">
        <v>7</v>
      </c>
      <c r="Z150" s="5">
        <v>2.2839999999999998</v>
      </c>
      <c r="AA150" s="5">
        <v>1.7000000000000002</v>
      </c>
      <c r="AB150" s="5">
        <v>1.3319999999999994</v>
      </c>
      <c r="AC150" s="5">
        <v>0.88399999999999945</v>
      </c>
      <c r="AE150" s="5">
        <v>1.9160002470016479</v>
      </c>
      <c r="AF150" s="5">
        <v>0.89800000190734863</v>
      </c>
      <c r="AG150" s="5">
        <v>0.71699976921081543</v>
      </c>
      <c r="AH150" s="5">
        <v>0.43399989604949951</v>
      </c>
      <c r="AJ150" s="5">
        <v>5</v>
      </c>
      <c r="AK150" s="5">
        <v>5</v>
      </c>
      <c r="AL150" s="5">
        <v>5</v>
      </c>
      <c r="AM150" s="5">
        <v>3</v>
      </c>
      <c r="AO150" s="5">
        <v>2</v>
      </c>
      <c r="AP150" s="5">
        <v>1</v>
      </c>
      <c r="AQ150" s="5">
        <v>3</v>
      </c>
      <c r="AR150" s="5">
        <v>15</v>
      </c>
      <c r="AT150" s="5">
        <v>0.30000001192092896</v>
      </c>
      <c r="AU150" s="5">
        <v>0.32300001382827759</v>
      </c>
      <c r="AV150" s="5">
        <v>2.5380001068115234</v>
      </c>
      <c r="AW150" s="5">
        <v>0.5820000171661377</v>
      </c>
      <c r="AY150" s="5">
        <v>1.0329999999999999</v>
      </c>
      <c r="AZ150" s="5">
        <v>0.26600000000000013</v>
      </c>
      <c r="BA150" s="5">
        <v>0.11699999999999999</v>
      </c>
      <c r="BB150" s="5">
        <v>0.45099999999999973</v>
      </c>
      <c r="BD150" s="5">
        <v>0.88300001621246338</v>
      </c>
      <c r="BE150" s="5">
        <v>0.21600008010864258</v>
      </c>
      <c r="BF150" s="5">
        <v>0.10000014305114746</v>
      </c>
      <c r="BG150" s="5">
        <v>0.31700003147125244</v>
      </c>
      <c r="BI150" s="5">
        <v>2</v>
      </c>
      <c r="BJ150" s="5">
        <v>1</v>
      </c>
      <c r="BK150" s="5">
        <v>1</v>
      </c>
      <c r="BL150" s="5">
        <v>2</v>
      </c>
      <c r="BN150" s="5">
        <v>3</v>
      </c>
      <c r="BO150" s="5">
        <v>7</v>
      </c>
      <c r="BP150" s="5">
        <v>1</v>
      </c>
      <c r="BQ150" s="5">
        <v>14</v>
      </c>
      <c r="BS150" s="5">
        <v>0.30000001192092896</v>
      </c>
      <c r="BT150" s="5">
        <v>1.0729999542236328</v>
      </c>
      <c r="BU150" s="5">
        <v>3.7209999561309814</v>
      </c>
      <c r="BV150" s="5">
        <v>0.5820000171661377</v>
      </c>
      <c r="BX150" s="5">
        <v>0.23399999999999999</v>
      </c>
      <c r="BY150" s="5">
        <v>3.2999999999999918E-2</v>
      </c>
      <c r="BZ150" s="5">
        <v>0.35099999999999998</v>
      </c>
      <c r="CA150" s="5">
        <v>1.6000000000000014E-2</v>
      </c>
      <c r="CC150" s="5">
        <v>0.23300004005432129</v>
      </c>
      <c r="CD150" s="5">
        <v>0</v>
      </c>
      <c r="CE150" s="5">
        <v>0.3339998722076416</v>
      </c>
      <c r="CF150" s="5">
        <v>0</v>
      </c>
      <c r="CH150" s="5">
        <v>2</v>
      </c>
      <c r="CI150" s="5">
        <v>0</v>
      </c>
      <c r="CJ150" s="5">
        <v>2</v>
      </c>
      <c r="CK150" s="5">
        <v>0</v>
      </c>
      <c r="CM150" s="5">
        <v>1</v>
      </c>
      <c r="CN150" s="5">
        <v>1</v>
      </c>
      <c r="CO150" s="5">
        <v>10</v>
      </c>
      <c r="CP150" s="5">
        <v>1</v>
      </c>
      <c r="CR150" s="5">
        <v>3.749000072479248</v>
      </c>
      <c r="CS150" s="5">
        <v>4.0069999999999997</v>
      </c>
      <c r="CT150" s="5">
        <v>2.7039999961853027</v>
      </c>
      <c r="CU150" s="5">
        <v>4.01</v>
      </c>
    </row>
    <row r="151" spans="1:99" s="5" customFormat="1" x14ac:dyDescent="0.35">
      <c r="A151" s="4" t="s">
        <v>128</v>
      </c>
      <c r="B151" s="4">
        <v>9.8333333333333339</v>
      </c>
      <c r="C151" s="4" t="s">
        <v>168</v>
      </c>
      <c r="D151" s="4" t="s">
        <v>404</v>
      </c>
      <c r="E151" s="3"/>
      <c r="F151" s="5">
        <v>3.0269999999999997</v>
      </c>
      <c r="G151" s="5" t="e">
        <v>#N/A</v>
      </c>
      <c r="H151" s="5">
        <v>3.1230000000000002</v>
      </c>
      <c r="I151" s="5" t="e">
        <v>#N/A</v>
      </c>
      <c r="K151" s="5">
        <v>2.6830000000000003</v>
      </c>
      <c r="L151" s="11" t="e">
        <v>#N/A</v>
      </c>
      <c r="M151" s="5">
        <v>3.0840000000000005</v>
      </c>
      <c r="N151" s="5">
        <v>2.5989999999999998</v>
      </c>
      <c r="P151" s="5">
        <v>2.4660000205039978</v>
      </c>
      <c r="Q151" s="11" t="e">
        <v>#N/A</v>
      </c>
      <c r="R151" s="5">
        <v>2.2990001812577248</v>
      </c>
      <c r="S151" s="5">
        <v>2.5139997154474258</v>
      </c>
      <c r="U151" s="5">
        <v>5</v>
      </c>
      <c r="V151" s="11" t="e">
        <v>#N/A</v>
      </c>
      <c r="W151" s="5">
        <v>7</v>
      </c>
      <c r="X151" s="5">
        <v>6</v>
      </c>
      <c r="Z151" s="5">
        <v>2.6330000000000005</v>
      </c>
      <c r="AA151" s="11" t="e">
        <v>#N/A</v>
      </c>
      <c r="AB151" s="5">
        <v>2.3840000000000003</v>
      </c>
      <c r="AC151" s="5">
        <v>2.3489999999999998</v>
      </c>
      <c r="AE151" s="5">
        <v>2.4660000205039978</v>
      </c>
      <c r="AF151" s="11" t="e">
        <v>#N/A</v>
      </c>
      <c r="AG151" s="5">
        <v>2.2990001812577248</v>
      </c>
      <c r="AH151" s="5">
        <v>2.2479996830224991</v>
      </c>
      <c r="AJ151" s="5">
        <v>5</v>
      </c>
      <c r="AK151" s="11" t="e">
        <v>#N/A</v>
      </c>
      <c r="AL151" s="5">
        <v>7</v>
      </c>
      <c r="AM151" s="5">
        <v>5</v>
      </c>
      <c r="AO151" s="5">
        <v>2</v>
      </c>
      <c r="AP151" s="11" t="e">
        <v>#N/A</v>
      </c>
      <c r="AQ151" s="5">
        <v>3</v>
      </c>
      <c r="AR151" s="5">
        <v>1</v>
      </c>
      <c r="AT151" s="5">
        <v>0.32800000905990601</v>
      </c>
      <c r="AU151" s="11" t="e">
        <v>#N/A</v>
      </c>
      <c r="AV151" s="5">
        <v>1.0999999940395355E-2</v>
      </c>
      <c r="AW151" s="5">
        <v>0.22100000083446503</v>
      </c>
      <c r="AY151" s="5">
        <v>1.9670000000000001</v>
      </c>
      <c r="AZ151" s="11" t="e">
        <v>#N/A</v>
      </c>
      <c r="BA151" s="5">
        <v>0.53400000000000047</v>
      </c>
      <c r="BB151" s="5">
        <v>1.0169999999999999</v>
      </c>
      <c r="BD151" s="5">
        <v>1.949999988079071</v>
      </c>
      <c r="BE151" s="11" t="e">
        <v>#N/A</v>
      </c>
      <c r="BF151" s="5">
        <v>0.63300001621246338</v>
      </c>
      <c r="BG151" s="5">
        <v>1.0319997668266296</v>
      </c>
      <c r="BI151" s="5">
        <v>3</v>
      </c>
      <c r="BJ151" s="11" t="e">
        <v>#N/A</v>
      </c>
      <c r="BK151" s="5">
        <v>2</v>
      </c>
      <c r="BL151" s="5">
        <v>2</v>
      </c>
      <c r="BN151" s="5">
        <v>3</v>
      </c>
      <c r="BO151" s="11" t="e">
        <v>#N/A</v>
      </c>
      <c r="BP151" s="5">
        <v>2</v>
      </c>
      <c r="BQ151" s="5">
        <v>3</v>
      </c>
      <c r="BS151" s="5">
        <v>0.32800000905990601</v>
      </c>
      <c r="BT151" s="11" t="e">
        <v>#N/A</v>
      </c>
      <c r="BU151" s="5">
        <v>0.56099998950958252</v>
      </c>
      <c r="BV151" s="5">
        <v>0.68800002336502075</v>
      </c>
      <c r="BX151" s="5">
        <v>0</v>
      </c>
      <c r="BY151" s="11" t="e">
        <v>#N/A</v>
      </c>
      <c r="BZ151" s="5">
        <v>0.26600000000000001</v>
      </c>
      <c r="CA151" s="5">
        <v>0</v>
      </c>
      <c r="CC151" s="5">
        <v>0</v>
      </c>
      <c r="CD151" s="11" t="e">
        <v>#N/A</v>
      </c>
      <c r="CE151" s="5">
        <v>0.31700015068054199</v>
      </c>
      <c r="CF151" s="5">
        <v>0</v>
      </c>
      <c r="CH151" s="5">
        <v>0</v>
      </c>
      <c r="CI151" s="11" t="e">
        <v>#N/A</v>
      </c>
      <c r="CJ151" s="5">
        <v>1</v>
      </c>
      <c r="CK151" s="5">
        <v>0</v>
      </c>
      <c r="CM151" s="5">
        <v>0</v>
      </c>
      <c r="CN151" s="11" t="e">
        <v>#N/A</v>
      </c>
      <c r="CO151" s="5">
        <v>2</v>
      </c>
      <c r="CP151" s="5">
        <v>0</v>
      </c>
      <c r="CR151" s="5">
        <v>4.01</v>
      </c>
      <c r="CS151" s="11" t="e">
        <v>#N/A</v>
      </c>
      <c r="CT151" s="5">
        <v>2.2769999504089355</v>
      </c>
      <c r="CU151" s="5">
        <v>4.0149999999999997</v>
      </c>
    </row>
    <row r="152" spans="1:99" s="5" customFormat="1" x14ac:dyDescent="0.35">
      <c r="A152" s="4" t="s">
        <v>129</v>
      </c>
      <c r="B152" s="4">
        <v>9.8333333333333339</v>
      </c>
      <c r="C152" s="4" t="s">
        <v>168</v>
      </c>
      <c r="D152" s="4" t="s">
        <v>404</v>
      </c>
      <c r="E152" s="3"/>
      <c r="F152" s="5">
        <v>4.01</v>
      </c>
      <c r="G152" s="5" t="e">
        <v>#N/A</v>
      </c>
      <c r="H152" s="5">
        <v>4.0149999999999997</v>
      </c>
      <c r="I152" s="5" t="e">
        <v>#N/A</v>
      </c>
      <c r="K152" s="5">
        <v>3.7989999999999999</v>
      </c>
      <c r="L152" s="11" t="e">
        <v>#N/A</v>
      </c>
      <c r="M152" s="5">
        <v>3.3159999999999998</v>
      </c>
      <c r="N152" s="11" t="e">
        <v>#N/A</v>
      </c>
      <c r="P152" s="5">
        <v>3.3819995084777474</v>
      </c>
      <c r="Q152" s="11" t="e">
        <v>#N/A</v>
      </c>
      <c r="R152" s="5">
        <v>2.397000253200531</v>
      </c>
      <c r="S152" s="11" t="e">
        <v>#N/A</v>
      </c>
      <c r="U152" s="5">
        <v>14</v>
      </c>
      <c r="V152" s="11" t="e">
        <v>#N/A</v>
      </c>
      <c r="W152" s="5">
        <v>10</v>
      </c>
      <c r="X152" s="11" t="e">
        <v>#N/A</v>
      </c>
      <c r="Z152" s="5">
        <v>3.7989999999999999</v>
      </c>
      <c r="AA152" s="11" t="e">
        <v>#N/A</v>
      </c>
      <c r="AB152" s="5">
        <v>3.25</v>
      </c>
      <c r="AC152" s="11" t="e">
        <v>#N/A</v>
      </c>
      <c r="AE152" s="5">
        <v>3.3819995084777474</v>
      </c>
      <c r="AF152" s="11" t="e">
        <v>#N/A</v>
      </c>
      <c r="AG152" s="5">
        <v>2.397000253200531</v>
      </c>
      <c r="AH152" s="11" t="e">
        <v>#N/A</v>
      </c>
      <c r="AJ152" s="5">
        <v>14</v>
      </c>
      <c r="AK152" s="11" t="e">
        <v>#N/A</v>
      </c>
      <c r="AL152" s="5">
        <v>10</v>
      </c>
      <c r="AM152" s="11" t="e">
        <v>#N/A</v>
      </c>
      <c r="AO152" s="5">
        <v>1</v>
      </c>
      <c r="AP152" s="11" t="e">
        <v>#N/A</v>
      </c>
      <c r="AQ152" s="5">
        <v>2</v>
      </c>
      <c r="AR152" s="11" t="e">
        <v>#N/A</v>
      </c>
      <c r="AT152" s="5">
        <v>1.4999999664723873E-2</v>
      </c>
      <c r="AU152" s="11" t="e">
        <v>#N/A</v>
      </c>
      <c r="AV152" s="5">
        <v>0.72000002861022949</v>
      </c>
      <c r="AW152" s="11" t="e">
        <v>#N/A</v>
      </c>
      <c r="AY152" s="5">
        <v>1.7000000000000002</v>
      </c>
      <c r="AZ152" s="11" t="e">
        <v>#N/A</v>
      </c>
      <c r="BA152" s="5">
        <v>2.133</v>
      </c>
      <c r="BB152" s="11" t="e">
        <v>#N/A</v>
      </c>
      <c r="BD152" s="5">
        <v>1.4829998016357422</v>
      </c>
      <c r="BE152" s="11" t="e">
        <v>#N/A</v>
      </c>
      <c r="BF152" s="5">
        <v>1.5970004200935364</v>
      </c>
      <c r="BG152" s="11" t="e">
        <v>#N/A</v>
      </c>
      <c r="BI152" s="5">
        <v>6</v>
      </c>
      <c r="BJ152" s="11" t="e">
        <v>#N/A</v>
      </c>
      <c r="BK152" s="5">
        <v>6</v>
      </c>
      <c r="BL152" s="11" t="e">
        <v>#N/A</v>
      </c>
      <c r="BN152" s="5">
        <v>5</v>
      </c>
      <c r="BO152" s="11" t="e">
        <v>#N/A</v>
      </c>
      <c r="BP152" s="5">
        <v>4</v>
      </c>
      <c r="BQ152" s="11" t="e">
        <v>#N/A</v>
      </c>
      <c r="BS152" s="5">
        <v>0.39800000190734863</v>
      </c>
      <c r="BT152" s="11" t="e">
        <v>#N/A</v>
      </c>
      <c r="BU152" s="5">
        <v>0.72000002861022949</v>
      </c>
      <c r="BV152" s="11" t="e">
        <v>#N/A</v>
      </c>
      <c r="BX152" s="5">
        <v>0.29900000000000015</v>
      </c>
      <c r="BY152" s="11" t="e">
        <v>#N/A</v>
      </c>
      <c r="BZ152" s="5">
        <v>8.3000000000000185E-2</v>
      </c>
      <c r="CA152" s="11" t="e">
        <v>#N/A</v>
      </c>
      <c r="CC152" s="5">
        <v>0.28299999237060547</v>
      </c>
      <c r="CD152" s="11" t="e">
        <v>#N/A</v>
      </c>
      <c r="CE152" s="5">
        <v>0</v>
      </c>
      <c r="CF152" s="11" t="e">
        <v>#N/A</v>
      </c>
      <c r="CH152" s="5">
        <v>1</v>
      </c>
      <c r="CI152" s="11" t="e">
        <v>#N/A</v>
      </c>
      <c r="CJ152" s="5">
        <v>0</v>
      </c>
      <c r="CK152" s="11" t="e">
        <v>#N/A</v>
      </c>
      <c r="CM152" s="5">
        <v>3</v>
      </c>
      <c r="CN152" s="11" t="e">
        <v>#N/A</v>
      </c>
      <c r="CO152" s="5">
        <v>2</v>
      </c>
      <c r="CP152" s="11" t="e">
        <v>#N/A</v>
      </c>
      <c r="CR152" s="5">
        <v>3.497999906539917</v>
      </c>
      <c r="CS152" s="11" t="e">
        <v>#N/A</v>
      </c>
      <c r="CT152" s="5">
        <v>4.0149999999999997</v>
      </c>
      <c r="CU152" s="11" t="e">
        <v>#N/A</v>
      </c>
    </row>
    <row r="153" spans="1:99" s="5" customFormat="1" x14ac:dyDescent="0.35">
      <c r="A153" s="4" t="s">
        <v>152</v>
      </c>
      <c r="B153" s="4">
        <v>10.083333333333334</v>
      </c>
      <c r="C153" s="4" t="s">
        <v>168</v>
      </c>
      <c r="D153" s="4" t="s">
        <v>404</v>
      </c>
      <c r="E153" s="3"/>
      <c r="F153" s="11" t="e">
        <v>#N/A</v>
      </c>
      <c r="G153" s="5">
        <v>4.008</v>
      </c>
      <c r="H153" s="5">
        <v>4.016</v>
      </c>
      <c r="I153" s="5" t="e">
        <v>#N/A</v>
      </c>
      <c r="K153" s="11" t="e">
        <v>#N/A</v>
      </c>
      <c r="L153" s="5">
        <v>4</v>
      </c>
      <c r="M153" s="5">
        <v>3.9990000000000001</v>
      </c>
      <c r="N153" s="5">
        <v>2.5169999999999999</v>
      </c>
      <c r="P153" s="11" t="e">
        <v>#N/A</v>
      </c>
      <c r="Q153" s="5">
        <v>3.9830001248046756</v>
      </c>
      <c r="R153" s="5">
        <v>3.9650000194087625</v>
      </c>
      <c r="S153" s="5">
        <v>2.335000024177134</v>
      </c>
      <c r="U153" s="11" t="e">
        <v>#N/A</v>
      </c>
      <c r="V153" s="5">
        <v>2</v>
      </c>
      <c r="W153" s="5">
        <v>3</v>
      </c>
      <c r="X153" s="5">
        <v>5</v>
      </c>
      <c r="Z153" s="11" t="e">
        <v>#N/A</v>
      </c>
      <c r="AA153" s="5">
        <v>4</v>
      </c>
      <c r="AB153" s="5">
        <v>3.9990000000000001</v>
      </c>
      <c r="AC153" s="5">
        <v>2.1999999999999997</v>
      </c>
      <c r="AE153" s="11" t="e">
        <v>#N/A</v>
      </c>
      <c r="AF153" s="5">
        <v>3.9830001248046756</v>
      </c>
      <c r="AG153" s="5">
        <v>3.9650000194087625</v>
      </c>
      <c r="AH153" s="5">
        <v>2.0520000318065286</v>
      </c>
      <c r="AJ153" s="11" t="e">
        <v>#N/A</v>
      </c>
      <c r="AK153" s="5">
        <v>2</v>
      </c>
      <c r="AL153" s="5">
        <v>3</v>
      </c>
      <c r="AM153" s="5">
        <v>4</v>
      </c>
      <c r="AO153" s="11" t="e">
        <v>#N/A</v>
      </c>
      <c r="AP153" s="5">
        <v>1</v>
      </c>
      <c r="AQ153" s="5">
        <v>1</v>
      </c>
      <c r="AR153" s="5">
        <v>3</v>
      </c>
      <c r="AT153" s="11" t="e">
        <v>#N/A</v>
      </c>
      <c r="AU153" s="5">
        <v>4.999999888241291E-3</v>
      </c>
      <c r="AV153" s="5">
        <v>1.4999999664723873E-2</v>
      </c>
      <c r="AW153" s="5">
        <v>8.0000003799796104E-3</v>
      </c>
      <c r="AY153" s="11" t="e">
        <v>#N/A</v>
      </c>
      <c r="AZ153" s="5">
        <v>3.5829999999999997</v>
      </c>
      <c r="BA153" s="5">
        <v>3.2490000000000001</v>
      </c>
      <c r="BB153" s="5">
        <v>1.6340000000000001</v>
      </c>
      <c r="BD153" s="11" t="e">
        <v>#N/A</v>
      </c>
      <c r="BE153" s="5">
        <v>3.533000111579895</v>
      </c>
      <c r="BF153" s="5">
        <v>3.2319999933242798</v>
      </c>
      <c r="BG153" s="5">
        <v>1.6180000305175781</v>
      </c>
      <c r="BI153" s="11" t="e">
        <v>#N/A</v>
      </c>
      <c r="BJ153" s="5">
        <v>1</v>
      </c>
      <c r="BK153" s="5">
        <v>2</v>
      </c>
      <c r="BL153" s="5">
        <v>3</v>
      </c>
      <c r="BN153" s="11" t="e">
        <v>#N/A</v>
      </c>
      <c r="BO153" s="5">
        <v>1</v>
      </c>
      <c r="BP153" s="5">
        <v>1</v>
      </c>
      <c r="BQ153" s="5">
        <v>2</v>
      </c>
      <c r="BS153" s="11" t="e">
        <v>#N/A</v>
      </c>
      <c r="BT153" s="5">
        <v>0.47200000286102295</v>
      </c>
      <c r="BU153" s="5">
        <v>0.76499998569488525</v>
      </c>
      <c r="BV153" s="5">
        <v>0.45800000429153442</v>
      </c>
      <c r="BX153" s="11" t="e">
        <v>#N/A</v>
      </c>
      <c r="BY153" s="5">
        <v>0</v>
      </c>
      <c r="BZ153" s="5">
        <v>0</v>
      </c>
      <c r="CA153" s="5">
        <v>4.9999999999999822E-2</v>
      </c>
      <c r="CC153" s="11" t="e">
        <v>#N/A</v>
      </c>
      <c r="CD153" s="5">
        <v>0</v>
      </c>
      <c r="CE153" s="5">
        <v>0</v>
      </c>
      <c r="CF153" s="5">
        <v>0</v>
      </c>
      <c r="CH153" s="11" t="e">
        <v>#N/A</v>
      </c>
      <c r="CI153" s="5">
        <v>0</v>
      </c>
      <c r="CJ153" s="5">
        <v>0</v>
      </c>
      <c r="CK153" s="5">
        <v>0</v>
      </c>
      <c r="CM153" s="11" t="e">
        <v>#N/A</v>
      </c>
      <c r="CN153" s="5">
        <v>0</v>
      </c>
      <c r="CO153" s="5">
        <v>0</v>
      </c>
      <c r="CP153" s="5">
        <v>1</v>
      </c>
      <c r="CR153" s="11" t="e">
        <v>#N/A</v>
      </c>
      <c r="CS153" s="5">
        <v>4.008</v>
      </c>
      <c r="CT153" s="5">
        <v>4.016</v>
      </c>
      <c r="CU153" s="5">
        <v>4.0119999999999996</v>
      </c>
    </row>
    <row r="154" spans="1:99" s="5" customFormat="1" x14ac:dyDescent="0.35">
      <c r="A154" s="4" t="s">
        <v>117</v>
      </c>
      <c r="B154" s="4">
        <v>10.25</v>
      </c>
      <c r="C154" s="4" t="s">
        <v>168</v>
      </c>
      <c r="D154" s="4" t="s">
        <v>404</v>
      </c>
      <c r="E154" s="3"/>
      <c r="F154" s="5">
        <v>4.0060000000000002</v>
      </c>
      <c r="G154" s="5">
        <v>4.0060000000000002</v>
      </c>
      <c r="H154" s="5">
        <v>4.0140000000000002</v>
      </c>
      <c r="I154" s="5">
        <v>4.016</v>
      </c>
      <c r="K154" s="5">
        <v>3.9989999999999997</v>
      </c>
      <c r="L154" s="5">
        <v>3.9490000000000003</v>
      </c>
      <c r="M154" s="5">
        <v>3.9990000000000006</v>
      </c>
      <c r="N154" s="5">
        <v>3.9</v>
      </c>
      <c r="P154" s="5">
        <v>3.699999894015491</v>
      </c>
      <c r="Q154" s="5">
        <v>3.6980002373456955</v>
      </c>
      <c r="R154" s="5">
        <v>3.8499997165054083</v>
      </c>
      <c r="S154" s="5">
        <v>3.6490001967176795</v>
      </c>
      <c r="U154" s="5">
        <v>13</v>
      </c>
      <c r="V154" s="5">
        <v>12</v>
      </c>
      <c r="W154" s="5">
        <v>10</v>
      </c>
      <c r="X154" s="5">
        <v>13</v>
      </c>
      <c r="Z154" s="5">
        <v>3.9989999999999997</v>
      </c>
      <c r="AA154" s="5">
        <v>3.9490000000000003</v>
      </c>
      <c r="AB154" s="5">
        <v>3.9990000000000006</v>
      </c>
      <c r="AC154" s="5">
        <v>3.9</v>
      </c>
      <c r="AE154" s="5">
        <v>3.699999894015491</v>
      </c>
      <c r="AF154" s="5">
        <v>3.6980002373456955</v>
      </c>
      <c r="AG154" s="5">
        <v>3.8499997165054083</v>
      </c>
      <c r="AH154" s="5">
        <v>3.6490001967176795</v>
      </c>
      <c r="AJ154" s="5">
        <v>13</v>
      </c>
      <c r="AK154" s="5">
        <v>12</v>
      </c>
      <c r="AL154" s="5">
        <v>10</v>
      </c>
      <c r="AM154" s="5">
        <v>13</v>
      </c>
      <c r="AO154" s="5">
        <v>1</v>
      </c>
      <c r="AP154" s="5">
        <v>1</v>
      </c>
      <c r="AQ154" s="5">
        <v>1</v>
      </c>
      <c r="AR154" s="5">
        <v>1</v>
      </c>
      <c r="AT154" s="5">
        <v>4.999999888241291E-3</v>
      </c>
      <c r="AU154" s="5">
        <v>5.9000000357627869E-2</v>
      </c>
      <c r="AV154" s="5">
        <v>9.9999997764825821E-3</v>
      </c>
      <c r="AW154" s="5">
        <v>7.0000002160668373E-3</v>
      </c>
      <c r="AY154" s="5">
        <v>0.7669999999999999</v>
      </c>
      <c r="AZ154" s="5">
        <v>0.7829999999999997</v>
      </c>
      <c r="BA154" s="5">
        <v>0.88200000000000056</v>
      </c>
      <c r="BB154" s="5">
        <v>0.93299999999999972</v>
      </c>
      <c r="BD154" s="5">
        <v>0.6340000331401825</v>
      </c>
      <c r="BE154" s="5">
        <v>0.38399994373321533</v>
      </c>
      <c r="BF154" s="5">
        <v>0.81599974632263184</v>
      </c>
      <c r="BG154" s="5">
        <v>0.81600004434585571</v>
      </c>
      <c r="BI154" s="5">
        <v>2</v>
      </c>
      <c r="BJ154" s="5">
        <v>1</v>
      </c>
      <c r="BK154" s="5">
        <v>2</v>
      </c>
      <c r="BL154" s="5">
        <v>3</v>
      </c>
      <c r="BN154" s="5">
        <v>4</v>
      </c>
      <c r="BO154" s="5">
        <v>3</v>
      </c>
      <c r="BP154" s="5">
        <v>3</v>
      </c>
      <c r="BQ154" s="5">
        <v>3</v>
      </c>
      <c r="BS154" s="5">
        <v>0.43799999356269836</v>
      </c>
      <c r="BT154" s="5">
        <v>1.6080000400543213</v>
      </c>
      <c r="BU154" s="5">
        <v>2.8090000152587891</v>
      </c>
      <c r="BV154" s="5">
        <v>0.75700002908706665</v>
      </c>
      <c r="BX154" s="5">
        <v>0.74900000000000044</v>
      </c>
      <c r="BY154" s="5">
        <v>0.41699999999999982</v>
      </c>
      <c r="BZ154" s="5">
        <v>0.40100000000000025</v>
      </c>
      <c r="CA154" s="5">
        <v>0.96699999999999964</v>
      </c>
      <c r="CC154" s="5">
        <v>0.89999979734420776</v>
      </c>
      <c r="CD154" s="5">
        <v>0.49900007247924805</v>
      </c>
      <c r="CE154" s="5">
        <v>0.38300013542175293</v>
      </c>
      <c r="CF154" s="5">
        <v>1.1999999573454261</v>
      </c>
      <c r="CH154" s="5">
        <v>2</v>
      </c>
      <c r="CI154" s="5">
        <v>2</v>
      </c>
      <c r="CJ154" s="5">
        <v>2</v>
      </c>
      <c r="CK154" s="5">
        <v>3</v>
      </c>
      <c r="CM154" s="5">
        <v>2</v>
      </c>
      <c r="CN154" s="5">
        <v>2</v>
      </c>
      <c r="CO154" s="5">
        <v>2</v>
      </c>
      <c r="CP154" s="5">
        <v>3</v>
      </c>
      <c r="CR154" s="5">
        <v>0.93800002336502075</v>
      </c>
      <c r="CS154" s="5">
        <v>2.2920000553131104</v>
      </c>
      <c r="CT154" s="5">
        <v>0.87699997425079346</v>
      </c>
      <c r="CU154" s="5">
        <v>7.0000002160668373E-3</v>
      </c>
    </row>
    <row r="155" spans="1:99" s="5" customFormat="1" x14ac:dyDescent="0.35">
      <c r="A155" s="4" t="s">
        <v>123</v>
      </c>
      <c r="B155" s="4">
        <v>10.25</v>
      </c>
      <c r="C155" s="4" t="s">
        <v>167</v>
      </c>
      <c r="D155" s="4" t="s">
        <v>404</v>
      </c>
      <c r="E155" s="3"/>
      <c r="F155" s="5">
        <v>3.2450000000000001</v>
      </c>
      <c r="G155" s="5" t="e">
        <v>#N/A</v>
      </c>
      <c r="H155" s="5" t="e">
        <v>#N/A</v>
      </c>
      <c r="I155" s="5">
        <v>4.0149999999999997</v>
      </c>
      <c r="K155" s="5">
        <v>3.016</v>
      </c>
      <c r="L155" s="5">
        <v>2.016</v>
      </c>
      <c r="M155" s="5">
        <v>1.9670000000000001</v>
      </c>
      <c r="N155" s="5">
        <v>3.665</v>
      </c>
      <c r="P155" s="5">
        <v>2.6690000593662262</v>
      </c>
      <c r="Q155" s="5">
        <v>1.7659999281167984</v>
      </c>
      <c r="R155" s="5">
        <v>1.683000236749649</v>
      </c>
      <c r="S155" s="5">
        <v>3.2520002722740173</v>
      </c>
      <c r="U155" s="5">
        <v>10</v>
      </c>
      <c r="V155" s="5">
        <v>3</v>
      </c>
      <c r="W155" s="5">
        <v>6</v>
      </c>
      <c r="X155" s="5">
        <v>16</v>
      </c>
      <c r="Z155" s="5">
        <v>3.016</v>
      </c>
      <c r="AA155" s="5">
        <v>1.9319999999999999</v>
      </c>
      <c r="AB155" s="5">
        <v>1.4340000000000002</v>
      </c>
      <c r="AC155" s="5">
        <v>3.665</v>
      </c>
      <c r="AE155" s="5">
        <v>2.6690000593662262</v>
      </c>
      <c r="AF155" s="5">
        <v>1.7659999281167984</v>
      </c>
      <c r="AG155" s="5">
        <v>1.2330001890659332</v>
      </c>
      <c r="AH155" s="5">
        <v>3.2520002722740173</v>
      </c>
      <c r="AJ155" s="5">
        <v>10</v>
      </c>
      <c r="AK155" s="5">
        <v>3</v>
      </c>
      <c r="AL155" s="5">
        <v>5</v>
      </c>
      <c r="AM155" s="5">
        <v>16</v>
      </c>
      <c r="AO155" s="5">
        <v>2</v>
      </c>
      <c r="AP155" s="5">
        <v>2</v>
      </c>
      <c r="AQ155" s="5">
        <v>3</v>
      </c>
      <c r="AR155" s="5">
        <v>1</v>
      </c>
      <c r="AT155" s="5">
        <v>0.29600000381469727</v>
      </c>
      <c r="AU155" s="5">
        <v>0.22100000083446503</v>
      </c>
      <c r="AV155" s="5">
        <v>0.37700000405311584</v>
      </c>
      <c r="AW155" s="5">
        <v>0.35600000619888306</v>
      </c>
      <c r="AY155" s="5">
        <v>1.8159999999999998</v>
      </c>
      <c r="AZ155" s="5">
        <v>1.7989999999999999</v>
      </c>
      <c r="BA155" s="5">
        <v>1.1000000000000003</v>
      </c>
      <c r="BB155" s="5">
        <v>1.3979999999999997</v>
      </c>
      <c r="BD155" s="5">
        <v>1.5840000212192535</v>
      </c>
      <c r="BE155" s="5">
        <v>1.7659999281167984</v>
      </c>
      <c r="BF155" s="5">
        <v>1.0830000936985016</v>
      </c>
      <c r="BG155" s="5">
        <v>1.2329999208450317</v>
      </c>
      <c r="BI155" s="5">
        <v>3</v>
      </c>
      <c r="BJ155" s="5">
        <v>3</v>
      </c>
      <c r="BK155" s="5">
        <v>4</v>
      </c>
      <c r="BL155" s="5">
        <v>5</v>
      </c>
      <c r="BN155" s="5">
        <v>3</v>
      </c>
      <c r="BO155" s="5">
        <v>1</v>
      </c>
      <c r="BP155" s="5">
        <v>2</v>
      </c>
      <c r="BQ155" s="5">
        <v>4</v>
      </c>
      <c r="BS155" s="5">
        <v>0.42899999022483826</v>
      </c>
      <c r="BT155" s="5">
        <v>0.22100000083446503</v>
      </c>
      <c r="BU155" s="5">
        <v>0.37700000405311584</v>
      </c>
      <c r="BV155" s="5">
        <v>0.63999998569488525</v>
      </c>
      <c r="BX155" s="5">
        <v>0</v>
      </c>
      <c r="BY155" s="5">
        <v>0</v>
      </c>
      <c r="BZ155" s="5">
        <v>0</v>
      </c>
      <c r="CA155" s="5">
        <v>0</v>
      </c>
      <c r="CC155" s="5">
        <v>0</v>
      </c>
      <c r="CD155" s="5">
        <v>0</v>
      </c>
      <c r="CE155" s="5">
        <v>0</v>
      </c>
      <c r="CF155" s="5">
        <v>0</v>
      </c>
      <c r="CH155" s="5">
        <v>0</v>
      </c>
      <c r="CI155" s="5">
        <v>0</v>
      </c>
      <c r="CJ155" s="5">
        <v>0</v>
      </c>
      <c r="CK155" s="5">
        <v>0</v>
      </c>
      <c r="CM155" s="5">
        <v>3</v>
      </c>
      <c r="CN155" s="5">
        <v>0</v>
      </c>
      <c r="CO155" s="5">
        <v>1</v>
      </c>
      <c r="CP155" s="5">
        <v>0</v>
      </c>
      <c r="CR155" s="5">
        <v>4.0110000000000001</v>
      </c>
      <c r="CS155" s="5">
        <v>4.0149999999999997</v>
      </c>
      <c r="CT155" s="5">
        <v>4.016</v>
      </c>
      <c r="CU155" s="5">
        <v>4.0149999999999997</v>
      </c>
    </row>
    <row r="156" spans="1:99" s="5" customFormat="1" x14ac:dyDescent="0.35">
      <c r="A156" s="4" t="s">
        <v>111</v>
      </c>
      <c r="B156" s="4">
        <v>10.416666666666666</v>
      </c>
      <c r="C156" s="4" t="s">
        <v>168</v>
      </c>
      <c r="D156" s="4" t="s">
        <v>404</v>
      </c>
      <c r="E156" s="3"/>
      <c r="F156" s="11" t="e">
        <v>#N/A</v>
      </c>
      <c r="G156" s="11" t="e">
        <v>#N/A</v>
      </c>
      <c r="H156" s="5" t="e">
        <v>#N/A</v>
      </c>
      <c r="I156" s="11" t="e">
        <v>#N/A</v>
      </c>
      <c r="K156" s="11" t="e">
        <v>#N/A</v>
      </c>
      <c r="L156" s="11" t="e">
        <v>#N/A</v>
      </c>
      <c r="M156" s="11" t="e">
        <v>#N/A</v>
      </c>
      <c r="N156" s="11" t="e">
        <v>#N/A</v>
      </c>
      <c r="P156" s="11" t="e">
        <v>#N/A</v>
      </c>
      <c r="Q156" s="11" t="e">
        <v>#N/A</v>
      </c>
      <c r="R156" s="11" t="e">
        <v>#N/A</v>
      </c>
      <c r="S156" s="11" t="e">
        <v>#N/A</v>
      </c>
      <c r="U156" s="11" t="e">
        <v>#N/A</v>
      </c>
      <c r="V156" s="11" t="e">
        <v>#N/A</v>
      </c>
      <c r="W156" s="11" t="e">
        <v>#N/A</v>
      </c>
      <c r="X156" s="11" t="e">
        <v>#N/A</v>
      </c>
      <c r="Z156" s="11" t="e">
        <v>#N/A</v>
      </c>
      <c r="AA156" s="11" t="e">
        <v>#N/A</v>
      </c>
      <c r="AB156" s="11" t="e">
        <v>#N/A</v>
      </c>
      <c r="AC156" s="11" t="e">
        <v>#N/A</v>
      </c>
      <c r="AE156" s="11" t="e">
        <v>#N/A</v>
      </c>
      <c r="AF156" s="11" t="e">
        <v>#N/A</v>
      </c>
      <c r="AG156" s="11" t="e">
        <v>#N/A</v>
      </c>
      <c r="AH156" s="11" t="e">
        <v>#N/A</v>
      </c>
      <c r="AJ156" s="11" t="e">
        <v>#N/A</v>
      </c>
      <c r="AK156" s="11" t="e">
        <v>#N/A</v>
      </c>
      <c r="AL156" s="11" t="e">
        <v>#N/A</v>
      </c>
      <c r="AM156" s="11" t="e">
        <v>#N/A</v>
      </c>
      <c r="AO156" s="11" t="e">
        <v>#N/A</v>
      </c>
      <c r="AP156" s="11" t="e">
        <v>#N/A</v>
      </c>
      <c r="AQ156" s="11" t="e">
        <v>#N/A</v>
      </c>
      <c r="AR156" s="11" t="e">
        <v>#N/A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Y156" s="11" t="e">
        <v>#N/A</v>
      </c>
      <c r="AZ156" s="11" t="e">
        <v>#N/A</v>
      </c>
      <c r="BA156" s="11" t="e">
        <v>#N/A</v>
      </c>
      <c r="BB156" s="11" t="e">
        <v>#N/A</v>
      </c>
      <c r="BD156" s="11" t="e">
        <v>#N/A</v>
      </c>
      <c r="BE156" s="11" t="e">
        <v>#N/A</v>
      </c>
      <c r="BF156" s="11" t="e">
        <v>#N/A</v>
      </c>
      <c r="BG156" s="11" t="e">
        <v>#N/A</v>
      </c>
      <c r="BI156" s="11" t="e">
        <v>#N/A</v>
      </c>
      <c r="BJ156" s="11" t="e">
        <v>#N/A</v>
      </c>
      <c r="BK156" s="11" t="e">
        <v>#N/A</v>
      </c>
      <c r="BL156" s="11" t="e">
        <v>#N/A</v>
      </c>
      <c r="BN156" s="11" t="e">
        <v>#N/A</v>
      </c>
      <c r="BO156" s="11" t="e">
        <v>#N/A</v>
      </c>
      <c r="BP156" s="11" t="e">
        <v>#N/A</v>
      </c>
      <c r="BQ156" s="11" t="e">
        <v>#N/A</v>
      </c>
      <c r="BS156" s="11" t="e">
        <v>#N/A</v>
      </c>
      <c r="BT156" s="11" t="e">
        <v>#N/A</v>
      </c>
      <c r="BU156" s="11" t="e">
        <v>#N/A</v>
      </c>
      <c r="BV156" s="11" t="e">
        <v>#N/A</v>
      </c>
      <c r="BX156" s="11" t="e">
        <v>#N/A</v>
      </c>
      <c r="BY156" s="11" t="e">
        <v>#N/A</v>
      </c>
      <c r="BZ156" s="11" t="e">
        <v>#N/A</v>
      </c>
      <c r="CA156" s="11" t="e">
        <v>#N/A</v>
      </c>
      <c r="CC156" s="11" t="e">
        <v>#N/A</v>
      </c>
      <c r="CD156" s="11" t="e">
        <v>#N/A</v>
      </c>
      <c r="CE156" s="11" t="e">
        <v>#N/A</v>
      </c>
      <c r="CF156" s="11" t="e">
        <v>#N/A</v>
      </c>
      <c r="CH156" s="11" t="e">
        <v>#N/A</v>
      </c>
      <c r="CI156" s="11" t="e">
        <v>#N/A</v>
      </c>
      <c r="CJ156" s="11" t="e">
        <v>#N/A</v>
      </c>
      <c r="CK156" s="11" t="e">
        <v>#N/A</v>
      </c>
      <c r="CM156" s="11" t="e">
        <v>#N/A</v>
      </c>
      <c r="CN156" s="11" t="e">
        <v>#N/A</v>
      </c>
      <c r="CO156" s="11" t="e">
        <v>#N/A</v>
      </c>
      <c r="CP156" s="11" t="e">
        <v>#N/A</v>
      </c>
      <c r="CR156" s="11" t="e">
        <v>#N/A</v>
      </c>
      <c r="CS156" s="11" t="e">
        <v>#N/A</v>
      </c>
      <c r="CT156" s="11" t="e">
        <v>#N/A</v>
      </c>
      <c r="CU156" s="11" t="e">
        <v>#N/A</v>
      </c>
    </row>
    <row r="157" spans="1:99" s="5" customFormat="1" x14ac:dyDescent="0.35">
      <c r="A157" s="4" t="s">
        <v>132</v>
      </c>
      <c r="B157" s="4">
        <v>10.666666666666666</v>
      </c>
      <c r="C157" s="4" t="s">
        <v>168</v>
      </c>
      <c r="D157" s="4" t="s">
        <v>404</v>
      </c>
      <c r="E157" s="3"/>
      <c r="F157" s="5">
        <v>4.01</v>
      </c>
      <c r="G157" s="5">
        <v>3.0770000000000004</v>
      </c>
      <c r="H157" s="5">
        <v>4.0469999999999997</v>
      </c>
      <c r="I157" s="5" t="e">
        <v>#N/A</v>
      </c>
      <c r="K157" s="5">
        <v>3.766</v>
      </c>
      <c r="L157" s="5">
        <v>2.4820000000000002</v>
      </c>
      <c r="M157" s="5">
        <v>4.032</v>
      </c>
      <c r="N157" s="11" t="e">
        <v>#N/A</v>
      </c>
      <c r="P157" s="5">
        <v>3.2330000419169664</v>
      </c>
      <c r="Q157" s="5">
        <v>1.9490000307559967</v>
      </c>
      <c r="R157" s="5">
        <v>3.3980003371834755</v>
      </c>
      <c r="S157" s="11" t="e">
        <v>#N/A</v>
      </c>
      <c r="U157" s="5">
        <v>8</v>
      </c>
      <c r="V157" s="5">
        <v>4</v>
      </c>
      <c r="W157" s="5">
        <v>4</v>
      </c>
      <c r="X157" s="11" t="e">
        <v>#N/A</v>
      </c>
      <c r="Z157" s="5">
        <v>0.78400000000000025</v>
      </c>
      <c r="AA157" s="5">
        <v>2.2160000000000002</v>
      </c>
      <c r="AB157" s="5">
        <v>3.3820000000000001</v>
      </c>
      <c r="AC157" s="11" t="e">
        <v>#N/A</v>
      </c>
      <c r="AE157" s="5">
        <v>0.95000004768371582</v>
      </c>
      <c r="AF157" s="5">
        <v>1.9490000307559967</v>
      </c>
      <c r="AG157" s="5">
        <v>3.3980003371834755</v>
      </c>
      <c r="AH157" s="11" t="e">
        <v>#N/A</v>
      </c>
      <c r="AJ157" s="5">
        <v>3</v>
      </c>
      <c r="AK157" s="5">
        <v>4</v>
      </c>
      <c r="AL157" s="5">
        <v>4</v>
      </c>
      <c r="AM157" s="11" t="e">
        <v>#N/A</v>
      </c>
      <c r="AO157" s="5">
        <v>2</v>
      </c>
      <c r="AP157" s="5">
        <v>4</v>
      </c>
      <c r="AQ157" s="5">
        <v>4</v>
      </c>
      <c r="AR157" s="11" t="e">
        <v>#N/A</v>
      </c>
      <c r="AT157" s="5">
        <v>2.0150001049041748</v>
      </c>
      <c r="AU157" s="5">
        <v>0.32699999213218689</v>
      </c>
      <c r="AV157" s="5">
        <v>1.0999999940395355E-2</v>
      </c>
      <c r="AW157" s="11" t="e">
        <v>#N/A</v>
      </c>
      <c r="AY157" s="5">
        <v>0</v>
      </c>
      <c r="AZ157" s="5">
        <v>0</v>
      </c>
      <c r="BA157" s="5">
        <v>0</v>
      </c>
      <c r="BB157" s="11" t="e">
        <v>#N/A</v>
      </c>
      <c r="BD157" s="5">
        <v>0</v>
      </c>
      <c r="BE157" s="5">
        <v>0</v>
      </c>
      <c r="BF157" s="5">
        <v>0</v>
      </c>
      <c r="BG157" s="11" t="e">
        <v>#N/A</v>
      </c>
      <c r="BI157" s="5">
        <v>0</v>
      </c>
      <c r="BJ157" s="5">
        <v>0</v>
      </c>
      <c r="BK157" s="5">
        <v>0</v>
      </c>
      <c r="BL157" s="11" t="e">
        <v>#N/A</v>
      </c>
      <c r="BN157" s="5">
        <v>0</v>
      </c>
      <c r="BO157" s="5">
        <v>0</v>
      </c>
      <c r="BP157" s="5">
        <v>0</v>
      </c>
      <c r="BQ157" s="11" t="e">
        <v>#N/A</v>
      </c>
      <c r="BS157" s="5">
        <v>4.01</v>
      </c>
      <c r="BT157" s="5">
        <v>4.0270000000000001</v>
      </c>
      <c r="BU157" s="5">
        <v>4.0469999999999997</v>
      </c>
      <c r="BV157" s="11" t="e">
        <v>#N/A</v>
      </c>
      <c r="BX157" s="5">
        <v>0</v>
      </c>
      <c r="BY157" s="5">
        <v>0</v>
      </c>
      <c r="BZ157" s="5">
        <v>0</v>
      </c>
      <c r="CA157" s="11" t="e">
        <v>#N/A</v>
      </c>
      <c r="CC157" s="5">
        <v>0</v>
      </c>
      <c r="CD157" s="5">
        <v>0</v>
      </c>
      <c r="CE157" s="5">
        <v>0</v>
      </c>
      <c r="CF157" s="11" t="e">
        <v>#N/A</v>
      </c>
      <c r="CH157" s="5">
        <v>0</v>
      </c>
      <c r="CI157" s="5">
        <v>0</v>
      </c>
      <c r="CJ157" s="5">
        <v>0</v>
      </c>
      <c r="CK157" s="11" t="e">
        <v>#N/A</v>
      </c>
      <c r="CM157" s="5">
        <v>0</v>
      </c>
      <c r="CN157" s="5">
        <v>2</v>
      </c>
      <c r="CO157" s="5">
        <v>0</v>
      </c>
      <c r="CP157" s="11" t="e">
        <v>#N/A</v>
      </c>
      <c r="CR157" s="5">
        <v>4.01</v>
      </c>
      <c r="CS157" s="5">
        <v>4.0270000000000001</v>
      </c>
      <c r="CT157" s="5">
        <v>4.0469999999999997</v>
      </c>
      <c r="CU157" s="11" t="e">
        <v>#N/A</v>
      </c>
    </row>
    <row r="158" spans="1:99" s="5" customFormat="1" x14ac:dyDescent="0.35">
      <c r="A158" s="4" t="s">
        <v>137</v>
      </c>
      <c r="B158" s="4">
        <v>10.75</v>
      </c>
      <c r="C158" s="4" t="s">
        <v>168</v>
      </c>
      <c r="D158" s="4" t="s">
        <v>404</v>
      </c>
      <c r="E158" s="3"/>
      <c r="F158" s="5">
        <v>4.016</v>
      </c>
      <c r="G158" s="5">
        <v>4.01</v>
      </c>
      <c r="H158" s="5" t="e">
        <v>#N/A</v>
      </c>
      <c r="I158" s="5">
        <v>4.0149999999999997</v>
      </c>
      <c r="K158" s="5">
        <v>3.9970000000000003</v>
      </c>
      <c r="L158" s="5">
        <v>3.8159999999999998</v>
      </c>
      <c r="M158" s="11" t="e">
        <v>#N/A</v>
      </c>
      <c r="N158" s="5">
        <v>3.9989999999999997</v>
      </c>
      <c r="P158" s="5">
        <v>3.8649994553998113</v>
      </c>
      <c r="Q158" s="5">
        <v>2.5319998934864998</v>
      </c>
      <c r="R158" s="11" t="e">
        <v>#N/A</v>
      </c>
      <c r="S158" s="5">
        <v>3.0179999126121402</v>
      </c>
      <c r="U158" s="5">
        <v>8</v>
      </c>
      <c r="V158" s="5">
        <v>8</v>
      </c>
      <c r="W158" s="11" t="e">
        <v>#N/A</v>
      </c>
      <c r="X158" s="5">
        <v>10</v>
      </c>
      <c r="Z158" s="5">
        <v>3.9970000000000003</v>
      </c>
      <c r="AA158" s="5">
        <v>3.5330000000000004</v>
      </c>
      <c r="AB158" s="11" t="e">
        <v>#N/A</v>
      </c>
      <c r="AC158" s="5">
        <v>3.9659999999999997</v>
      </c>
      <c r="AE158" s="5">
        <v>3.8649994553998113</v>
      </c>
      <c r="AF158" s="5">
        <v>2.5319998934864998</v>
      </c>
      <c r="AG158" s="11" t="e">
        <v>#N/A</v>
      </c>
      <c r="AH158" s="5">
        <v>3.0179999126121402</v>
      </c>
      <c r="AJ158" s="5">
        <v>8</v>
      </c>
      <c r="AK158" s="5">
        <v>8</v>
      </c>
      <c r="AL158" s="11" t="e">
        <v>#N/A</v>
      </c>
      <c r="AM158" s="5">
        <v>10</v>
      </c>
      <c r="AO158" s="5">
        <v>1</v>
      </c>
      <c r="AP158" s="5">
        <v>2</v>
      </c>
      <c r="AQ158" s="11" t="e">
        <v>#N/A</v>
      </c>
      <c r="AR158" s="5">
        <v>2</v>
      </c>
      <c r="AT158" s="5">
        <v>6.0000000521540642E-3</v>
      </c>
      <c r="AU158" s="5">
        <v>1.0999999940395355E-2</v>
      </c>
      <c r="AV158" s="11" t="e">
        <v>#N/A</v>
      </c>
      <c r="AW158" s="5">
        <v>4.999999888241291E-3</v>
      </c>
      <c r="AY158" s="5">
        <v>2.782</v>
      </c>
      <c r="AZ158" s="5">
        <v>1.016</v>
      </c>
      <c r="BA158" s="11" t="e">
        <v>#N/A</v>
      </c>
      <c r="BB158" s="5">
        <v>1.9839999999999991</v>
      </c>
      <c r="BD158" s="5">
        <v>2.9319993676617742</v>
      </c>
      <c r="BE158" s="5">
        <v>1.4000000432133675</v>
      </c>
      <c r="BF158" s="11" t="e">
        <v>#N/A</v>
      </c>
      <c r="BG158" s="5">
        <v>1.950999915599823</v>
      </c>
      <c r="BI158" s="5">
        <v>5</v>
      </c>
      <c r="BJ158" s="5">
        <v>2</v>
      </c>
      <c r="BK158" s="11" t="e">
        <v>#N/A</v>
      </c>
      <c r="BL158" s="5">
        <v>7</v>
      </c>
      <c r="BN158" s="5">
        <v>4</v>
      </c>
      <c r="BO158" s="5">
        <v>2</v>
      </c>
      <c r="BP158" s="11" t="e">
        <v>#N/A</v>
      </c>
      <c r="BQ158" s="5">
        <v>4</v>
      </c>
      <c r="BS158" s="5">
        <v>6.0000000521540642E-3</v>
      </c>
      <c r="BT158" s="5">
        <v>1.0999999940395355E-2</v>
      </c>
      <c r="BU158" s="11" t="e">
        <v>#N/A</v>
      </c>
      <c r="BV158" s="5">
        <v>0.67100000381469727</v>
      </c>
      <c r="BX158" s="5">
        <v>0.11699999999999999</v>
      </c>
      <c r="BY158" s="5">
        <v>0</v>
      </c>
      <c r="BZ158" s="11" t="e">
        <v>#N/A</v>
      </c>
      <c r="CA158" s="5">
        <v>0</v>
      </c>
      <c r="CC158" s="5">
        <v>0</v>
      </c>
      <c r="CD158" s="5">
        <v>0</v>
      </c>
      <c r="CE158" s="11" t="e">
        <v>#N/A</v>
      </c>
      <c r="CF158" s="5">
        <v>0</v>
      </c>
      <c r="CH158" s="5">
        <v>0</v>
      </c>
      <c r="CI158" s="5">
        <v>0</v>
      </c>
      <c r="CJ158" s="11" t="e">
        <v>#N/A</v>
      </c>
      <c r="CK158" s="5">
        <v>0</v>
      </c>
      <c r="CM158" s="5">
        <v>2</v>
      </c>
      <c r="CN158" s="5">
        <v>1</v>
      </c>
      <c r="CO158" s="11" t="e">
        <v>#N/A</v>
      </c>
      <c r="CP158" s="5">
        <v>1</v>
      </c>
      <c r="CR158" s="5">
        <v>4.016</v>
      </c>
      <c r="CS158" s="5">
        <v>4.01</v>
      </c>
      <c r="CT158" s="11" t="e">
        <v>#N/A</v>
      </c>
      <c r="CU158" s="5">
        <v>4.0149999999999997</v>
      </c>
    </row>
    <row r="159" spans="1:99" s="5" customFormat="1" x14ac:dyDescent="0.35">
      <c r="A159" s="4" t="s">
        <v>149</v>
      </c>
      <c r="B159" s="4">
        <v>11.166666666666666</v>
      </c>
      <c r="C159" s="4" t="s">
        <v>168</v>
      </c>
      <c r="D159" s="4" t="s">
        <v>404</v>
      </c>
      <c r="E159" s="3"/>
      <c r="F159" s="5">
        <v>4.016</v>
      </c>
      <c r="G159" s="5">
        <v>4.016</v>
      </c>
      <c r="H159" s="5">
        <v>4.016</v>
      </c>
      <c r="I159" s="5">
        <v>4.0149999999999997</v>
      </c>
      <c r="K159" s="5">
        <v>3.3660000000000001</v>
      </c>
      <c r="L159" s="5">
        <v>3.9989999999999997</v>
      </c>
      <c r="M159" s="5">
        <v>3.9990000000000001</v>
      </c>
      <c r="N159" s="5">
        <v>4</v>
      </c>
      <c r="P159" s="5">
        <v>3.1149997711181641</v>
      </c>
      <c r="Q159" s="5">
        <v>3.9819999057799578</v>
      </c>
      <c r="R159" s="5">
        <v>3.7160004377365112</v>
      </c>
      <c r="S159" s="5">
        <v>3.7000002544373274</v>
      </c>
      <c r="U159" s="5">
        <v>6</v>
      </c>
      <c r="V159" s="5">
        <v>2</v>
      </c>
      <c r="W159" s="5">
        <v>12</v>
      </c>
      <c r="X159" s="5">
        <v>7</v>
      </c>
      <c r="Z159" s="5">
        <v>0.98299999999999998</v>
      </c>
      <c r="AA159" s="5">
        <v>3.9989999999999997</v>
      </c>
      <c r="AB159" s="5">
        <v>3.5990000000000002</v>
      </c>
      <c r="AC159" s="5">
        <v>3.1840000000000002</v>
      </c>
      <c r="AE159" s="5">
        <v>0.88299989700317383</v>
      </c>
      <c r="AF159" s="5">
        <v>3.9819999057799578</v>
      </c>
      <c r="AG159" s="5">
        <v>3.4160004258155823</v>
      </c>
      <c r="AH159" s="5">
        <v>2.8840002696961164</v>
      </c>
      <c r="AJ159" s="5">
        <v>2</v>
      </c>
      <c r="AK159" s="5">
        <v>2</v>
      </c>
      <c r="AL159" s="5">
        <v>11</v>
      </c>
      <c r="AM159" s="5">
        <v>5</v>
      </c>
      <c r="AO159" s="5">
        <v>2</v>
      </c>
      <c r="AP159" s="5">
        <v>1</v>
      </c>
      <c r="AQ159" s="5">
        <v>1</v>
      </c>
      <c r="AR159" s="5">
        <v>3</v>
      </c>
      <c r="AT159" s="5">
        <v>0.38999998569488525</v>
      </c>
      <c r="AU159" s="5">
        <v>1.6000000759959221E-2</v>
      </c>
      <c r="AV159" s="5">
        <v>0.41699999570846558</v>
      </c>
      <c r="AW159" s="5">
        <v>1.4000000432133675E-2</v>
      </c>
      <c r="AY159" s="5">
        <v>0.16599999999999993</v>
      </c>
      <c r="AZ159" s="5">
        <v>2.032</v>
      </c>
      <c r="BA159" s="5">
        <v>0.8</v>
      </c>
      <c r="BB159" s="5">
        <v>1.1999999999999997</v>
      </c>
      <c r="BD159" s="5">
        <v>0</v>
      </c>
      <c r="BE159" s="5">
        <v>1.432999849319458</v>
      </c>
      <c r="BF159" s="5">
        <v>1</v>
      </c>
      <c r="BG159" s="5">
        <v>1.3840000312775373</v>
      </c>
      <c r="BI159" s="5">
        <v>0</v>
      </c>
      <c r="BJ159" s="5">
        <v>1</v>
      </c>
      <c r="BK159" s="5">
        <v>2</v>
      </c>
      <c r="BL159" s="5">
        <v>2</v>
      </c>
      <c r="BN159" s="5">
        <v>1</v>
      </c>
      <c r="BO159" s="5">
        <v>4</v>
      </c>
      <c r="BP159" s="5">
        <v>2</v>
      </c>
      <c r="BQ159" s="5">
        <v>2</v>
      </c>
      <c r="BS159" s="5">
        <v>4.016</v>
      </c>
      <c r="BT159" s="5">
        <v>2.5820000171661377</v>
      </c>
      <c r="BU159" s="5">
        <v>1.3170000314712524</v>
      </c>
      <c r="BV159" s="5">
        <v>1.4000000432133675E-2</v>
      </c>
      <c r="BX159" s="5">
        <v>0</v>
      </c>
      <c r="BY159" s="5">
        <v>0</v>
      </c>
      <c r="BZ159" s="5">
        <v>0</v>
      </c>
      <c r="CA159" s="5">
        <v>0</v>
      </c>
      <c r="CC159" s="5">
        <v>0</v>
      </c>
      <c r="CD159" s="5">
        <v>0</v>
      </c>
      <c r="CE159" s="5">
        <v>0</v>
      </c>
      <c r="CF159" s="5">
        <v>0</v>
      </c>
      <c r="CH159" s="5">
        <v>0</v>
      </c>
      <c r="CI159" s="5">
        <v>0</v>
      </c>
      <c r="CJ159" s="5">
        <v>0</v>
      </c>
      <c r="CK159" s="5">
        <v>0</v>
      </c>
      <c r="CM159" s="5">
        <v>0</v>
      </c>
      <c r="CN159" s="5">
        <v>0</v>
      </c>
      <c r="CO159" s="5">
        <v>0</v>
      </c>
      <c r="CP159" s="5">
        <v>0</v>
      </c>
      <c r="CR159" s="5">
        <v>4.016</v>
      </c>
      <c r="CS159" s="5">
        <v>4.016</v>
      </c>
      <c r="CT159" s="5">
        <v>4.016</v>
      </c>
      <c r="CU159" s="5">
        <v>4.0149999999999997</v>
      </c>
    </row>
    <row r="160" spans="1:99" s="5" customFormat="1" x14ac:dyDescent="0.35">
      <c r="A160" s="4" t="s">
        <v>125</v>
      </c>
      <c r="B160" s="4">
        <v>11.333333333333334</v>
      </c>
      <c r="C160" s="4" t="s">
        <v>168</v>
      </c>
      <c r="D160" s="4" t="s">
        <v>404</v>
      </c>
      <c r="E160" s="3"/>
      <c r="F160" s="5">
        <v>3.0969999999999995</v>
      </c>
      <c r="G160" s="5">
        <v>4.01</v>
      </c>
      <c r="H160" s="5" t="e">
        <v>#N/A</v>
      </c>
      <c r="I160" s="11" t="e">
        <v>#N/A</v>
      </c>
      <c r="K160" s="5">
        <v>3.0659999999999998</v>
      </c>
      <c r="L160" s="5">
        <v>3.399</v>
      </c>
      <c r="M160" s="5">
        <v>2.4660000000000002</v>
      </c>
      <c r="N160" s="11" t="e">
        <v>#N/A</v>
      </c>
      <c r="P160" s="5">
        <v>1.7660003453493118</v>
      </c>
      <c r="Q160" s="5">
        <v>1.3840000033378601</v>
      </c>
      <c r="R160" s="5">
        <v>1.4159999678377062</v>
      </c>
      <c r="S160" s="11" t="e">
        <v>#N/A</v>
      </c>
      <c r="U160" s="5">
        <v>10</v>
      </c>
      <c r="V160" s="5">
        <v>7</v>
      </c>
      <c r="W160" s="5">
        <v>6</v>
      </c>
      <c r="X160" s="11" t="e">
        <v>#N/A</v>
      </c>
      <c r="Z160" s="5">
        <v>2.0169999999999995</v>
      </c>
      <c r="AA160" s="5">
        <v>1.9830000000000001</v>
      </c>
      <c r="AB160" s="5">
        <v>2.4660000000000002</v>
      </c>
      <c r="AC160" s="11" t="e">
        <v>#N/A</v>
      </c>
      <c r="AE160" s="5">
        <v>1.3330003023147583</v>
      </c>
      <c r="AF160" s="5">
        <v>0.61799997091293335</v>
      </c>
      <c r="AG160" s="5">
        <v>1.4159999678377062</v>
      </c>
      <c r="AH160" s="11" t="e">
        <v>#N/A</v>
      </c>
      <c r="AJ160" s="5">
        <v>8</v>
      </c>
      <c r="AK160" s="5">
        <v>4</v>
      </c>
      <c r="AL160" s="5">
        <v>6</v>
      </c>
      <c r="AM160" s="11" t="e">
        <v>#N/A</v>
      </c>
      <c r="AO160" s="5">
        <v>7</v>
      </c>
      <c r="AP160" s="5">
        <v>3</v>
      </c>
      <c r="AQ160" s="5">
        <v>1</v>
      </c>
      <c r="AR160" s="11" t="e">
        <v>#N/A</v>
      </c>
      <c r="AT160" s="5">
        <v>0.4309999942779541</v>
      </c>
      <c r="AU160" s="5">
        <v>0.18299999833106995</v>
      </c>
      <c r="AV160" s="5">
        <v>2.0000000949949026E-3</v>
      </c>
      <c r="AW160" s="11" t="e">
        <v>#N/A</v>
      </c>
      <c r="AY160" s="5">
        <v>0.48399999999999999</v>
      </c>
      <c r="AZ160" s="5">
        <v>0.11699999999999997</v>
      </c>
      <c r="BA160" s="5">
        <v>0.1659999999999999</v>
      </c>
      <c r="BB160" s="11" t="e">
        <v>#N/A</v>
      </c>
      <c r="BD160" s="5">
        <v>0.40000003576278687</v>
      </c>
      <c r="BE160" s="5">
        <v>0</v>
      </c>
      <c r="BF160" s="5">
        <v>0</v>
      </c>
      <c r="BG160" s="11" t="e">
        <v>#N/A</v>
      </c>
      <c r="BI160" s="5">
        <v>2</v>
      </c>
      <c r="BJ160" s="5">
        <v>0</v>
      </c>
      <c r="BK160" s="5">
        <v>0</v>
      </c>
      <c r="BL160" s="11" t="e">
        <v>#N/A</v>
      </c>
      <c r="BN160" s="5">
        <v>6</v>
      </c>
      <c r="BO160" s="5">
        <v>5</v>
      </c>
      <c r="BP160" s="5">
        <v>7</v>
      </c>
      <c r="BQ160" s="11" t="e">
        <v>#N/A</v>
      </c>
      <c r="BS160" s="5">
        <v>0.6809999942779541</v>
      </c>
      <c r="BT160" s="5">
        <v>4.01</v>
      </c>
      <c r="BU160" s="5">
        <v>4.0110000000000001</v>
      </c>
      <c r="BV160" s="11" t="e">
        <v>#N/A</v>
      </c>
      <c r="BX160" s="5">
        <v>3.2999999999999918E-2</v>
      </c>
      <c r="BY160" s="5">
        <v>0</v>
      </c>
      <c r="BZ160" s="5">
        <v>0.58299999999999985</v>
      </c>
      <c r="CA160" s="11" t="e">
        <v>#N/A</v>
      </c>
      <c r="CC160" s="5">
        <v>0</v>
      </c>
      <c r="CD160" s="5">
        <v>0</v>
      </c>
      <c r="CE160" s="5">
        <v>0.5830000638961792</v>
      </c>
      <c r="CF160" s="11" t="e">
        <v>#N/A</v>
      </c>
      <c r="CH160" s="5">
        <v>0</v>
      </c>
      <c r="CI160" s="5">
        <v>0</v>
      </c>
      <c r="CJ160" s="5">
        <v>3</v>
      </c>
      <c r="CK160" s="11" t="e">
        <v>#N/A</v>
      </c>
      <c r="CM160" s="5">
        <v>1</v>
      </c>
      <c r="CN160" s="5">
        <v>1</v>
      </c>
      <c r="CO160" s="5">
        <v>5</v>
      </c>
      <c r="CP160" s="11" t="e">
        <v>#N/A</v>
      </c>
      <c r="CR160" s="5">
        <v>4.0129999999999999</v>
      </c>
      <c r="CS160" s="5">
        <v>4.01</v>
      </c>
      <c r="CT160" s="5">
        <v>1.2680000066757202</v>
      </c>
      <c r="CU160" s="11" t="e">
        <v>#N/A</v>
      </c>
    </row>
    <row r="161" spans="1:99" s="5" customFormat="1" x14ac:dyDescent="0.35">
      <c r="A161" s="4" t="s">
        <v>102</v>
      </c>
      <c r="B161" s="4">
        <v>11.833333333333334</v>
      </c>
      <c r="C161" s="4" t="s">
        <v>168</v>
      </c>
      <c r="D161" s="4" t="s">
        <v>404</v>
      </c>
      <c r="E161" s="3"/>
      <c r="F161" s="5">
        <v>4.01</v>
      </c>
      <c r="G161" s="11" t="e">
        <v>#N/A</v>
      </c>
      <c r="H161" s="11" t="e">
        <v>#N/A</v>
      </c>
      <c r="I161" s="5" t="e">
        <v>#N/A</v>
      </c>
      <c r="K161" s="5">
        <v>3.6320000000000001</v>
      </c>
      <c r="L161" s="11" t="e">
        <v>#N/A</v>
      </c>
      <c r="M161" s="11" t="e">
        <v>#N/A</v>
      </c>
      <c r="N161" s="11" t="e">
        <v>#N/A</v>
      </c>
      <c r="P161" s="5">
        <v>2.3999998811632395</v>
      </c>
      <c r="Q161" s="11" t="e">
        <v>#N/A</v>
      </c>
      <c r="R161" s="11" t="e">
        <v>#N/A</v>
      </c>
      <c r="S161" s="11" t="e">
        <v>#N/A</v>
      </c>
      <c r="U161" s="5">
        <v>9</v>
      </c>
      <c r="V161" s="11" t="e">
        <v>#N/A</v>
      </c>
      <c r="W161" s="11" t="e">
        <v>#N/A</v>
      </c>
      <c r="X161" s="11" t="e">
        <v>#N/A</v>
      </c>
      <c r="Z161" s="5">
        <v>2.8</v>
      </c>
      <c r="AA161" s="11" t="e">
        <v>#N/A</v>
      </c>
      <c r="AB161" s="11" t="e">
        <v>#N/A</v>
      </c>
      <c r="AC161" s="11" t="e">
        <v>#N/A</v>
      </c>
      <c r="AE161" s="5">
        <v>2.3999998811632395</v>
      </c>
      <c r="AF161" s="11" t="e">
        <v>#N/A</v>
      </c>
      <c r="AG161" s="11" t="e">
        <v>#N/A</v>
      </c>
      <c r="AH161" s="11" t="e">
        <v>#N/A</v>
      </c>
      <c r="AJ161" s="5">
        <v>9</v>
      </c>
      <c r="AK161" s="11" t="e">
        <v>#N/A</v>
      </c>
      <c r="AL161" s="11" t="e">
        <v>#N/A</v>
      </c>
      <c r="AM161" s="11" t="e">
        <v>#N/A</v>
      </c>
      <c r="AO161" s="5">
        <v>2</v>
      </c>
      <c r="AP161" s="11" t="e">
        <v>#N/A</v>
      </c>
      <c r="AQ161" s="11" t="e">
        <v>#N/A</v>
      </c>
      <c r="AR161" s="11" t="e">
        <v>#N/A</v>
      </c>
      <c r="AT161" s="5">
        <v>1.2000000104308128E-2</v>
      </c>
      <c r="AU161" s="11" t="e">
        <v>#N/A</v>
      </c>
      <c r="AV161" s="11" t="e">
        <v>#N/A</v>
      </c>
      <c r="AW161" s="11" t="e">
        <v>#N/A</v>
      </c>
      <c r="AY161" s="5">
        <v>1.1159999999999999</v>
      </c>
      <c r="AZ161" s="11" t="e">
        <v>#N/A</v>
      </c>
      <c r="BA161" s="11" t="e">
        <v>#N/A</v>
      </c>
      <c r="BB161" s="11" t="e">
        <v>#N/A</v>
      </c>
      <c r="BD161" s="5">
        <v>1.150999903678894</v>
      </c>
      <c r="BE161" s="11" t="e">
        <v>#N/A</v>
      </c>
      <c r="BF161" s="11" t="e">
        <v>#N/A</v>
      </c>
      <c r="BG161" s="11" t="e">
        <v>#N/A</v>
      </c>
      <c r="BI161" s="5">
        <v>3</v>
      </c>
      <c r="BJ161" s="11" t="e">
        <v>#N/A</v>
      </c>
      <c r="BK161" s="11" t="e">
        <v>#N/A</v>
      </c>
      <c r="BL161" s="11" t="e">
        <v>#N/A</v>
      </c>
      <c r="BN161" s="5">
        <v>3</v>
      </c>
      <c r="BO161" s="11" t="e">
        <v>#N/A</v>
      </c>
      <c r="BP161" s="11" t="e">
        <v>#N/A</v>
      </c>
      <c r="BQ161" s="11" t="e">
        <v>#N/A</v>
      </c>
      <c r="BS161" s="5">
        <v>1.1779999732971191</v>
      </c>
      <c r="BT161" s="11" t="e">
        <v>#N/A</v>
      </c>
      <c r="BU161" s="11" t="e">
        <v>#N/A</v>
      </c>
      <c r="BV161" s="11" t="e">
        <v>#N/A</v>
      </c>
      <c r="BX161" s="5">
        <v>0.63400000000000001</v>
      </c>
      <c r="BY161" s="11" t="e">
        <v>#N/A</v>
      </c>
      <c r="BZ161" s="11" t="e">
        <v>#N/A</v>
      </c>
      <c r="CA161" s="11" t="e">
        <v>#N/A</v>
      </c>
      <c r="CC161" s="5">
        <v>0.66600003279745579</v>
      </c>
      <c r="CD161" s="11" t="e">
        <v>#N/A</v>
      </c>
      <c r="CE161" s="11" t="e">
        <v>#N/A</v>
      </c>
      <c r="CF161" s="11" t="e">
        <v>#N/A</v>
      </c>
      <c r="CH161" s="5">
        <v>2</v>
      </c>
      <c r="CI161" s="11" t="e">
        <v>#N/A</v>
      </c>
      <c r="CJ161" s="11" t="e">
        <v>#N/A</v>
      </c>
      <c r="CK161" s="11" t="e">
        <v>#N/A</v>
      </c>
      <c r="CM161" s="5">
        <v>2</v>
      </c>
      <c r="CN161" s="11" t="e">
        <v>#N/A</v>
      </c>
      <c r="CO161" s="11" t="e">
        <v>#N/A</v>
      </c>
      <c r="CP161" s="11" t="e">
        <v>#N/A</v>
      </c>
      <c r="CR161" s="5">
        <v>1.2000000104308128E-2</v>
      </c>
      <c r="CS161" s="11" t="e">
        <v>#N/A</v>
      </c>
      <c r="CT161" s="11" t="e">
        <v>#N/A</v>
      </c>
      <c r="CU161" s="11" t="e">
        <v>#N/A</v>
      </c>
    </row>
    <row r="162" spans="1:99" s="5" customFormat="1" x14ac:dyDescent="0.35">
      <c r="A162" s="4" t="s">
        <v>131</v>
      </c>
      <c r="B162" s="4">
        <v>12</v>
      </c>
      <c r="C162" s="4" t="s">
        <v>168</v>
      </c>
      <c r="D162" s="4" t="s">
        <v>404</v>
      </c>
      <c r="E162" s="3"/>
      <c r="F162" s="5">
        <v>4.0019999999999998</v>
      </c>
      <c r="G162" s="5">
        <v>4.0149999999999997</v>
      </c>
      <c r="H162" s="5">
        <v>4.016</v>
      </c>
      <c r="I162" s="5" t="e">
        <v>#N/A</v>
      </c>
      <c r="K162" s="5">
        <v>3.5490000000000004</v>
      </c>
      <c r="L162" s="5">
        <v>3.6319999999999997</v>
      </c>
      <c r="M162" s="5">
        <v>3.3000000000000003</v>
      </c>
      <c r="N162" s="5">
        <v>2.4660000000000002</v>
      </c>
      <c r="P162" s="5">
        <v>3.4139999747276306</v>
      </c>
      <c r="Q162" s="5">
        <v>2.5659998655319214</v>
      </c>
      <c r="R162" s="5">
        <v>2.733000461012125</v>
      </c>
      <c r="S162" s="5">
        <v>1.5330000986577943</v>
      </c>
      <c r="U162" s="5">
        <v>5</v>
      </c>
      <c r="V162" s="5">
        <v>6</v>
      </c>
      <c r="W162" s="5">
        <v>6</v>
      </c>
      <c r="X162" s="5">
        <v>4</v>
      </c>
      <c r="Z162" s="5">
        <v>0</v>
      </c>
      <c r="AA162" s="5">
        <v>4.9999999999999822E-2</v>
      </c>
      <c r="AB162" s="5">
        <v>0.25</v>
      </c>
      <c r="AC162" s="5">
        <v>0.33400000000000002</v>
      </c>
      <c r="AE162" s="5">
        <v>0</v>
      </c>
      <c r="AF162" s="5">
        <v>0</v>
      </c>
      <c r="AG162" s="5">
        <v>0.2500000037252903</v>
      </c>
      <c r="AH162" s="5">
        <v>0.29999999899882823</v>
      </c>
      <c r="AJ162" s="5">
        <v>0</v>
      </c>
      <c r="AK162" s="5">
        <v>0</v>
      </c>
      <c r="AL162" s="5">
        <v>1</v>
      </c>
      <c r="AM162" s="5">
        <v>1</v>
      </c>
      <c r="AO162" s="5">
        <v>0</v>
      </c>
      <c r="AP162" s="5">
        <v>1</v>
      </c>
      <c r="AQ162" s="5">
        <v>1</v>
      </c>
      <c r="AR162" s="5">
        <v>2</v>
      </c>
      <c r="AT162" s="5">
        <v>4.0019999999999998</v>
      </c>
      <c r="AU162" s="5">
        <v>4.0149999999999997</v>
      </c>
      <c r="AV162" s="5">
        <v>8.999999612569809E-3</v>
      </c>
      <c r="AW162" s="5">
        <v>1.0000000474974513E-3</v>
      </c>
      <c r="AY162" s="5">
        <v>0</v>
      </c>
      <c r="AZ162" s="5">
        <v>0</v>
      </c>
      <c r="BA162" s="5">
        <v>0</v>
      </c>
      <c r="BB162" s="5">
        <v>0.3</v>
      </c>
      <c r="BD162" s="5">
        <v>0</v>
      </c>
      <c r="BE162" s="5">
        <v>0</v>
      </c>
      <c r="BF162" s="5">
        <v>0</v>
      </c>
      <c r="BG162" s="5">
        <v>0.29999999899882823</v>
      </c>
      <c r="BI162" s="5">
        <v>0</v>
      </c>
      <c r="BJ162" s="5">
        <v>0</v>
      </c>
      <c r="BK162" s="5">
        <v>0</v>
      </c>
      <c r="BL162" s="5">
        <v>1</v>
      </c>
      <c r="BN162" s="5">
        <v>0</v>
      </c>
      <c r="BO162" s="5">
        <v>0</v>
      </c>
      <c r="BP162" s="5">
        <v>0</v>
      </c>
      <c r="BQ162" s="5">
        <v>1</v>
      </c>
      <c r="BS162" s="5">
        <v>4.0019999999999998</v>
      </c>
      <c r="BT162" s="5">
        <v>4.0149999999999997</v>
      </c>
      <c r="BU162" s="5">
        <v>4.016</v>
      </c>
      <c r="BV162" s="5">
        <v>1.0000000474974513E-3</v>
      </c>
      <c r="BX162" s="5">
        <v>0</v>
      </c>
      <c r="BY162" s="5">
        <v>0</v>
      </c>
      <c r="BZ162" s="5">
        <v>0</v>
      </c>
      <c r="CA162" s="5">
        <v>0</v>
      </c>
      <c r="CC162" s="5">
        <v>0</v>
      </c>
      <c r="CD162" s="5">
        <v>0</v>
      </c>
      <c r="CE162" s="5">
        <v>0</v>
      </c>
      <c r="CF162" s="5">
        <v>0</v>
      </c>
      <c r="CH162" s="5">
        <v>0</v>
      </c>
      <c r="CI162" s="5">
        <v>0</v>
      </c>
      <c r="CJ162" s="5">
        <v>0</v>
      </c>
      <c r="CK162" s="5">
        <v>0</v>
      </c>
      <c r="CM162" s="5">
        <v>0</v>
      </c>
      <c r="CN162" s="5">
        <v>0</v>
      </c>
      <c r="CO162" s="5">
        <v>0</v>
      </c>
      <c r="CP162" s="5">
        <v>0</v>
      </c>
      <c r="CR162" s="5">
        <v>4.0019999999999998</v>
      </c>
      <c r="CS162" s="5">
        <v>4.0149999999999997</v>
      </c>
      <c r="CT162" s="5">
        <v>4.016</v>
      </c>
      <c r="CU162" s="5">
        <v>4.0259999999999998</v>
      </c>
    </row>
    <row r="163" spans="1:99" s="5" customFormat="1" x14ac:dyDescent="0.35">
      <c r="A163" s="4" t="s">
        <v>164</v>
      </c>
      <c r="B163" s="4">
        <v>12</v>
      </c>
      <c r="C163" s="4" t="s">
        <v>168</v>
      </c>
      <c r="D163" s="4" t="s">
        <v>404</v>
      </c>
      <c r="E163" s="3"/>
      <c r="F163" s="5">
        <v>4.0049999999999999</v>
      </c>
      <c r="G163" s="11" t="e">
        <v>#N/A</v>
      </c>
      <c r="H163" s="5">
        <v>4.016</v>
      </c>
      <c r="I163" s="5">
        <v>4.0149999999999997</v>
      </c>
      <c r="K163" s="5">
        <v>3.766</v>
      </c>
      <c r="L163" s="11" t="e">
        <v>#N/A</v>
      </c>
      <c r="M163" s="5">
        <v>3.8330000000000002</v>
      </c>
      <c r="N163" s="5">
        <v>3.9990000000000001</v>
      </c>
      <c r="P163" s="5">
        <v>1.3830001354217529</v>
      </c>
      <c r="Q163" s="11" t="e">
        <v>#N/A</v>
      </c>
      <c r="R163" s="5">
        <v>2.8509996165521443</v>
      </c>
      <c r="S163" s="5">
        <v>3.2650000723078847</v>
      </c>
      <c r="U163" s="5">
        <v>7</v>
      </c>
      <c r="V163" s="11" t="e">
        <v>#N/A</v>
      </c>
      <c r="W163" s="5">
        <v>11</v>
      </c>
      <c r="X163" s="5">
        <v>14</v>
      </c>
      <c r="Z163" s="5">
        <v>2.883</v>
      </c>
      <c r="AA163" s="11" t="e">
        <v>#N/A</v>
      </c>
      <c r="AB163" s="5">
        <v>3.8330000000000002</v>
      </c>
      <c r="AC163" s="5">
        <v>3.9990000000000001</v>
      </c>
      <c r="AE163" s="5">
        <v>1.3830001354217529</v>
      </c>
      <c r="AF163" s="11" t="e">
        <v>#N/A</v>
      </c>
      <c r="AG163" s="5">
        <v>2.8509996165521443</v>
      </c>
      <c r="AH163" s="5">
        <v>3.2650000723078847</v>
      </c>
      <c r="AJ163" s="5">
        <v>7</v>
      </c>
      <c r="AK163" s="11" t="e">
        <v>#N/A</v>
      </c>
      <c r="AL163" s="5">
        <v>11</v>
      </c>
      <c r="AM163" s="5">
        <v>14</v>
      </c>
      <c r="AO163" s="5">
        <v>5</v>
      </c>
      <c r="AP163" s="11" t="e">
        <v>#N/A</v>
      </c>
      <c r="AQ163" s="5">
        <v>1</v>
      </c>
      <c r="AR163" s="5">
        <v>1</v>
      </c>
      <c r="AT163" s="5">
        <v>1.3680000305175781</v>
      </c>
      <c r="AU163" s="11" t="e">
        <v>#N/A</v>
      </c>
      <c r="AV163" s="5">
        <v>4.0000001899898052E-3</v>
      </c>
      <c r="AW163" s="5">
        <v>6.0000000521540642E-3</v>
      </c>
      <c r="AY163" s="5">
        <v>1.016</v>
      </c>
      <c r="AZ163" s="11" t="e">
        <v>#N/A</v>
      </c>
      <c r="BA163" s="5">
        <v>0.50000000000000044</v>
      </c>
      <c r="BB163" s="5">
        <v>4.9999999999999933E-2</v>
      </c>
      <c r="BD163" s="5">
        <v>0.78300023078918457</v>
      </c>
      <c r="BE163" s="11" t="e">
        <v>#N/A</v>
      </c>
      <c r="BF163" s="5">
        <v>0.3670000066049397</v>
      </c>
      <c r="BG163" s="5">
        <v>0</v>
      </c>
      <c r="BI163" s="5">
        <v>4</v>
      </c>
      <c r="BJ163" s="11" t="e">
        <v>#N/A</v>
      </c>
      <c r="BK163" s="5">
        <v>2</v>
      </c>
      <c r="BL163" s="5">
        <v>0</v>
      </c>
      <c r="BN163" s="5">
        <v>12</v>
      </c>
      <c r="BO163" s="11" t="e">
        <v>#N/A</v>
      </c>
      <c r="BP163" s="5">
        <v>5</v>
      </c>
      <c r="BQ163" s="5">
        <v>5</v>
      </c>
      <c r="BS163" s="5">
        <v>2.7339999675750732</v>
      </c>
      <c r="BT163" s="11" t="e">
        <v>#N/A</v>
      </c>
      <c r="BU163" s="5">
        <v>4.0000001899898052E-3</v>
      </c>
      <c r="BV163" s="5">
        <v>4.0149999999999997</v>
      </c>
      <c r="BX163" s="5">
        <v>3.400000000000003E-2</v>
      </c>
      <c r="BY163" s="11" t="e">
        <v>#N/A</v>
      </c>
      <c r="BZ163" s="5">
        <v>0.93300000000000005</v>
      </c>
      <c r="CA163" s="5">
        <v>1.8489999999999998</v>
      </c>
      <c r="CC163" s="5">
        <v>0</v>
      </c>
      <c r="CD163" s="11" t="e">
        <v>#N/A</v>
      </c>
      <c r="CE163" s="5">
        <v>0.98299986124038696</v>
      </c>
      <c r="CF163" s="5">
        <v>1.8840001076459885</v>
      </c>
      <c r="CH163" s="5">
        <v>0</v>
      </c>
      <c r="CI163" s="11" t="e">
        <v>#N/A</v>
      </c>
      <c r="CJ163" s="5">
        <v>4</v>
      </c>
      <c r="CK163" s="5">
        <v>7</v>
      </c>
      <c r="CM163" s="5">
        <v>5</v>
      </c>
      <c r="CN163" s="11" t="e">
        <v>#N/A</v>
      </c>
      <c r="CO163" s="5">
        <v>5</v>
      </c>
      <c r="CP163" s="5">
        <v>17</v>
      </c>
      <c r="CR163" s="5">
        <v>4.0049999999999999</v>
      </c>
      <c r="CS163" s="11" t="e">
        <v>#N/A</v>
      </c>
      <c r="CT163" s="5">
        <v>0.93800002336502075</v>
      </c>
      <c r="CU163" s="5">
        <v>0.17299999296665192</v>
      </c>
    </row>
    <row r="164" spans="1:99" s="5" customFormat="1" x14ac:dyDescent="0.35">
      <c r="A164" s="4" t="s">
        <v>98</v>
      </c>
      <c r="B164" s="4">
        <v>12.5</v>
      </c>
      <c r="C164" s="4" t="s">
        <v>168</v>
      </c>
      <c r="D164" s="4" t="s">
        <v>404</v>
      </c>
      <c r="E164" s="3"/>
      <c r="F164" s="5">
        <v>4.0090000000000003</v>
      </c>
      <c r="G164" s="5" t="e">
        <v>#N/A</v>
      </c>
      <c r="H164" s="5">
        <v>4.008</v>
      </c>
      <c r="I164" s="5">
        <v>4.008</v>
      </c>
      <c r="K164" s="5">
        <v>3.9990000000000006</v>
      </c>
      <c r="L164" s="5">
        <v>2.9160000000000004</v>
      </c>
      <c r="M164" s="5">
        <v>3.7159999999999997</v>
      </c>
      <c r="N164" s="5">
        <v>3.9820000000000002</v>
      </c>
      <c r="P164" s="5">
        <v>3.9989999274257571</v>
      </c>
      <c r="Q164" s="5">
        <v>2.8150000181049109</v>
      </c>
      <c r="R164" s="5">
        <v>3.4830000102519989</v>
      </c>
      <c r="S164" s="5">
        <v>3.9819999579340219</v>
      </c>
      <c r="U164" s="5">
        <v>1</v>
      </c>
      <c r="V164" s="5">
        <v>5</v>
      </c>
      <c r="W164" s="5">
        <v>3</v>
      </c>
      <c r="X164" s="5">
        <v>1</v>
      </c>
      <c r="Z164" s="5">
        <v>3.9990000000000006</v>
      </c>
      <c r="AA164" s="5">
        <v>2.9320000000000004</v>
      </c>
      <c r="AB164" s="5">
        <v>3.7159999999999997</v>
      </c>
      <c r="AC164" s="5">
        <v>3.9820000000000002</v>
      </c>
      <c r="AE164" s="5">
        <v>3.9989999274257571</v>
      </c>
      <c r="AF164" s="5">
        <v>2.8150000181049109</v>
      </c>
      <c r="AG164" s="5">
        <v>3.4830000102519989</v>
      </c>
      <c r="AH164" s="5">
        <v>3.9819999579340219</v>
      </c>
      <c r="AJ164" s="5">
        <v>1</v>
      </c>
      <c r="AK164" s="5">
        <v>5</v>
      </c>
      <c r="AL164" s="5">
        <v>3</v>
      </c>
      <c r="AM164" s="5">
        <v>1</v>
      </c>
      <c r="AO164" s="5">
        <v>1</v>
      </c>
      <c r="AP164" s="5">
        <v>1</v>
      </c>
      <c r="AQ164" s="5">
        <v>1</v>
      </c>
      <c r="AR164" s="5">
        <v>1</v>
      </c>
      <c r="AT164" s="5">
        <v>2.0000000949949026E-3</v>
      </c>
      <c r="AU164" s="5">
        <v>9.9999997764825821E-3</v>
      </c>
      <c r="AV164" s="5">
        <v>0.31000000238418579</v>
      </c>
      <c r="AW164" s="5">
        <v>1.2000000104308128E-2</v>
      </c>
      <c r="AY164" s="5">
        <v>6.700000000000006E-2</v>
      </c>
      <c r="AZ164" s="5">
        <v>2.282</v>
      </c>
      <c r="BA164" s="5">
        <v>2.6500000000000004</v>
      </c>
      <c r="BB164" s="5">
        <v>3.9820000000000002</v>
      </c>
      <c r="BD164" s="5">
        <v>0</v>
      </c>
      <c r="BE164" s="5">
        <v>2.6650001611560583</v>
      </c>
      <c r="BF164" s="5">
        <v>2.25</v>
      </c>
      <c r="BG164" s="5">
        <v>3.9819999579340219</v>
      </c>
      <c r="BI164" s="5">
        <v>0</v>
      </c>
      <c r="BJ164" s="5">
        <v>4</v>
      </c>
      <c r="BK164" s="5">
        <v>2</v>
      </c>
      <c r="BL164" s="5">
        <v>1</v>
      </c>
      <c r="BN164" s="5">
        <v>1</v>
      </c>
      <c r="BO164" s="5">
        <v>2</v>
      </c>
      <c r="BP164" s="5">
        <v>3</v>
      </c>
      <c r="BQ164" s="5">
        <v>1</v>
      </c>
      <c r="BS164" s="5">
        <v>4.0090000000000003</v>
      </c>
      <c r="BT164" s="5">
        <v>9.9999997764825821E-3</v>
      </c>
      <c r="BU164" s="5">
        <v>0.31000000238418579</v>
      </c>
      <c r="BV164" s="5">
        <v>1.2000000104308128E-2</v>
      </c>
      <c r="BX164" s="5">
        <v>0</v>
      </c>
      <c r="BY164" s="5">
        <v>0</v>
      </c>
      <c r="BZ164" s="5">
        <v>0</v>
      </c>
      <c r="CA164" s="5">
        <v>0</v>
      </c>
      <c r="CC164" s="5">
        <v>0</v>
      </c>
      <c r="CD164" s="5">
        <v>0</v>
      </c>
      <c r="CE164" s="5">
        <v>0</v>
      </c>
      <c r="CF164" s="5">
        <v>0</v>
      </c>
      <c r="CH164" s="5">
        <v>0</v>
      </c>
      <c r="CI164" s="5">
        <v>0</v>
      </c>
      <c r="CJ164" s="5">
        <v>0</v>
      </c>
      <c r="CK164" s="5">
        <v>0</v>
      </c>
      <c r="CM164" s="5">
        <v>0</v>
      </c>
      <c r="CN164" s="5">
        <v>0</v>
      </c>
      <c r="CO164" s="5">
        <v>1</v>
      </c>
      <c r="CP164" s="5">
        <v>0</v>
      </c>
      <c r="CR164" s="5">
        <v>4.0090000000000003</v>
      </c>
      <c r="CS164" s="5">
        <v>4.024</v>
      </c>
      <c r="CT164" s="5">
        <v>4.008</v>
      </c>
      <c r="CU164" s="5">
        <v>4.008</v>
      </c>
    </row>
    <row r="165" spans="1:99" s="5" customFormat="1" x14ac:dyDescent="0.35">
      <c r="A165" s="4" t="s">
        <v>135</v>
      </c>
      <c r="B165" s="4">
        <v>12.583333333333334</v>
      </c>
      <c r="C165" s="4" t="s">
        <v>168</v>
      </c>
      <c r="D165" s="4" t="s">
        <v>404</v>
      </c>
      <c r="E165" s="3"/>
      <c r="F165" s="5">
        <v>3.1110000000000002</v>
      </c>
      <c r="G165" s="5">
        <v>4.016</v>
      </c>
      <c r="H165" s="11" t="e">
        <v>#N/A</v>
      </c>
      <c r="I165" s="5" t="e">
        <v>#N/A</v>
      </c>
      <c r="K165" s="5">
        <v>3.0490000000000004</v>
      </c>
      <c r="L165" s="5">
        <v>3.4989999999999997</v>
      </c>
      <c r="M165" s="11" t="e">
        <v>#N/A</v>
      </c>
      <c r="N165" s="11" t="e">
        <v>#N/A</v>
      </c>
      <c r="P165" s="5">
        <v>1.831999883055687</v>
      </c>
      <c r="Q165" s="5">
        <v>3.2150002121925354</v>
      </c>
      <c r="R165" s="11" t="e">
        <v>#N/A</v>
      </c>
      <c r="S165" s="11" t="e">
        <v>#N/A</v>
      </c>
      <c r="U165" s="5">
        <v>7</v>
      </c>
      <c r="V165" s="5">
        <v>10</v>
      </c>
      <c r="W165" s="11" t="e">
        <v>#N/A</v>
      </c>
      <c r="X165" s="11" t="e">
        <v>#N/A</v>
      </c>
      <c r="Z165" s="5">
        <v>2.0660000000000007</v>
      </c>
      <c r="AA165" s="5">
        <v>3.4829999999999997</v>
      </c>
      <c r="AB165" s="11" t="e">
        <v>#N/A</v>
      </c>
      <c r="AC165" s="11" t="e">
        <v>#N/A</v>
      </c>
      <c r="AE165" s="5">
        <v>1.831999883055687</v>
      </c>
      <c r="AF165" s="5">
        <v>3.2150002121925354</v>
      </c>
      <c r="AG165" s="11" t="e">
        <v>#N/A</v>
      </c>
      <c r="AH165" s="11" t="e">
        <v>#N/A</v>
      </c>
      <c r="AJ165" s="5">
        <v>7</v>
      </c>
      <c r="AK165" s="5">
        <v>10</v>
      </c>
      <c r="AL165" s="11" t="e">
        <v>#N/A</v>
      </c>
      <c r="AM165" s="11" t="e">
        <v>#N/A</v>
      </c>
      <c r="AO165" s="5">
        <v>3</v>
      </c>
      <c r="AP165" s="5">
        <v>1</v>
      </c>
      <c r="AQ165" s="11" t="e">
        <v>#N/A</v>
      </c>
      <c r="AR165" s="11" t="e">
        <v>#N/A</v>
      </c>
      <c r="AT165" s="5">
        <v>9.4999998807907104E-2</v>
      </c>
      <c r="AU165" s="5">
        <v>0.50199997425079346</v>
      </c>
      <c r="AV165" s="11" t="e">
        <v>#N/A</v>
      </c>
      <c r="AW165" s="11" t="e">
        <v>#N/A</v>
      </c>
      <c r="AY165" s="5">
        <v>0.46599999999999986</v>
      </c>
      <c r="AZ165" s="5">
        <v>1.4490000000000003</v>
      </c>
      <c r="BA165" s="11" t="e">
        <v>#N/A</v>
      </c>
      <c r="BB165" s="11" t="e">
        <v>#N/A</v>
      </c>
      <c r="BD165" s="5">
        <v>0.51599997282028198</v>
      </c>
      <c r="BE165" s="5">
        <v>1.3820002675056458</v>
      </c>
      <c r="BF165" s="11" t="e">
        <v>#N/A</v>
      </c>
      <c r="BG165" s="11" t="e">
        <v>#N/A</v>
      </c>
      <c r="BI165" s="5">
        <v>2</v>
      </c>
      <c r="BJ165" s="5">
        <v>4</v>
      </c>
      <c r="BK165" s="11" t="e">
        <v>#N/A</v>
      </c>
      <c r="BL165" s="11" t="e">
        <v>#N/A</v>
      </c>
      <c r="BN165" s="5">
        <v>4</v>
      </c>
      <c r="BO165" s="5">
        <v>4</v>
      </c>
      <c r="BP165" s="11" t="e">
        <v>#N/A</v>
      </c>
      <c r="BQ165" s="11" t="e">
        <v>#N/A</v>
      </c>
      <c r="BS165" s="5">
        <v>0.67900002002716064</v>
      </c>
      <c r="BT165" s="5">
        <v>0.73600000143051147</v>
      </c>
      <c r="BU165" s="11" t="e">
        <v>#N/A</v>
      </c>
      <c r="BV165" s="11" t="e">
        <v>#N/A</v>
      </c>
      <c r="BX165" s="5">
        <v>0</v>
      </c>
      <c r="BY165" s="5">
        <v>0.36699999999999999</v>
      </c>
      <c r="BZ165" s="11" t="e">
        <v>#N/A</v>
      </c>
      <c r="CA165" s="11" t="e">
        <v>#N/A</v>
      </c>
      <c r="CC165" s="5">
        <v>0</v>
      </c>
      <c r="CD165" s="5">
        <v>0.31699991226196289</v>
      </c>
      <c r="CE165" s="11" t="e">
        <v>#N/A</v>
      </c>
      <c r="CF165" s="11" t="e">
        <v>#N/A</v>
      </c>
      <c r="CH165" s="5">
        <v>0</v>
      </c>
      <c r="CI165" s="5">
        <v>1</v>
      </c>
      <c r="CJ165" s="11" t="e">
        <v>#N/A</v>
      </c>
      <c r="CK165" s="11" t="e">
        <v>#N/A</v>
      </c>
      <c r="CM165" s="5">
        <v>0</v>
      </c>
      <c r="CN165" s="5">
        <v>1</v>
      </c>
      <c r="CO165" s="11" t="e">
        <v>#N/A</v>
      </c>
      <c r="CP165" s="11" t="e">
        <v>#N/A</v>
      </c>
      <c r="CR165" s="5">
        <v>4.0049999999999999</v>
      </c>
      <c r="CS165" s="5">
        <v>3.6349999904632568</v>
      </c>
      <c r="CT165" s="11" t="e">
        <v>#N/A</v>
      </c>
      <c r="CU165" s="11" t="e">
        <v>#N/A</v>
      </c>
    </row>
    <row r="166" spans="1:99" s="5" customFormat="1" x14ac:dyDescent="0.35">
      <c r="A166" s="4" t="s">
        <v>134</v>
      </c>
      <c r="B166" s="4">
        <v>12.666666666666666</v>
      </c>
      <c r="C166" s="4" t="s">
        <v>168</v>
      </c>
      <c r="D166" s="4" t="s">
        <v>404</v>
      </c>
      <c r="E166" s="3"/>
      <c r="F166" s="5">
        <v>4.0110000000000001</v>
      </c>
      <c r="G166" s="5">
        <v>4.016</v>
      </c>
      <c r="H166" s="5">
        <v>4.0069999999999997</v>
      </c>
      <c r="I166" s="5">
        <v>4.0129999999999999</v>
      </c>
      <c r="K166" s="5">
        <v>3.95</v>
      </c>
      <c r="L166" s="5">
        <v>3.9990000000000001</v>
      </c>
      <c r="M166" s="5">
        <v>3.9490000000000003</v>
      </c>
      <c r="N166" s="5">
        <v>3.9990000000000001</v>
      </c>
      <c r="P166" s="5">
        <v>2.3659998774528503</v>
      </c>
      <c r="Q166" s="5">
        <v>2.301000127568841</v>
      </c>
      <c r="R166" s="5">
        <v>2.1319999545812607</v>
      </c>
      <c r="S166" s="5">
        <v>2.081999896094203</v>
      </c>
      <c r="U166" s="5">
        <v>7</v>
      </c>
      <c r="V166" s="5">
        <v>9</v>
      </c>
      <c r="W166" s="5">
        <v>12</v>
      </c>
      <c r="X166" s="5">
        <v>6</v>
      </c>
      <c r="Z166" s="5">
        <v>2.5650000000000004</v>
      </c>
      <c r="AA166" s="5">
        <v>2.5490000000000004</v>
      </c>
      <c r="AB166" s="5">
        <v>3.2490000000000006</v>
      </c>
      <c r="AC166" s="5">
        <v>2.9160000000000004</v>
      </c>
      <c r="AE166" s="5">
        <v>2.1659998297691345</v>
      </c>
      <c r="AF166" s="5">
        <v>1.9509999845176935</v>
      </c>
      <c r="AG166" s="5">
        <v>2.1319999545812607</v>
      </c>
      <c r="AH166" s="5">
        <v>1.9149998407810926</v>
      </c>
      <c r="AJ166" s="5">
        <v>6</v>
      </c>
      <c r="AK166" s="5">
        <v>7</v>
      </c>
      <c r="AL166" s="5">
        <v>12</v>
      </c>
      <c r="AM166" s="5">
        <v>5</v>
      </c>
      <c r="AO166" s="5">
        <v>5</v>
      </c>
      <c r="AP166" s="5">
        <v>7</v>
      </c>
      <c r="AQ166" s="5">
        <v>7</v>
      </c>
      <c r="AR166" s="5">
        <v>7</v>
      </c>
      <c r="AT166" s="5">
        <v>0.11800000071525574</v>
      </c>
      <c r="AU166" s="5">
        <v>1.2000000104308128E-2</v>
      </c>
      <c r="AV166" s="5">
        <v>0.24199999868869781</v>
      </c>
      <c r="AW166" s="5">
        <v>1.4000000432133675E-2</v>
      </c>
      <c r="AY166" s="5">
        <v>0</v>
      </c>
      <c r="AZ166" s="5">
        <v>0</v>
      </c>
      <c r="BA166" s="5">
        <v>0.15100000000000013</v>
      </c>
      <c r="BB166" s="5">
        <v>0</v>
      </c>
      <c r="BD166" s="5">
        <v>0</v>
      </c>
      <c r="BE166" s="5">
        <v>0</v>
      </c>
      <c r="BF166" s="5">
        <v>0.11699998378753662</v>
      </c>
      <c r="BG166" s="5">
        <v>0</v>
      </c>
      <c r="BI166" s="5">
        <v>0</v>
      </c>
      <c r="BJ166" s="5">
        <v>0</v>
      </c>
      <c r="BK166" s="5">
        <v>1</v>
      </c>
      <c r="BL166" s="5">
        <v>0</v>
      </c>
      <c r="BN166" s="5">
        <v>0</v>
      </c>
      <c r="BO166" s="5">
        <v>0</v>
      </c>
      <c r="BP166" s="5">
        <v>8</v>
      </c>
      <c r="BQ166" s="5">
        <v>0</v>
      </c>
      <c r="BS166" s="5">
        <v>4.0110000000000001</v>
      </c>
      <c r="BT166" s="5">
        <v>4.016</v>
      </c>
      <c r="BU166" s="5">
        <v>0.57499998807907104</v>
      </c>
      <c r="BV166" s="5">
        <v>4.0129999999999999</v>
      </c>
      <c r="BX166" s="5">
        <v>1.2820000000000003</v>
      </c>
      <c r="BY166" s="5">
        <v>0.40000000000000058</v>
      </c>
      <c r="BZ166" s="5">
        <v>0.1170000000000001</v>
      </c>
      <c r="CA166" s="5">
        <v>3.400000000000003E-2</v>
      </c>
      <c r="CC166" s="5">
        <v>1.5659998953342438</v>
      </c>
      <c r="CD166" s="5">
        <v>0.5839998722076416</v>
      </c>
      <c r="CE166" s="5">
        <v>0.18300008773803711</v>
      </c>
      <c r="CF166" s="5">
        <v>0</v>
      </c>
      <c r="CH166" s="5">
        <v>2</v>
      </c>
      <c r="CI166" s="5">
        <v>3</v>
      </c>
      <c r="CJ166" s="5">
        <v>1</v>
      </c>
      <c r="CK166" s="5">
        <v>0</v>
      </c>
      <c r="CM166" s="5">
        <v>4</v>
      </c>
      <c r="CN166" s="5">
        <v>4</v>
      </c>
      <c r="CO166" s="5">
        <v>6</v>
      </c>
      <c r="CP166" s="5">
        <v>3</v>
      </c>
      <c r="CR166" s="5">
        <v>0.40099999308586121</v>
      </c>
      <c r="CS166" s="5">
        <v>1.6950000524520874</v>
      </c>
      <c r="CT166" s="5">
        <v>2.1749999523162842</v>
      </c>
      <c r="CU166" s="5">
        <v>4.0129999999999999</v>
      </c>
    </row>
    <row r="167" spans="1:99" s="5" customFormat="1" x14ac:dyDescent="0.35">
      <c r="A167" s="4" t="s">
        <v>143</v>
      </c>
      <c r="B167" s="4">
        <v>13.083333333333334</v>
      </c>
      <c r="C167" s="4" t="s">
        <v>168</v>
      </c>
      <c r="D167" s="4" t="s">
        <v>404</v>
      </c>
      <c r="E167" s="3"/>
      <c r="F167" s="11" t="e">
        <v>#N/A</v>
      </c>
      <c r="G167" s="5">
        <v>4.016</v>
      </c>
      <c r="H167" s="5">
        <v>4.016</v>
      </c>
      <c r="I167" s="5">
        <v>4.0620000000000003</v>
      </c>
      <c r="K167" s="11" t="e">
        <v>#N/A</v>
      </c>
      <c r="L167" s="5">
        <v>3.9989999999999997</v>
      </c>
      <c r="M167" s="5">
        <v>3.6819999999999999</v>
      </c>
      <c r="N167" s="5">
        <v>4.0490000000000004</v>
      </c>
      <c r="P167" s="11" t="e">
        <v>#N/A</v>
      </c>
      <c r="Q167" s="5">
        <v>3.347000278532505</v>
      </c>
      <c r="R167" s="5">
        <v>2.6820000131847337</v>
      </c>
      <c r="S167" s="5">
        <v>3.0820004865527153</v>
      </c>
      <c r="U167" s="11" t="e">
        <v>#N/A</v>
      </c>
      <c r="V167" s="5">
        <v>7</v>
      </c>
      <c r="W167" s="5">
        <v>7</v>
      </c>
      <c r="X167" s="5">
        <v>14</v>
      </c>
      <c r="Z167" s="11" t="e">
        <v>#N/A</v>
      </c>
      <c r="AA167" s="5">
        <v>2.7819999999999996</v>
      </c>
      <c r="AB167" s="5">
        <v>2.8469999999999995</v>
      </c>
      <c r="AC167" s="5">
        <v>3.9320000000000004</v>
      </c>
      <c r="AE167" s="11" t="e">
        <v>#N/A</v>
      </c>
      <c r="AF167" s="5">
        <v>2.94700026512146</v>
      </c>
      <c r="AG167" s="5">
        <v>2.6820000131847337</v>
      </c>
      <c r="AH167" s="5">
        <v>3.0820004865527153</v>
      </c>
      <c r="AJ167" s="11" t="e">
        <v>#N/A</v>
      </c>
      <c r="AK167" s="5">
        <v>6</v>
      </c>
      <c r="AL167" s="5">
        <v>7</v>
      </c>
      <c r="AM167" s="5">
        <v>14</v>
      </c>
      <c r="AO167" s="11" t="e">
        <v>#N/A</v>
      </c>
      <c r="AP167" s="5">
        <v>5</v>
      </c>
      <c r="AQ167" s="5">
        <v>5</v>
      </c>
      <c r="AR167" s="5">
        <v>2</v>
      </c>
      <c r="AT167" s="11" t="e">
        <v>#N/A</v>
      </c>
      <c r="AU167" s="5">
        <v>0.59500002861022949</v>
      </c>
      <c r="AV167" s="5">
        <v>1.0000000474974513E-3</v>
      </c>
      <c r="AW167" s="5">
        <v>2.6000000536441803E-2</v>
      </c>
      <c r="AY167" s="11" t="e">
        <v>#N/A</v>
      </c>
      <c r="AZ167" s="5">
        <v>8.1999999999999851E-2</v>
      </c>
      <c r="BA167" s="5">
        <v>0</v>
      </c>
      <c r="BB167" s="5">
        <v>0.29999999999999982</v>
      </c>
      <c r="BD167" s="11" t="e">
        <v>#N/A</v>
      </c>
      <c r="BE167" s="5">
        <v>0</v>
      </c>
      <c r="BF167" s="5">
        <v>0</v>
      </c>
      <c r="BG167" s="5">
        <v>0.28299987316131592</v>
      </c>
      <c r="BI167" s="11" t="e">
        <v>#N/A</v>
      </c>
      <c r="BJ167" s="5">
        <v>0</v>
      </c>
      <c r="BK167" s="5">
        <v>0</v>
      </c>
      <c r="BL167" s="5">
        <v>2</v>
      </c>
      <c r="BN167" s="11" t="e">
        <v>#N/A</v>
      </c>
      <c r="BO167" s="5">
        <v>2</v>
      </c>
      <c r="BP167" s="5">
        <v>0</v>
      </c>
      <c r="BQ167" s="5">
        <v>3</v>
      </c>
      <c r="BS167" s="11" t="e">
        <v>#N/A</v>
      </c>
      <c r="BT167" s="5">
        <v>4.016</v>
      </c>
      <c r="BU167" s="5">
        <v>4.016</v>
      </c>
      <c r="BV167" s="5">
        <v>1.7929999828338623</v>
      </c>
      <c r="BX167" s="11" t="e">
        <v>#N/A</v>
      </c>
      <c r="BY167" s="5">
        <v>0</v>
      </c>
      <c r="BZ167" s="5">
        <v>0</v>
      </c>
      <c r="CA167" s="5">
        <v>1.25</v>
      </c>
      <c r="CC167" s="11" t="e">
        <v>#N/A</v>
      </c>
      <c r="CD167" s="5">
        <v>0</v>
      </c>
      <c r="CE167" s="5">
        <v>0</v>
      </c>
      <c r="CF167" s="5">
        <v>1.400000236928463</v>
      </c>
      <c r="CH167" s="11" t="e">
        <v>#N/A</v>
      </c>
      <c r="CI167" s="5">
        <v>0</v>
      </c>
      <c r="CJ167" s="5">
        <v>0</v>
      </c>
      <c r="CK167" s="5">
        <v>5</v>
      </c>
      <c r="CM167" s="11" t="e">
        <v>#N/A</v>
      </c>
      <c r="CN167" s="5">
        <v>0</v>
      </c>
      <c r="CO167" s="5">
        <v>0</v>
      </c>
      <c r="CP167" s="5">
        <v>4</v>
      </c>
      <c r="CR167" s="11" t="e">
        <v>#N/A</v>
      </c>
      <c r="CS167" s="5">
        <v>4.016</v>
      </c>
      <c r="CT167" s="5">
        <v>4.016</v>
      </c>
      <c r="CU167" s="5">
        <v>2.6000000536441803E-2</v>
      </c>
    </row>
    <row r="168" spans="1:99" s="5" customFormat="1" x14ac:dyDescent="0.35">
      <c r="A168" s="4" t="s">
        <v>160</v>
      </c>
      <c r="B168" s="4">
        <v>13.083333333333334</v>
      </c>
      <c r="C168" s="4" t="s">
        <v>167</v>
      </c>
      <c r="D168" s="4" t="s">
        <v>404</v>
      </c>
      <c r="E168" s="3"/>
      <c r="F168" s="5">
        <v>4.0110000000000001</v>
      </c>
      <c r="G168" s="5">
        <v>4.0149999999999997</v>
      </c>
      <c r="H168" s="5">
        <v>4.0110000000000001</v>
      </c>
      <c r="I168" s="5">
        <v>4.016</v>
      </c>
      <c r="K168" s="5">
        <v>3.9990000000000001</v>
      </c>
      <c r="L168" s="5">
        <v>3.6830000000000003</v>
      </c>
      <c r="M168" s="5">
        <v>3.9990000000000001</v>
      </c>
      <c r="N168" s="5">
        <v>3.9989999999999997</v>
      </c>
      <c r="P168" s="5">
        <v>3.4649999774992466</v>
      </c>
      <c r="Q168" s="5">
        <v>3.2649998664855957</v>
      </c>
      <c r="R168" s="5">
        <v>3.6659999956609681</v>
      </c>
      <c r="S168" s="5">
        <v>3.1009999364614487</v>
      </c>
      <c r="U168" s="5">
        <v>6</v>
      </c>
      <c r="V168" s="5">
        <v>7</v>
      </c>
      <c r="W168" s="5">
        <v>7</v>
      </c>
      <c r="X168" s="5">
        <v>8</v>
      </c>
      <c r="Z168" s="5">
        <v>3.766</v>
      </c>
      <c r="AA168" s="5">
        <v>3.6160000000000005</v>
      </c>
      <c r="AB168" s="5">
        <v>3.9659999999999997</v>
      </c>
      <c r="AC168" s="5">
        <v>3.2830000000000004</v>
      </c>
      <c r="AE168" s="5">
        <v>3.4649999774992466</v>
      </c>
      <c r="AF168" s="5">
        <v>3.2649998664855957</v>
      </c>
      <c r="AG168" s="5">
        <v>3.6659999956609681</v>
      </c>
      <c r="AH168" s="5">
        <v>2.4999999850988388</v>
      </c>
      <c r="AJ168" s="5">
        <v>6</v>
      </c>
      <c r="AK168" s="5">
        <v>7</v>
      </c>
      <c r="AL168" s="5">
        <v>7</v>
      </c>
      <c r="AM168" s="5">
        <v>5</v>
      </c>
      <c r="AO168" s="5">
        <v>3</v>
      </c>
      <c r="AP168" s="5">
        <v>1</v>
      </c>
      <c r="AQ168" s="5">
        <v>2</v>
      </c>
      <c r="AR168" s="5">
        <v>2</v>
      </c>
      <c r="AT168" s="5">
        <v>8.999999612569809E-3</v>
      </c>
      <c r="AU168" s="5">
        <v>0.38499999046325684</v>
      </c>
      <c r="AV168" s="5">
        <v>1.0000000474974513E-3</v>
      </c>
      <c r="AW168" s="5">
        <v>2.8999999165534973E-2</v>
      </c>
      <c r="AY168" s="5">
        <v>2.899</v>
      </c>
      <c r="AZ168" s="5">
        <v>2.0670000000000002</v>
      </c>
      <c r="BA168" s="5">
        <v>2.4330000000000003</v>
      </c>
      <c r="BB168" s="5">
        <v>0.51699999999999979</v>
      </c>
      <c r="BD168" s="5">
        <v>3.0990000404417515</v>
      </c>
      <c r="BE168" s="5">
        <v>2.2329998016357422</v>
      </c>
      <c r="BF168" s="5">
        <v>2.4989999403478578</v>
      </c>
      <c r="BG168" s="5">
        <v>0.46600008010864258</v>
      </c>
      <c r="BI168" s="5">
        <v>3</v>
      </c>
      <c r="BJ168" s="5">
        <v>5</v>
      </c>
      <c r="BK168" s="5">
        <v>4</v>
      </c>
      <c r="BL168" s="5">
        <v>1</v>
      </c>
      <c r="BN168" s="5">
        <v>4</v>
      </c>
      <c r="BO168" s="5">
        <v>4</v>
      </c>
      <c r="BP168" s="5">
        <v>4</v>
      </c>
      <c r="BQ168" s="5">
        <v>3</v>
      </c>
      <c r="BS168" s="5">
        <v>8.999999612569809E-3</v>
      </c>
      <c r="BT168" s="5">
        <v>0.38499999046325684</v>
      </c>
      <c r="BU168" s="5">
        <v>1.0000000474974513E-3</v>
      </c>
      <c r="BV168" s="5">
        <v>2.8789999485015869</v>
      </c>
      <c r="BX168" s="5">
        <v>0.13300000000000001</v>
      </c>
      <c r="BY168" s="5">
        <v>1.6999999999999904E-2</v>
      </c>
      <c r="BZ168" s="5">
        <v>0</v>
      </c>
      <c r="CA168" s="5">
        <v>4.9999999999999822E-2</v>
      </c>
      <c r="CC168" s="5">
        <v>0.10000014305114746</v>
      </c>
      <c r="CD168" s="5">
        <v>0</v>
      </c>
      <c r="CE168" s="5">
        <v>0</v>
      </c>
      <c r="CF168" s="5">
        <v>0</v>
      </c>
      <c r="CH168" s="5">
        <v>1</v>
      </c>
      <c r="CI168" s="5">
        <v>0</v>
      </c>
      <c r="CJ168" s="5">
        <v>0</v>
      </c>
      <c r="CK168" s="5">
        <v>0</v>
      </c>
      <c r="CM168" s="5">
        <v>3</v>
      </c>
      <c r="CN168" s="5">
        <v>1</v>
      </c>
      <c r="CO168" s="5">
        <v>0</v>
      </c>
      <c r="CP168" s="5">
        <v>4</v>
      </c>
      <c r="CR168" s="5">
        <v>3.7249999046325684</v>
      </c>
      <c r="CS168" s="5">
        <v>4.0149999999999997</v>
      </c>
      <c r="CT168" s="5">
        <v>4.0110000000000001</v>
      </c>
      <c r="CU168" s="5">
        <v>4.016</v>
      </c>
    </row>
    <row r="171" spans="1:99" x14ac:dyDescent="0.35">
      <c r="J171" s="7">
        <f>K168/F168</f>
        <v>0.9970082273747195</v>
      </c>
    </row>
  </sheetData>
  <autoFilter ref="A3:CU3">
    <sortState ref="A4:CU168">
      <sortCondition ref="D3"/>
    </sortState>
  </autoFilter>
  <mergeCells count="21">
    <mergeCell ref="CM2:CP2"/>
    <mergeCell ref="CR2:CU2"/>
    <mergeCell ref="A1:M1"/>
    <mergeCell ref="BI2:BL2"/>
    <mergeCell ref="BN2:BQ2"/>
    <mergeCell ref="BS2:BV2"/>
    <mergeCell ref="BX2:CA2"/>
    <mergeCell ref="CC2:CF2"/>
    <mergeCell ref="CH2:CK2"/>
    <mergeCell ref="AE2:AH2"/>
    <mergeCell ref="AJ2:AM2"/>
    <mergeCell ref="AO2:AR2"/>
    <mergeCell ref="AT2:AW2"/>
    <mergeCell ref="AY2:BB2"/>
    <mergeCell ref="BD2:BG2"/>
    <mergeCell ref="A2:D2"/>
    <mergeCell ref="F2:I2"/>
    <mergeCell ref="K2:N2"/>
    <mergeCell ref="P2:S2"/>
    <mergeCell ref="U2:X2"/>
    <mergeCell ref="Z2:A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68"/>
  <sheetViews>
    <sheetView topLeftCell="A139" workbookViewId="0">
      <selection activeCell="F4" sqref="F4:I168"/>
    </sheetView>
  </sheetViews>
  <sheetFormatPr baseColWidth="10" defaultColWidth="15.7265625" defaultRowHeight="14.5" x14ac:dyDescent="0.35"/>
  <cols>
    <col min="1" max="1" width="25.54296875" style="6" customWidth="1"/>
    <col min="2" max="4" width="15.7265625" style="6"/>
    <col min="5" max="16384" width="15.7265625" style="7"/>
  </cols>
  <sheetData>
    <row r="1" spans="1:99" ht="15" thickBot="1" x14ac:dyDescent="0.4">
      <c r="A1" s="67" t="s">
        <v>268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10"/>
      <c r="P1" s="8"/>
      <c r="Q1" s="9"/>
      <c r="R1" s="9"/>
      <c r="S1" s="10"/>
      <c r="U1" s="8"/>
      <c r="V1" s="9"/>
      <c r="W1" s="9"/>
      <c r="X1" s="10"/>
      <c r="Z1" s="8"/>
      <c r="AA1" s="9"/>
      <c r="AB1" s="9"/>
      <c r="AC1" s="10"/>
      <c r="AE1" s="8"/>
      <c r="AF1" s="9"/>
      <c r="AG1" s="9"/>
      <c r="AH1" s="10"/>
      <c r="AJ1" s="8"/>
      <c r="AK1" s="9"/>
      <c r="AL1" s="9"/>
      <c r="AM1" s="10"/>
      <c r="AO1" s="8"/>
      <c r="AP1" s="9"/>
      <c r="AQ1" s="9"/>
      <c r="AR1" s="10"/>
      <c r="AT1" s="8"/>
      <c r="AU1" s="9"/>
      <c r="AV1" s="9"/>
      <c r="AW1" s="10"/>
      <c r="AY1" s="8"/>
      <c r="AZ1" s="9"/>
      <c r="BA1" s="9"/>
      <c r="BB1" s="10"/>
      <c r="BD1" s="8"/>
      <c r="BE1" s="9"/>
      <c r="BF1" s="9"/>
      <c r="BG1" s="10"/>
      <c r="BI1" s="8"/>
      <c r="BJ1" s="9"/>
      <c r="BK1" s="9"/>
      <c r="BL1" s="10"/>
      <c r="BN1" s="8"/>
      <c r="BO1" s="9"/>
      <c r="BP1" s="9"/>
      <c r="BQ1" s="10"/>
      <c r="BS1" s="8"/>
      <c r="BT1" s="9"/>
      <c r="BU1" s="9"/>
      <c r="BV1" s="10"/>
      <c r="BX1" s="8"/>
      <c r="BY1" s="9"/>
      <c r="BZ1" s="9"/>
      <c r="CA1" s="10"/>
      <c r="CC1" s="8"/>
      <c r="CD1" s="9"/>
      <c r="CE1" s="9"/>
      <c r="CF1" s="10"/>
      <c r="CH1" s="8"/>
      <c r="CI1" s="9"/>
      <c r="CJ1" s="9"/>
      <c r="CK1" s="10"/>
      <c r="CM1" s="8"/>
      <c r="CN1" s="9"/>
      <c r="CO1" s="9"/>
      <c r="CP1" s="10"/>
      <c r="CR1" s="8"/>
      <c r="CS1" s="9"/>
      <c r="CT1" s="9"/>
      <c r="CU1" s="10"/>
    </row>
    <row r="2" spans="1:99" ht="15.5" thickTop="1" thickBot="1" x14ac:dyDescent="0.4">
      <c r="A2" s="56" t="s">
        <v>246</v>
      </c>
      <c r="B2" s="56"/>
      <c r="C2" s="56"/>
      <c r="D2" s="56"/>
      <c r="F2" s="57" t="s">
        <v>266</v>
      </c>
      <c r="G2" s="57"/>
      <c r="H2" s="57"/>
      <c r="I2" s="57"/>
      <c r="K2" s="58" t="s">
        <v>247</v>
      </c>
      <c r="L2" s="59"/>
      <c r="M2" s="59"/>
      <c r="N2" s="60"/>
      <c r="P2" s="58" t="s">
        <v>248</v>
      </c>
      <c r="Q2" s="59"/>
      <c r="R2" s="59"/>
      <c r="S2" s="60"/>
      <c r="U2" s="58" t="s">
        <v>249</v>
      </c>
      <c r="V2" s="59"/>
      <c r="W2" s="59"/>
      <c r="X2" s="60"/>
      <c r="Z2" s="53" t="s">
        <v>250</v>
      </c>
      <c r="AA2" s="54"/>
      <c r="AB2" s="54"/>
      <c r="AC2" s="55"/>
      <c r="AE2" s="53" t="s">
        <v>251</v>
      </c>
      <c r="AF2" s="54"/>
      <c r="AG2" s="54"/>
      <c r="AH2" s="55"/>
      <c r="AJ2" s="53" t="s">
        <v>252</v>
      </c>
      <c r="AK2" s="54"/>
      <c r="AL2" s="54"/>
      <c r="AM2" s="55"/>
      <c r="AO2" s="53" t="s">
        <v>253</v>
      </c>
      <c r="AP2" s="54"/>
      <c r="AQ2" s="54"/>
      <c r="AR2" s="55"/>
      <c r="AT2" s="53" t="s">
        <v>254</v>
      </c>
      <c r="AU2" s="54"/>
      <c r="AV2" s="54"/>
      <c r="AW2" s="55"/>
      <c r="AY2" s="61" t="s">
        <v>255</v>
      </c>
      <c r="AZ2" s="62"/>
      <c r="BA2" s="62"/>
      <c r="BB2" s="63"/>
      <c r="BD2" s="61" t="s">
        <v>256</v>
      </c>
      <c r="BE2" s="62"/>
      <c r="BF2" s="62"/>
      <c r="BG2" s="63"/>
      <c r="BI2" s="61" t="s">
        <v>257</v>
      </c>
      <c r="BJ2" s="62"/>
      <c r="BK2" s="62"/>
      <c r="BL2" s="63"/>
      <c r="BN2" s="61" t="s">
        <v>258</v>
      </c>
      <c r="BO2" s="62"/>
      <c r="BP2" s="62"/>
      <c r="BQ2" s="63"/>
      <c r="BS2" s="61" t="s">
        <v>259</v>
      </c>
      <c r="BT2" s="62"/>
      <c r="BU2" s="62"/>
      <c r="BV2" s="63"/>
      <c r="BX2" s="64" t="s">
        <v>260</v>
      </c>
      <c r="BY2" s="65"/>
      <c r="BZ2" s="65"/>
      <c r="CA2" s="66"/>
      <c r="CC2" s="64" t="s">
        <v>261</v>
      </c>
      <c r="CD2" s="65"/>
      <c r="CE2" s="65"/>
      <c r="CF2" s="66"/>
      <c r="CH2" s="64" t="s">
        <v>262</v>
      </c>
      <c r="CI2" s="65"/>
      <c r="CJ2" s="65"/>
      <c r="CK2" s="66"/>
      <c r="CM2" s="64" t="s">
        <v>263</v>
      </c>
      <c r="CN2" s="65"/>
      <c r="CO2" s="65"/>
      <c r="CP2" s="66"/>
      <c r="CR2" s="64" t="s">
        <v>264</v>
      </c>
      <c r="CS2" s="65"/>
      <c r="CT2" s="65"/>
      <c r="CU2" s="66"/>
    </row>
    <row r="3" spans="1:99" s="1" customFormat="1" ht="15" thickTop="1" x14ac:dyDescent="0.35">
      <c r="A3" s="1" t="s">
        <v>0</v>
      </c>
      <c r="B3" s="1" t="s">
        <v>265</v>
      </c>
      <c r="C3" s="1" t="s">
        <v>166</v>
      </c>
      <c r="D3" s="1" t="s">
        <v>169</v>
      </c>
      <c r="F3" s="1" t="s">
        <v>170</v>
      </c>
      <c r="G3" s="1" t="s">
        <v>171</v>
      </c>
      <c r="H3" s="1" t="s">
        <v>172</v>
      </c>
      <c r="I3" s="1" t="s">
        <v>173</v>
      </c>
      <c r="K3" s="1" t="s">
        <v>174</v>
      </c>
      <c r="L3" s="1" t="s">
        <v>175</v>
      </c>
      <c r="M3" s="1" t="s">
        <v>176</v>
      </c>
      <c r="N3" s="1" t="s">
        <v>177</v>
      </c>
      <c r="P3" s="1" t="s">
        <v>178</v>
      </c>
      <c r="Q3" s="1" t="s">
        <v>179</v>
      </c>
      <c r="R3" s="1" t="s">
        <v>180</v>
      </c>
      <c r="S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Z3" s="1" t="s">
        <v>186</v>
      </c>
      <c r="AA3" s="1" t="s">
        <v>187</v>
      </c>
      <c r="AB3" s="1" t="s">
        <v>188</v>
      </c>
      <c r="AC3" s="1" t="s">
        <v>189</v>
      </c>
      <c r="AE3" s="1" t="s">
        <v>190</v>
      </c>
      <c r="AF3" s="1" t="s">
        <v>191</v>
      </c>
      <c r="AG3" s="1" t="s">
        <v>192</v>
      </c>
      <c r="AH3" s="1" t="s">
        <v>193</v>
      </c>
      <c r="AJ3" s="1" t="s">
        <v>194</v>
      </c>
      <c r="AK3" s="1" t="s">
        <v>195</v>
      </c>
      <c r="AL3" s="1" t="s">
        <v>196</v>
      </c>
      <c r="AM3" s="1" t="s">
        <v>197</v>
      </c>
      <c r="AO3" s="1" t="s">
        <v>198</v>
      </c>
      <c r="AP3" s="1" t="s">
        <v>199</v>
      </c>
      <c r="AQ3" s="1" t="s">
        <v>200</v>
      </c>
      <c r="AR3" s="1" t="s">
        <v>201</v>
      </c>
      <c r="AT3" s="1" t="s">
        <v>202</v>
      </c>
      <c r="AU3" s="1" t="s">
        <v>203</v>
      </c>
      <c r="AV3" s="1" t="s">
        <v>204</v>
      </c>
      <c r="AW3" s="1" t="s">
        <v>205</v>
      </c>
      <c r="AY3" s="1" t="s">
        <v>206</v>
      </c>
      <c r="AZ3" s="1" t="s">
        <v>207</v>
      </c>
      <c r="BA3" s="1" t="s">
        <v>208</v>
      </c>
      <c r="BB3" s="1" t="s">
        <v>209</v>
      </c>
      <c r="BD3" s="1" t="s">
        <v>210</v>
      </c>
      <c r="BE3" s="1" t="s">
        <v>211</v>
      </c>
      <c r="BF3" s="1" t="s">
        <v>212</v>
      </c>
      <c r="BG3" s="1" t="s">
        <v>213</v>
      </c>
      <c r="BI3" s="1" t="s">
        <v>214</v>
      </c>
      <c r="BJ3" s="1" t="s">
        <v>215</v>
      </c>
      <c r="BK3" s="1" t="s">
        <v>216</v>
      </c>
      <c r="BL3" s="1" t="s">
        <v>217</v>
      </c>
      <c r="BN3" s="1" t="s">
        <v>218</v>
      </c>
      <c r="BO3" s="1" t="s">
        <v>219</v>
      </c>
      <c r="BP3" s="1" t="s">
        <v>220</v>
      </c>
      <c r="BQ3" s="1" t="s">
        <v>221</v>
      </c>
      <c r="BS3" s="1" t="s">
        <v>222</v>
      </c>
      <c r="BT3" s="1" t="s">
        <v>223</v>
      </c>
      <c r="BU3" s="1" t="s">
        <v>224</v>
      </c>
      <c r="BV3" s="1" t="s">
        <v>225</v>
      </c>
      <c r="BX3" s="1" t="s">
        <v>226</v>
      </c>
      <c r="BY3" s="1" t="s">
        <v>227</v>
      </c>
      <c r="BZ3" s="1" t="s">
        <v>228</v>
      </c>
      <c r="CA3" s="1" t="s">
        <v>229</v>
      </c>
      <c r="CC3" s="1" t="s">
        <v>230</v>
      </c>
      <c r="CD3" s="1" t="s">
        <v>231</v>
      </c>
      <c r="CE3" s="1" t="s">
        <v>232</v>
      </c>
      <c r="CF3" s="1" t="s">
        <v>233</v>
      </c>
      <c r="CH3" s="1" t="s">
        <v>234</v>
      </c>
      <c r="CI3" s="1" t="s">
        <v>235</v>
      </c>
      <c r="CJ3" s="1" t="s">
        <v>236</v>
      </c>
      <c r="CK3" s="1" t="s">
        <v>237</v>
      </c>
      <c r="CM3" s="1" t="s">
        <v>238</v>
      </c>
      <c r="CN3" s="1" t="s">
        <v>239</v>
      </c>
      <c r="CO3" s="1" t="s">
        <v>240</v>
      </c>
      <c r="CP3" s="1" t="s">
        <v>241</v>
      </c>
      <c r="CR3" s="1" t="s">
        <v>242</v>
      </c>
      <c r="CS3" s="1" t="s">
        <v>243</v>
      </c>
      <c r="CT3" s="1" t="s">
        <v>244</v>
      </c>
      <c r="CU3" s="1" t="s">
        <v>245</v>
      </c>
    </row>
    <row r="4" spans="1:99" s="3" customFormat="1" x14ac:dyDescent="0.35">
      <c r="A4" s="2" t="s">
        <v>17</v>
      </c>
      <c r="B4" s="2">
        <v>2.6666666666666665</v>
      </c>
      <c r="C4" s="2" t="s">
        <v>168</v>
      </c>
      <c r="D4" s="2" t="s">
        <v>403</v>
      </c>
      <c r="F4" s="3">
        <v>4.0229999999999997</v>
      </c>
      <c r="G4" s="3">
        <v>4.0250000000000004</v>
      </c>
      <c r="H4" s="3">
        <v>4.0119999999999996</v>
      </c>
      <c r="I4" s="3">
        <v>4.01</v>
      </c>
      <c r="J4" s="3" t="str">
        <f>LEFT(ADDRESS(1,COLUMN(),4),LEN(ADDRESS(1,COLUMN(),4))-1)</f>
        <v>J</v>
      </c>
      <c r="K4" s="3">
        <f t="shared" ref="K4:K35" ca="1" si="0">INDIRECT("'Data_Netteyage'!" &amp; LEFT(ADDRESS(1,COLUMN(),4),LEN(ADDRESS(1,COLUMN(),4))-1) &amp; ROW())/F4</f>
        <v>0.87397464578672635</v>
      </c>
      <c r="L4" s="3">
        <f t="shared" ref="L4:L35" ca="1" si="1">INDIRECT("'Data_Netteyage'!" &amp; LEFT(ADDRESS(1,COLUMN(),4),LEN(ADDRESS(1,COLUMN(),4))-1) &amp; ROW())/G4</f>
        <v>0.9935403726708073</v>
      </c>
      <c r="M4" s="3">
        <f t="shared" ref="M4:M35" ca="1" si="2">INDIRECT("'Data_Netteyage'!" &amp; LEFT(ADDRESS(1,COLUMN(),4),LEN(ADDRESS(1,COLUMN(),4))-1) &amp; ROW())/H4</f>
        <v>0.99700897308075787</v>
      </c>
      <c r="N4" s="3">
        <f t="shared" ref="N4:N35" ca="1" si="3">INDIRECT("'Data_Netteyage'!" &amp; LEFT(ADDRESS(1,COLUMN(),4),LEN(ADDRESS(1,COLUMN(),4))-1) &amp; ROW())/I4</f>
        <v>0.82693266832917722</v>
      </c>
      <c r="P4" s="3">
        <f t="shared" ref="P4:P35" ca="1" si="4">INDIRECT("'Data_Netteyage'!" &amp; LEFT(ADDRESS(1,COLUMN(),4),LEN(ADDRESS(1,COLUMN(),4))-1) &amp; ROW())/F4</f>
        <v>0.37733034473611682</v>
      </c>
      <c r="Q4" s="3">
        <f t="shared" ref="Q4:Q35" ca="1" si="5">INDIRECT("'Data_Netteyage'!" &amp; LEFT(ADDRESS(1,COLUMN(),4),LEN(ADDRESS(1,COLUMN(),4))-1) &amp; ROW())/G4</f>
        <v>0.23950313003907289</v>
      </c>
      <c r="R4" s="3">
        <f t="shared" ref="R4:R35" ca="1" si="6">INDIRECT("'Data_Netteyage'!" &amp; LEFT(ADDRESS(1,COLUMN(),4),LEN(ADDRESS(1,COLUMN(),4))-1) &amp; ROW())/H4</f>
        <v>0.62263196896936224</v>
      </c>
      <c r="S4" s="3">
        <f t="shared" ref="S4:S35" ca="1" si="7">INDIRECT("'Data_Netteyage'!" &amp; LEFT(ADDRESS(1,COLUMN(),4),LEN(ADDRESS(1,COLUMN(),4))-1) &amp; ROW())/I4</f>
        <v>3.3167086337272667E-2</v>
      </c>
      <c r="U4" s="3">
        <f t="shared" ref="U4:U35" ca="1" si="8">INDIRECT("'Data_Netteyage'!" &amp; LEFT(ADDRESS(1,COLUMN(),4),LEN(ADDRESS(1,COLUMN(),4))-1) &amp; ROW())/F4</f>
        <v>2.2371364653243848</v>
      </c>
      <c r="V4" s="3">
        <f t="shared" ref="V4:V35" ca="1" si="9">INDIRECT("'Data_Netteyage'!" &amp; LEFT(ADDRESS(1,COLUMN(),4),LEN(ADDRESS(1,COLUMN(),4))-1) &amp; ROW())/G4</f>
        <v>1.7391304347826086</v>
      </c>
      <c r="W4" s="3">
        <f t="shared" ref="W4:W35" ca="1" si="10">INDIRECT("'Data_Netteyage'!" &amp; LEFT(ADDRESS(1,COLUMN(),4),LEN(ADDRESS(1,COLUMN(),4))-1) &amp; ROW())/H4</f>
        <v>3.9880358923230315</v>
      </c>
      <c r="X4" s="3">
        <f t="shared" ref="X4:X35" ca="1" si="11">INDIRECT("'Data_Netteyage'!" &amp; LEFT(ADDRESS(1,COLUMN(),4),LEN(ADDRESS(1,COLUMN(),4))-1) &amp; ROW())/I4</f>
        <v>0.24937655860349128</v>
      </c>
      <c r="Z4" s="3">
        <f t="shared" ref="Z4:Z35" ca="1" si="12">INDIRECT("'Data_Netteyage'!" &amp; LEFT(ADDRESS(1,COLUMN(),4),LEN(ADDRESS(1,COLUMN(),4))-1) &amp; ROW())/F4</f>
        <v>0.80760626398210289</v>
      </c>
      <c r="AA4" s="3">
        <f t="shared" ref="AA4:AA35" ca="1" si="13">INDIRECT("'Data_Netteyage'!" &amp; LEFT(ADDRESS(1,COLUMN(),4),LEN(ADDRESS(1,COLUMN(),4))-1) &amp; ROW())/G4</f>
        <v>0.95204968944099366</v>
      </c>
      <c r="AB4" s="3">
        <f t="shared" ref="AB4:AB35" ca="1" si="14">INDIRECT("'Data_Netteyage'!" &amp; LEFT(ADDRESS(1,COLUMN(),4),LEN(ADDRESS(1,COLUMN(),4))-1) &amp; ROW())/H4</f>
        <v>0.99700897308075787</v>
      </c>
      <c r="AC4" s="3">
        <f t="shared" ref="AC4:AC35" ca="1" si="15">INDIRECT("'Data_Netteyage'!" &amp; LEFT(ADDRESS(1,COLUMN(),4),LEN(ADDRESS(1,COLUMN(),4))-1) &amp; ROW())/I4</f>
        <v>0.76882793017456363</v>
      </c>
      <c r="AE4" s="3">
        <f t="shared" ref="AE4:AE35" ca="1" si="16">INDIRECT("'Data_Netteyage'!" &amp; LEFT(ADDRESS(1,COLUMN(),4),LEN(ADDRESS(1,COLUMN(),4))-1) &amp; ROW())/F4</f>
        <v>0.3233905043615028</v>
      </c>
      <c r="AF4" s="3">
        <f t="shared" ref="AF4:AF35" ca="1" si="17">INDIRECT("'Data_Netteyage'!" &amp; LEFT(ADDRESS(1,COLUMN(),4),LEN(ADDRESS(1,COLUMN(),4))-1) &amp; ROW())/G4</f>
        <v>0.23950313003907289</v>
      </c>
      <c r="AG4" s="3">
        <f t="shared" ref="AG4:AG35" ca="1" si="18">INDIRECT("'Data_Netteyage'!" &amp; LEFT(ADDRESS(1,COLUMN(),4),LEN(ADDRESS(1,COLUMN(),4))-1) &amp; ROW())/H4</f>
        <v>0.62263196896936224</v>
      </c>
      <c r="AH4" s="3">
        <f t="shared" ref="AH4:AH35" ca="1" si="19">INDIRECT("'Data_Netteyage'!" &amp; LEFT(ADDRESS(1,COLUMN(),4),LEN(ADDRESS(1,COLUMN(),4))-1) &amp; ROW())/I4</f>
        <v>3.3167086337272667E-2</v>
      </c>
      <c r="AJ4" s="3">
        <f t="shared" ref="AJ4:AJ35" ca="1" si="20">INDIRECT("'Data_Netteyage'!" &amp; LEFT(ADDRESS(1,COLUMN(),4),LEN(ADDRESS(1,COLUMN(),4))-1) &amp; ROW())/F4</f>
        <v>1.9885657469550089</v>
      </c>
      <c r="AK4" s="3">
        <f t="shared" ref="AK4:AK35" ca="1" si="21">INDIRECT("'Data_Netteyage'!" &amp; LEFT(ADDRESS(1,COLUMN(),4),LEN(ADDRESS(1,COLUMN(),4))-1) &amp; ROW())/G4</f>
        <v>1.7391304347826086</v>
      </c>
      <c r="AL4" s="3">
        <f t="shared" ref="AL4:AL35" ca="1" si="22">INDIRECT("'Data_Netteyage'!" &amp; LEFT(ADDRESS(1,COLUMN(),4),LEN(ADDRESS(1,COLUMN(),4))-1) &amp; ROW())/H4</f>
        <v>3.9880358923230315</v>
      </c>
      <c r="AM4" s="3">
        <f t="shared" ref="AM4:AM35" ca="1" si="23">INDIRECT("'Data_Netteyage'!" &amp; LEFT(ADDRESS(1,COLUMN(),4),LEN(ADDRESS(1,COLUMN(),4))-1) &amp; ROW())/I4</f>
        <v>0.24937655860349128</v>
      </c>
      <c r="AO4" s="3">
        <f t="shared" ref="AO4:AO35" ca="1" si="24">INDIRECT("'Data_Netteyage'!" &amp; LEFT(ADDRESS(1,COLUMN(),4),LEN(ADDRESS(1,COLUMN(),4))-1) &amp; ROW())/F4</f>
        <v>0.49714143673875222</v>
      </c>
      <c r="AP4" s="3">
        <f t="shared" ref="AP4:AP35" ca="1" si="25">INDIRECT("'Data_Netteyage'!" &amp; LEFT(ADDRESS(1,COLUMN(),4),LEN(ADDRESS(1,COLUMN(),4))-1) &amp; ROW())/G4</f>
        <v>0.74534161490683226</v>
      </c>
      <c r="AQ4" s="3">
        <f t="shared" ref="AQ4:AQ35" ca="1" si="26">INDIRECT("'Data_Netteyage'!" &amp; LEFT(ADDRESS(1,COLUMN(),4),LEN(ADDRESS(1,COLUMN(),4))-1) &amp; ROW())/H4</f>
        <v>0.24925224327018947</v>
      </c>
      <c r="AR4" s="3">
        <f t="shared" ref="AR4:AR35" ca="1" si="27">INDIRECT("'Data_Netteyage'!" &amp; LEFT(ADDRESS(1,COLUMN(),4),LEN(ADDRESS(1,COLUMN(),4))-1) &amp; ROW())/I4</f>
        <v>1.4962593516209477</v>
      </c>
      <c r="AT4" s="3">
        <v>1.281000018119812</v>
      </c>
      <c r="AU4" s="3">
        <v>5.4999999701976776E-2</v>
      </c>
      <c r="AV4" s="3">
        <v>0.27300000190734863</v>
      </c>
      <c r="AW4" s="3">
        <v>1.3070000410079956</v>
      </c>
      <c r="AY4" s="3">
        <f t="shared" ref="AY4:AY35" ca="1" si="28">INDIRECT("'Data_Netteyage'!" &amp; LEFT(ADDRESS(1,COLUMN(),4),LEN(ADDRESS(1,COLUMN(),4))-1) &amp; ROW())/F4</f>
        <v>0.16579666915237354</v>
      </c>
      <c r="AZ4" s="3">
        <f t="shared" ref="AZ4:AZ35" ca="1" si="29">INDIRECT("'Data_Netteyage'!" &amp; LEFT(ADDRESS(1,COLUMN(),4),LEN(ADDRESS(1,COLUMN(),4))-1) &amp; ROW())/G4</f>
        <v>0.11503105590062118</v>
      </c>
      <c r="BA4" s="3">
        <f t="shared" ref="BA4:BA35" ca="1" si="30">INDIRECT("'Data_Netteyage'!" &amp; LEFT(ADDRESS(1,COLUMN(),4),LEN(ADDRESS(1,COLUMN(),4))-1) &amp; ROW())/H4</f>
        <v>0.14107676969092714</v>
      </c>
      <c r="BB4" s="3">
        <f t="shared" ref="BB4:BB35" ca="1" si="31">INDIRECT("'Data_Netteyage'!" &amp; LEFT(ADDRESS(1,COLUMN(),4),LEN(ADDRESS(1,COLUMN(),4))-1) &amp; ROW())/I4</f>
        <v>5.3865336658353996E-2</v>
      </c>
      <c r="BD4" s="3">
        <f t="shared" ref="BD4:BD35" ca="1" si="32">INDIRECT("'Data_Netteyage'!" &amp; LEFT(ADDRESS(1,COLUMN(),4),LEN(ADDRESS(1,COLUMN(),4))-1) &amp; ROW())/F4</f>
        <v>0.14491668542818795</v>
      </c>
      <c r="BE4" s="3">
        <f t="shared" ref="BE4:BE35" ca="1" si="33">INDIRECT("'Data_Netteyage'!" &amp; LEFT(ADDRESS(1,COLUMN(),4),LEN(ADDRESS(1,COLUMN(),4))-1) &amp; ROW())/G4</f>
        <v>5.7639735085623603E-2</v>
      </c>
      <c r="BF4" s="3">
        <f t="shared" ref="BF4:BF35" ca="1" si="34">INDIRECT("'Data_Netteyage'!" &amp; LEFT(ADDRESS(1,COLUMN(),4),LEN(ADDRESS(1,COLUMN(),4))-1) &amp; ROW())/H4</f>
        <v>0.16600197387240823</v>
      </c>
      <c r="BG4" s="3">
        <f t="shared" ref="BG4:BG35" ca="1" si="35">INDIRECT("'Data_Netteyage'!" &amp; LEFT(ADDRESS(1,COLUMN(),4),LEN(ADDRESS(1,COLUMN(),4))-1) &amp; ROW())/I4</f>
        <v>0</v>
      </c>
      <c r="BI4" s="3">
        <f t="shared" ref="BI4:BI35" ca="1" si="36">INDIRECT("'Data_Netteyage'!" &amp; LEFT(ADDRESS(1,COLUMN(),4),LEN(ADDRESS(1,COLUMN(),4))-1) &amp; ROW())/F4</f>
        <v>0.99428287347750444</v>
      </c>
      <c r="BJ4" s="3">
        <f t="shared" ref="BJ4:BJ35" ca="1" si="37">INDIRECT("'Data_Netteyage'!" &amp; LEFT(ADDRESS(1,COLUMN(),4),LEN(ADDRESS(1,COLUMN(),4))-1) &amp; ROW())/G4</f>
        <v>0.49689440993788814</v>
      </c>
      <c r="BK4" s="3">
        <f t="shared" ref="BK4:BK35" ca="1" si="38">INDIRECT("'Data_Netteyage'!" &amp; LEFT(ADDRESS(1,COLUMN(),4),LEN(ADDRESS(1,COLUMN(),4))-1) &amp; ROW())/H4</f>
        <v>0.99700897308075787</v>
      </c>
      <c r="BL4" s="3">
        <f t="shared" ref="BL4:BL35" ca="1" si="39">INDIRECT("'Data_Netteyage'!" &amp; LEFT(ADDRESS(1,COLUMN(),4),LEN(ADDRESS(1,COLUMN(),4))-1) &amp; ROW())/I4</f>
        <v>0</v>
      </c>
      <c r="BN4" s="3">
        <f t="shared" ref="BN4:BN35" ca="1" si="40">INDIRECT("'Data_Netteyage'!" &amp; LEFT(ADDRESS(1,COLUMN(),4),LEN(ADDRESS(1,COLUMN(),4))-1) &amp; ROW())/F4</f>
        <v>5.2199850857568979</v>
      </c>
      <c r="BO4" s="3">
        <f t="shared" ref="BO4:BO35" ca="1" si="41">INDIRECT("'Data_Netteyage'!" &amp; LEFT(ADDRESS(1,COLUMN(),4),LEN(ADDRESS(1,COLUMN(),4))-1) &amp; ROW())/G4</f>
        <v>5.9627329192546581</v>
      </c>
      <c r="BP4" s="3">
        <f t="shared" ref="BP4:BP35" ca="1" si="42">INDIRECT("'Data_Netteyage'!" &amp; LEFT(ADDRESS(1,COLUMN(),4),LEN(ADDRESS(1,COLUMN(),4))-1) &amp; ROW())/H4</f>
        <v>1.7447657028913262</v>
      </c>
      <c r="BQ4" s="3">
        <f t="shared" ref="BQ4:BQ35" ca="1" si="43">INDIRECT("'Data_Netteyage'!" &amp; LEFT(ADDRESS(1,COLUMN(),4),LEN(ADDRESS(1,COLUMN(),4))-1) &amp; ROW())/I4</f>
        <v>2.2443890274314215</v>
      </c>
      <c r="BS4" s="3">
        <v>1.281000018119812</v>
      </c>
      <c r="BT4" s="3">
        <v>0.33799999952316284</v>
      </c>
      <c r="BU4" s="3">
        <v>0.27300000190734863</v>
      </c>
      <c r="BV4" s="3">
        <v>4.01</v>
      </c>
      <c r="BX4" s="3">
        <f t="shared" ref="BX4:BX35" ca="1" si="44">INDIRECT("'Data_Netteyage'!" &amp; LEFT(ADDRESS(1,COLUMN(),4),LEN(ADDRESS(1,COLUMN(),4))-1) &amp; ROW())/F4</f>
        <v>0</v>
      </c>
      <c r="BY4" s="3">
        <f t="shared" ref="BY4:BY35" ca="1" si="45">INDIRECT("'Data_Netteyage'!" &amp; LEFT(ADDRESS(1,COLUMN(),4),LEN(ADDRESS(1,COLUMN(),4))-1) &amp; ROW())/G4</f>
        <v>4.1242236024844697E-2</v>
      </c>
      <c r="BZ4" s="3">
        <f t="shared" ref="BZ4:BZ35" ca="1" si="46">INDIRECT("'Data_Netteyage'!" &amp; LEFT(ADDRESS(1,COLUMN(),4),LEN(ADDRESS(1,COLUMN(),4))-1) &amp; ROW())/H4</f>
        <v>4.2372881355931969E-3</v>
      </c>
      <c r="CA4" s="3">
        <f t="shared" ref="CA4:CA35" ca="1" si="47">INDIRECT("'Data_Netteyage'!" &amp; LEFT(ADDRESS(1,COLUMN(),4),LEN(ADDRESS(1,COLUMN(),4))-1) &amp; ROW())/I4</f>
        <v>3.9900249376558644E-3</v>
      </c>
      <c r="CC4" s="3">
        <f t="shared" ref="CC4:CC35" ca="1" si="48">INDIRECT("'Data_Netteyage'!" &amp; LEFT(ADDRESS(1,COLUMN(),4),LEN(ADDRESS(1,COLUMN(),4))-1) &amp; ROW())/F4</f>
        <v>0</v>
      </c>
      <c r="CD4" s="3">
        <f t="shared" ref="CD4:CD35" ca="1" si="49">INDIRECT("'Data_Netteyage'!" &amp; LEFT(ADDRESS(1,COLUMN(),4),LEN(ADDRESS(1,COLUMN(),4))-1) &amp; ROW())/G4</f>
        <v>4.1242236306208255E-2</v>
      </c>
      <c r="CE4" s="3">
        <f t="shared" ref="CE4:CE35" ca="1" si="50">INDIRECT("'Data_Netteyage'!" &amp; LEFT(ADDRESS(1,COLUMN(),4),LEN(ADDRESS(1,COLUMN(),4))-1) &amp; ROW())/H4</f>
        <v>0</v>
      </c>
      <c r="CF4" s="3">
        <f t="shared" ref="CF4:CF35" ca="1" si="51">INDIRECT("'Data_Netteyage'!" &amp; LEFT(ADDRESS(1,COLUMN(),4),LEN(ADDRESS(1,COLUMN(),4))-1) &amp; ROW())/I4</f>
        <v>0</v>
      </c>
      <c r="CH4" s="3">
        <f t="shared" ref="CH4:CH35" ca="1" si="52">INDIRECT("'Data_Netteyage'!" &amp; LEFT(ADDRESS(1,COLUMN(),4),LEN(ADDRESS(1,COLUMN(),4))-1) &amp; ROW())/F4</f>
        <v>0</v>
      </c>
      <c r="CI4" s="3">
        <f t="shared" ref="CI4:CI35" ca="1" si="53">INDIRECT("'Data_Netteyage'!" &amp; LEFT(ADDRESS(1,COLUMN(),4),LEN(ADDRESS(1,COLUMN(),4))-1) &amp; ROW())/G4</f>
        <v>0.24844720496894407</v>
      </c>
      <c r="CJ4" s="3">
        <f t="shared" ref="CJ4:CJ35" ca="1" si="54">INDIRECT("'Data_Netteyage'!" &amp; LEFT(ADDRESS(1,COLUMN(),4),LEN(ADDRESS(1,COLUMN(),4))-1) &amp; ROW())/H4</f>
        <v>0</v>
      </c>
      <c r="CK4" s="3">
        <f t="shared" ref="CK4:CK35" ca="1" si="55">INDIRECT("'Data_Netteyage'!" &amp; LEFT(ADDRESS(1,COLUMN(),4),LEN(ADDRESS(1,COLUMN(),4))-1) &amp; ROW())/I4</f>
        <v>0</v>
      </c>
      <c r="CM4" s="3">
        <f t="shared" ref="CM4:CM35" ca="1" si="56">INDIRECT("'Data_Netteyage'!" &amp; LEFT(ADDRESS(1,COLUMN(),4),LEN(ADDRESS(1,COLUMN(),4))-1) &amp; ROW())/F4</f>
        <v>0.24857071836937611</v>
      </c>
      <c r="CN4" s="3">
        <f t="shared" ref="CN4:CN35" ca="1" si="57">INDIRECT("'Data_Netteyage'!" &amp; LEFT(ADDRESS(1,COLUMN(),4),LEN(ADDRESS(1,COLUMN(),4))-1) &amp; ROW())/G4</f>
        <v>0.49689440993788814</v>
      </c>
      <c r="CO4" s="3">
        <f t="shared" ref="CO4:CO35" ca="1" si="58">INDIRECT("'Data_Netteyage'!" &amp; LEFT(ADDRESS(1,COLUMN(),4),LEN(ADDRESS(1,COLUMN(),4))-1) &amp; ROW())/H4</f>
        <v>0.24925224327018947</v>
      </c>
      <c r="CP4" s="3">
        <f t="shared" ref="CP4:CP35" ca="1" si="59">INDIRECT("'Data_Netteyage'!" &amp; LEFT(ADDRESS(1,COLUMN(),4),LEN(ADDRESS(1,COLUMN(),4))-1) &amp; ROW())/I4</f>
        <v>0.99750623441396513</v>
      </c>
      <c r="CR4" s="3">
        <v>4.0229999999999997</v>
      </c>
      <c r="CS4" s="3">
        <v>5.4999999701976776E-2</v>
      </c>
      <c r="CT4" s="3">
        <v>4.0119999999999996</v>
      </c>
      <c r="CU4" s="3">
        <v>4.01</v>
      </c>
    </row>
    <row r="5" spans="1:99" s="3" customFormat="1" x14ac:dyDescent="0.35">
      <c r="A5" s="2" t="s">
        <v>75</v>
      </c>
      <c r="B5" s="2">
        <v>2.8333333333333335</v>
      </c>
      <c r="C5" s="2" t="s">
        <v>167</v>
      </c>
      <c r="D5" s="2" t="s">
        <v>403</v>
      </c>
      <c r="F5" s="3">
        <v>4.0110000000000001</v>
      </c>
      <c r="G5" s="11" t="e">
        <v>#N/A</v>
      </c>
      <c r="H5" s="11" t="e">
        <v>#N/A</v>
      </c>
      <c r="I5" s="3" t="e">
        <v>#N/A</v>
      </c>
      <c r="K5" s="3">
        <f t="shared" ca="1" si="0"/>
        <v>0.98454250810271748</v>
      </c>
      <c r="L5" s="3" t="e">
        <f t="shared" ca="1" si="1"/>
        <v>#N/A</v>
      </c>
      <c r="M5" s="3" t="e">
        <f t="shared" ca="1" si="2"/>
        <v>#N/A</v>
      </c>
      <c r="N5" s="3" t="e">
        <f t="shared" ca="1" si="3"/>
        <v>#N/A</v>
      </c>
      <c r="P5" s="3">
        <f t="shared" ca="1" si="4"/>
        <v>0.61904763460634826</v>
      </c>
      <c r="Q5" s="3" t="e">
        <f t="shared" ca="1" si="5"/>
        <v>#N/A</v>
      </c>
      <c r="R5" s="3" t="e">
        <f t="shared" ca="1" si="6"/>
        <v>#N/A</v>
      </c>
      <c r="S5" s="3" t="e">
        <f t="shared" ca="1" si="7"/>
        <v>#N/A</v>
      </c>
      <c r="U5" s="3">
        <f t="shared" ca="1" si="8"/>
        <v>2.9917726252804786</v>
      </c>
      <c r="V5" s="3" t="e">
        <f t="shared" ca="1" si="9"/>
        <v>#N/A</v>
      </c>
      <c r="W5" s="3" t="e">
        <f t="shared" ca="1" si="10"/>
        <v>#N/A</v>
      </c>
      <c r="X5" s="3" t="e">
        <f t="shared" ca="1" si="11"/>
        <v>#N/A</v>
      </c>
      <c r="Z5" s="3">
        <f t="shared" ca="1" si="12"/>
        <v>0.95986038394415352</v>
      </c>
      <c r="AA5" s="3" t="e">
        <f t="shared" ca="1" si="13"/>
        <v>#N/A</v>
      </c>
      <c r="AB5" s="3" t="e">
        <f t="shared" ca="1" si="14"/>
        <v>#N/A</v>
      </c>
      <c r="AC5" s="3" t="e">
        <f t="shared" ca="1" si="15"/>
        <v>#N/A</v>
      </c>
      <c r="AE5" s="3">
        <f t="shared" ca="1" si="16"/>
        <v>0.61904763460634826</v>
      </c>
      <c r="AF5" s="3" t="e">
        <f t="shared" ca="1" si="17"/>
        <v>#N/A</v>
      </c>
      <c r="AG5" s="3" t="e">
        <f t="shared" ca="1" si="18"/>
        <v>#N/A</v>
      </c>
      <c r="AH5" s="3" t="e">
        <f t="shared" ca="1" si="19"/>
        <v>#N/A</v>
      </c>
      <c r="AJ5" s="3">
        <f t="shared" ca="1" si="20"/>
        <v>2.9917726252804786</v>
      </c>
      <c r="AK5" s="3" t="e">
        <f t="shared" ca="1" si="21"/>
        <v>#N/A</v>
      </c>
      <c r="AL5" s="3" t="e">
        <f t="shared" ca="1" si="22"/>
        <v>#N/A</v>
      </c>
      <c r="AM5" s="3" t="e">
        <f t="shared" ca="1" si="23"/>
        <v>#N/A</v>
      </c>
      <c r="AO5" s="3">
        <f t="shared" ca="1" si="24"/>
        <v>0.99725754176015957</v>
      </c>
      <c r="AP5" s="3" t="e">
        <f t="shared" ca="1" si="25"/>
        <v>#N/A</v>
      </c>
      <c r="AQ5" s="3" t="e">
        <f t="shared" ca="1" si="26"/>
        <v>#N/A</v>
      </c>
      <c r="AR5" s="3" t="e">
        <f t="shared" ca="1" si="27"/>
        <v>#N/A</v>
      </c>
      <c r="AT5" s="3">
        <v>1.0999999940395355E-2</v>
      </c>
      <c r="AU5" s="11" t="e">
        <v>#N/A</v>
      </c>
      <c r="AV5" s="11" t="e">
        <v>#N/A</v>
      </c>
      <c r="AW5" s="3">
        <v>1.4000000432133675E-2</v>
      </c>
      <c r="AY5" s="3">
        <f t="shared" ca="1" si="28"/>
        <v>6.6317626527050616E-2</v>
      </c>
      <c r="AZ5" s="3" t="e">
        <f t="shared" ca="1" si="29"/>
        <v>#N/A</v>
      </c>
      <c r="BA5" s="3" t="e">
        <f t="shared" ca="1" si="30"/>
        <v>#N/A</v>
      </c>
      <c r="BB5" s="3" t="e">
        <f t="shared" ca="1" si="31"/>
        <v>#N/A</v>
      </c>
      <c r="BD5" s="3">
        <f t="shared" ca="1" si="32"/>
        <v>8.3271032317681543E-2</v>
      </c>
      <c r="BE5" s="3" t="e">
        <f t="shared" ca="1" si="33"/>
        <v>#N/A</v>
      </c>
      <c r="BF5" s="3" t="e">
        <f t="shared" ca="1" si="34"/>
        <v>#N/A</v>
      </c>
      <c r="BG5" s="3" t="e">
        <f t="shared" ca="1" si="35"/>
        <v>#N/A</v>
      </c>
      <c r="BI5" s="3">
        <f t="shared" ca="1" si="36"/>
        <v>0.49862877088007979</v>
      </c>
      <c r="BJ5" s="3" t="e">
        <f t="shared" ca="1" si="37"/>
        <v>#N/A</v>
      </c>
      <c r="BK5" s="3" t="e">
        <f t="shared" ca="1" si="38"/>
        <v>#N/A</v>
      </c>
      <c r="BL5" s="3" t="e">
        <f t="shared" ca="1" si="39"/>
        <v>#N/A</v>
      </c>
      <c r="BN5" s="3">
        <f t="shared" ca="1" si="40"/>
        <v>0.74794315632011965</v>
      </c>
      <c r="BO5" s="3" t="e">
        <f t="shared" ca="1" si="41"/>
        <v>#N/A</v>
      </c>
      <c r="BP5" s="3" t="e">
        <f t="shared" ca="1" si="42"/>
        <v>#N/A</v>
      </c>
      <c r="BQ5" s="3" t="e">
        <f t="shared" ca="1" si="43"/>
        <v>#N/A</v>
      </c>
      <c r="BS5" s="3">
        <v>1.343999981880188</v>
      </c>
      <c r="BT5" s="11" t="e">
        <v>#N/A</v>
      </c>
      <c r="BU5" s="11" t="e">
        <v>#N/A</v>
      </c>
      <c r="BV5" s="3">
        <v>4.0410000000000004</v>
      </c>
      <c r="BX5" s="3">
        <f t="shared" ca="1" si="44"/>
        <v>0</v>
      </c>
      <c r="BY5" s="3" t="e">
        <f t="shared" ca="1" si="45"/>
        <v>#N/A</v>
      </c>
      <c r="BZ5" s="3" t="e">
        <f t="shared" ca="1" si="46"/>
        <v>#N/A</v>
      </c>
      <c r="CA5" s="3" t="e">
        <f t="shared" ca="1" si="47"/>
        <v>#N/A</v>
      </c>
      <c r="CC5" s="3">
        <f t="shared" ca="1" si="48"/>
        <v>0</v>
      </c>
      <c r="CD5" s="3" t="e">
        <f t="shared" ca="1" si="49"/>
        <v>#N/A</v>
      </c>
      <c r="CE5" s="3" t="e">
        <f t="shared" ca="1" si="50"/>
        <v>#N/A</v>
      </c>
      <c r="CF5" s="3" t="e">
        <f t="shared" ca="1" si="51"/>
        <v>#N/A</v>
      </c>
      <c r="CH5" s="3">
        <f t="shared" ca="1" si="52"/>
        <v>0</v>
      </c>
      <c r="CI5" s="3" t="e">
        <f t="shared" ca="1" si="53"/>
        <v>#N/A</v>
      </c>
      <c r="CJ5" s="3" t="e">
        <f t="shared" ca="1" si="54"/>
        <v>#N/A</v>
      </c>
      <c r="CK5" s="3" t="e">
        <f t="shared" ca="1" si="55"/>
        <v>#N/A</v>
      </c>
      <c r="CM5" s="3">
        <f t="shared" ca="1" si="56"/>
        <v>0.24931438544003989</v>
      </c>
      <c r="CN5" s="3" t="e">
        <f t="shared" ca="1" si="57"/>
        <v>#N/A</v>
      </c>
      <c r="CO5" s="3" t="e">
        <f t="shared" ca="1" si="58"/>
        <v>#N/A</v>
      </c>
      <c r="CP5" s="3" t="e">
        <f t="shared" ca="1" si="59"/>
        <v>#N/A</v>
      </c>
      <c r="CR5" s="3">
        <v>4.0110000000000001</v>
      </c>
      <c r="CS5" s="11" t="e">
        <v>#N/A</v>
      </c>
      <c r="CT5" s="11" t="e">
        <v>#N/A</v>
      </c>
      <c r="CU5" s="3">
        <v>4.0410000000000004</v>
      </c>
    </row>
    <row r="6" spans="1:99" s="3" customFormat="1" x14ac:dyDescent="0.35">
      <c r="A6" s="2" t="s">
        <v>78</v>
      </c>
      <c r="B6" s="2">
        <v>3</v>
      </c>
      <c r="C6" s="2" t="s">
        <v>168</v>
      </c>
      <c r="D6" s="2" t="s">
        <v>403</v>
      </c>
      <c r="F6" s="11" t="e">
        <v>#N/A</v>
      </c>
      <c r="G6" s="11" t="e">
        <v>#N/A</v>
      </c>
      <c r="H6" s="3" t="e">
        <v>#N/A</v>
      </c>
      <c r="I6" s="11" t="e">
        <v>#N/A</v>
      </c>
      <c r="K6" s="3" t="e">
        <f t="shared" ca="1" si="0"/>
        <v>#N/A</v>
      </c>
      <c r="L6" s="3" t="e">
        <f t="shared" ca="1" si="1"/>
        <v>#N/A</v>
      </c>
      <c r="M6" s="3" t="e">
        <f t="shared" ca="1" si="2"/>
        <v>#N/A</v>
      </c>
      <c r="N6" s="3" t="e">
        <f t="shared" ca="1" si="3"/>
        <v>#N/A</v>
      </c>
      <c r="P6" s="3" t="e">
        <f t="shared" ca="1" si="4"/>
        <v>#N/A</v>
      </c>
      <c r="Q6" s="3" t="e">
        <f t="shared" ca="1" si="5"/>
        <v>#N/A</v>
      </c>
      <c r="R6" s="3" t="e">
        <f t="shared" ca="1" si="6"/>
        <v>#N/A</v>
      </c>
      <c r="S6" s="3" t="e">
        <f t="shared" ca="1" si="7"/>
        <v>#N/A</v>
      </c>
      <c r="U6" s="3" t="e">
        <f t="shared" ca="1" si="8"/>
        <v>#N/A</v>
      </c>
      <c r="V6" s="3" t="e">
        <f t="shared" ca="1" si="9"/>
        <v>#N/A</v>
      </c>
      <c r="W6" s="3" t="e">
        <f t="shared" ca="1" si="10"/>
        <v>#N/A</v>
      </c>
      <c r="X6" s="3" t="e">
        <f t="shared" ca="1" si="11"/>
        <v>#N/A</v>
      </c>
      <c r="Z6" s="3" t="e">
        <f t="shared" ca="1" si="12"/>
        <v>#N/A</v>
      </c>
      <c r="AA6" s="3" t="e">
        <f t="shared" ca="1" si="13"/>
        <v>#N/A</v>
      </c>
      <c r="AB6" s="3" t="e">
        <f t="shared" ca="1" si="14"/>
        <v>#N/A</v>
      </c>
      <c r="AC6" s="3" t="e">
        <f t="shared" ca="1" si="15"/>
        <v>#N/A</v>
      </c>
      <c r="AE6" s="3" t="e">
        <f t="shared" ca="1" si="16"/>
        <v>#N/A</v>
      </c>
      <c r="AF6" s="3" t="e">
        <f t="shared" ca="1" si="17"/>
        <v>#N/A</v>
      </c>
      <c r="AG6" s="3" t="e">
        <f t="shared" ca="1" si="18"/>
        <v>#N/A</v>
      </c>
      <c r="AH6" s="3" t="e">
        <f t="shared" ca="1" si="19"/>
        <v>#N/A</v>
      </c>
      <c r="AJ6" s="3" t="e">
        <f t="shared" ca="1" si="20"/>
        <v>#N/A</v>
      </c>
      <c r="AK6" s="3" t="e">
        <f t="shared" ca="1" si="21"/>
        <v>#N/A</v>
      </c>
      <c r="AL6" s="3" t="e">
        <f t="shared" ca="1" si="22"/>
        <v>#N/A</v>
      </c>
      <c r="AM6" s="3" t="e">
        <f t="shared" ca="1" si="23"/>
        <v>#N/A</v>
      </c>
      <c r="AO6" s="3" t="e">
        <f t="shared" ca="1" si="24"/>
        <v>#N/A</v>
      </c>
      <c r="AP6" s="3" t="e">
        <f t="shared" ca="1" si="25"/>
        <v>#N/A</v>
      </c>
      <c r="AQ6" s="3" t="e">
        <f t="shared" ca="1" si="26"/>
        <v>#N/A</v>
      </c>
      <c r="AR6" s="3" t="e">
        <f t="shared" ca="1" si="27"/>
        <v>#N/A</v>
      </c>
      <c r="AT6" s="11" t="e">
        <v>#N/A</v>
      </c>
      <c r="AU6" s="11" t="e">
        <v>#N/A</v>
      </c>
      <c r="AV6" s="11" t="e">
        <v>#N/A</v>
      </c>
      <c r="AW6" s="11" t="e">
        <v>#N/A</v>
      </c>
      <c r="AY6" s="3" t="e">
        <f t="shared" ca="1" si="28"/>
        <v>#N/A</v>
      </c>
      <c r="AZ6" s="3" t="e">
        <f t="shared" ca="1" si="29"/>
        <v>#N/A</v>
      </c>
      <c r="BA6" s="3" t="e">
        <f t="shared" ca="1" si="30"/>
        <v>#N/A</v>
      </c>
      <c r="BB6" s="3" t="e">
        <f t="shared" ca="1" si="31"/>
        <v>#N/A</v>
      </c>
      <c r="BD6" s="3" t="e">
        <f t="shared" ca="1" si="32"/>
        <v>#N/A</v>
      </c>
      <c r="BE6" s="3" t="e">
        <f t="shared" ca="1" si="33"/>
        <v>#N/A</v>
      </c>
      <c r="BF6" s="3" t="e">
        <f t="shared" ca="1" si="34"/>
        <v>#N/A</v>
      </c>
      <c r="BG6" s="3" t="e">
        <f t="shared" ca="1" si="35"/>
        <v>#N/A</v>
      </c>
      <c r="BI6" s="3" t="e">
        <f t="shared" ca="1" si="36"/>
        <v>#N/A</v>
      </c>
      <c r="BJ6" s="3" t="e">
        <f t="shared" ca="1" si="37"/>
        <v>#N/A</v>
      </c>
      <c r="BK6" s="3" t="e">
        <f t="shared" ca="1" si="38"/>
        <v>#N/A</v>
      </c>
      <c r="BL6" s="3" t="e">
        <f t="shared" ca="1" si="39"/>
        <v>#N/A</v>
      </c>
      <c r="BN6" s="3" t="e">
        <f t="shared" ca="1" si="40"/>
        <v>#N/A</v>
      </c>
      <c r="BO6" s="3" t="e">
        <f t="shared" ca="1" si="41"/>
        <v>#N/A</v>
      </c>
      <c r="BP6" s="3" t="e">
        <f t="shared" ca="1" si="42"/>
        <v>#N/A</v>
      </c>
      <c r="BQ6" s="3" t="e">
        <f t="shared" ca="1" si="43"/>
        <v>#N/A</v>
      </c>
      <c r="BS6" s="11" t="e">
        <v>#N/A</v>
      </c>
      <c r="BT6" s="11" t="e">
        <v>#N/A</v>
      </c>
      <c r="BU6" s="11" t="e">
        <v>#N/A</v>
      </c>
      <c r="BV6" s="11" t="e">
        <v>#N/A</v>
      </c>
      <c r="BX6" s="3" t="e">
        <f t="shared" ca="1" si="44"/>
        <v>#N/A</v>
      </c>
      <c r="BY6" s="3" t="e">
        <f t="shared" ca="1" si="45"/>
        <v>#N/A</v>
      </c>
      <c r="BZ6" s="3" t="e">
        <f t="shared" ca="1" si="46"/>
        <v>#N/A</v>
      </c>
      <c r="CA6" s="3" t="e">
        <f t="shared" ca="1" si="47"/>
        <v>#N/A</v>
      </c>
      <c r="CC6" s="3" t="e">
        <f t="shared" ca="1" si="48"/>
        <v>#N/A</v>
      </c>
      <c r="CD6" s="3" t="e">
        <f t="shared" ca="1" si="49"/>
        <v>#N/A</v>
      </c>
      <c r="CE6" s="3" t="e">
        <f t="shared" ca="1" si="50"/>
        <v>#N/A</v>
      </c>
      <c r="CF6" s="3" t="e">
        <f t="shared" ca="1" si="51"/>
        <v>#N/A</v>
      </c>
      <c r="CH6" s="3" t="e">
        <f t="shared" ca="1" si="52"/>
        <v>#N/A</v>
      </c>
      <c r="CI6" s="3" t="e">
        <f t="shared" ca="1" si="53"/>
        <v>#N/A</v>
      </c>
      <c r="CJ6" s="3" t="e">
        <f t="shared" ca="1" si="54"/>
        <v>#N/A</v>
      </c>
      <c r="CK6" s="3" t="e">
        <f t="shared" ca="1" si="55"/>
        <v>#N/A</v>
      </c>
      <c r="CM6" s="3" t="e">
        <f t="shared" ca="1" si="56"/>
        <v>#N/A</v>
      </c>
      <c r="CN6" s="3" t="e">
        <f t="shared" ca="1" si="57"/>
        <v>#N/A</v>
      </c>
      <c r="CO6" s="3" t="e">
        <f t="shared" ca="1" si="58"/>
        <v>#N/A</v>
      </c>
      <c r="CP6" s="3" t="e">
        <f t="shared" ca="1" si="59"/>
        <v>#N/A</v>
      </c>
      <c r="CR6" s="11" t="e">
        <v>#N/A</v>
      </c>
      <c r="CS6" s="11" t="e">
        <v>#N/A</v>
      </c>
      <c r="CT6" s="11" t="e">
        <v>#N/A</v>
      </c>
      <c r="CU6" s="11" t="e">
        <v>#N/A</v>
      </c>
    </row>
    <row r="7" spans="1:99" s="3" customFormat="1" x14ac:dyDescent="0.35">
      <c r="A7" s="2" t="s">
        <v>40</v>
      </c>
      <c r="B7" s="2">
        <v>3.1666666666666665</v>
      </c>
      <c r="C7" s="2" t="s">
        <v>168</v>
      </c>
      <c r="D7" s="2" t="s">
        <v>403</v>
      </c>
      <c r="F7" s="3" t="e">
        <v>#N/A</v>
      </c>
      <c r="G7" s="3">
        <v>4.016</v>
      </c>
      <c r="H7" s="3">
        <v>4.016</v>
      </c>
      <c r="I7" s="3">
        <v>4.016</v>
      </c>
      <c r="K7" s="3" t="e">
        <f t="shared" ca="1" si="0"/>
        <v>#N/A</v>
      </c>
      <c r="L7" s="3">
        <f t="shared" ca="1" si="1"/>
        <v>0.99601593625498008</v>
      </c>
      <c r="M7" s="3">
        <f t="shared" ca="1" si="2"/>
        <v>0.99576693227091628</v>
      </c>
      <c r="N7" s="3">
        <f t="shared" ca="1" si="3"/>
        <v>0.99601593625498008</v>
      </c>
      <c r="P7" s="3" t="e">
        <f t="shared" ca="1" si="4"/>
        <v>#N/A</v>
      </c>
      <c r="Q7" s="3">
        <f t="shared" ca="1" si="5"/>
        <v>0.89243035194180176</v>
      </c>
      <c r="R7" s="3">
        <f t="shared" ca="1" si="6"/>
        <v>0.93750005023947269</v>
      </c>
      <c r="S7" s="3">
        <f t="shared" ca="1" si="7"/>
        <v>0.84238052618619341</v>
      </c>
      <c r="U7" s="3" t="e">
        <f t="shared" ca="1" si="8"/>
        <v>#N/A</v>
      </c>
      <c r="V7" s="3">
        <f t="shared" ca="1" si="9"/>
        <v>2.4900398406374502</v>
      </c>
      <c r="W7" s="3">
        <f t="shared" ca="1" si="10"/>
        <v>2.241035856573705</v>
      </c>
      <c r="X7" s="3">
        <f t="shared" ca="1" si="11"/>
        <v>2.739043824701195</v>
      </c>
      <c r="Z7" s="3" t="e">
        <f t="shared" ca="1" si="12"/>
        <v>#N/A</v>
      </c>
      <c r="AA7" s="3">
        <f t="shared" ca="1" si="13"/>
        <v>0.99601593625498008</v>
      </c>
      <c r="AB7" s="3">
        <f t="shared" ca="1" si="14"/>
        <v>0.99576693227091628</v>
      </c>
      <c r="AC7" s="3">
        <f t="shared" ca="1" si="15"/>
        <v>0.8177290836653387</v>
      </c>
      <c r="AE7" s="3" t="e">
        <f t="shared" ca="1" si="16"/>
        <v>#N/A</v>
      </c>
      <c r="AF7" s="3">
        <f t="shared" ca="1" si="17"/>
        <v>0.89243035194180176</v>
      </c>
      <c r="AG7" s="3">
        <f t="shared" ca="1" si="18"/>
        <v>0.93750005023947269</v>
      </c>
      <c r="AH7" s="3">
        <f t="shared" ca="1" si="19"/>
        <v>0.74701199625281101</v>
      </c>
      <c r="AJ7" s="3" t="e">
        <f t="shared" ca="1" si="20"/>
        <v>#N/A</v>
      </c>
      <c r="AK7" s="3">
        <f t="shared" ca="1" si="21"/>
        <v>2.4900398406374502</v>
      </c>
      <c r="AL7" s="3">
        <f t="shared" ca="1" si="22"/>
        <v>2.241035856573705</v>
      </c>
      <c r="AM7" s="3">
        <f t="shared" ca="1" si="23"/>
        <v>2.4900398406374502</v>
      </c>
      <c r="AO7" s="3" t="e">
        <f t="shared" ca="1" si="24"/>
        <v>#N/A</v>
      </c>
      <c r="AP7" s="3">
        <f t="shared" ca="1" si="25"/>
        <v>0.24900398406374502</v>
      </c>
      <c r="AQ7" s="3">
        <f t="shared" ca="1" si="26"/>
        <v>0.24900398406374502</v>
      </c>
      <c r="AR7" s="3">
        <f t="shared" ca="1" si="27"/>
        <v>0.74701195219123506</v>
      </c>
      <c r="AT7" s="3">
        <v>1.6829999685287476</v>
      </c>
      <c r="AU7" s="3">
        <v>2.0000000949949026E-3</v>
      </c>
      <c r="AV7" s="3">
        <v>1.0999999940395355E-2</v>
      </c>
      <c r="AW7" s="3">
        <v>1.4000000432133675E-2</v>
      </c>
      <c r="AY7" s="3" t="e">
        <f t="shared" ca="1" si="28"/>
        <v>#N/A</v>
      </c>
      <c r="AZ7" s="3">
        <f t="shared" ca="1" si="29"/>
        <v>0.49800796812749015</v>
      </c>
      <c r="BA7" s="3">
        <f t="shared" ca="1" si="30"/>
        <v>0.29457171314741043</v>
      </c>
      <c r="BB7" s="3">
        <f t="shared" ca="1" si="31"/>
        <v>0.30702191235059756</v>
      </c>
      <c r="BD7" s="3" t="e">
        <f t="shared" ca="1" si="32"/>
        <v>#N/A</v>
      </c>
      <c r="BE7" s="3">
        <f t="shared" ca="1" si="33"/>
        <v>0.54332671828003998</v>
      </c>
      <c r="BF7" s="3">
        <f t="shared" ca="1" si="34"/>
        <v>0.34013945624172925</v>
      </c>
      <c r="BG7" s="3">
        <f t="shared" ca="1" si="35"/>
        <v>0.3486056311197015</v>
      </c>
      <c r="BI7" s="3" t="e">
        <f t="shared" ca="1" si="36"/>
        <v>#N/A</v>
      </c>
      <c r="BJ7" s="3">
        <f t="shared" ca="1" si="37"/>
        <v>1.2450199203187251</v>
      </c>
      <c r="BK7" s="3">
        <f t="shared" ca="1" si="38"/>
        <v>0.74701195219123506</v>
      </c>
      <c r="BL7" s="3">
        <f t="shared" ca="1" si="39"/>
        <v>0.99601593625498008</v>
      </c>
      <c r="BN7" s="3" t="e">
        <f t="shared" ca="1" si="40"/>
        <v>#N/A</v>
      </c>
      <c r="BO7" s="3">
        <f t="shared" ca="1" si="41"/>
        <v>1.2450199203187251</v>
      </c>
      <c r="BP7" s="3">
        <f t="shared" ca="1" si="42"/>
        <v>0.74701195219123506</v>
      </c>
      <c r="BQ7" s="3">
        <f t="shared" ca="1" si="43"/>
        <v>0.99601593625498008</v>
      </c>
      <c r="BS7" s="3">
        <v>1.6829999685287476</v>
      </c>
      <c r="BT7" s="3">
        <v>0.58600002527236938</v>
      </c>
      <c r="BU7" s="3">
        <v>1.5770000219345093</v>
      </c>
      <c r="BV7" s="3">
        <v>0.51399999856948853</v>
      </c>
      <c r="BX7" s="3" t="e">
        <f t="shared" ca="1" si="44"/>
        <v>#N/A</v>
      </c>
      <c r="BY7" s="3">
        <f t="shared" ca="1" si="45"/>
        <v>9.5617529880478086E-2</v>
      </c>
      <c r="BZ7" s="3">
        <f t="shared" ca="1" si="46"/>
        <v>0.12450199203187243</v>
      </c>
      <c r="CA7" s="3">
        <f t="shared" ca="1" si="47"/>
        <v>2.0916334661354584E-2</v>
      </c>
      <c r="CC7" s="3" t="e">
        <f t="shared" ca="1" si="48"/>
        <v>#N/A</v>
      </c>
      <c r="CD7" s="3">
        <f t="shared" ca="1" si="49"/>
        <v>9.5617531697206437E-2</v>
      </c>
      <c r="CE7" s="3">
        <f t="shared" ca="1" si="50"/>
        <v>0.15338644778645372</v>
      </c>
      <c r="CF7" s="3">
        <f t="shared" ca="1" si="51"/>
        <v>3.3366534231876237E-2</v>
      </c>
      <c r="CH7" s="3" t="e">
        <f t="shared" ca="1" si="52"/>
        <v>#N/A</v>
      </c>
      <c r="CI7" s="3">
        <f t="shared" ca="1" si="53"/>
        <v>0.24900398406374502</v>
      </c>
      <c r="CJ7" s="3">
        <f t="shared" ca="1" si="54"/>
        <v>0.24900398406374502</v>
      </c>
      <c r="CK7" s="3">
        <f t="shared" ca="1" si="55"/>
        <v>0.24900398406374502</v>
      </c>
      <c r="CM7" s="3" t="e">
        <f t="shared" ca="1" si="56"/>
        <v>#N/A</v>
      </c>
      <c r="CN7" s="3">
        <f t="shared" ca="1" si="57"/>
        <v>0.24900398406374502</v>
      </c>
      <c r="CO7" s="3">
        <f t="shared" ca="1" si="58"/>
        <v>0.49800796812749004</v>
      </c>
      <c r="CP7" s="3">
        <f t="shared" ca="1" si="59"/>
        <v>0.24900398406374502</v>
      </c>
      <c r="CR7" s="3">
        <v>2.3320000171661377</v>
      </c>
      <c r="CS7" s="3">
        <v>2.0000000949949026E-3</v>
      </c>
      <c r="CT7" s="3">
        <v>1.0999999940395355E-2</v>
      </c>
      <c r="CU7" s="3">
        <v>1.4000000432133675E-2</v>
      </c>
    </row>
    <row r="8" spans="1:99" s="3" customFormat="1" x14ac:dyDescent="0.35">
      <c r="A8" s="2" t="s">
        <v>47</v>
      </c>
      <c r="B8" s="2">
        <v>3.6666666666666665</v>
      </c>
      <c r="C8" s="2" t="s">
        <v>167</v>
      </c>
      <c r="D8" s="2" t="s">
        <v>403</v>
      </c>
      <c r="F8" s="3" t="e">
        <v>#N/A</v>
      </c>
      <c r="G8" s="3">
        <v>4.0110000000000001</v>
      </c>
      <c r="H8" s="3">
        <v>3.2359999999999998</v>
      </c>
      <c r="I8" s="3">
        <v>4.0060000000000002</v>
      </c>
      <c r="K8" s="3" t="e">
        <f t="shared" ca="1" si="0"/>
        <v>#N/A</v>
      </c>
      <c r="L8" s="3">
        <f t="shared" ca="1" si="1"/>
        <v>0.9970082273747195</v>
      </c>
      <c r="M8" s="3">
        <f t="shared" ca="1" si="2"/>
        <v>0.99907292954264526</v>
      </c>
      <c r="N8" s="3">
        <f t="shared" ca="1" si="3"/>
        <v>0.8277583624563154</v>
      </c>
      <c r="P8" s="3" t="e">
        <f t="shared" ca="1" si="4"/>
        <v>#N/A</v>
      </c>
      <c r="Q8" s="3">
        <f t="shared" ca="1" si="5"/>
        <v>0.94714531386134126</v>
      </c>
      <c r="R8" s="3">
        <f t="shared" ca="1" si="6"/>
        <v>0.78800991085462724</v>
      </c>
      <c r="S8" s="3">
        <f t="shared" ca="1" si="7"/>
        <v>0.74438339343858961</v>
      </c>
      <c r="U8" s="3" t="e">
        <f t="shared" ca="1" si="8"/>
        <v>#N/A</v>
      </c>
      <c r="V8" s="3">
        <f t="shared" ca="1" si="9"/>
        <v>2.2438294689603588</v>
      </c>
      <c r="W8" s="3">
        <f t="shared" ca="1" si="10"/>
        <v>2.781211372064277</v>
      </c>
      <c r="X8" s="3">
        <f t="shared" ca="1" si="11"/>
        <v>2.4962556165751373</v>
      </c>
      <c r="Z8" s="3" t="e">
        <f t="shared" ca="1" si="12"/>
        <v>#N/A</v>
      </c>
      <c r="AA8" s="3">
        <f t="shared" ca="1" si="13"/>
        <v>0.9970082273747195</v>
      </c>
      <c r="AB8" s="3">
        <f t="shared" ca="1" si="14"/>
        <v>0.76761433868974049</v>
      </c>
      <c r="AC8" s="3">
        <f t="shared" ca="1" si="15"/>
        <v>0.80279580629056402</v>
      </c>
      <c r="AE8" s="3" t="e">
        <f t="shared" ca="1" si="16"/>
        <v>#N/A</v>
      </c>
      <c r="AF8" s="3">
        <f t="shared" ca="1" si="17"/>
        <v>0.94714531386134126</v>
      </c>
      <c r="AG8" s="3">
        <f t="shared" ca="1" si="18"/>
        <v>0.71569840678178487</v>
      </c>
      <c r="AH8" s="3">
        <f t="shared" ca="1" si="19"/>
        <v>0.74438339343858961</v>
      </c>
      <c r="AJ8" s="3" t="e">
        <f t="shared" ca="1" si="20"/>
        <v>#N/A</v>
      </c>
      <c r="AK8" s="3">
        <f t="shared" ca="1" si="21"/>
        <v>2.2438294689603588</v>
      </c>
      <c r="AL8" s="3">
        <f t="shared" ca="1" si="22"/>
        <v>2.1631644004944377</v>
      </c>
      <c r="AM8" s="3">
        <f t="shared" ca="1" si="23"/>
        <v>2.4962556165751373</v>
      </c>
      <c r="AO8" s="3" t="e">
        <f t="shared" ca="1" si="24"/>
        <v>#N/A</v>
      </c>
      <c r="AP8" s="3">
        <f t="shared" ca="1" si="25"/>
        <v>0.24931438544003989</v>
      </c>
      <c r="AQ8" s="3">
        <f t="shared" ca="1" si="26"/>
        <v>0.92707045735475901</v>
      </c>
      <c r="AR8" s="3">
        <f t="shared" ca="1" si="27"/>
        <v>0.49925112331502741</v>
      </c>
      <c r="AT8" s="11" t="e">
        <v>#N/A</v>
      </c>
      <c r="AU8" s="3">
        <v>4.0000001899898052E-3</v>
      </c>
      <c r="AV8" s="3">
        <v>0.58600002527236938</v>
      </c>
      <c r="AW8" s="3">
        <v>0.70899999141693115</v>
      </c>
      <c r="AY8" s="3" t="e">
        <f t="shared" ca="1" si="28"/>
        <v>#N/A</v>
      </c>
      <c r="AZ8" s="3">
        <f t="shared" ca="1" si="29"/>
        <v>0.17028172525554736</v>
      </c>
      <c r="BA8" s="3">
        <f t="shared" ca="1" si="30"/>
        <v>0.31427688504326329</v>
      </c>
      <c r="BB8" s="3">
        <f t="shared" ca="1" si="31"/>
        <v>0.47453819271093362</v>
      </c>
      <c r="BD8" s="3" t="e">
        <f t="shared" ca="1" si="32"/>
        <v>#N/A</v>
      </c>
      <c r="BE8" s="3">
        <f t="shared" ca="1" si="33"/>
        <v>0.15382691233332274</v>
      </c>
      <c r="BF8" s="3">
        <f t="shared" ca="1" si="34"/>
        <v>0.34517926545019351</v>
      </c>
      <c r="BG8" s="3">
        <f t="shared" ca="1" si="35"/>
        <v>0.50349471810693691</v>
      </c>
      <c r="BI8" s="3" t="e">
        <f t="shared" ca="1" si="36"/>
        <v>#N/A</v>
      </c>
      <c r="BJ8" s="3">
        <f t="shared" ca="1" si="37"/>
        <v>0.49862877088007979</v>
      </c>
      <c r="BK8" s="3">
        <f t="shared" ca="1" si="38"/>
        <v>0.92707045735475901</v>
      </c>
      <c r="BL8" s="3">
        <f t="shared" ca="1" si="39"/>
        <v>1.4977533699450822</v>
      </c>
      <c r="BN8" s="3" t="e">
        <f t="shared" ca="1" si="40"/>
        <v>#N/A</v>
      </c>
      <c r="BO8" s="3">
        <f t="shared" ca="1" si="41"/>
        <v>0.99725754176015957</v>
      </c>
      <c r="BP8" s="3">
        <f t="shared" ca="1" si="42"/>
        <v>0.61804697156983934</v>
      </c>
      <c r="BQ8" s="3">
        <f t="shared" ca="1" si="43"/>
        <v>1.4977533699450822</v>
      </c>
      <c r="BS8" s="11" t="e">
        <v>#N/A</v>
      </c>
      <c r="BT8" s="3">
        <v>1.0870000123977661</v>
      </c>
      <c r="BU8" s="3">
        <v>0.78600001335144043</v>
      </c>
      <c r="BV8" s="3">
        <v>0.70899999141693115</v>
      </c>
      <c r="BX8" s="3" t="e">
        <f t="shared" ca="1" si="44"/>
        <v>#N/A</v>
      </c>
      <c r="BY8" s="3">
        <f t="shared" ca="1" si="45"/>
        <v>0.35302916978309645</v>
      </c>
      <c r="BZ8" s="3">
        <f t="shared" ca="1" si="46"/>
        <v>8.2200247218788589E-2</v>
      </c>
      <c r="CA8" s="3">
        <f t="shared" ca="1" si="47"/>
        <v>0</v>
      </c>
      <c r="CC8" s="3" t="e">
        <f t="shared" ca="1" si="48"/>
        <v>#N/A</v>
      </c>
      <c r="CD8" s="3">
        <f t="shared" ca="1" si="49"/>
        <v>0.35701821214765334</v>
      </c>
      <c r="CE8" s="3">
        <f t="shared" ca="1" si="50"/>
        <v>5.6551325011754361E-2</v>
      </c>
      <c r="CF8" s="3">
        <f t="shared" ca="1" si="51"/>
        <v>0</v>
      </c>
      <c r="CH8" s="3" t="e">
        <f t="shared" ca="1" si="52"/>
        <v>#N/A</v>
      </c>
      <c r="CI8" s="3">
        <f t="shared" ca="1" si="53"/>
        <v>0.49862877088007979</v>
      </c>
      <c r="CJ8" s="3">
        <f t="shared" ca="1" si="54"/>
        <v>0.30902348578491967</v>
      </c>
      <c r="CK8" s="3">
        <f t="shared" ca="1" si="55"/>
        <v>0</v>
      </c>
      <c r="CM8" s="3" t="e">
        <f t="shared" ca="1" si="56"/>
        <v>#N/A</v>
      </c>
      <c r="CN8" s="3">
        <f t="shared" ca="1" si="57"/>
        <v>0.49862877088007979</v>
      </c>
      <c r="CO8" s="3">
        <f t="shared" ca="1" si="58"/>
        <v>1.2360939431396787</v>
      </c>
      <c r="CP8" s="3">
        <f t="shared" ca="1" si="59"/>
        <v>0</v>
      </c>
      <c r="CR8" s="11" t="e">
        <v>#N/A</v>
      </c>
      <c r="CS8" s="3">
        <v>4.0000001899898052E-3</v>
      </c>
      <c r="CT8" s="3">
        <v>2.0529999732971191</v>
      </c>
      <c r="CU8" s="3">
        <v>4.0060000000000002</v>
      </c>
    </row>
    <row r="9" spans="1:99" s="3" customFormat="1" x14ac:dyDescent="0.35">
      <c r="A9" s="2" t="s">
        <v>53</v>
      </c>
      <c r="B9" s="2">
        <v>3.6666666666666665</v>
      </c>
      <c r="C9" s="2" t="s">
        <v>167</v>
      </c>
      <c r="D9" s="2" t="s">
        <v>403</v>
      </c>
      <c r="F9" s="3">
        <v>4.0039999999999996</v>
      </c>
      <c r="G9" s="3">
        <v>4.0010000000000003</v>
      </c>
      <c r="H9" s="3" t="e">
        <v>#N/A</v>
      </c>
      <c r="I9" s="3">
        <v>4.01</v>
      </c>
      <c r="K9" s="3">
        <f t="shared" ca="1" si="0"/>
        <v>0.99450549450549464</v>
      </c>
      <c r="L9" s="3">
        <f t="shared" ca="1" si="1"/>
        <v>0.99550112471882024</v>
      </c>
      <c r="M9" s="3" t="e">
        <f t="shared" ca="1" si="2"/>
        <v>#N/A</v>
      </c>
      <c r="N9" s="3">
        <f t="shared" ca="1" si="3"/>
        <v>0.99750623441396513</v>
      </c>
      <c r="P9" s="3">
        <f t="shared" ca="1" si="4"/>
        <v>0.88686312127348554</v>
      </c>
      <c r="Q9" s="3">
        <f t="shared" ca="1" si="5"/>
        <v>0.95401151011255902</v>
      </c>
      <c r="R9" s="3" t="e">
        <f t="shared" ca="1" si="6"/>
        <v>#N/A</v>
      </c>
      <c r="S9" s="3">
        <f t="shared" ca="1" si="7"/>
        <v>0.93092276782094696</v>
      </c>
      <c r="U9" s="3">
        <f t="shared" ca="1" si="8"/>
        <v>1.7482517482517483</v>
      </c>
      <c r="V9" s="3">
        <f t="shared" ca="1" si="9"/>
        <v>1.9995001249687576</v>
      </c>
      <c r="W9" s="3" t="e">
        <f t="shared" ca="1" si="10"/>
        <v>#N/A</v>
      </c>
      <c r="X9" s="3">
        <f t="shared" ca="1" si="11"/>
        <v>2.9925187032418954</v>
      </c>
      <c r="Z9" s="3">
        <f t="shared" ca="1" si="12"/>
        <v>0.99450549450549464</v>
      </c>
      <c r="AA9" s="3">
        <f t="shared" ca="1" si="13"/>
        <v>0.99550112471882024</v>
      </c>
      <c r="AB9" s="3" t="e">
        <f t="shared" ca="1" si="14"/>
        <v>#N/A</v>
      </c>
      <c r="AC9" s="3">
        <f t="shared" ca="1" si="15"/>
        <v>0.99750623441396513</v>
      </c>
      <c r="AE9" s="3">
        <f t="shared" ca="1" si="16"/>
        <v>0.88686312127348554</v>
      </c>
      <c r="AF9" s="3">
        <f t="shared" ca="1" si="17"/>
        <v>0.95401151011255902</v>
      </c>
      <c r="AG9" s="3" t="e">
        <f t="shared" ca="1" si="18"/>
        <v>#N/A</v>
      </c>
      <c r="AH9" s="3">
        <f t="shared" ca="1" si="19"/>
        <v>0.93092276782094696</v>
      </c>
      <c r="AJ9" s="3">
        <f t="shared" ca="1" si="20"/>
        <v>1.7482517482517483</v>
      </c>
      <c r="AK9" s="3">
        <f t="shared" ca="1" si="21"/>
        <v>1.9995001249687576</v>
      </c>
      <c r="AL9" s="3" t="e">
        <f t="shared" ca="1" si="22"/>
        <v>#N/A</v>
      </c>
      <c r="AM9" s="3">
        <f t="shared" ca="1" si="23"/>
        <v>2.9925187032418954</v>
      </c>
      <c r="AO9" s="3">
        <f t="shared" ca="1" si="24"/>
        <v>0.24975024975024979</v>
      </c>
      <c r="AP9" s="3">
        <f t="shared" ca="1" si="25"/>
        <v>0.2499375156210947</v>
      </c>
      <c r="AQ9" s="3" t="e">
        <f t="shared" ca="1" si="26"/>
        <v>#N/A</v>
      </c>
      <c r="AR9" s="3">
        <f t="shared" ca="1" si="27"/>
        <v>0.24937655860349128</v>
      </c>
      <c r="AT9" s="3">
        <v>1.4000000432133675E-2</v>
      </c>
      <c r="AU9" s="3">
        <v>9.9999997764825821E-3</v>
      </c>
      <c r="AV9" s="11" t="e">
        <v>#N/A</v>
      </c>
      <c r="AW9" s="3">
        <v>9.9999997764825821E-3</v>
      </c>
      <c r="AY9" s="3">
        <f t="shared" ca="1" si="28"/>
        <v>0.71603396603396618</v>
      </c>
      <c r="AZ9" s="3">
        <f t="shared" ca="1" si="29"/>
        <v>0.53311672081979511</v>
      </c>
      <c r="BA9" s="3" t="e">
        <f t="shared" ca="1" si="30"/>
        <v>#N/A</v>
      </c>
      <c r="BB9" s="3">
        <f t="shared" ca="1" si="31"/>
        <v>0.41571072319201996</v>
      </c>
      <c r="BD9" s="3">
        <f t="shared" ca="1" si="32"/>
        <v>0.60389608472258183</v>
      </c>
      <c r="BE9" s="3">
        <f t="shared" ca="1" si="33"/>
        <v>0.57060734625608733</v>
      </c>
      <c r="BF9" s="3" t="e">
        <f t="shared" ca="1" si="34"/>
        <v>#N/A</v>
      </c>
      <c r="BG9" s="3">
        <f t="shared" ca="1" si="35"/>
        <v>0.42394016151713615</v>
      </c>
      <c r="BI9" s="3">
        <f t="shared" ca="1" si="36"/>
        <v>0.99900099900099915</v>
      </c>
      <c r="BJ9" s="3">
        <f t="shared" ca="1" si="37"/>
        <v>0.99975006248437881</v>
      </c>
      <c r="BK9" s="3" t="e">
        <f t="shared" ca="1" si="38"/>
        <v>#N/A</v>
      </c>
      <c r="BL9" s="3">
        <f t="shared" ca="1" si="39"/>
        <v>1.2468827930174564</v>
      </c>
      <c r="BN9" s="3">
        <f t="shared" ca="1" si="40"/>
        <v>0.99900099900099915</v>
      </c>
      <c r="BO9" s="3">
        <f t="shared" ca="1" si="41"/>
        <v>0.74981254686328414</v>
      </c>
      <c r="BP9" s="3" t="e">
        <f t="shared" ca="1" si="42"/>
        <v>#N/A</v>
      </c>
      <c r="BQ9" s="3">
        <f t="shared" ca="1" si="43"/>
        <v>0.99750623441396513</v>
      </c>
      <c r="BS9" s="3">
        <v>0.6470000147819519</v>
      </c>
      <c r="BT9" s="3">
        <v>0.47699999809265137</v>
      </c>
      <c r="BU9" s="11" t="e">
        <v>#N/A</v>
      </c>
      <c r="BV9" s="3">
        <v>0.50999999046325684</v>
      </c>
      <c r="BX9" s="3">
        <f t="shared" ca="1" si="44"/>
        <v>0</v>
      </c>
      <c r="BY9" s="3">
        <f t="shared" ca="1" si="45"/>
        <v>9.9975006248437887E-2</v>
      </c>
      <c r="BZ9" s="3" t="e">
        <f t="shared" ca="1" si="46"/>
        <v>#N/A</v>
      </c>
      <c r="CA9" s="3">
        <f t="shared" ca="1" si="47"/>
        <v>0.10374064837905235</v>
      </c>
      <c r="CC9" s="3">
        <f t="shared" ca="1" si="48"/>
        <v>0</v>
      </c>
      <c r="CD9" s="3">
        <f t="shared" ca="1" si="49"/>
        <v>9.9975005410457063E-2</v>
      </c>
      <c r="CE9" s="3" t="e">
        <f t="shared" ca="1" si="50"/>
        <v>#N/A</v>
      </c>
      <c r="CF9" s="3">
        <f t="shared" ca="1" si="51"/>
        <v>9.5511255716147866E-2</v>
      </c>
      <c r="CH9" s="3">
        <f t="shared" ca="1" si="52"/>
        <v>0</v>
      </c>
      <c r="CI9" s="3">
        <f t="shared" ca="1" si="53"/>
        <v>0.2499375156210947</v>
      </c>
      <c r="CJ9" s="3" t="e">
        <f t="shared" ca="1" si="54"/>
        <v>#N/A</v>
      </c>
      <c r="CK9" s="3">
        <f t="shared" ca="1" si="55"/>
        <v>0.24937655860349128</v>
      </c>
      <c r="CM9" s="3">
        <f t="shared" ca="1" si="56"/>
        <v>0</v>
      </c>
      <c r="CN9" s="3">
        <f t="shared" ca="1" si="57"/>
        <v>0.2499375156210947</v>
      </c>
      <c r="CO9" s="3" t="e">
        <f t="shared" ca="1" si="58"/>
        <v>#N/A</v>
      </c>
      <c r="CP9" s="3">
        <f t="shared" ca="1" si="59"/>
        <v>0.24937655860349128</v>
      </c>
      <c r="CR9" s="3">
        <v>4.0039999999999996</v>
      </c>
      <c r="CS9" s="3">
        <v>9.9999997764825821E-3</v>
      </c>
      <c r="CT9" s="11" t="e">
        <v>#N/A</v>
      </c>
      <c r="CU9" s="3">
        <v>3.3599998950958252</v>
      </c>
    </row>
    <row r="10" spans="1:99" s="3" customFormat="1" x14ac:dyDescent="0.35">
      <c r="A10" s="2" t="s">
        <v>14</v>
      </c>
      <c r="B10" s="2">
        <v>3.75</v>
      </c>
      <c r="C10" s="2" t="s">
        <v>168</v>
      </c>
      <c r="D10" s="2" t="s">
        <v>403</v>
      </c>
      <c r="F10" s="3" t="e">
        <v>#N/A</v>
      </c>
      <c r="G10" s="3" t="e">
        <v>#N/A</v>
      </c>
      <c r="H10" s="3" t="e">
        <v>#N/A</v>
      </c>
      <c r="I10" s="3">
        <v>4.0209999999999999</v>
      </c>
      <c r="K10" s="3" t="e">
        <f t="shared" ca="1" si="0"/>
        <v>#N/A</v>
      </c>
      <c r="L10" s="3" t="e">
        <f t="shared" ca="1" si="1"/>
        <v>#N/A</v>
      </c>
      <c r="M10" s="3" t="e">
        <f t="shared" ca="1" si="2"/>
        <v>#N/A</v>
      </c>
      <c r="N10" s="3">
        <f t="shared" ca="1" si="3"/>
        <v>0.99875652822680927</v>
      </c>
      <c r="P10" s="3" t="e">
        <f t="shared" ca="1" si="4"/>
        <v>#N/A</v>
      </c>
      <c r="Q10" s="3" t="e">
        <f t="shared" ca="1" si="5"/>
        <v>#N/A</v>
      </c>
      <c r="R10" s="3" t="e">
        <f t="shared" ca="1" si="6"/>
        <v>#N/A</v>
      </c>
      <c r="S10" s="3">
        <f t="shared" ca="1" si="7"/>
        <v>0.79109676812725171</v>
      </c>
      <c r="U10" s="3" t="e">
        <f t="shared" ca="1" si="8"/>
        <v>#N/A</v>
      </c>
      <c r="V10" s="3" t="e">
        <f t="shared" ca="1" si="9"/>
        <v>#N/A</v>
      </c>
      <c r="W10" s="3" t="e">
        <f t="shared" ca="1" si="10"/>
        <v>#N/A</v>
      </c>
      <c r="X10" s="3">
        <f t="shared" ca="1" si="11"/>
        <v>2.9843322556577965</v>
      </c>
      <c r="Z10" s="3" t="e">
        <f t="shared" ca="1" si="12"/>
        <v>#N/A</v>
      </c>
      <c r="AA10" s="3" t="e">
        <f t="shared" ca="1" si="13"/>
        <v>#N/A</v>
      </c>
      <c r="AB10" s="3" t="e">
        <f t="shared" ca="1" si="14"/>
        <v>#N/A</v>
      </c>
      <c r="AC10" s="3">
        <f t="shared" ca="1" si="15"/>
        <v>0.73339965182790356</v>
      </c>
      <c r="AE10" s="3" t="e">
        <f t="shared" ca="1" si="16"/>
        <v>#N/A</v>
      </c>
      <c r="AF10" s="3" t="e">
        <f t="shared" ca="1" si="17"/>
        <v>#N/A</v>
      </c>
      <c r="AG10" s="3" t="e">
        <f t="shared" ca="1" si="18"/>
        <v>#N/A</v>
      </c>
      <c r="AH10" s="3">
        <f t="shared" ca="1" si="19"/>
        <v>0.62521761982754764</v>
      </c>
      <c r="AJ10" s="3" t="e">
        <f t="shared" ca="1" si="20"/>
        <v>#N/A</v>
      </c>
      <c r="AK10" s="3" t="e">
        <f t="shared" ca="1" si="21"/>
        <v>#N/A</v>
      </c>
      <c r="AL10" s="3" t="e">
        <f t="shared" ca="1" si="22"/>
        <v>#N/A</v>
      </c>
      <c r="AM10" s="3">
        <f t="shared" ca="1" si="23"/>
        <v>2.4869435463814971</v>
      </c>
      <c r="AO10" s="3" t="e">
        <f t="shared" ca="1" si="24"/>
        <v>#N/A</v>
      </c>
      <c r="AP10" s="3" t="e">
        <f t="shared" ca="1" si="25"/>
        <v>#N/A</v>
      </c>
      <c r="AQ10" s="3" t="e">
        <f t="shared" ca="1" si="26"/>
        <v>#N/A</v>
      </c>
      <c r="AR10" s="3">
        <f t="shared" ca="1" si="27"/>
        <v>1.2434717731907485</v>
      </c>
      <c r="AT10" s="11" t="e">
        <v>#N/A</v>
      </c>
      <c r="AU10" s="11" t="e">
        <v>#N/A</v>
      </c>
      <c r="AV10" s="3">
        <v>1.0999999940395355E-2</v>
      </c>
      <c r="AW10" s="3">
        <v>3.0000000260770321E-3</v>
      </c>
      <c r="AY10" s="3" t="e">
        <f t="shared" ca="1" si="28"/>
        <v>#N/A</v>
      </c>
      <c r="AZ10" s="3" t="e">
        <f t="shared" ca="1" si="29"/>
        <v>#N/A</v>
      </c>
      <c r="BA10" s="3" t="e">
        <f t="shared" ca="1" si="30"/>
        <v>#N/A</v>
      </c>
      <c r="BB10" s="3">
        <f t="shared" ca="1" si="31"/>
        <v>0.18279035065904006</v>
      </c>
      <c r="BD10" s="3" t="e">
        <f t="shared" ca="1" si="32"/>
        <v>#N/A</v>
      </c>
      <c r="BE10" s="3" t="e">
        <f t="shared" ca="1" si="33"/>
        <v>#N/A</v>
      </c>
      <c r="BF10" s="3" t="e">
        <f t="shared" ca="1" si="34"/>
        <v>#N/A</v>
      </c>
      <c r="BG10" s="3">
        <f t="shared" ca="1" si="35"/>
        <v>0.24446656057058475</v>
      </c>
      <c r="BI10" s="3" t="e">
        <f t="shared" ca="1" si="36"/>
        <v>#N/A</v>
      </c>
      <c r="BJ10" s="3" t="e">
        <f t="shared" ca="1" si="37"/>
        <v>#N/A</v>
      </c>
      <c r="BK10" s="3" t="e">
        <f t="shared" ca="1" si="38"/>
        <v>#N/A</v>
      </c>
      <c r="BL10" s="3">
        <f t="shared" ca="1" si="39"/>
        <v>0.74608306391444912</v>
      </c>
      <c r="BN10" s="3" t="e">
        <f t="shared" ca="1" si="40"/>
        <v>#N/A</v>
      </c>
      <c r="BO10" s="3" t="e">
        <f t="shared" ca="1" si="41"/>
        <v>#N/A</v>
      </c>
      <c r="BP10" s="3" t="e">
        <f t="shared" ca="1" si="42"/>
        <v>#N/A</v>
      </c>
      <c r="BQ10" s="3">
        <f t="shared" ca="1" si="43"/>
        <v>1.4921661278288982</v>
      </c>
      <c r="BS10" s="11" t="e">
        <v>#N/A</v>
      </c>
      <c r="BT10" s="11" t="e">
        <v>#N/A</v>
      </c>
      <c r="BU10" s="3">
        <v>4.0259999999999998</v>
      </c>
      <c r="BV10" s="3">
        <v>0.43599998950958252</v>
      </c>
      <c r="BX10" s="3" t="e">
        <f t="shared" ca="1" si="44"/>
        <v>#N/A</v>
      </c>
      <c r="BY10" s="3" t="e">
        <f t="shared" ca="1" si="45"/>
        <v>#N/A</v>
      </c>
      <c r="BZ10" s="3" t="e">
        <f t="shared" ca="1" si="46"/>
        <v>#N/A</v>
      </c>
      <c r="CA10" s="3">
        <f t="shared" ca="1" si="47"/>
        <v>6.6152698333747831E-2</v>
      </c>
      <c r="CC10" s="3" t="e">
        <f t="shared" ca="1" si="48"/>
        <v>#N/A</v>
      </c>
      <c r="CD10" s="3" t="e">
        <f t="shared" ca="1" si="49"/>
        <v>#N/A</v>
      </c>
      <c r="CE10" s="3" t="e">
        <f t="shared" ca="1" si="50"/>
        <v>#N/A</v>
      </c>
      <c r="CF10" s="3">
        <f t="shared" ca="1" si="51"/>
        <v>0</v>
      </c>
      <c r="CH10" s="3" t="e">
        <f t="shared" ca="1" si="52"/>
        <v>#N/A</v>
      </c>
      <c r="CI10" s="3" t="e">
        <f t="shared" ca="1" si="53"/>
        <v>#N/A</v>
      </c>
      <c r="CJ10" s="3" t="e">
        <f t="shared" ca="1" si="54"/>
        <v>#N/A</v>
      </c>
      <c r="CK10" s="3">
        <f t="shared" ca="1" si="55"/>
        <v>0</v>
      </c>
      <c r="CM10" s="3" t="e">
        <f t="shared" ca="1" si="56"/>
        <v>#N/A</v>
      </c>
      <c r="CN10" s="3" t="e">
        <f t="shared" ca="1" si="57"/>
        <v>#N/A</v>
      </c>
      <c r="CO10" s="3" t="e">
        <f t="shared" ca="1" si="58"/>
        <v>#N/A</v>
      </c>
      <c r="CP10" s="3">
        <f t="shared" ca="1" si="59"/>
        <v>0.74608306391444912</v>
      </c>
      <c r="CR10" s="11" t="e">
        <v>#N/A</v>
      </c>
      <c r="CS10" s="11" t="e">
        <v>#N/A</v>
      </c>
      <c r="CT10" s="3">
        <v>4.0259999999999998</v>
      </c>
      <c r="CU10" s="3">
        <v>4.0209999999999999</v>
      </c>
    </row>
    <row r="11" spans="1:99" s="3" customFormat="1" x14ac:dyDescent="0.35">
      <c r="A11" s="2" t="s">
        <v>38</v>
      </c>
      <c r="B11" s="2">
        <v>3.8333333333333335</v>
      </c>
      <c r="C11" s="2" t="s">
        <v>167</v>
      </c>
      <c r="D11" s="2" t="s">
        <v>403</v>
      </c>
      <c r="F11" s="3">
        <v>3.1909999999999998</v>
      </c>
      <c r="G11" s="3">
        <v>3.1659999999999999</v>
      </c>
      <c r="H11" s="3">
        <v>4.0069999999999997</v>
      </c>
      <c r="I11" s="3">
        <v>4.016</v>
      </c>
      <c r="K11" s="3">
        <f t="shared" ca="1" si="0"/>
        <v>0.90347853337511752</v>
      </c>
      <c r="L11" s="3">
        <f t="shared" ca="1" si="1"/>
        <v>0.97883765003158552</v>
      </c>
      <c r="M11" s="3">
        <f t="shared" ca="1" si="2"/>
        <v>0.93137010232093842</v>
      </c>
      <c r="N11" s="3">
        <f t="shared" ca="1" si="3"/>
        <v>0.63894422310756971</v>
      </c>
      <c r="P11" s="3">
        <f t="shared" ca="1" si="4"/>
        <v>0.89251020043593376</v>
      </c>
      <c r="Q11" s="3">
        <f t="shared" ca="1" si="5"/>
        <v>0.60012640251495086</v>
      </c>
      <c r="R11" s="3">
        <f t="shared" ca="1" si="6"/>
        <v>0.81033194667722697</v>
      </c>
      <c r="S11" s="3">
        <f t="shared" ca="1" si="7"/>
        <v>0.58491017476495988</v>
      </c>
      <c r="U11" s="3">
        <f t="shared" ca="1" si="8"/>
        <v>1.8802883108743342</v>
      </c>
      <c r="V11" s="3">
        <f t="shared" ca="1" si="9"/>
        <v>2.2109917877447884</v>
      </c>
      <c r="W11" s="3">
        <f t="shared" ca="1" si="10"/>
        <v>2.9947591714499628</v>
      </c>
      <c r="X11" s="3">
        <f t="shared" ca="1" si="11"/>
        <v>2.241035856573705</v>
      </c>
      <c r="Z11" s="3">
        <f t="shared" ca="1" si="12"/>
        <v>0.99717956753368853</v>
      </c>
      <c r="AA11" s="3">
        <f t="shared" ca="1" si="13"/>
        <v>0.88408085912823753</v>
      </c>
      <c r="AB11" s="3">
        <f t="shared" ca="1" si="14"/>
        <v>0.9146493636136761</v>
      </c>
      <c r="AC11" s="3">
        <f t="shared" ca="1" si="15"/>
        <v>0.37350597609561742</v>
      </c>
      <c r="AE11" s="3">
        <f t="shared" ca="1" si="16"/>
        <v>0.89251020043593376</v>
      </c>
      <c r="AF11" s="3">
        <f t="shared" ca="1" si="17"/>
        <v>0.60012640251495086</v>
      </c>
      <c r="AG11" s="3">
        <f t="shared" ca="1" si="18"/>
        <v>0.81033194667722697</v>
      </c>
      <c r="AH11" s="3">
        <f t="shared" ca="1" si="19"/>
        <v>0.34013936719096516</v>
      </c>
      <c r="AJ11" s="3">
        <f t="shared" ca="1" si="20"/>
        <v>1.8802883108743342</v>
      </c>
      <c r="AK11" s="3">
        <f t="shared" ca="1" si="21"/>
        <v>2.2109917877447884</v>
      </c>
      <c r="AL11" s="3">
        <f t="shared" ca="1" si="22"/>
        <v>2.9947591714499628</v>
      </c>
      <c r="AM11" s="3">
        <f t="shared" ca="1" si="23"/>
        <v>1.4940239043824701</v>
      </c>
      <c r="AO11" s="3">
        <f t="shared" ca="1" si="24"/>
        <v>0.31338138514572234</v>
      </c>
      <c r="AP11" s="3">
        <f t="shared" ca="1" si="25"/>
        <v>0.94756790903348076</v>
      </c>
      <c r="AQ11" s="3">
        <f t="shared" ca="1" si="26"/>
        <v>0.24956326428749689</v>
      </c>
      <c r="AR11" s="3">
        <f t="shared" ca="1" si="27"/>
        <v>0.49800796812749004</v>
      </c>
      <c r="AT11" s="3">
        <v>0.81099998950958252</v>
      </c>
      <c r="AU11" s="3">
        <v>2.500000037252903E-2</v>
      </c>
      <c r="AV11" s="3">
        <v>6.0000000521540642E-3</v>
      </c>
      <c r="AW11" s="3">
        <v>0.74900001287460327</v>
      </c>
      <c r="AY11" s="3">
        <f t="shared" ca="1" si="28"/>
        <v>0</v>
      </c>
      <c r="AZ11" s="3">
        <f t="shared" ca="1" si="29"/>
        <v>0</v>
      </c>
      <c r="BA11" s="3">
        <f t="shared" ca="1" si="30"/>
        <v>0</v>
      </c>
      <c r="BB11" s="3">
        <f t="shared" ca="1" si="31"/>
        <v>3.7350597609561734E-2</v>
      </c>
      <c r="BD11" s="3">
        <f t="shared" ca="1" si="32"/>
        <v>0</v>
      </c>
      <c r="BE11" s="3">
        <f t="shared" ca="1" si="33"/>
        <v>0</v>
      </c>
      <c r="BF11" s="3">
        <f t="shared" ca="1" si="34"/>
        <v>0</v>
      </c>
      <c r="BG11" s="3">
        <f t="shared" ca="1" si="35"/>
        <v>0</v>
      </c>
      <c r="BI11" s="3">
        <f t="shared" ca="1" si="36"/>
        <v>0</v>
      </c>
      <c r="BJ11" s="3">
        <f t="shared" ca="1" si="37"/>
        <v>0</v>
      </c>
      <c r="BK11" s="3">
        <f t="shared" ca="1" si="38"/>
        <v>0</v>
      </c>
      <c r="BL11" s="3">
        <f t="shared" ca="1" si="39"/>
        <v>0</v>
      </c>
      <c r="BN11" s="3">
        <f t="shared" ca="1" si="40"/>
        <v>0</v>
      </c>
      <c r="BO11" s="3">
        <f t="shared" ca="1" si="41"/>
        <v>0</v>
      </c>
      <c r="BP11" s="3">
        <f t="shared" ca="1" si="42"/>
        <v>0</v>
      </c>
      <c r="BQ11" s="3">
        <f t="shared" ca="1" si="43"/>
        <v>0.24900398406374502</v>
      </c>
      <c r="BS11" s="3">
        <v>4.0019999999999998</v>
      </c>
      <c r="BT11" s="3">
        <v>4.016</v>
      </c>
      <c r="BU11" s="3">
        <v>4.0069999999999997</v>
      </c>
      <c r="BV11" s="3">
        <v>4.016</v>
      </c>
      <c r="BX11" s="3">
        <f t="shared" ca="1" si="44"/>
        <v>0.1356941397680978</v>
      </c>
      <c r="BY11" s="3">
        <f t="shared" ca="1" si="45"/>
        <v>0.23152242577384699</v>
      </c>
      <c r="BZ11" s="3">
        <f t="shared" ca="1" si="46"/>
        <v>0.24956326428749676</v>
      </c>
      <c r="CA11" s="3">
        <f t="shared" ca="1" si="47"/>
        <v>0.18675298804780877</v>
      </c>
      <c r="CC11" s="3">
        <f t="shared" ca="1" si="48"/>
        <v>0</v>
      </c>
      <c r="CD11" s="3">
        <f t="shared" ca="1" si="49"/>
        <v>0.28427036517945109</v>
      </c>
      <c r="CE11" s="3">
        <f t="shared" ca="1" si="50"/>
        <v>0.22435737185743584</v>
      </c>
      <c r="CF11" s="3">
        <f t="shared" ca="1" si="51"/>
        <v>0.2114042877201065</v>
      </c>
      <c r="CH11" s="3">
        <f t="shared" ca="1" si="52"/>
        <v>0</v>
      </c>
      <c r="CI11" s="3">
        <f t="shared" ca="1" si="53"/>
        <v>0.94756790903348076</v>
      </c>
      <c r="CJ11" s="3">
        <f t="shared" ca="1" si="54"/>
        <v>1.2478163214374844</v>
      </c>
      <c r="CK11" s="3">
        <f t="shared" ca="1" si="55"/>
        <v>0.99601593625498008</v>
      </c>
      <c r="CM11" s="3">
        <f t="shared" ca="1" si="56"/>
        <v>0.62676277029144467</v>
      </c>
      <c r="CN11" s="3">
        <f t="shared" ca="1" si="57"/>
        <v>1.5792798483891346</v>
      </c>
      <c r="CO11" s="3">
        <f t="shared" ca="1" si="58"/>
        <v>1.7469428500124784</v>
      </c>
      <c r="CP11" s="3">
        <f t="shared" ca="1" si="59"/>
        <v>0.49800796812749004</v>
      </c>
      <c r="CR11" s="3">
        <v>4.0019999999999998</v>
      </c>
      <c r="CS11" s="3">
        <v>0.54100000858306885</v>
      </c>
      <c r="CT11" s="3">
        <v>0.50599998235702515</v>
      </c>
      <c r="CU11" s="3">
        <v>0.91600000858306885</v>
      </c>
    </row>
    <row r="12" spans="1:99" s="3" customFormat="1" x14ac:dyDescent="0.35">
      <c r="A12" s="2" t="s">
        <v>81</v>
      </c>
      <c r="B12" s="2">
        <v>3.8333333333333335</v>
      </c>
      <c r="C12" s="2" t="s">
        <v>167</v>
      </c>
      <c r="D12" s="2" t="s">
        <v>403</v>
      </c>
      <c r="F12" s="3">
        <v>4.01</v>
      </c>
      <c r="G12" s="3">
        <v>4.016</v>
      </c>
      <c r="H12" s="3">
        <v>4.032</v>
      </c>
      <c r="I12" s="3">
        <v>4.0110000000000001</v>
      </c>
      <c r="K12" s="3">
        <f t="shared" ca="1" si="0"/>
        <v>0.99725685785536167</v>
      </c>
      <c r="L12" s="3">
        <f t="shared" ca="1" si="1"/>
        <v>0.99576693227091639</v>
      </c>
      <c r="M12" s="3">
        <f t="shared" ca="1" si="2"/>
        <v>0.99603174603174605</v>
      </c>
      <c r="N12" s="3">
        <f t="shared" ca="1" si="3"/>
        <v>0.90974819247070549</v>
      </c>
      <c r="P12" s="3">
        <f t="shared" ca="1" si="4"/>
        <v>0.92618448631907646</v>
      </c>
      <c r="Q12" s="3">
        <f t="shared" ca="1" si="5"/>
        <v>0.912848582234562</v>
      </c>
      <c r="R12" s="3">
        <f t="shared" ca="1" si="6"/>
        <v>0.93774798733647913</v>
      </c>
      <c r="S12" s="3">
        <f t="shared" ca="1" si="7"/>
        <v>0.89753179445703024</v>
      </c>
      <c r="U12" s="3">
        <f t="shared" ca="1" si="8"/>
        <v>1.4962593516209477</v>
      </c>
      <c r="V12" s="3">
        <f t="shared" ca="1" si="9"/>
        <v>1.9920318725099602</v>
      </c>
      <c r="W12" s="3">
        <f t="shared" ca="1" si="10"/>
        <v>2.4801587301587302</v>
      </c>
      <c r="X12" s="3">
        <f t="shared" ca="1" si="11"/>
        <v>0.74794315632011965</v>
      </c>
      <c r="Z12" s="3">
        <f t="shared" ca="1" si="12"/>
        <v>0.99725685785536167</v>
      </c>
      <c r="AA12" s="3">
        <f t="shared" ca="1" si="13"/>
        <v>0.98331673306772904</v>
      </c>
      <c r="AB12" s="3">
        <f t="shared" ca="1" si="14"/>
        <v>0.99603174603174605</v>
      </c>
      <c r="AC12" s="3">
        <f t="shared" ca="1" si="15"/>
        <v>0.90974819247070549</v>
      </c>
      <c r="AE12" s="3">
        <f t="shared" ca="1" si="16"/>
        <v>0.92618448631907646</v>
      </c>
      <c r="AF12" s="3">
        <f t="shared" ca="1" si="17"/>
        <v>0.912848582234562</v>
      </c>
      <c r="AG12" s="3">
        <f t="shared" ca="1" si="18"/>
        <v>0.93774798733647913</v>
      </c>
      <c r="AH12" s="3">
        <f t="shared" ca="1" si="19"/>
        <v>0.89753179445703024</v>
      </c>
      <c r="AJ12" s="3">
        <f t="shared" ca="1" si="20"/>
        <v>1.4962593516209477</v>
      </c>
      <c r="AK12" s="3">
        <f t="shared" ca="1" si="21"/>
        <v>1.9920318725099602</v>
      </c>
      <c r="AL12" s="3">
        <f t="shared" ca="1" si="22"/>
        <v>2.4801587301587302</v>
      </c>
      <c r="AM12" s="3">
        <f t="shared" ca="1" si="23"/>
        <v>0.74794315632011965</v>
      </c>
      <c r="AO12" s="3">
        <f t="shared" ca="1" si="24"/>
        <v>0.24937655860349128</v>
      </c>
      <c r="AP12" s="3">
        <f t="shared" ca="1" si="25"/>
        <v>0.49800796812749004</v>
      </c>
      <c r="AQ12" s="3">
        <f t="shared" ca="1" si="26"/>
        <v>0.24801587301587302</v>
      </c>
      <c r="AR12" s="3">
        <f t="shared" ca="1" si="27"/>
        <v>0.24931438544003989</v>
      </c>
      <c r="AT12" s="3">
        <v>6.0000000521540642E-3</v>
      </c>
      <c r="AU12" s="3">
        <v>1.0000000474974513E-3</v>
      </c>
      <c r="AV12" s="3">
        <v>8.0000003799796104E-3</v>
      </c>
      <c r="AW12" s="3">
        <v>8.999999612569809E-3</v>
      </c>
      <c r="AY12" s="3">
        <f t="shared" ca="1" si="28"/>
        <v>0.29900249376558602</v>
      </c>
      <c r="AZ12" s="3">
        <f t="shared" ca="1" si="29"/>
        <v>0.41907370517928288</v>
      </c>
      <c r="BA12" s="3">
        <f t="shared" ca="1" si="30"/>
        <v>0.140625</v>
      </c>
      <c r="BB12" s="3">
        <f t="shared" ca="1" si="31"/>
        <v>0.1286462228870606</v>
      </c>
      <c r="BD12" s="3">
        <f t="shared" ca="1" si="32"/>
        <v>0.31970070484570434</v>
      </c>
      <c r="BE12" s="3">
        <f t="shared" ca="1" si="33"/>
        <v>0.48157369413698814</v>
      </c>
      <c r="BF12" s="3">
        <f t="shared" ca="1" si="34"/>
        <v>4.5386926522330631E-2</v>
      </c>
      <c r="BG12" s="3">
        <f t="shared" ca="1" si="35"/>
        <v>0</v>
      </c>
      <c r="BI12" s="3">
        <f t="shared" ca="1" si="36"/>
        <v>0.74812967581047385</v>
      </c>
      <c r="BJ12" s="3">
        <f t="shared" ca="1" si="37"/>
        <v>0.99601593625498008</v>
      </c>
      <c r="BK12" s="3">
        <f t="shared" ca="1" si="38"/>
        <v>0.24801587301587302</v>
      </c>
      <c r="BL12" s="3">
        <f t="shared" ca="1" si="39"/>
        <v>0</v>
      </c>
      <c r="BN12" s="3">
        <f t="shared" ca="1" si="40"/>
        <v>0.99750623441396513</v>
      </c>
      <c r="BO12" s="3">
        <f t="shared" ca="1" si="41"/>
        <v>0.74701195219123506</v>
      </c>
      <c r="BP12" s="3">
        <f t="shared" ca="1" si="42"/>
        <v>0.99206349206349209</v>
      </c>
      <c r="BQ12" s="3">
        <f t="shared" ca="1" si="43"/>
        <v>0.24931438544003989</v>
      </c>
      <c r="BS12" s="3">
        <v>2.4890000820159912</v>
      </c>
      <c r="BT12" s="3">
        <v>0.50099998712539673</v>
      </c>
      <c r="BU12" s="3">
        <v>3.8410000801086426</v>
      </c>
      <c r="BV12" s="3">
        <v>4.0110000000000001</v>
      </c>
      <c r="BX12" s="3">
        <f t="shared" ca="1" si="44"/>
        <v>8.7281795511221921E-2</v>
      </c>
      <c r="BY12" s="3">
        <f t="shared" ca="1" si="45"/>
        <v>8.3167330677290777E-2</v>
      </c>
      <c r="BZ12" s="3">
        <f t="shared" ca="1" si="46"/>
        <v>5.7787698412698436E-2</v>
      </c>
      <c r="CA12" s="3">
        <f t="shared" ca="1" si="47"/>
        <v>0</v>
      </c>
      <c r="CC12" s="3">
        <f t="shared" ca="1" si="48"/>
        <v>0.14114715809239414</v>
      </c>
      <c r="CD12" s="3">
        <f t="shared" ca="1" si="49"/>
        <v>0.11180275939850218</v>
      </c>
      <c r="CE12" s="3">
        <f t="shared" ca="1" si="50"/>
        <v>5.7787708346805876E-2</v>
      </c>
      <c r="CF12" s="3">
        <f t="shared" ca="1" si="51"/>
        <v>0</v>
      </c>
      <c r="CH12" s="3">
        <f t="shared" ca="1" si="52"/>
        <v>0.24937655860349128</v>
      </c>
      <c r="CI12" s="3">
        <f t="shared" ca="1" si="53"/>
        <v>0.24900398406374502</v>
      </c>
      <c r="CJ12" s="3">
        <f t="shared" ca="1" si="54"/>
        <v>0.24801587301587302</v>
      </c>
      <c r="CK12" s="3">
        <f t="shared" ca="1" si="55"/>
        <v>0</v>
      </c>
      <c r="CM12" s="3">
        <f t="shared" ca="1" si="56"/>
        <v>0.24937655860349128</v>
      </c>
      <c r="CN12" s="3">
        <f t="shared" ca="1" si="57"/>
        <v>0.99601593625498008</v>
      </c>
      <c r="CO12" s="3">
        <f t="shared" ca="1" si="58"/>
        <v>0.24801587301587302</v>
      </c>
      <c r="CP12" s="3">
        <f t="shared" ca="1" si="59"/>
        <v>0</v>
      </c>
      <c r="CR12" s="3">
        <v>1.6729999780654907</v>
      </c>
      <c r="CS12" s="3">
        <v>3.4670000076293945</v>
      </c>
      <c r="CT12" s="3">
        <v>2.6749999523162842</v>
      </c>
      <c r="CU12" s="3">
        <v>4.0110000000000001</v>
      </c>
    </row>
    <row r="13" spans="1:99" s="3" customFormat="1" x14ac:dyDescent="0.35">
      <c r="A13" s="2" t="s">
        <v>27</v>
      </c>
      <c r="B13" s="2">
        <v>3.9166666666666665</v>
      </c>
      <c r="C13" s="2" t="s">
        <v>168</v>
      </c>
      <c r="D13" s="2" t="s">
        <v>403</v>
      </c>
      <c r="F13" s="11" t="e">
        <v>#N/A</v>
      </c>
      <c r="G13" s="11" t="e">
        <v>#N/A</v>
      </c>
      <c r="H13" s="3" t="e">
        <v>#N/A</v>
      </c>
      <c r="I13" s="11" t="e">
        <v>#N/A</v>
      </c>
      <c r="K13" s="3" t="e">
        <f t="shared" ca="1" si="0"/>
        <v>#N/A</v>
      </c>
      <c r="L13" s="3" t="e">
        <f t="shared" ca="1" si="1"/>
        <v>#N/A</v>
      </c>
      <c r="M13" s="3" t="e">
        <f t="shared" ca="1" si="2"/>
        <v>#N/A</v>
      </c>
      <c r="N13" s="3" t="e">
        <f t="shared" ca="1" si="3"/>
        <v>#N/A</v>
      </c>
      <c r="P13" s="3" t="e">
        <f t="shared" ca="1" si="4"/>
        <v>#N/A</v>
      </c>
      <c r="Q13" s="3" t="e">
        <f t="shared" ca="1" si="5"/>
        <v>#N/A</v>
      </c>
      <c r="R13" s="3" t="e">
        <f t="shared" ca="1" si="6"/>
        <v>#N/A</v>
      </c>
      <c r="S13" s="3" t="e">
        <f t="shared" ca="1" si="7"/>
        <v>#N/A</v>
      </c>
      <c r="U13" s="3" t="e">
        <f t="shared" ca="1" si="8"/>
        <v>#N/A</v>
      </c>
      <c r="V13" s="3" t="e">
        <f t="shared" ca="1" si="9"/>
        <v>#N/A</v>
      </c>
      <c r="W13" s="3" t="e">
        <f t="shared" ca="1" si="10"/>
        <v>#N/A</v>
      </c>
      <c r="X13" s="3" t="e">
        <f t="shared" ca="1" si="11"/>
        <v>#N/A</v>
      </c>
      <c r="Z13" s="3" t="e">
        <f t="shared" ca="1" si="12"/>
        <v>#N/A</v>
      </c>
      <c r="AA13" s="3" t="e">
        <f t="shared" ca="1" si="13"/>
        <v>#N/A</v>
      </c>
      <c r="AB13" s="3" t="e">
        <f t="shared" ca="1" si="14"/>
        <v>#N/A</v>
      </c>
      <c r="AC13" s="3" t="e">
        <f t="shared" ca="1" si="15"/>
        <v>#N/A</v>
      </c>
      <c r="AE13" s="3" t="e">
        <f t="shared" ca="1" si="16"/>
        <v>#N/A</v>
      </c>
      <c r="AF13" s="3" t="e">
        <f t="shared" ca="1" si="17"/>
        <v>#N/A</v>
      </c>
      <c r="AG13" s="3" t="e">
        <f t="shared" ca="1" si="18"/>
        <v>#N/A</v>
      </c>
      <c r="AH13" s="3" t="e">
        <f t="shared" ca="1" si="19"/>
        <v>#N/A</v>
      </c>
      <c r="AJ13" s="3" t="e">
        <f t="shared" ca="1" si="20"/>
        <v>#N/A</v>
      </c>
      <c r="AK13" s="3" t="e">
        <f t="shared" ca="1" si="21"/>
        <v>#N/A</v>
      </c>
      <c r="AL13" s="3" t="e">
        <f t="shared" ca="1" si="22"/>
        <v>#N/A</v>
      </c>
      <c r="AM13" s="3" t="e">
        <f t="shared" ca="1" si="23"/>
        <v>#N/A</v>
      </c>
      <c r="AO13" s="3" t="e">
        <f t="shared" ca="1" si="24"/>
        <v>#N/A</v>
      </c>
      <c r="AP13" s="3" t="e">
        <f t="shared" ca="1" si="25"/>
        <v>#N/A</v>
      </c>
      <c r="AQ13" s="3" t="e">
        <f t="shared" ca="1" si="26"/>
        <v>#N/A</v>
      </c>
      <c r="AR13" s="3" t="e">
        <f t="shared" ca="1" si="27"/>
        <v>#N/A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Y13" s="3" t="e">
        <f t="shared" ca="1" si="28"/>
        <v>#N/A</v>
      </c>
      <c r="AZ13" s="3" t="e">
        <f t="shared" ca="1" si="29"/>
        <v>#N/A</v>
      </c>
      <c r="BA13" s="3" t="e">
        <f t="shared" ca="1" si="30"/>
        <v>#N/A</v>
      </c>
      <c r="BB13" s="3" t="e">
        <f t="shared" ca="1" si="31"/>
        <v>#N/A</v>
      </c>
      <c r="BD13" s="3" t="e">
        <f t="shared" ca="1" si="32"/>
        <v>#N/A</v>
      </c>
      <c r="BE13" s="3" t="e">
        <f t="shared" ca="1" si="33"/>
        <v>#N/A</v>
      </c>
      <c r="BF13" s="3" t="e">
        <f t="shared" ca="1" si="34"/>
        <v>#N/A</v>
      </c>
      <c r="BG13" s="3" t="e">
        <f t="shared" ca="1" si="35"/>
        <v>#N/A</v>
      </c>
      <c r="BI13" s="3" t="e">
        <f t="shared" ca="1" si="36"/>
        <v>#N/A</v>
      </c>
      <c r="BJ13" s="3" t="e">
        <f t="shared" ca="1" si="37"/>
        <v>#N/A</v>
      </c>
      <c r="BK13" s="3" t="e">
        <f t="shared" ca="1" si="38"/>
        <v>#N/A</v>
      </c>
      <c r="BL13" s="3" t="e">
        <f t="shared" ca="1" si="39"/>
        <v>#N/A</v>
      </c>
      <c r="BN13" s="3" t="e">
        <f t="shared" ca="1" si="40"/>
        <v>#N/A</v>
      </c>
      <c r="BO13" s="3" t="e">
        <f t="shared" ca="1" si="41"/>
        <v>#N/A</v>
      </c>
      <c r="BP13" s="3" t="e">
        <f t="shared" ca="1" si="42"/>
        <v>#N/A</v>
      </c>
      <c r="BQ13" s="3" t="e">
        <f t="shared" ca="1" si="43"/>
        <v>#N/A</v>
      </c>
      <c r="BS13" s="11" t="e">
        <v>#N/A</v>
      </c>
      <c r="BT13" s="11" t="e">
        <v>#N/A</v>
      </c>
      <c r="BU13" s="11" t="e">
        <v>#N/A</v>
      </c>
      <c r="BV13" s="11" t="e">
        <v>#N/A</v>
      </c>
      <c r="BX13" s="3" t="e">
        <f t="shared" ca="1" si="44"/>
        <v>#N/A</v>
      </c>
      <c r="BY13" s="3" t="e">
        <f t="shared" ca="1" si="45"/>
        <v>#N/A</v>
      </c>
      <c r="BZ13" s="3" t="e">
        <f t="shared" ca="1" si="46"/>
        <v>#N/A</v>
      </c>
      <c r="CA13" s="3" t="e">
        <f t="shared" ca="1" si="47"/>
        <v>#N/A</v>
      </c>
      <c r="CC13" s="3" t="e">
        <f t="shared" ca="1" si="48"/>
        <v>#N/A</v>
      </c>
      <c r="CD13" s="3" t="e">
        <f t="shared" ca="1" si="49"/>
        <v>#N/A</v>
      </c>
      <c r="CE13" s="3" t="e">
        <f t="shared" ca="1" si="50"/>
        <v>#N/A</v>
      </c>
      <c r="CF13" s="3" t="e">
        <f t="shared" ca="1" si="51"/>
        <v>#N/A</v>
      </c>
      <c r="CH13" s="3" t="e">
        <f t="shared" ca="1" si="52"/>
        <v>#N/A</v>
      </c>
      <c r="CI13" s="3" t="e">
        <f t="shared" ca="1" si="53"/>
        <v>#N/A</v>
      </c>
      <c r="CJ13" s="3" t="e">
        <f t="shared" ca="1" si="54"/>
        <v>#N/A</v>
      </c>
      <c r="CK13" s="3" t="e">
        <f t="shared" ca="1" si="55"/>
        <v>#N/A</v>
      </c>
      <c r="CM13" s="3" t="e">
        <f t="shared" ca="1" si="56"/>
        <v>#N/A</v>
      </c>
      <c r="CN13" s="3" t="e">
        <f t="shared" ca="1" si="57"/>
        <v>#N/A</v>
      </c>
      <c r="CO13" s="3" t="e">
        <f t="shared" ca="1" si="58"/>
        <v>#N/A</v>
      </c>
      <c r="CP13" s="3" t="e">
        <f t="shared" ca="1" si="59"/>
        <v>#N/A</v>
      </c>
      <c r="CR13" s="11" t="e">
        <v>#N/A</v>
      </c>
      <c r="CS13" s="11" t="e">
        <v>#N/A</v>
      </c>
      <c r="CT13" s="11" t="e">
        <v>#N/A</v>
      </c>
      <c r="CU13" s="11" t="e">
        <v>#N/A</v>
      </c>
    </row>
    <row r="14" spans="1:99" s="3" customFormat="1" x14ac:dyDescent="0.35">
      <c r="A14" s="2" t="s">
        <v>42</v>
      </c>
      <c r="B14" s="2">
        <v>4.083333333333333</v>
      </c>
      <c r="C14" s="2" t="s">
        <v>168</v>
      </c>
      <c r="D14" s="2" t="s">
        <v>403</v>
      </c>
      <c r="F14" s="3">
        <v>4.0129999999999999</v>
      </c>
      <c r="G14" s="3">
        <v>4.0069999999999997</v>
      </c>
      <c r="H14" s="3">
        <v>4.01</v>
      </c>
      <c r="I14" s="3">
        <v>4.016</v>
      </c>
      <c r="K14" s="3">
        <f t="shared" ca="1" si="0"/>
        <v>0.99651133815100923</v>
      </c>
      <c r="L14" s="3">
        <f t="shared" ca="1" si="1"/>
        <v>0.88145744946343907</v>
      </c>
      <c r="M14" s="3">
        <f t="shared" ca="1" si="2"/>
        <v>0.9306733167082295</v>
      </c>
      <c r="N14" s="3">
        <f t="shared" ca="1" si="3"/>
        <v>0.99576693227091639</v>
      </c>
      <c r="P14" s="3">
        <f t="shared" ca="1" si="4"/>
        <v>0.78918516205160982</v>
      </c>
      <c r="Q14" s="3">
        <f t="shared" ca="1" si="5"/>
        <v>0.8020963652758103</v>
      </c>
      <c r="R14" s="3">
        <f t="shared" ca="1" si="6"/>
        <v>0.69351623629096737</v>
      </c>
      <c r="S14" s="3">
        <f t="shared" ca="1" si="7"/>
        <v>0.92903397600741622</v>
      </c>
      <c r="U14" s="3">
        <f t="shared" ca="1" si="8"/>
        <v>1.4951407924246201</v>
      </c>
      <c r="V14" s="3">
        <f t="shared" ca="1" si="9"/>
        <v>2.7451959071624659</v>
      </c>
      <c r="W14" s="3">
        <f t="shared" ca="1" si="10"/>
        <v>2.2443890274314215</v>
      </c>
      <c r="X14" s="3">
        <f t="shared" ca="1" si="11"/>
        <v>2.241035856573705</v>
      </c>
      <c r="Z14" s="3">
        <f t="shared" ca="1" si="12"/>
        <v>0.92175429852977819</v>
      </c>
      <c r="AA14" s="3">
        <f t="shared" ca="1" si="13"/>
        <v>0.88145744946343907</v>
      </c>
      <c r="AB14" s="3">
        <f t="shared" ca="1" si="14"/>
        <v>0.90548628428927691</v>
      </c>
      <c r="AC14" s="3">
        <f t="shared" ca="1" si="15"/>
        <v>0.99576693227091639</v>
      </c>
      <c r="AE14" s="3">
        <f t="shared" ca="1" si="16"/>
        <v>0.78918516205160982</v>
      </c>
      <c r="AF14" s="3">
        <f t="shared" ca="1" si="17"/>
        <v>0.8020963652758103</v>
      </c>
      <c r="AG14" s="3">
        <f t="shared" ca="1" si="18"/>
        <v>0.69351623629096737</v>
      </c>
      <c r="AH14" s="3">
        <f t="shared" ca="1" si="19"/>
        <v>0.92903397600741622</v>
      </c>
      <c r="AJ14" s="3">
        <f t="shared" ca="1" si="20"/>
        <v>1.4951407924246201</v>
      </c>
      <c r="AK14" s="3">
        <f t="shared" ca="1" si="21"/>
        <v>2.7451959071624659</v>
      </c>
      <c r="AL14" s="3">
        <f t="shared" ca="1" si="22"/>
        <v>2.2443890274314215</v>
      </c>
      <c r="AM14" s="3">
        <f t="shared" ca="1" si="23"/>
        <v>2.241035856573705</v>
      </c>
      <c r="AO14" s="3">
        <f t="shared" ca="1" si="24"/>
        <v>0.49838026414154002</v>
      </c>
      <c r="AP14" s="3">
        <f t="shared" ca="1" si="25"/>
        <v>0.24956326428749689</v>
      </c>
      <c r="AQ14" s="3">
        <f t="shared" ca="1" si="26"/>
        <v>0.99750623441396513</v>
      </c>
      <c r="AR14" s="3">
        <f t="shared" ca="1" si="27"/>
        <v>0.24900398406374502</v>
      </c>
      <c r="AT14" s="3">
        <v>0</v>
      </c>
      <c r="AU14" s="3">
        <v>0.49399998784065247</v>
      </c>
      <c r="AV14" s="3">
        <v>0.375</v>
      </c>
      <c r="AW14" s="3">
        <v>1.2000000104308128E-2</v>
      </c>
      <c r="AY14" s="3">
        <f t="shared" ca="1" si="28"/>
        <v>7.0520807376028005E-2</v>
      </c>
      <c r="AZ14" s="3">
        <f t="shared" ca="1" si="29"/>
        <v>0.19940104816571011</v>
      </c>
      <c r="BA14" s="3">
        <f t="shared" ca="1" si="30"/>
        <v>7.8802992518703263E-2</v>
      </c>
      <c r="BB14" s="3">
        <f t="shared" ca="1" si="31"/>
        <v>0.11230079681274896</v>
      </c>
      <c r="BD14" s="3">
        <f t="shared" ca="1" si="32"/>
        <v>0.124595066035385</v>
      </c>
      <c r="BE14" s="3">
        <f t="shared" ca="1" si="33"/>
        <v>0.17444469966226783</v>
      </c>
      <c r="BF14" s="3">
        <f t="shared" ca="1" si="34"/>
        <v>5.3865356635571716E-2</v>
      </c>
      <c r="BG14" s="3">
        <f t="shared" ca="1" si="35"/>
        <v>5.4033866441582305E-2</v>
      </c>
      <c r="BI14" s="3">
        <f t="shared" ca="1" si="36"/>
        <v>0.24919013207077001</v>
      </c>
      <c r="BJ14" s="3">
        <f t="shared" ca="1" si="37"/>
        <v>0.74868979286249071</v>
      </c>
      <c r="BK14" s="3">
        <f t="shared" ca="1" si="38"/>
        <v>0.24937655860349128</v>
      </c>
      <c r="BL14" s="3">
        <f t="shared" ca="1" si="39"/>
        <v>0.24900398406374502</v>
      </c>
      <c r="BN14" s="3">
        <f t="shared" ca="1" si="40"/>
        <v>0.24919013207077001</v>
      </c>
      <c r="BO14" s="3">
        <f t="shared" ca="1" si="41"/>
        <v>0.74868979286249071</v>
      </c>
      <c r="BP14" s="3">
        <f t="shared" ca="1" si="42"/>
        <v>0.74812967581047385</v>
      </c>
      <c r="BQ14" s="3">
        <f t="shared" ca="1" si="43"/>
        <v>0.49800796812749004</v>
      </c>
      <c r="BS14" s="3">
        <v>1.9500000476837158</v>
      </c>
      <c r="BT14" s="3">
        <v>0.49399998784065247</v>
      </c>
      <c r="BU14" s="3">
        <v>3.4409999847412109</v>
      </c>
      <c r="BV14" s="3">
        <v>2.9609999656677246</v>
      </c>
      <c r="BX14" s="3">
        <f t="shared" ca="1" si="44"/>
        <v>0.170196860204336</v>
      </c>
      <c r="BY14" s="3">
        <f t="shared" ca="1" si="45"/>
        <v>0.22036436236585966</v>
      </c>
      <c r="BZ14" s="3">
        <f t="shared" ca="1" si="46"/>
        <v>2.0698254364089789E-2</v>
      </c>
      <c r="CA14" s="3">
        <f t="shared" ca="1" si="47"/>
        <v>4.1334661354581678E-2</v>
      </c>
      <c r="CC14" s="3">
        <f t="shared" ca="1" si="48"/>
        <v>0.124595066035385</v>
      </c>
      <c r="CD14" s="3">
        <f t="shared" ca="1" si="49"/>
        <v>0.17045173140455133</v>
      </c>
      <c r="CE14" s="3">
        <f t="shared" ca="1" si="50"/>
        <v>0</v>
      </c>
      <c r="CF14" s="3">
        <f t="shared" ca="1" si="51"/>
        <v>0</v>
      </c>
      <c r="CH14" s="3">
        <f t="shared" ca="1" si="52"/>
        <v>0.24919013207077001</v>
      </c>
      <c r="CI14" s="3">
        <f t="shared" ca="1" si="53"/>
        <v>0.99825305714998758</v>
      </c>
      <c r="CJ14" s="3">
        <f t="shared" ca="1" si="54"/>
        <v>0</v>
      </c>
      <c r="CK14" s="3">
        <f t="shared" ca="1" si="55"/>
        <v>0</v>
      </c>
      <c r="CM14" s="3">
        <f t="shared" ca="1" si="56"/>
        <v>1.9935210565661601</v>
      </c>
      <c r="CN14" s="3">
        <f t="shared" ca="1" si="57"/>
        <v>1.4973795857249814</v>
      </c>
      <c r="CO14" s="3">
        <f t="shared" ca="1" si="58"/>
        <v>0.74812967581047385</v>
      </c>
      <c r="CP14" s="3">
        <f t="shared" ca="1" si="59"/>
        <v>0.24900398406374502</v>
      </c>
      <c r="CR14" s="3">
        <v>0.91600000858306885</v>
      </c>
      <c r="CS14" s="3">
        <v>1.1770000457763672</v>
      </c>
      <c r="CT14" s="3">
        <v>4.01</v>
      </c>
      <c r="CU14" s="3">
        <v>4.016</v>
      </c>
    </row>
    <row r="15" spans="1:99" s="3" customFormat="1" x14ac:dyDescent="0.35">
      <c r="A15" s="2" t="s">
        <v>33</v>
      </c>
      <c r="B15" s="2">
        <v>4.333333333333333</v>
      </c>
      <c r="C15" s="2" t="s">
        <v>167</v>
      </c>
      <c r="D15" s="2" t="s">
        <v>403</v>
      </c>
      <c r="F15" s="11" t="e">
        <v>#N/A</v>
      </c>
      <c r="G15" s="3">
        <v>4.0140000000000002</v>
      </c>
      <c r="H15" s="3">
        <v>4.0049999999999999</v>
      </c>
      <c r="I15" s="11" t="e">
        <v>#N/A</v>
      </c>
      <c r="K15" s="3" t="e">
        <f t="shared" ca="1" si="0"/>
        <v>#N/A</v>
      </c>
      <c r="L15" s="3">
        <f t="shared" ca="1" si="1"/>
        <v>0.99202790234180371</v>
      </c>
      <c r="M15" s="3">
        <f t="shared" ca="1" si="2"/>
        <v>0.998501872659176</v>
      </c>
      <c r="N15" s="3" t="e">
        <f t="shared" ca="1" si="3"/>
        <v>#N/A</v>
      </c>
      <c r="P15" s="3" t="e">
        <f t="shared" ca="1" si="4"/>
        <v>#N/A</v>
      </c>
      <c r="Q15" s="3">
        <f t="shared" ca="1" si="5"/>
        <v>0.9382162085355189</v>
      </c>
      <c r="R15" s="3">
        <f t="shared" ca="1" si="6"/>
        <v>0.96529334302196346</v>
      </c>
      <c r="S15" s="3" t="e">
        <f t="shared" ca="1" si="7"/>
        <v>#N/A</v>
      </c>
      <c r="U15" s="3" t="e">
        <f t="shared" ca="1" si="8"/>
        <v>#N/A</v>
      </c>
      <c r="V15" s="3">
        <f t="shared" ca="1" si="9"/>
        <v>2.2421524663677128</v>
      </c>
      <c r="W15" s="3">
        <f t="shared" ca="1" si="10"/>
        <v>1.4981273408239701</v>
      </c>
      <c r="X15" s="3" t="e">
        <f t="shared" ca="1" si="11"/>
        <v>#N/A</v>
      </c>
      <c r="Z15" s="3" t="e">
        <f t="shared" ca="1" si="12"/>
        <v>#N/A</v>
      </c>
      <c r="AA15" s="3">
        <f t="shared" ca="1" si="13"/>
        <v>0.99202790234180371</v>
      </c>
      <c r="AB15" s="3">
        <f t="shared" ca="1" si="14"/>
        <v>0.98601747815230945</v>
      </c>
      <c r="AC15" s="3" t="e">
        <f t="shared" ca="1" si="15"/>
        <v>#N/A</v>
      </c>
      <c r="AE15" s="3" t="e">
        <f t="shared" ca="1" si="16"/>
        <v>#N/A</v>
      </c>
      <c r="AF15" s="3">
        <f t="shared" ca="1" si="17"/>
        <v>0.9382162085355189</v>
      </c>
      <c r="AG15" s="3">
        <f t="shared" ca="1" si="18"/>
        <v>0.96529334302196346</v>
      </c>
      <c r="AH15" s="3" t="e">
        <f t="shared" ca="1" si="19"/>
        <v>#N/A</v>
      </c>
      <c r="AJ15" s="3" t="e">
        <f t="shared" ca="1" si="20"/>
        <v>#N/A</v>
      </c>
      <c r="AK15" s="3">
        <f t="shared" ca="1" si="21"/>
        <v>2.2421524663677128</v>
      </c>
      <c r="AL15" s="3">
        <f t="shared" ca="1" si="22"/>
        <v>1.4981273408239701</v>
      </c>
      <c r="AM15" s="3" t="e">
        <f t="shared" ca="1" si="23"/>
        <v>#N/A</v>
      </c>
      <c r="AO15" s="3" t="e">
        <f t="shared" ca="1" si="24"/>
        <v>#N/A</v>
      </c>
      <c r="AP15" s="3">
        <f t="shared" ca="1" si="25"/>
        <v>0.24912805181863476</v>
      </c>
      <c r="AQ15" s="3">
        <f t="shared" ca="1" si="26"/>
        <v>0.49937578027465668</v>
      </c>
      <c r="AR15" s="3" t="e">
        <f t="shared" ca="1" si="27"/>
        <v>#N/A</v>
      </c>
      <c r="AT15" s="11" t="e">
        <v>#N/A</v>
      </c>
      <c r="AU15" s="3">
        <v>0.11500000208616257</v>
      </c>
      <c r="AV15" s="3">
        <v>3.0000000260770321E-3</v>
      </c>
      <c r="AW15" s="11" t="e">
        <v>#N/A</v>
      </c>
      <c r="AY15" s="3" t="e">
        <f t="shared" ca="1" si="28"/>
        <v>#N/A</v>
      </c>
      <c r="AZ15" s="3">
        <f t="shared" ca="1" si="29"/>
        <v>0.21549576482311902</v>
      </c>
      <c r="BA15" s="3">
        <f t="shared" ca="1" si="30"/>
        <v>0.17902621722846457</v>
      </c>
      <c r="BB15" s="3" t="e">
        <f t="shared" ca="1" si="31"/>
        <v>#N/A</v>
      </c>
      <c r="BD15" s="3" t="e">
        <f t="shared" ca="1" si="32"/>
        <v>#N/A</v>
      </c>
      <c r="BE15" s="3">
        <f t="shared" ca="1" si="33"/>
        <v>0.19083209577103305</v>
      </c>
      <c r="BF15" s="3">
        <f t="shared" ca="1" si="34"/>
        <v>0.20374525501189311</v>
      </c>
      <c r="BG15" s="3" t="e">
        <f t="shared" ca="1" si="35"/>
        <v>#N/A</v>
      </c>
      <c r="BI15" s="3" t="e">
        <f t="shared" ca="1" si="36"/>
        <v>#N/A</v>
      </c>
      <c r="BJ15" s="3">
        <f t="shared" ca="1" si="37"/>
        <v>0.99651220727453904</v>
      </c>
      <c r="BK15" s="3">
        <f t="shared" ca="1" si="38"/>
        <v>0.49937578027465668</v>
      </c>
      <c r="BL15" s="3" t="e">
        <f t="shared" ca="1" si="39"/>
        <v>#N/A</v>
      </c>
      <c r="BN15" s="3" t="e">
        <f t="shared" ca="1" si="40"/>
        <v>#N/A</v>
      </c>
      <c r="BO15" s="3">
        <f t="shared" ca="1" si="41"/>
        <v>0.99651220727453904</v>
      </c>
      <c r="BP15" s="3">
        <f t="shared" ca="1" si="42"/>
        <v>0.49937578027465668</v>
      </c>
      <c r="BQ15" s="3" t="e">
        <f t="shared" ca="1" si="43"/>
        <v>#N/A</v>
      </c>
      <c r="BS15" s="11" t="e">
        <v>#N/A</v>
      </c>
      <c r="BT15" s="3">
        <v>0.5820000171661377</v>
      </c>
      <c r="BU15" s="3">
        <v>2.9019999504089355</v>
      </c>
      <c r="BV15" s="11" t="e">
        <v>#N/A</v>
      </c>
      <c r="BX15" s="3" t="e">
        <f t="shared" ca="1" si="44"/>
        <v>#N/A</v>
      </c>
      <c r="BY15" s="3">
        <f t="shared" ca="1" si="45"/>
        <v>0</v>
      </c>
      <c r="BZ15" s="3">
        <f t="shared" ca="1" si="46"/>
        <v>0</v>
      </c>
      <c r="CA15" s="3" t="e">
        <f t="shared" ca="1" si="47"/>
        <v>#N/A</v>
      </c>
      <c r="CC15" s="3" t="e">
        <f t="shared" ca="1" si="48"/>
        <v>#N/A</v>
      </c>
      <c r="CD15" s="3">
        <f t="shared" ca="1" si="49"/>
        <v>0</v>
      </c>
      <c r="CE15" s="3">
        <f t="shared" ca="1" si="50"/>
        <v>0</v>
      </c>
      <c r="CF15" s="3" t="e">
        <f t="shared" ca="1" si="51"/>
        <v>#N/A</v>
      </c>
      <c r="CH15" s="3" t="e">
        <f t="shared" ca="1" si="52"/>
        <v>#N/A</v>
      </c>
      <c r="CI15" s="3">
        <f t="shared" ca="1" si="53"/>
        <v>0</v>
      </c>
      <c r="CJ15" s="3">
        <f t="shared" ca="1" si="54"/>
        <v>0</v>
      </c>
      <c r="CK15" s="3" t="e">
        <f t="shared" ca="1" si="55"/>
        <v>#N/A</v>
      </c>
      <c r="CM15" s="3" t="e">
        <f t="shared" ca="1" si="56"/>
        <v>#N/A</v>
      </c>
      <c r="CN15" s="3">
        <f t="shared" ca="1" si="57"/>
        <v>0</v>
      </c>
      <c r="CO15" s="3">
        <f t="shared" ca="1" si="58"/>
        <v>0</v>
      </c>
      <c r="CP15" s="3" t="e">
        <f t="shared" ca="1" si="59"/>
        <v>#N/A</v>
      </c>
      <c r="CR15" s="11" t="e">
        <v>#N/A</v>
      </c>
      <c r="CS15" s="3">
        <v>4.0140000000000002</v>
      </c>
      <c r="CT15" s="3">
        <v>4.0049999999999999</v>
      </c>
      <c r="CU15" s="11" t="e">
        <v>#N/A</v>
      </c>
    </row>
    <row r="16" spans="1:99" s="3" customFormat="1" x14ac:dyDescent="0.35">
      <c r="A16" s="2" t="s">
        <v>30</v>
      </c>
      <c r="B16" s="2">
        <v>4.416666666666667</v>
      </c>
      <c r="C16" s="2" t="s">
        <v>168</v>
      </c>
      <c r="D16" s="2" t="s">
        <v>403</v>
      </c>
      <c r="F16" s="3" t="e">
        <v>#N/A</v>
      </c>
      <c r="G16" s="3">
        <v>4.016</v>
      </c>
      <c r="H16" s="3" t="e">
        <v>#N/A</v>
      </c>
      <c r="I16" s="3">
        <v>4.016</v>
      </c>
      <c r="K16" s="3" t="e">
        <f t="shared" ca="1" si="0"/>
        <v>#N/A</v>
      </c>
      <c r="L16" s="3">
        <f t="shared" ca="1" si="1"/>
        <v>0.90039840637450197</v>
      </c>
      <c r="M16" s="3" t="e">
        <f t="shared" ca="1" si="2"/>
        <v>#N/A</v>
      </c>
      <c r="N16" s="3">
        <f t="shared" ca="1" si="3"/>
        <v>0.98331673306772904</v>
      </c>
      <c r="P16" s="3" t="e">
        <f t="shared" ca="1" si="4"/>
        <v>#N/A</v>
      </c>
      <c r="Q16" s="3">
        <f t="shared" ca="1" si="5"/>
        <v>0.88371511639663536</v>
      </c>
      <c r="R16" s="3" t="e">
        <f t="shared" ca="1" si="6"/>
        <v>#N/A</v>
      </c>
      <c r="S16" s="3">
        <f t="shared" ca="1" si="7"/>
        <v>0.9422311373797071</v>
      </c>
      <c r="U16" s="3" t="e">
        <f t="shared" ca="1" si="8"/>
        <v>#N/A</v>
      </c>
      <c r="V16" s="3">
        <f t="shared" ca="1" si="9"/>
        <v>1.2450199203187251</v>
      </c>
      <c r="W16" s="3" t="e">
        <f t="shared" ca="1" si="10"/>
        <v>#N/A</v>
      </c>
      <c r="X16" s="3">
        <f t="shared" ca="1" si="11"/>
        <v>1.2450199203187251</v>
      </c>
      <c r="Z16" s="3" t="e">
        <f t="shared" ca="1" si="12"/>
        <v>#N/A</v>
      </c>
      <c r="AA16" s="3">
        <f t="shared" ca="1" si="13"/>
        <v>0.90039840637450197</v>
      </c>
      <c r="AB16" s="3" t="e">
        <f t="shared" ca="1" si="14"/>
        <v>#N/A</v>
      </c>
      <c r="AC16" s="3">
        <f t="shared" ca="1" si="15"/>
        <v>0.92529880478087645</v>
      </c>
      <c r="AE16" s="3" t="e">
        <f t="shared" ca="1" si="16"/>
        <v>#N/A</v>
      </c>
      <c r="AF16" s="3">
        <f t="shared" ca="1" si="17"/>
        <v>0.88371511639663536</v>
      </c>
      <c r="AG16" s="3" t="e">
        <f t="shared" ca="1" si="18"/>
        <v>#N/A</v>
      </c>
      <c r="AH16" s="3">
        <f t="shared" ca="1" si="19"/>
        <v>0.90064747310967086</v>
      </c>
      <c r="AJ16" s="3" t="e">
        <f t="shared" ca="1" si="20"/>
        <v>#N/A</v>
      </c>
      <c r="AK16" s="3">
        <f t="shared" ca="1" si="21"/>
        <v>1.2450199203187251</v>
      </c>
      <c r="AL16" s="3" t="e">
        <f t="shared" ca="1" si="22"/>
        <v>#N/A</v>
      </c>
      <c r="AM16" s="3">
        <f t="shared" ca="1" si="23"/>
        <v>0.99601593625498008</v>
      </c>
      <c r="AO16" s="3" t="e">
        <f t="shared" ca="1" si="24"/>
        <v>#N/A</v>
      </c>
      <c r="AP16" s="3">
        <f t="shared" ca="1" si="25"/>
        <v>0.24900398406374502</v>
      </c>
      <c r="AQ16" s="3" t="e">
        <f t="shared" ca="1" si="26"/>
        <v>#N/A</v>
      </c>
      <c r="AR16" s="3">
        <f t="shared" ca="1" si="27"/>
        <v>0.74701195219123506</v>
      </c>
      <c r="AT16" s="3">
        <v>0.5130000114440918</v>
      </c>
      <c r="AU16" s="3">
        <v>1.6000000759959221E-2</v>
      </c>
      <c r="AV16" s="3">
        <v>1.9040000438690186</v>
      </c>
      <c r="AW16" s="3">
        <v>0.34400001168251038</v>
      </c>
      <c r="AY16" s="3" t="e">
        <f t="shared" ca="1" si="28"/>
        <v>#N/A</v>
      </c>
      <c r="AZ16" s="3">
        <f t="shared" ca="1" si="29"/>
        <v>0.52290836653386463</v>
      </c>
      <c r="BA16" s="3" t="e">
        <f t="shared" ca="1" si="30"/>
        <v>#N/A</v>
      </c>
      <c r="BB16" s="3">
        <f t="shared" ca="1" si="31"/>
        <v>0.91284860557768921</v>
      </c>
      <c r="BD16" s="3" t="e">
        <f t="shared" ca="1" si="32"/>
        <v>#N/A</v>
      </c>
      <c r="BE16" s="3">
        <f t="shared" ca="1" si="33"/>
        <v>0.61827688014127347</v>
      </c>
      <c r="BF16" s="3" t="e">
        <f t="shared" ca="1" si="34"/>
        <v>#N/A</v>
      </c>
      <c r="BG16" s="3">
        <f t="shared" ca="1" si="35"/>
        <v>0.90064747310967086</v>
      </c>
      <c r="BI16" s="3" t="e">
        <f t="shared" ca="1" si="36"/>
        <v>#N/A</v>
      </c>
      <c r="BJ16" s="3">
        <f t="shared" ca="1" si="37"/>
        <v>0.49800796812749004</v>
      </c>
      <c r="BK16" s="3" t="e">
        <f t="shared" ca="1" si="38"/>
        <v>#N/A</v>
      </c>
      <c r="BL16" s="3">
        <f t="shared" ca="1" si="39"/>
        <v>0.99601593625498008</v>
      </c>
      <c r="BN16" s="3" t="e">
        <f t="shared" ca="1" si="40"/>
        <v>#N/A</v>
      </c>
      <c r="BO16" s="3">
        <f t="shared" ca="1" si="41"/>
        <v>0.74701195219123506</v>
      </c>
      <c r="BP16" s="3" t="e">
        <f t="shared" ca="1" si="42"/>
        <v>#N/A</v>
      </c>
      <c r="BQ16" s="3">
        <f t="shared" ca="1" si="43"/>
        <v>0.74701195219123506</v>
      </c>
      <c r="BS16" s="3">
        <v>0.81300002336502075</v>
      </c>
      <c r="BT16" s="3">
        <v>0.43200001120567322</v>
      </c>
      <c r="BU16" s="3">
        <v>1.9040000438690186</v>
      </c>
      <c r="BV16" s="3">
        <v>0.34400001168251038</v>
      </c>
      <c r="BX16" s="3" t="e">
        <f t="shared" ca="1" si="44"/>
        <v>#N/A</v>
      </c>
      <c r="BY16" s="3">
        <f t="shared" ca="1" si="45"/>
        <v>0</v>
      </c>
      <c r="BZ16" s="3" t="e">
        <f t="shared" ca="1" si="46"/>
        <v>#N/A</v>
      </c>
      <c r="CA16" s="3">
        <f t="shared" ca="1" si="47"/>
        <v>0</v>
      </c>
      <c r="CC16" s="3" t="e">
        <f t="shared" ca="1" si="48"/>
        <v>#N/A</v>
      </c>
      <c r="CD16" s="3">
        <f t="shared" ca="1" si="49"/>
        <v>0</v>
      </c>
      <c r="CE16" s="3" t="e">
        <f t="shared" ca="1" si="50"/>
        <v>#N/A</v>
      </c>
      <c r="CF16" s="3">
        <f t="shared" ca="1" si="51"/>
        <v>0</v>
      </c>
      <c r="CH16" s="3" t="e">
        <f t="shared" ca="1" si="52"/>
        <v>#N/A</v>
      </c>
      <c r="CI16" s="3">
        <f t="shared" ca="1" si="53"/>
        <v>0</v>
      </c>
      <c r="CJ16" s="3" t="e">
        <f t="shared" ca="1" si="54"/>
        <v>#N/A</v>
      </c>
      <c r="CK16" s="3">
        <f t="shared" ca="1" si="55"/>
        <v>0</v>
      </c>
      <c r="CM16" s="3" t="e">
        <f t="shared" ca="1" si="56"/>
        <v>#N/A</v>
      </c>
      <c r="CN16" s="3">
        <f t="shared" ca="1" si="57"/>
        <v>0</v>
      </c>
      <c r="CO16" s="3" t="e">
        <f t="shared" ca="1" si="58"/>
        <v>#N/A</v>
      </c>
      <c r="CP16" s="3">
        <f t="shared" ca="1" si="59"/>
        <v>0</v>
      </c>
      <c r="CR16" s="3">
        <v>4.016</v>
      </c>
      <c r="CS16" s="3">
        <v>4.016</v>
      </c>
      <c r="CT16" s="3">
        <v>4.0149999999999997</v>
      </c>
      <c r="CU16" s="3">
        <v>4.016</v>
      </c>
    </row>
    <row r="17" spans="1:99" s="3" customFormat="1" x14ac:dyDescent="0.35">
      <c r="A17" s="2" t="s">
        <v>92</v>
      </c>
      <c r="B17" s="2">
        <v>4.416666666666667</v>
      </c>
      <c r="C17" s="2" t="s">
        <v>168</v>
      </c>
      <c r="D17" s="2" t="s">
        <v>403</v>
      </c>
      <c r="F17" s="11" t="e">
        <v>#N/A</v>
      </c>
      <c r="G17" s="3" t="e">
        <v>#N/A</v>
      </c>
      <c r="H17" s="3">
        <v>4.0110000000000001</v>
      </c>
      <c r="I17" s="3">
        <v>3.2439999999999998</v>
      </c>
      <c r="K17" s="3" t="e">
        <f t="shared" ca="1" si="0"/>
        <v>#N/A</v>
      </c>
      <c r="L17" s="3" t="e">
        <f t="shared" ca="1" si="1"/>
        <v>#N/A</v>
      </c>
      <c r="M17" s="3">
        <f t="shared" ca="1" si="2"/>
        <v>0.93093991523310893</v>
      </c>
      <c r="N17" s="3">
        <f t="shared" ca="1" si="3"/>
        <v>0.76541307028360073</v>
      </c>
      <c r="P17" s="3" t="e">
        <f t="shared" ca="1" si="4"/>
        <v>#N/A</v>
      </c>
      <c r="Q17" s="3" t="e">
        <f t="shared" ca="1" si="5"/>
        <v>#N/A</v>
      </c>
      <c r="R17" s="3">
        <f t="shared" ca="1" si="6"/>
        <v>0.19945149646379559</v>
      </c>
      <c r="S17" s="3">
        <f t="shared" ca="1" si="7"/>
        <v>0.34895196734180012</v>
      </c>
      <c r="U17" s="3" t="e">
        <f t="shared" ca="1" si="8"/>
        <v>#N/A</v>
      </c>
      <c r="V17" s="3" t="e">
        <f t="shared" ca="1" si="9"/>
        <v>#N/A</v>
      </c>
      <c r="W17" s="3">
        <f t="shared" ca="1" si="10"/>
        <v>0.74794315632011965</v>
      </c>
      <c r="X17" s="3">
        <f t="shared" ca="1" si="11"/>
        <v>1.8495684340320593</v>
      </c>
      <c r="Z17" s="3" t="e">
        <f t="shared" ca="1" si="12"/>
        <v>#N/A</v>
      </c>
      <c r="AA17" s="3" t="e">
        <f t="shared" ca="1" si="13"/>
        <v>#N/A</v>
      </c>
      <c r="AB17" s="3">
        <f t="shared" ca="1" si="14"/>
        <v>0.54475193218648732</v>
      </c>
      <c r="AC17" s="3">
        <f t="shared" ca="1" si="15"/>
        <v>0.57028360049321836</v>
      </c>
      <c r="AE17" s="3" t="e">
        <f t="shared" ca="1" si="16"/>
        <v>#N/A</v>
      </c>
      <c r="AF17" s="3" t="e">
        <f t="shared" ca="1" si="17"/>
        <v>#N/A</v>
      </c>
      <c r="AG17" s="3">
        <f t="shared" ca="1" si="18"/>
        <v>0.19945149646379559</v>
      </c>
      <c r="AH17" s="3">
        <f t="shared" ca="1" si="19"/>
        <v>0.2872996715083489</v>
      </c>
      <c r="AJ17" s="3" t="e">
        <f t="shared" ca="1" si="20"/>
        <v>#N/A</v>
      </c>
      <c r="AK17" s="3" t="e">
        <f t="shared" ca="1" si="21"/>
        <v>#N/A</v>
      </c>
      <c r="AL17" s="3">
        <f t="shared" ca="1" si="22"/>
        <v>0.74794315632011965</v>
      </c>
      <c r="AM17" s="3">
        <f t="shared" ca="1" si="23"/>
        <v>1.5413070283600494</v>
      </c>
      <c r="AO17" s="3" t="e">
        <f t="shared" ca="1" si="24"/>
        <v>#N/A</v>
      </c>
      <c r="AP17" s="3" t="e">
        <f t="shared" ca="1" si="25"/>
        <v>#N/A</v>
      </c>
      <c r="AQ17" s="3">
        <f t="shared" ca="1" si="26"/>
        <v>2.7424582398404387</v>
      </c>
      <c r="AR17" s="3">
        <f t="shared" ca="1" si="27"/>
        <v>2.466091245376079</v>
      </c>
      <c r="AT17" s="11" t="e">
        <v>#N/A</v>
      </c>
      <c r="AU17" s="11" t="e">
        <v>#N/A</v>
      </c>
      <c r="AV17" s="3">
        <v>1.1009999513626099</v>
      </c>
      <c r="AW17" s="3">
        <v>2.0000000949949026E-3</v>
      </c>
      <c r="AY17" s="3" t="e">
        <f t="shared" ca="1" si="28"/>
        <v>#N/A</v>
      </c>
      <c r="AZ17" s="3" t="e">
        <f t="shared" ca="1" si="29"/>
        <v>#N/A</v>
      </c>
      <c r="BA17" s="3">
        <f t="shared" ca="1" si="30"/>
        <v>7.080528546497139E-2</v>
      </c>
      <c r="BB17" s="3">
        <f t="shared" ca="1" si="31"/>
        <v>3.5758323057953144E-2</v>
      </c>
      <c r="BD17" s="3" t="e">
        <f t="shared" ca="1" si="32"/>
        <v>#N/A</v>
      </c>
      <c r="BE17" s="3" t="e">
        <f t="shared" ca="1" si="33"/>
        <v>#N/A</v>
      </c>
      <c r="BF17" s="3">
        <f t="shared" ca="1" si="34"/>
        <v>3.3158787584934887E-2</v>
      </c>
      <c r="BG17" s="3">
        <f t="shared" ca="1" si="35"/>
        <v>0</v>
      </c>
      <c r="BI17" s="3" t="e">
        <f t="shared" ca="1" si="36"/>
        <v>#N/A</v>
      </c>
      <c r="BJ17" s="3" t="e">
        <f t="shared" ca="1" si="37"/>
        <v>#N/A</v>
      </c>
      <c r="BK17" s="3">
        <f t="shared" ca="1" si="38"/>
        <v>0.24931438544003989</v>
      </c>
      <c r="BL17" s="3">
        <f t="shared" ca="1" si="39"/>
        <v>0</v>
      </c>
      <c r="BN17" s="3" t="e">
        <f t="shared" ca="1" si="40"/>
        <v>#N/A</v>
      </c>
      <c r="BO17" s="3" t="e">
        <f t="shared" ca="1" si="41"/>
        <v>#N/A</v>
      </c>
      <c r="BP17" s="3">
        <f t="shared" ca="1" si="42"/>
        <v>2.2438294689603588</v>
      </c>
      <c r="BQ17" s="3">
        <f t="shared" ca="1" si="43"/>
        <v>2.466091245376079</v>
      </c>
      <c r="BS17" s="11" t="e">
        <v>#N/A</v>
      </c>
      <c r="BT17" s="11" t="e">
        <v>#N/A</v>
      </c>
      <c r="BU17" s="3">
        <v>3.1180000305175781</v>
      </c>
      <c r="BV17" s="3">
        <v>4.01</v>
      </c>
      <c r="BX17" s="3" t="e">
        <f t="shared" ca="1" si="44"/>
        <v>#N/A</v>
      </c>
      <c r="BY17" s="3" t="e">
        <f t="shared" ca="1" si="45"/>
        <v>#N/A</v>
      </c>
      <c r="BZ17" s="3">
        <f t="shared" ca="1" si="46"/>
        <v>2.5180752929444022E-2</v>
      </c>
      <c r="CA17" s="3">
        <f t="shared" ca="1" si="47"/>
        <v>0</v>
      </c>
      <c r="CC17" s="3" t="e">
        <f t="shared" ca="1" si="48"/>
        <v>#N/A</v>
      </c>
      <c r="CD17" s="3" t="e">
        <f t="shared" ca="1" si="49"/>
        <v>#N/A</v>
      </c>
      <c r="CE17" s="3">
        <f t="shared" ca="1" si="50"/>
        <v>0</v>
      </c>
      <c r="CF17" s="3">
        <f t="shared" ca="1" si="51"/>
        <v>0</v>
      </c>
      <c r="CH17" s="3" t="e">
        <f t="shared" ca="1" si="52"/>
        <v>#N/A</v>
      </c>
      <c r="CI17" s="3" t="e">
        <f t="shared" ca="1" si="53"/>
        <v>#N/A</v>
      </c>
      <c r="CJ17" s="3">
        <f t="shared" ca="1" si="54"/>
        <v>0</v>
      </c>
      <c r="CK17" s="3">
        <f t="shared" ca="1" si="55"/>
        <v>0</v>
      </c>
      <c r="CM17" s="3" t="e">
        <f t="shared" ca="1" si="56"/>
        <v>#N/A</v>
      </c>
      <c r="CN17" s="3" t="e">
        <f t="shared" ca="1" si="57"/>
        <v>#N/A</v>
      </c>
      <c r="CO17" s="3">
        <f t="shared" ca="1" si="58"/>
        <v>1.2465719272001994</v>
      </c>
      <c r="CP17" s="3">
        <f t="shared" ca="1" si="59"/>
        <v>0.61652281134401976</v>
      </c>
      <c r="CR17" s="11" t="e">
        <v>#N/A</v>
      </c>
      <c r="CS17" s="11" t="e">
        <v>#N/A</v>
      </c>
      <c r="CT17" s="3">
        <v>4.0110000000000001</v>
      </c>
      <c r="CU17" s="3">
        <v>4.01</v>
      </c>
    </row>
    <row r="18" spans="1:99" s="3" customFormat="1" x14ac:dyDescent="0.35">
      <c r="A18" s="2" t="s">
        <v>63</v>
      </c>
      <c r="B18" s="2">
        <v>4.5</v>
      </c>
      <c r="C18" s="2" t="s">
        <v>168</v>
      </c>
      <c r="D18" s="2" t="s">
        <v>403</v>
      </c>
      <c r="F18" s="3">
        <v>4.0250000000000004</v>
      </c>
      <c r="G18" s="3">
        <v>4.0069999999999997</v>
      </c>
      <c r="H18" s="3">
        <v>4.01</v>
      </c>
      <c r="I18" s="3">
        <v>4.0049999999999999</v>
      </c>
      <c r="K18" s="3">
        <f t="shared" ca="1" si="0"/>
        <v>0.99354037267080741</v>
      </c>
      <c r="L18" s="3">
        <f t="shared" ca="1" si="1"/>
        <v>0.94834040429248823</v>
      </c>
      <c r="M18" s="3">
        <f t="shared" ca="1" si="2"/>
        <v>0.9139650872817956</v>
      </c>
      <c r="N18" s="3">
        <f t="shared" ca="1" si="3"/>
        <v>0.99850187265917612</v>
      </c>
      <c r="P18" s="3">
        <f t="shared" ca="1" si="4"/>
        <v>0.90708069919799417</v>
      </c>
      <c r="Q18" s="3">
        <f t="shared" ca="1" si="5"/>
        <v>0.83628641211364774</v>
      </c>
      <c r="R18" s="3">
        <f t="shared" ca="1" si="6"/>
        <v>0.78104740366376846</v>
      </c>
      <c r="S18" s="3">
        <f t="shared" ca="1" si="7"/>
        <v>0.87440699227293783</v>
      </c>
      <c r="U18" s="3">
        <f t="shared" ca="1" si="8"/>
        <v>2.4844720496894408</v>
      </c>
      <c r="V18" s="3">
        <f t="shared" ca="1" si="9"/>
        <v>1.9965061142999752</v>
      </c>
      <c r="W18" s="3">
        <f t="shared" ca="1" si="10"/>
        <v>1.4962593516209477</v>
      </c>
      <c r="X18" s="3">
        <f t="shared" ca="1" si="11"/>
        <v>2.2471910112359552</v>
      </c>
      <c r="Z18" s="3">
        <f t="shared" ca="1" si="12"/>
        <v>0.99354037267080741</v>
      </c>
      <c r="AA18" s="3">
        <f t="shared" ca="1" si="13"/>
        <v>0.9026703269278763</v>
      </c>
      <c r="AB18" s="3">
        <f t="shared" ca="1" si="14"/>
        <v>0.9139650872817956</v>
      </c>
      <c r="AC18" s="3">
        <f t="shared" ca="1" si="15"/>
        <v>0.91960049937578026</v>
      </c>
      <c r="AE18" s="3">
        <f t="shared" ca="1" si="16"/>
        <v>0.90708069919799417</v>
      </c>
      <c r="AF18" s="3">
        <f t="shared" ca="1" si="17"/>
        <v>0.83628641211364774</v>
      </c>
      <c r="AG18" s="3">
        <f t="shared" ca="1" si="18"/>
        <v>0.78104740366376846</v>
      </c>
      <c r="AH18" s="3">
        <f t="shared" ca="1" si="19"/>
        <v>0.84943819730618175</v>
      </c>
      <c r="AJ18" s="3">
        <f t="shared" ca="1" si="20"/>
        <v>2.4844720496894408</v>
      </c>
      <c r="AK18" s="3">
        <f t="shared" ca="1" si="21"/>
        <v>1.9965061142999752</v>
      </c>
      <c r="AL18" s="3">
        <f t="shared" ca="1" si="22"/>
        <v>1.4962593516209477</v>
      </c>
      <c r="AM18" s="3">
        <f t="shared" ca="1" si="23"/>
        <v>1.9975031210986267</v>
      </c>
      <c r="AO18" s="3">
        <f t="shared" ca="1" si="24"/>
        <v>0.24844720496894407</v>
      </c>
      <c r="AP18" s="3">
        <f t="shared" ca="1" si="25"/>
        <v>0.49912652857499379</v>
      </c>
      <c r="AQ18" s="3">
        <f t="shared" ca="1" si="26"/>
        <v>0.24937655860349128</v>
      </c>
      <c r="AR18" s="3">
        <f t="shared" ca="1" si="27"/>
        <v>0.49937578027465668</v>
      </c>
      <c r="AT18" s="3">
        <v>0</v>
      </c>
      <c r="AU18" s="3">
        <v>0.12700000405311584</v>
      </c>
      <c r="AV18" s="3">
        <v>0.32899999618530273</v>
      </c>
      <c r="AW18" s="3">
        <v>0</v>
      </c>
      <c r="AY18" s="3">
        <f t="shared" ca="1" si="28"/>
        <v>0.3145341614906832</v>
      </c>
      <c r="AZ18" s="3">
        <f t="shared" ca="1" si="29"/>
        <v>0.49912652857499379</v>
      </c>
      <c r="BA18" s="3">
        <f t="shared" ca="1" si="30"/>
        <v>0.4610972568578553</v>
      </c>
      <c r="BB18" s="3">
        <f t="shared" ca="1" si="31"/>
        <v>0.72808988764044957</v>
      </c>
      <c r="BD18" s="3">
        <f t="shared" ca="1" si="32"/>
        <v>0.25267079750203197</v>
      </c>
      <c r="BE18" s="3">
        <f t="shared" ca="1" si="33"/>
        <v>0.47017716100039197</v>
      </c>
      <c r="BF18" s="3">
        <f t="shared" ca="1" si="34"/>
        <v>0.30324194496706536</v>
      </c>
      <c r="BG18" s="3">
        <f t="shared" ca="1" si="35"/>
        <v>0.71186015519607682</v>
      </c>
      <c r="BI18" s="3">
        <f t="shared" ca="1" si="36"/>
        <v>0.24844720496894407</v>
      </c>
      <c r="BJ18" s="3">
        <f t="shared" ca="1" si="37"/>
        <v>0.99825305714998758</v>
      </c>
      <c r="BK18" s="3">
        <f t="shared" ca="1" si="38"/>
        <v>0.74812967581047385</v>
      </c>
      <c r="BL18" s="3">
        <f t="shared" ca="1" si="39"/>
        <v>1.4981273408239701</v>
      </c>
      <c r="BN18" s="3">
        <f t="shared" ca="1" si="40"/>
        <v>0.49689440993788814</v>
      </c>
      <c r="BO18" s="3">
        <f t="shared" ca="1" si="41"/>
        <v>0.74868979286249071</v>
      </c>
      <c r="BP18" s="3">
        <f t="shared" ca="1" si="42"/>
        <v>0.99750623441396513</v>
      </c>
      <c r="BQ18" s="3">
        <f t="shared" ca="1" si="43"/>
        <v>0.74906367041198507</v>
      </c>
      <c r="BS18" s="3">
        <v>1.5329999923706055</v>
      </c>
      <c r="BT18" s="3">
        <v>0.64399999380111694</v>
      </c>
      <c r="BU18" s="3">
        <v>1.312000036239624</v>
      </c>
      <c r="BV18" s="3">
        <v>0.40000000596046448</v>
      </c>
      <c r="BX18" s="3">
        <f t="shared" ca="1" si="44"/>
        <v>0.14509316770186337</v>
      </c>
      <c r="BY18" s="3">
        <f t="shared" ca="1" si="45"/>
        <v>1.6720738707262334E-2</v>
      </c>
      <c r="BZ18" s="3">
        <f t="shared" ca="1" si="46"/>
        <v>4.1645885286783112E-2</v>
      </c>
      <c r="CA18" s="3">
        <f t="shared" ca="1" si="47"/>
        <v>0</v>
      </c>
      <c r="CC18" s="3">
        <f t="shared" ca="1" si="48"/>
        <v>9.1180135004268664E-2</v>
      </c>
      <c r="CD18" s="3">
        <f t="shared" ca="1" si="49"/>
        <v>0</v>
      </c>
      <c r="CE18" s="3">
        <f t="shared" ca="1" si="50"/>
        <v>2.9177023585597775E-2</v>
      </c>
      <c r="CF18" s="3">
        <f t="shared" ca="1" si="51"/>
        <v>0</v>
      </c>
      <c r="CH18" s="3">
        <f t="shared" ca="1" si="52"/>
        <v>0.49689440993788814</v>
      </c>
      <c r="CI18" s="3">
        <f t="shared" ca="1" si="53"/>
        <v>0</v>
      </c>
      <c r="CJ18" s="3">
        <f t="shared" ca="1" si="54"/>
        <v>0.24937655860349128</v>
      </c>
      <c r="CK18" s="3">
        <f t="shared" ca="1" si="55"/>
        <v>0</v>
      </c>
      <c r="CM18" s="3">
        <f t="shared" ca="1" si="56"/>
        <v>0.49689440993788814</v>
      </c>
      <c r="CN18" s="3">
        <f t="shared" ca="1" si="57"/>
        <v>0.74868979286249071</v>
      </c>
      <c r="CO18" s="3">
        <f t="shared" ca="1" si="58"/>
        <v>0.74812967581047385</v>
      </c>
      <c r="CP18" s="3">
        <f t="shared" ca="1" si="59"/>
        <v>0</v>
      </c>
      <c r="CR18" s="3">
        <v>0.98299998044967651</v>
      </c>
      <c r="CS18" s="3">
        <v>4.0069999999999997</v>
      </c>
      <c r="CT18" s="3">
        <v>2.5780000686645508</v>
      </c>
      <c r="CU18" s="3">
        <v>4.0049999999999999</v>
      </c>
    </row>
    <row r="19" spans="1:99" s="3" customFormat="1" x14ac:dyDescent="0.35">
      <c r="A19" s="2" t="s">
        <v>59</v>
      </c>
      <c r="B19" s="2">
        <v>4.583333333333333</v>
      </c>
      <c r="C19" s="2" t="s">
        <v>168</v>
      </c>
      <c r="D19" s="2" t="s">
        <v>403</v>
      </c>
      <c r="F19" s="3">
        <v>4.01</v>
      </c>
      <c r="G19" s="3" t="e">
        <v>#N/A</v>
      </c>
      <c r="H19" s="3" t="e">
        <v>#N/A</v>
      </c>
      <c r="I19" s="3">
        <v>4.0149999999999997</v>
      </c>
      <c r="K19" s="3">
        <f t="shared" ca="1" si="0"/>
        <v>0.90997506234413983</v>
      </c>
      <c r="L19" s="3" t="e">
        <f t="shared" ca="1" si="1"/>
        <v>#N/A</v>
      </c>
      <c r="M19" s="3" t="e">
        <f t="shared" ca="1" si="2"/>
        <v>#N/A</v>
      </c>
      <c r="N19" s="3">
        <f t="shared" ca="1" si="3"/>
        <v>0.99601494396014945</v>
      </c>
      <c r="P19" s="3">
        <f t="shared" ca="1" si="4"/>
        <v>0.86433916466491778</v>
      </c>
      <c r="Q19" s="3" t="e">
        <f t="shared" ca="1" si="5"/>
        <v>#N/A</v>
      </c>
      <c r="R19" s="3" t="e">
        <f t="shared" ca="1" si="6"/>
        <v>#N/A</v>
      </c>
      <c r="S19" s="3">
        <f t="shared" ca="1" si="7"/>
        <v>0.86401007201981883</v>
      </c>
      <c r="U19" s="3">
        <f t="shared" ca="1" si="8"/>
        <v>1.9950124688279303</v>
      </c>
      <c r="V19" s="3" t="e">
        <f t="shared" ca="1" si="9"/>
        <v>#N/A</v>
      </c>
      <c r="W19" s="3" t="e">
        <f t="shared" ca="1" si="10"/>
        <v>#N/A</v>
      </c>
      <c r="X19" s="3">
        <f t="shared" ca="1" si="11"/>
        <v>3.4869240348692405</v>
      </c>
      <c r="Z19" s="3">
        <f t="shared" ca="1" si="12"/>
        <v>0.90997506234413983</v>
      </c>
      <c r="AA19" s="3" t="e">
        <f t="shared" ca="1" si="13"/>
        <v>#N/A</v>
      </c>
      <c r="AB19" s="3" t="e">
        <f t="shared" ca="1" si="14"/>
        <v>#N/A</v>
      </c>
      <c r="AC19" s="3">
        <f t="shared" ca="1" si="15"/>
        <v>0.9628891656288916</v>
      </c>
      <c r="AE19" s="3">
        <f t="shared" ca="1" si="16"/>
        <v>0.86433916466491778</v>
      </c>
      <c r="AF19" s="3" t="e">
        <f t="shared" ca="1" si="17"/>
        <v>#N/A</v>
      </c>
      <c r="AG19" s="3" t="e">
        <f t="shared" ca="1" si="18"/>
        <v>#N/A</v>
      </c>
      <c r="AH19" s="3">
        <f t="shared" ca="1" si="19"/>
        <v>0.86401007201981883</v>
      </c>
      <c r="AJ19" s="3">
        <f t="shared" ca="1" si="20"/>
        <v>1.9950124688279303</v>
      </c>
      <c r="AK19" s="3" t="e">
        <f t="shared" ca="1" si="21"/>
        <v>#N/A</v>
      </c>
      <c r="AL19" s="3" t="e">
        <f t="shared" ca="1" si="22"/>
        <v>#N/A</v>
      </c>
      <c r="AM19" s="3">
        <f t="shared" ca="1" si="23"/>
        <v>3.4869240348692405</v>
      </c>
      <c r="AO19" s="3">
        <f t="shared" ca="1" si="24"/>
        <v>0.24937655860349128</v>
      </c>
      <c r="AP19" s="3" t="e">
        <f t="shared" ca="1" si="25"/>
        <v>#N/A</v>
      </c>
      <c r="AQ19" s="3" t="e">
        <f t="shared" ca="1" si="26"/>
        <v>#N/A</v>
      </c>
      <c r="AR19" s="3">
        <f t="shared" ca="1" si="27"/>
        <v>0.4981320049813201</v>
      </c>
      <c r="AT19" s="3">
        <v>0.36899998784065247</v>
      </c>
      <c r="AU19" s="11" t="e">
        <v>#N/A</v>
      </c>
      <c r="AV19" s="11" t="e">
        <v>#N/A</v>
      </c>
      <c r="AW19" s="3">
        <v>4.999999888241291E-3</v>
      </c>
      <c r="AY19" s="3">
        <f t="shared" ca="1" si="28"/>
        <v>7.0822942643391479E-2</v>
      </c>
      <c r="AZ19" s="3" t="e">
        <f t="shared" ca="1" si="29"/>
        <v>#N/A</v>
      </c>
      <c r="BA19" s="3" t="e">
        <f t="shared" ca="1" si="30"/>
        <v>#N/A</v>
      </c>
      <c r="BB19" s="3">
        <f t="shared" ca="1" si="31"/>
        <v>0.20747198007471981</v>
      </c>
      <c r="BD19" s="3">
        <f t="shared" ca="1" si="32"/>
        <v>4.5635872648243897E-2</v>
      </c>
      <c r="BE19" s="3" t="e">
        <f t="shared" ca="1" si="33"/>
        <v>#N/A</v>
      </c>
      <c r="BF19" s="3" t="e">
        <f t="shared" ca="1" si="34"/>
        <v>#N/A</v>
      </c>
      <c r="BG19" s="3">
        <f t="shared" ca="1" si="35"/>
        <v>0.21195519311935787</v>
      </c>
      <c r="BI19" s="3">
        <f t="shared" ca="1" si="36"/>
        <v>0.24937655860349128</v>
      </c>
      <c r="BJ19" s="3" t="e">
        <f t="shared" ca="1" si="37"/>
        <v>#N/A</v>
      </c>
      <c r="BK19" s="3" t="e">
        <f t="shared" ca="1" si="38"/>
        <v>#N/A</v>
      </c>
      <c r="BL19" s="3">
        <f t="shared" ca="1" si="39"/>
        <v>0.74719800747198017</v>
      </c>
      <c r="BN19" s="3">
        <f t="shared" ca="1" si="40"/>
        <v>0.74812967581047385</v>
      </c>
      <c r="BO19" s="3" t="e">
        <f t="shared" ca="1" si="41"/>
        <v>#N/A</v>
      </c>
      <c r="BP19" s="3" t="e">
        <f t="shared" ca="1" si="42"/>
        <v>#N/A</v>
      </c>
      <c r="BQ19" s="3">
        <f t="shared" ca="1" si="43"/>
        <v>1.2453300124533002</v>
      </c>
      <c r="BS19" s="3">
        <v>2.502000093460083</v>
      </c>
      <c r="BT19" s="11" t="e">
        <v>#N/A</v>
      </c>
      <c r="BU19" s="11" t="e">
        <v>#N/A</v>
      </c>
      <c r="BV19" s="3">
        <v>0.43799999356269836</v>
      </c>
      <c r="BX19" s="3">
        <f t="shared" ca="1" si="44"/>
        <v>0.34488778054862851</v>
      </c>
      <c r="BY19" s="3" t="e">
        <f t="shared" ca="1" si="45"/>
        <v>#N/A</v>
      </c>
      <c r="BZ19" s="3" t="e">
        <f t="shared" ca="1" si="46"/>
        <v>#N/A</v>
      </c>
      <c r="CA19" s="3">
        <f t="shared" ca="1" si="47"/>
        <v>0.17833125778331252</v>
      </c>
      <c r="CC19" s="3">
        <f t="shared" ca="1" si="48"/>
        <v>0.45286779689075346</v>
      </c>
      <c r="CD19" s="3" t="e">
        <f t="shared" ca="1" si="49"/>
        <v>#N/A</v>
      </c>
      <c r="CE19" s="3" t="e">
        <f t="shared" ca="1" si="50"/>
        <v>#N/A</v>
      </c>
      <c r="CF19" s="3">
        <f t="shared" ca="1" si="51"/>
        <v>0.24483194980645093</v>
      </c>
      <c r="CH19" s="3">
        <f t="shared" ca="1" si="52"/>
        <v>0.49875311720698257</v>
      </c>
      <c r="CI19" s="3" t="e">
        <f t="shared" ca="1" si="53"/>
        <v>#N/A</v>
      </c>
      <c r="CJ19" s="3" t="e">
        <f t="shared" ca="1" si="54"/>
        <v>#N/A</v>
      </c>
      <c r="CK19" s="3">
        <f t="shared" ca="1" si="55"/>
        <v>0.74719800747198017</v>
      </c>
      <c r="CM19" s="3">
        <f t="shared" ca="1" si="56"/>
        <v>0.49875311720698257</v>
      </c>
      <c r="CN19" s="3" t="e">
        <f t="shared" ca="1" si="57"/>
        <v>#N/A</v>
      </c>
      <c r="CO19" s="3" t="e">
        <f t="shared" ca="1" si="58"/>
        <v>#N/A</v>
      </c>
      <c r="CP19" s="3">
        <f t="shared" ca="1" si="59"/>
        <v>0.4981320049813201</v>
      </c>
      <c r="CR19" s="3">
        <v>0.98500001430511475</v>
      </c>
      <c r="CS19" s="11" t="e">
        <v>#N/A</v>
      </c>
      <c r="CT19" s="11" t="e">
        <v>#N/A</v>
      </c>
      <c r="CU19" s="3">
        <v>1.9210000038146973</v>
      </c>
    </row>
    <row r="20" spans="1:99" s="3" customFormat="1" x14ac:dyDescent="0.35">
      <c r="A20" s="2" t="s">
        <v>48</v>
      </c>
      <c r="B20" s="2">
        <v>4.833333333333333</v>
      </c>
      <c r="C20" s="2" t="s">
        <v>167</v>
      </c>
      <c r="D20" s="2" t="s">
        <v>403</v>
      </c>
      <c r="F20" s="3">
        <v>4.0049999999999999</v>
      </c>
      <c r="G20" s="3">
        <v>4.0030000000000001</v>
      </c>
      <c r="H20" s="3">
        <v>4.0410000000000004</v>
      </c>
      <c r="I20" s="3">
        <v>4.0359999999999996</v>
      </c>
      <c r="K20" s="3">
        <f t="shared" ca="1" si="0"/>
        <v>0.99425717852684137</v>
      </c>
      <c r="L20" s="3">
        <f t="shared" ca="1" si="1"/>
        <v>0.9992505620784411</v>
      </c>
      <c r="M20" s="3">
        <f t="shared" ca="1" si="2"/>
        <v>0.84533531304132636</v>
      </c>
      <c r="N20" s="3">
        <f t="shared" ca="1" si="3"/>
        <v>0.77626362735381571</v>
      </c>
      <c r="P20" s="3">
        <f t="shared" ca="1" si="4"/>
        <v>0.90262177708406421</v>
      </c>
      <c r="Q20" s="3">
        <f t="shared" ca="1" si="5"/>
        <v>0.8783412084859139</v>
      </c>
      <c r="R20" s="3">
        <f t="shared" ca="1" si="6"/>
        <v>0.84533524879043975</v>
      </c>
      <c r="S20" s="3">
        <f t="shared" ca="1" si="7"/>
        <v>0.74355789378093429</v>
      </c>
      <c r="U20" s="3">
        <f t="shared" ca="1" si="8"/>
        <v>1.7478152309612984</v>
      </c>
      <c r="V20" s="3">
        <f t="shared" ca="1" si="9"/>
        <v>2.2483137646764924</v>
      </c>
      <c r="W20" s="3">
        <f t="shared" ca="1" si="10"/>
        <v>2.2271714922048997</v>
      </c>
      <c r="X20" s="3">
        <f t="shared" ca="1" si="11"/>
        <v>1.9821605550049557</v>
      </c>
      <c r="Z20" s="3">
        <f t="shared" ca="1" si="12"/>
        <v>0.99425717852684137</v>
      </c>
      <c r="AA20" s="3">
        <f t="shared" ca="1" si="13"/>
        <v>0.94079440419685234</v>
      </c>
      <c r="AB20" s="3">
        <f t="shared" ca="1" si="14"/>
        <v>0.84533531304132636</v>
      </c>
      <c r="AC20" s="3">
        <f t="shared" ca="1" si="15"/>
        <v>0.64841427155599607</v>
      </c>
      <c r="AE20" s="3">
        <f t="shared" ca="1" si="16"/>
        <v>0.90262177708406421</v>
      </c>
      <c r="AF20" s="3">
        <f t="shared" ca="1" si="17"/>
        <v>0.84936294301947879</v>
      </c>
      <c r="AG20" s="3">
        <f t="shared" ca="1" si="18"/>
        <v>0.84533524879043975</v>
      </c>
      <c r="AH20" s="3">
        <f t="shared" ca="1" si="19"/>
        <v>0.61570858902217618</v>
      </c>
      <c r="AJ20" s="3">
        <f t="shared" ca="1" si="20"/>
        <v>1.7478152309612984</v>
      </c>
      <c r="AK20" s="3">
        <f t="shared" ca="1" si="21"/>
        <v>1.9985011241568822</v>
      </c>
      <c r="AL20" s="3">
        <f t="shared" ca="1" si="22"/>
        <v>2.2271714922048997</v>
      </c>
      <c r="AM20" s="3">
        <f t="shared" ca="1" si="23"/>
        <v>1.7343904856293362</v>
      </c>
      <c r="AO20" s="3">
        <f t="shared" ca="1" si="24"/>
        <v>0.24968789013732834</v>
      </c>
      <c r="AP20" s="3">
        <f t="shared" ca="1" si="25"/>
        <v>0.74943792155883082</v>
      </c>
      <c r="AQ20" s="3">
        <f t="shared" ca="1" si="26"/>
        <v>0.49492699826775544</v>
      </c>
      <c r="AR20" s="3">
        <f t="shared" ca="1" si="27"/>
        <v>0.74331020812685833</v>
      </c>
      <c r="AT20" s="3">
        <v>7.0000002160668373E-3</v>
      </c>
      <c r="AU20" s="3">
        <v>2.0000000949949026E-3</v>
      </c>
      <c r="AV20" s="3">
        <v>0.48899999260902405</v>
      </c>
      <c r="AW20" s="3">
        <v>0.3449999988079071</v>
      </c>
      <c r="AY20" s="3">
        <f t="shared" ca="1" si="28"/>
        <v>0</v>
      </c>
      <c r="AZ20" s="3">
        <f t="shared" ca="1" si="29"/>
        <v>4.2468148888333505E-3</v>
      </c>
      <c r="BA20" s="3">
        <f t="shared" ca="1" si="30"/>
        <v>0</v>
      </c>
      <c r="BB20" s="3">
        <f t="shared" ca="1" si="31"/>
        <v>0</v>
      </c>
      <c r="BD20" s="3">
        <f t="shared" ca="1" si="32"/>
        <v>0</v>
      </c>
      <c r="BE20" s="3">
        <f t="shared" ca="1" si="33"/>
        <v>0</v>
      </c>
      <c r="BF20" s="3">
        <f t="shared" ca="1" si="34"/>
        <v>0</v>
      </c>
      <c r="BG20" s="3">
        <f t="shared" ca="1" si="35"/>
        <v>0</v>
      </c>
      <c r="BI20" s="3">
        <f t="shared" ca="1" si="36"/>
        <v>0</v>
      </c>
      <c r="BJ20" s="3">
        <f t="shared" ca="1" si="37"/>
        <v>0</v>
      </c>
      <c r="BK20" s="3">
        <f t="shared" ca="1" si="38"/>
        <v>0</v>
      </c>
      <c r="BL20" s="3">
        <f t="shared" ca="1" si="39"/>
        <v>0</v>
      </c>
      <c r="BN20" s="3">
        <f t="shared" ca="1" si="40"/>
        <v>0</v>
      </c>
      <c r="BO20" s="3">
        <f t="shared" ca="1" si="41"/>
        <v>0.24981264051961027</v>
      </c>
      <c r="BP20" s="3">
        <f t="shared" ca="1" si="42"/>
        <v>0</v>
      </c>
      <c r="BQ20" s="3">
        <f t="shared" ca="1" si="43"/>
        <v>0.24777006937561946</v>
      </c>
      <c r="BS20" s="3">
        <v>4.0049999999999999</v>
      </c>
      <c r="BT20" s="3">
        <v>4.0030000000000001</v>
      </c>
      <c r="BU20" s="3">
        <v>4.0410000000000004</v>
      </c>
      <c r="BV20" s="3">
        <v>4.0359999999999996</v>
      </c>
      <c r="BX20" s="3">
        <f t="shared" ca="1" si="44"/>
        <v>0.49937578027465668</v>
      </c>
      <c r="BY20" s="3">
        <f t="shared" ca="1" si="45"/>
        <v>0.64526605046215346</v>
      </c>
      <c r="BZ20" s="3">
        <f t="shared" ca="1" si="46"/>
        <v>0.45756000989854007</v>
      </c>
      <c r="CA20" s="3">
        <f t="shared" ca="1" si="47"/>
        <v>7.0366699702675881E-2</v>
      </c>
      <c r="CC20" s="3">
        <f t="shared" ca="1" si="48"/>
        <v>0.4908864120121455</v>
      </c>
      <c r="CD20" s="3">
        <f t="shared" ca="1" si="49"/>
        <v>0.65375970596972921</v>
      </c>
      <c r="CE20" s="3">
        <f t="shared" ca="1" si="50"/>
        <v>0.46176682955792148</v>
      </c>
      <c r="CF20" s="3">
        <f t="shared" ca="1" si="51"/>
        <v>8.275517150833539E-2</v>
      </c>
      <c r="CH20" s="3">
        <f t="shared" ca="1" si="52"/>
        <v>0.99875156054931336</v>
      </c>
      <c r="CI20" s="3">
        <f t="shared" ca="1" si="53"/>
        <v>1.2490632025980515</v>
      </c>
      <c r="CJ20" s="3">
        <f t="shared" ca="1" si="54"/>
        <v>0.98985399653551087</v>
      </c>
      <c r="CK20" s="3">
        <f t="shared" ca="1" si="55"/>
        <v>0.24777006937561946</v>
      </c>
      <c r="CM20" s="3">
        <f t="shared" ca="1" si="56"/>
        <v>0.74906367041198507</v>
      </c>
      <c r="CN20" s="3">
        <f t="shared" ca="1" si="57"/>
        <v>0.9992505620784411</v>
      </c>
      <c r="CO20" s="3">
        <f t="shared" ca="1" si="58"/>
        <v>0.98985399653551087</v>
      </c>
      <c r="CP20" s="3">
        <f t="shared" ca="1" si="59"/>
        <v>0.24777006937561946</v>
      </c>
      <c r="CR20" s="3">
        <v>1.2389999628067017</v>
      </c>
      <c r="CS20" s="3">
        <v>0.35199999809265137</v>
      </c>
      <c r="CT20" s="3">
        <v>0.68800002336502075</v>
      </c>
      <c r="CU20" s="3">
        <v>2.128000020980835</v>
      </c>
    </row>
    <row r="21" spans="1:99" s="3" customFormat="1" x14ac:dyDescent="0.35">
      <c r="A21" s="2" t="s">
        <v>13</v>
      </c>
      <c r="B21" s="2">
        <v>5</v>
      </c>
      <c r="C21" s="2" t="s">
        <v>168</v>
      </c>
      <c r="D21" s="2" t="s">
        <v>403</v>
      </c>
      <c r="F21" s="11" t="e">
        <v>#N/A</v>
      </c>
      <c r="G21" s="3" t="e">
        <v>#N/A</v>
      </c>
      <c r="H21" s="3">
        <v>4.016</v>
      </c>
      <c r="I21" s="11" t="e">
        <v>#N/A</v>
      </c>
      <c r="K21" s="3" t="e">
        <f t="shared" ca="1" si="0"/>
        <v>#N/A</v>
      </c>
      <c r="L21" s="3" t="e">
        <f t="shared" ca="1" si="1"/>
        <v>#N/A</v>
      </c>
      <c r="M21" s="3">
        <f t="shared" ca="1" si="2"/>
        <v>0.90438247011952189</v>
      </c>
      <c r="N21" s="3" t="e">
        <f t="shared" ca="1" si="3"/>
        <v>#N/A</v>
      </c>
      <c r="P21" s="3" t="e">
        <f t="shared" ca="1" si="4"/>
        <v>#N/A</v>
      </c>
      <c r="Q21" s="3" t="e">
        <f t="shared" ca="1" si="5"/>
        <v>#N/A</v>
      </c>
      <c r="R21" s="3">
        <f t="shared" ca="1" si="6"/>
        <v>0.85483059524539928</v>
      </c>
      <c r="S21" s="3" t="e">
        <f t="shared" ca="1" si="7"/>
        <v>#N/A</v>
      </c>
      <c r="U21" s="3" t="e">
        <f t="shared" ca="1" si="8"/>
        <v>#N/A</v>
      </c>
      <c r="V21" s="3" t="e">
        <f t="shared" ca="1" si="9"/>
        <v>#N/A</v>
      </c>
      <c r="W21" s="3">
        <f t="shared" ca="1" si="10"/>
        <v>1.9920318725099602</v>
      </c>
      <c r="X21" s="3" t="e">
        <f t="shared" ca="1" si="11"/>
        <v>#N/A</v>
      </c>
      <c r="Z21" s="3" t="e">
        <f t="shared" ca="1" si="12"/>
        <v>#N/A</v>
      </c>
      <c r="AA21" s="3" t="e">
        <f t="shared" ca="1" si="13"/>
        <v>#N/A</v>
      </c>
      <c r="AB21" s="3">
        <f t="shared" ca="1" si="14"/>
        <v>0.90438247011952189</v>
      </c>
      <c r="AC21" s="3" t="e">
        <f t="shared" ca="1" si="15"/>
        <v>#N/A</v>
      </c>
      <c r="AE21" s="3" t="e">
        <f t="shared" ca="1" si="16"/>
        <v>#N/A</v>
      </c>
      <c r="AF21" s="3" t="e">
        <f t="shared" ca="1" si="17"/>
        <v>#N/A</v>
      </c>
      <c r="AG21" s="3">
        <f t="shared" ca="1" si="18"/>
        <v>0.85483059524539928</v>
      </c>
      <c r="AH21" s="3" t="e">
        <f t="shared" ca="1" si="19"/>
        <v>#N/A</v>
      </c>
      <c r="AJ21" s="3" t="e">
        <f t="shared" ca="1" si="20"/>
        <v>#N/A</v>
      </c>
      <c r="AK21" s="3" t="e">
        <f t="shared" ca="1" si="21"/>
        <v>#N/A</v>
      </c>
      <c r="AL21" s="3">
        <f t="shared" ca="1" si="22"/>
        <v>1.9920318725099602</v>
      </c>
      <c r="AM21" s="3" t="e">
        <f t="shared" ca="1" si="23"/>
        <v>#N/A</v>
      </c>
      <c r="AO21" s="3" t="e">
        <f t="shared" ca="1" si="24"/>
        <v>#N/A</v>
      </c>
      <c r="AP21" s="3" t="e">
        <f t="shared" ca="1" si="25"/>
        <v>#N/A</v>
      </c>
      <c r="AQ21" s="3">
        <f t="shared" ca="1" si="26"/>
        <v>0.24900398406374502</v>
      </c>
      <c r="AR21" s="3" t="e">
        <f t="shared" ca="1" si="27"/>
        <v>#N/A</v>
      </c>
      <c r="AT21" s="11" t="e">
        <v>#N/A</v>
      </c>
      <c r="AU21" s="3">
        <v>0.49900001287460327</v>
      </c>
      <c r="AV21" s="3">
        <v>0.43500000238418579</v>
      </c>
      <c r="AW21" s="11" t="e">
        <v>#N/A</v>
      </c>
      <c r="AY21" s="3" t="e">
        <f t="shared" ca="1" si="28"/>
        <v>#N/A</v>
      </c>
      <c r="AZ21" s="3" t="e">
        <f t="shared" ca="1" si="29"/>
        <v>#N/A</v>
      </c>
      <c r="BA21" s="3">
        <f t="shared" ca="1" si="30"/>
        <v>0.23630478087649404</v>
      </c>
      <c r="BB21" s="3" t="e">
        <f t="shared" ca="1" si="31"/>
        <v>#N/A</v>
      </c>
      <c r="BD21" s="3" t="e">
        <f t="shared" ca="1" si="32"/>
        <v>#N/A</v>
      </c>
      <c r="BE21" s="3" t="e">
        <f t="shared" ca="1" si="33"/>
        <v>#N/A</v>
      </c>
      <c r="BF21" s="3">
        <f t="shared" ca="1" si="34"/>
        <v>0.34860551238534937</v>
      </c>
      <c r="BG21" s="3" t="e">
        <f t="shared" ca="1" si="35"/>
        <v>#N/A</v>
      </c>
      <c r="BI21" s="3" t="e">
        <f t="shared" ca="1" si="36"/>
        <v>#N/A</v>
      </c>
      <c r="BJ21" s="3" t="e">
        <f t="shared" ca="1" si="37"/>
        <v>#N/A</v>
      </c>
      <c r="BK21" s="3">
        <f t="shared" ca="1" si="38"/>
        <v>0.74701195219123506</v>
      </c>
      <c r="BL21" s="3" t="e">
        <f t="shared" ca="1" si="39"/>
        <v>#N/A</v>
      </c>
      <c r="BN21" s="3" t="e">
        <f t="shared" ca="1" si="40"/>
        <v>#N/A</v>
      </c>
      <c r="BO21" s="3" t="e">
        <f t="shared" ca="1" si="41"/>
        <v>#N/A</v>
      </c>
      <c r="BP21" s="3">
        <f t="shared" ca="1" si="42"/>
        <v>0.74701195219123506</v>
      </c>
      <c r="BQ21" s="3" t="e">
        <f t="shared" ca="1" si="43"/>
        <v>#N/A</v>
      </c>
      <c r="BS21" s="11" t="e">
        <v>#N/A</v>
      </c>
      <c r="BT21" s="3">
        <v>0.86599999666213989</v>
      </c>
      <c r="BU21" s="3">
        <v>1.1180000305175781</v>
      </c>
      <c r="BV21" s="11" t="e">
        <v>#N/A</v>
      </c>
      <c r="BX21" s="3" t="e">
        <f t="shared" ca="1" si="44"/>
        <v>#N/A</v>
      </c>
      <c r="BY21" s="3" t="e">
        <f t="shared" ca="1" si="45"/>
        <v>#N/A</v>
      </c>
      <c r="BZ21" s="3">
        <f t="shared" ca="1" si="46"/>
        <v>1.2450199203187249E-2</v>
      </c>
      <c r="CA21" s="3" t="e">
        <f t="shared" ca="1" si="47"/>
        <v>#N/A</v>
      </c>
      <c r="CC21" s="3" t="e">
        <f t="shared" ca="1" si="48"/>
        <v>#N/A</v>
      </c>
      <c r="CD21" s="3" t="e">
        <f t="shared" ca="1" si="49"/>
        <v>#N/A</v>
      </c>
      <c r="CE21" s="3">
        <f t="shared" ca="1" si="50"/>
        <v>0</v>
      </c>
      <c r="CF21" s="3" t="e">
        <f t="shared" ca="1" si="51"/>
        <v>#N/A</v>
      </c>
      <c r="CH21" s="3" t="e">
        <f t="shared" ca="1" si="52"/>
        <v>#N/A</v>
      </c>
      <c r="CI21" s="3" t="e">
        <f t="shared" ca="1" si="53"/>
        <v>#N/A</v>
      </c>
      <c r="CJ21" s="3">
        <f t="shared" ca="1" si="54"/>
        <v>0</v>
      </c>
      <c r="CK21" s="3" t="e">
        <f t="shared" ca="1" si="55"/>
        <v>#N/A</v>
      </c>
      <c r="CM21" s="3" t="e">
        <f t="shared" ca="1" si="56"/>
        <v>#N/A</v>
      </c>
      <c r="CN21" s="3" t="e">
        <f t="shared" ca="1" si="57"/>
        <v>#N/A</v>
      </c>
      <c r="CO21" s="3">
        <f t="shared" ca="1" si="58"/>
        <v>0.24900398406374502</v>
      </c>
      <c r="CP21" s="3" t="e">
        <f t="shared" ca="1" si="59"/>
        <v>#N/A</v>
      </c>
      <c r="CR21" s="11" t="e">
        <v>#N/A</v>
      </c>
      <c r="CS21" s="3">
        <v>4.0149999999999997</v>
      </c>
      <c r="CT21" s="3">
        <v>4.016</v>
      </c>
      <c r="CU21" s="11" t="e">
        <v>#N/A</v>
      </c>
    </row>
    <row r="22" spans="1:99" s="3" customFormat="1" x14ac:dyDescent="0.35">
      <c r="A22" s="2" t="s">
        <v>37</v>
      </c>
      <c r="B22" s="2">
        <v>5.083333333333333</v>
      </c>
      <c r="C22" s="2" t="s">
        <v>168</v>
      </c>
      <c r="D22" s="2" t="s">
        <v>403</v>
      </c>
      <c r="F22" s="3">
        <v>4.0259999999999998</v>
      </c>
      <c r="G22" s="3">
        <v>4.0149999999999997</v>
      </c>
      <c r="H22" s="3">
        <v>4.0069999999999997</v>
      </c>
      <c r="I22" s="3">
        <v>4.0039999999999996</v>
      </c>
      <c r="K22" s="3">
        <f t="shared" ca="1" si="0"/>
        <v>0.99751614505712871</v>
      </c>
      <c r="L22" s="3">
        <f t="shared" ca="1" si="1"/>
        <v>0.99601494396014956</v>
      </c>
      <c r="M22" s="3">
        <f t="shared" ca="1" si="2"/>
        <v>0.98153231844272526</v>
      </c>
      <c r="N22" s="3">
        <f t="shared" ca="1" si="3"/>
        <v>0.87812187812187825</v>
      </c>
      <c r="P22" s="3">
        <f t="shared" ca="1" si="4"/>
        <v>0.64977648183592385</v>
      </c>
      <c r="Q22" s="3">
        <f t="shared" ca="1" si="5"/>
        <v>0.93051064182490417</v>
      </c>
      <c r="R22" s="3">
        <f t="shared" ca="1" si="6"/>
        <v>0.923633651790705</v>
      </c>
      <c r="S22" s="3">
        <f t="shared" ca="1" si="7"/>
        <v>0.64935056598750984</v>
      </c>
      <c r="U22" s="3">
        <f t="shared" ca="1" si="8"/>
        <v>1.9870839542970691</v>
      </c>
      <c r="V22" s="3">
        <f t="shared" ca="1" si="9"/>
        <v>2.2415940224159403</v>
      </c>
      <c r="W22" s="3">
        <f t="shared" ca="1" si="10"/>
        <v>2.2460693785874719</v>
      </c>
      <c r="X22" s="3">
        <f t="shared" ca="1" si="11"/>
        <v>1.9980019980019983</v>
      </c>
      <c r="Z22" s="3">
        <f t="shared" ca="1" si="12"/>
        <v>0.88574267262791873</v>
      </c>
      <c r="AA22" s="3">
        <f t="shared" ca="1" si="13"/>
        <v>0.99601494396014956</v>
      </c>
      <c r="AB22" s="3">
        <f t="shared" ca="1" si="14"/>
        <v>0.98153231844272526</v>
      </c>
      <c r="AC22" s="3">
        <f t="shared" ca="1" si="15"/>
        <v>0.5661838161838163</v>
      </c>
      <c r="AE22" s="3">
        <f t="shared" ca="1" si="16"/>
        <v>0.5628415529134555</v>
      </c>
      <c r="AF22" s="3">
        <f t="shared" ca="1" si="17"/>
        <v>0.93051064182490417</v>
      </c>
      <c r="AG22" s="3">
        <f t="shared" ca="1" si="18"/>
        <v>0.923633651790705</v>
      </c>
      <c r="AH22" s="3">
        <f t="shared" ca="1" si="19"/>
        <v>0.41633362060302981</v>
      </c>
      <c r="AJ22" s="3">
        <f t="shared" ca="1" si="20"/>
        <v>1.7386984600099356</v>
      </c>
      <c r="AK22" s="3">
        <f t="shared" ca="1" si="21"/>
        <v>2.2415940224159403</v>
      </c>
      <c r="AL22" s="3">
        <f t="shared" ca="1" si="22"/>
        <v>2.2460693785874719</v>
      </c>
      <c r="AM22" s="3">
        <f t="shared" ca="1" si="23"/>
        <v>1.7482517482517483</v>
      </c>
      <c r="AO22" s="3">
        <f t="shared" ca="1" si="24"/>
        <v>0.49677098857426727</v>
      </c>
      <c r="AP22" s="3">
        <f t="shared" ca="1" si="25"/>
        <v>0.24906600249066005</v>
      </c>
      <c r="AQ22" s="3">
        <f t="shared" ca="1" si="26"/>
        <v>0.24956326428749689</v>
      </c>
      <c r="AR22" s="3">
        <f t="shared" ca="1" si="27"/>
        <v>0.99900099900099915</v>
      </c>
      <c r="AT22" s="3">
        <v>0.5339999794960022</v>
      </c>
      <c r="AU22" s="3">
        <v>1.0000000474974513E-3</v>
      </c>
      <c r="AV22" s="3">
        <v>4.0000001899898052E-3</v>
      </c>
      <c r="AW22" s="3">
        <v>0.50400000810623169</v>
      </c>
      <c r="AY22" s="3">
        <f t="shared" ca="1" si="28"/>
        <v>0.19895678092399413</v>
      </c>
      <c r="AZ22" s="3">
        <f t="shared" ca="1" si="29"/>
        <v>0.33225404732254038</v>
      </c>
      <c r="BA22" s="3">
        <f t="shared" ca="1" si="30"/>
        <v>0.40329423508859502</v>
      </c>
      <c r="BB22" s="3">
        <f t="shared" ca="1" si="31"/>
        <v>0.16258741258741263</v>
      </c>
      <c r="BD22" s="3">
        <f t="shared" ca="1" si="32"/>
        <v>0.21087930857454198</v>
      </c>
      <c r="BE22" s="3">
        <f t="shared" ca="1" si="33"/>
        <v>0.57733499518668707</v>
      </c>
      <c r="BF22" s="3">
        <f t="shared" ca="1" si="34"/>
        <v>0.4364861673269898</v>
      </c>
      <c r="BG22" s="3">
        <f t="shared" ca="1" si="35"/>
        <v>0.14985014091838492</v>
      </c>
      <c r="BI22" s="3">
        <f t="shared" ca="1" si="36"/>
        <v>0.99354197714853454</v>
      </c>
      <c r="BJ22" s="3">
        <f t="shared" ca="1" si="37"/>
        <v>1.2453300124533002</v>
      </c>
      <c r="BK22" s="3">
        <f t="shared" ca="1" si="38"/>
        <v>0.74868979286249071</v>
      </c>
      <c r="BL22" s="3">
        <f t="shared" ca="1" si="39"/>
        <v>0.49950049950049957</v>
      </c>
      <c r="BN22" s="3">
        <f t="shared" ca="1" si="40"/>
        <v>1.7386984600099356</v>
      </c>
      <c r="BO22" s="3">
        <f t="shared" ca="1" si="41"/>
        <v>1.4943960149439603</v>
      </c>
      <c r="BP22" s="3">
        <f t="shared" ca="1" si="42"/>
        <v>0.74868979286249071</v>
      </c>
      <c r="BQ22" s="3">
        <f t="shared" ca="1" si="43"/>
        <v>0.99900099900099915</v>
      </c>
      <c r="BS22" s="3">
        <v>1.284000039100647</v>
      </c>
      <c r="BT22" s="3">
        <v>1.0000000474974513E-3</v>
      </c>
      <c r="BU22" s="3">
        <v>0.72000002861022949</v>
      </c>
      <c r="BV22" s="3">
        <v>0.50400000810623169</v>
      </c>
      <c r="BX22" s="3">
        <f t="shared" ca="1" si="44"/>
        <v>1.6393442622950821E-2</v>
      </c>
      <c r="BY22" s="3">
        <f t="shared" ca="1" si="45"/>
        <v>0</v>
      </c>
      <c r="BZ22" s="3">
        <f t="shared" ca="1" si="46"/>
        <v>9.1340154729223841E-2</v>
      </c>
      <c r="CA22" s="3">
        <f t="shared" ca="1" si="47"/>
        <v>9.1658341658341663E-2</v>
      </c>
      <c r="CC22" s="3">
        <f t="shared" ca="1" si="48"/>
        <v>0</v>
      </c>
      <c r="CD22" s="3">
        <f t="shared" ca="1" si="49"/>
        <v>0</v>
      </c>
      <c r="CE22" s="3">
        <f t="shared" ca="1" si="50"/>
        <v>0.10831046050880687</v>
      </c>
      <c r="CF22" s="3">
        <f t="shared" ca="1" si="51"/>
        <v>0.108141850281905</v>
      </c>
      <c r="CH22" s="3">
        <f t="shared" ca="1" si="52"/>
        <v>0</v>
      </c>
      <c r="CI22" s="3">
        <f t="shared" ca="1" si="53"/>
        <v>0</v>
      </c>
      <c r="CJ22" s="3">
        <f t="shared" ca="1" si="54"/>
        <v>0.49912652857499379</v>
      </c>
      <c r="CK22" s="3">
        <f t="shared" ca="1" si="55"/>
        <v>0.49950049950049957</v>
      </c>
      <c r="CM22" s="3">
        <f t="shared" ca="1" si="56"/>
        <v>0.24838549428713363</v>
      </c>
      <c r="CN22" s="3">
        <f t="shared" ca="1" si="57"/>
        <v>0</v>
      </c>
      <c r="CO22" s="3">
        <f t="shared" ca="1" si="58"/>
        <v>0.49912652857499379</v>
      </c>
      <c r="CP22" s="3">
        <f t="shared" ca="1" si="59"/>
        <v>0.7492507492507493</v>
      </c>
      <c r="CR22" s="3">
        <v>4.0259999999999998</v>
      </c>
      <c r="CS22" s="3">
        <v>4.0149999999999997</v>
      </c>
      <c r="CT22" s="3">
        <v>1.6369999647140503</v>
      </c>
      <c r="CU22" s="3">
        <v>1.5379999876022339</v>
      </c>
    </row>
    <row r="23" spans="1:99" s="3" customFormat="1" x14ac:dyDescent="0.35">
      <c r="A23" s="2" t="s">
        <v>49</v>
      </c>
      <c r="B23" s="2">
        <v>5.083333333333333</v>
      </c>
      <c r="C23" s="2" t="s">
        <v>168</v>
      </c>
      <c r="D23" s="2" t="s">
        <v>403</v>
      </c>
      <c r="F23" s="3">
        <v>4.016</v>
      </c>
      <c r="G23" s="3">
        <v>4.016</v>
      </c>
      <c r="H23" s="3">
        <v>4.016</v>
      </c>
      <c r="I23" s="3">
        <v>4.0149999999999997</v>
      </c>
      <c r="K23" s="3">
        <f t="shared" ca="1" si="0"/>
        <v>0.88371513944223101</v>
      </c>
      <c r="L23" s="3">
        <f t="shared" ca="1" si="1"/>
        <v>0.99576693227091639</v>
      </c>
      <c r="M23" s="3">
        <f t="shared" ca="1" si="2"/>
        <v>0.99576693227091639</v>
      </c>
      <c r="N23" s="3">
        <f t="shared" ca="1" si="3"/>
        <v>0.90884184308841853</v>
      </c>
      <c r="P23" s="3">
        <f t="shared" ca="1" si="4"/>
        <v>0.78012948610868116</v>
      </c>
      <c r="Q23" s="3">
        <f t="shared" ca="1" si="5"/>
        <v>0.94596615206799006</v>
      </c>
      <c r="R23" s="3">
        <f t="shared" ca="1" si="6"/>
        <v>0.9663844132328413</v>
      </c>
      <c r="S23" s="3">
        <f t="shared" ca="1" si="7"/>
        <v>0.82963875043733637</v>
      </c>
      <c r="U23" s="3">
        <f t="shared" ca="1" si="8"/>
        <v>2.4900398406374502</v>
      </c>
      <c r="V23" s="3">
        <f t="shared" ca="1" si="9"/>
        <v>3.237051792828685</v>
      </c>
      <c r="W23" s="3">
        <f t="shared" ca="1" si="10"/>
        <v>1.9920318725099602</v>
      </c>
      <c r="X23" s="3">
        <f t="shared" ca="1" si="11"/>
        <v>2.2415940224159403</v>
      </c>
      <c r="Z23" s="3">
        <f t="shared" ca="1" si="12"/>
        <v>0.72211155378486069</v>
      </c>
      <c r="AA23" s="3">
        <f t="shared" ca="1" si="13"/>
        <v>0.99576693227091639</v>
      </c>
      <c r="AB23" s="3">
        <f t="shared" ca="1" si="14"/>
        <v>0.99576693227091639</v>
      </c>
      <c r="AC23" s="3">
        <f t="shared" ca="1" si="15"/>
        <v>0.74296388542963887</v>
      </c>
      <c r="AE23" s="3">
        <f t="shared" ca="1" si="16"/>
        <v>0.65986056667400073</v>
      </c>
      <c r="AF23" s="3">
        <f t="shared" ca="1" si="17"/>
        <v>0.94596615206799006</v>
      </c>
      <c r="AG23" s="3">
        <f t="shared" ca="1" si="18"/>
        <v>0.9663844132328413</v>
      </c>
      <c r="AH23" s="3">
        <f t="shared" ca="1" si="19"/>
        <v>0.6555416441498183</v>
      </c>
      <c r="AJ23" s="3">
        <f t="shared" ca="1" si="20"/>
        <v>1.9920318725099602</v>
      </c>
      <c r="AK23" s="3">
        <f t="shared" ca="1" si="21"/>
        <v>3.237051792828685</v>
      </c>
      <c r="AL23" s="3">
        <f t="shared" ca="1" si="22"/>
        <v>1.9920318725099602</v>
      </c>
      <c r="AM23" s="3">
        <f t="shared" ca="1" si="23"/>
        <v>1.7434620174346203</v>
      </c>
      <c r="AO23" s="3">
        <f t="shared" ca="1" si="24"/>
        <v>0.99601593625498008</v>
      </c>
      <c r="AP23" s="3">
        <f t="shared" ca="1" si="25"/>
        <v>0.24900398406374502</v>
      </c>
      <c r="AQ23" s="3">
        <f t="shared" ca="1" si="26"/>
        <v>0.24900398406374502</v>
      </c>
      <c r="AR23" s="3">
        <f t="shared" ca="1" si="27"/>
        <v>0.74719800747198017</v>
      </c>
      <c r="AT23" s="3">
        <v>0.51599997282028198</v>
      </c>
      <c r="AU23" s="3">
        <v>6.0000000521540642E-3</v>
      </c>
      <c r="AV23" s="3">
        <v>0</v>
      </c>
      <c r="AW23" s="3">
        <v>0.39500001072883606</v>
      </c>
      <c r="AY23" s="3">
        <f t="shared" ca="1" si="28"/>
        <v>0.17828685258964147</v>
      </c>
      <c r="AZ23" s="3">
        <f t="shared" ca="1" si="29"/>
        <v>4.5816733067729126E-2</v>
      </c>
      <c r="BA23" s="3">
        <f t="shared" ca="1" si="30"/>
        <v>8.21713147410362E-3</v>
      </c>
      <c r="BB23" s="3">
        <f t="shared" ca="1" si="31"/>
        <v>0</v>
      </c>
      <c r="BD23" s="3">
        <f t="shared" ca="1" si="32"/>
        <v>3.7350621356432183E-2</v>
      </c>
      <c r="BE23" s="3">
        <f t="shared" ca="1" si="33"/>
        <v>3.7350621356432183E-2</v>
      </c>
      <c r="BF23" s="3">
        <f t="shared" ca="1" si="34"/>
        <v>0</v>
      </c>
      <c r="BG23" s="3">
        <f t="shared" ca="1" si="35"/>
        <v>0</v>
      </c>
      <c r="BI23" s="3">
        <f t="shared" ca="1" si="36"/>
        <v>0.24900398406374502</v>
      </c>
      <c r="BJ23" s="3">
        <f t="shared" ca="1" si="37"/>
        <v>0.24900398406374502</v>
      </c>
      <c r="BK23" s="3">
        <f t="shared" ca="1" si="38"/>
        <v>0</v>
      </c>
      <c r="BL23" s="3">
        <f t="shared" ca="1" si="39"/>
        <v>0</v>
      </c>
      <c r="BN23" s="3">
        <f t="shared" ca="1" si="40"/>
        <v>0.99601593625498008</v>
      </c>
      <c r="BO23" s="3">
        <f t="shared" ca="1" si="41"/>
        <v>0.24900398406374502</v>
      </c>
      <c r="BP23" s="3">
        <f t="shared" ca="1" si="42"/>
        <v>0.24900398406374502</v>
      </c>
      <c r="BQ23" s="3">
        <f t="shared" ca="1" si="43"/>
        <v>0</v>
      </c>
      <c r="BS23" s="3">
        <v>3.8489999771118164</v>
      </c>
      <c r="BT23" s="3">
        <v>1.3049999475479126</v>
      </c>
      <c r="BU23" s="3">
        <v>4.016</v>
      </c>
      <c r="BV23" s="3">
        <v>4.0149999999999997</v>
      </c>
      <c r="BX23" s="3">
        <f t="shared" ca="1" si="44"/>
        <v>0.15388446215139454</v>
      </c>
      <c r="BY23" s="3">
        <f t="shared" ca="1" si="45"/>
        <v>0.34013944223107562</v>
      </c>
      <c r="BZ23" s="3">
        <f t="shared" ca="1" si="46"/>
        <v>0.31125498007968128</v>
      </c>
      <c r="CA23" s="3">
        <f t="shared" ca="1" si="47"/>
        <v>0.12876712328767123</v>
      </c>
      <c r="CC23" s="3">
        <f t="shared" ca="1" si="48"/>
        <v>0.22808762185602074</v>
      </c>
      <c r="CD23" s="3">
        <f t="shared" ca="1" si="49"/>
        <v>0.439740980157176</v>
      </c>
      <c r="CE23" s="3">
        <f t="shared" ca="1" si="50"/>
        <v>0.34835659323698021</v>
      </c>
      <c r="CF23" s="3">
        <f t="shared" ca="1" si="51"/>
        <v>2.4906635878243454E-2</v>
      </c>
      <c r="CH23" s="3">
        <f t="shared" ca="1" si="52"/>
        <v>0.24900398406374502</v>
      </c>
      <c r="CI23" s="3">
        <f t="shared" ca="1" si="53"/>
        <v>1.4940239043824701</v>
      </c>
      <c r="CJ23" s="3">
        <f t="shared" ca="1" si="54"/>
        <v>0.49800796812749004</v>
      </c>
      <c r="CK23" s="3">
        <f t="shared" ca="1" si="55"/>
        <v>0.24906600249066005</v>
      </c>
      <c r="CM23" s="3">
        <f t="shared" ca="1" si="56"/>
        <v>1.2450199203187251</v>
      </c>
      <c r="CN23" s="3">
        <f t="shared" ca="1" si="57"/>
        <v>1.4940239043824701</v>
      </c>
      <c r="CO23" s="3">
        <f t="shared" ca="1" si="58"/>
        <v>0.49800796812749004</v>
      </c>
      <c r="CP23" s="3">
        <f t="shared" ca="1" si="59"/>
        <v>1.2453300124533002</v>
      </c>
      <c r="CR23" s="3">
        <v>2.6830000877380371</v>
      </c>
      <c r="CS23" s="3">
        <v>6.0000000521540642E-3</v>
      </c>
      <c r="CT23" s="3">
        <v>0</v>
      </c>
      <c r="CU23" s="3">
        <v>2.9609999656677246</v>
      </c>
    </row>
    <row r="24" spans="1:99" s="3" customFormat="1" x14ac:dyDescent="0.35">
      <c r="A24" s="2" t="s">
        <v>35</v>
      </c>
      <c r="B24" s="2">
        <v>5.166666666666667</v>
      </c>
      <c r="C24" s="2" t="s">
        <v>167</v>
      </c>
      <c r="D24" s="2" t="s">
        <v>403</v>
      </c>
      <c r="F24" s="3" t="e">
        <v>#N/A</v>
      </c>
      <c r="G24" s="3">
        <v>4.0279999999999996</v>
      </c>
      <c r="H24" s="3" t="e">
        <v>#N/A</v>
      </c>
      <c r="I24" s="3" t="e">
        <v>#N/A</v>
      </c>
      <c r="K24" s="3" t="e">
        <f t="shared" ca="1" si="0"/>
        <v>#N/A</v>
      </c>
      <c r="L24" s="3">
        <f t="shared" ca="1" si="1"/>
        <v>0.99280039721946389</v>
      </c>
      <c r="M24" s="3" t="e">
        <f t="shared" ca="1" si="2"/>
        <v>#N/A</v>
      </c>
      <c r="N24" s="3" t="e">
        <f t="shared" ca="1" si="3"/>
        <v>#N/A</v>
      </c>
      <c r="P24" s="3" t="e">
        <f t="shared" ca="1" si="4"/>
        <v>#N/A</v>
      </c>
      <c r="Q24" s="3">
        <f t="shared" ca="1" si="5"/>
        <v>0.89299900072525973</v>
      </c>
      <c r="R24" s="3" t="e">
        <f t="shared" ca="1" si="6"/>
        <v>#N/A</v>
      </c>
      <c r="S24" s="3" t="e">
        <f t="shared" ca="1" si="7"/>
        <v>#N/A</v>
      </c>
      <c r="U24" s="3" t="e">
        <f t="shared" ca="1" si="8"/>
        <v>#N/A</v>
      </c>
      <c r="V24" s="3">
        <f t="shared" ca="1" si="9"/>
        <v>1.7378351539225423</v>
      </c>
      <c r="W24" s="3" t="e">
        <f t="shared" ca="1" si="10"/>
        <v>#N/A</v>
      </c>
      <c r="X24" s="3" t="e">
        <f t="shared" ca="1" si="11"/>
        <v>#N/A</v>
      </c>
      <c r="Z24" s="3" t="e">
        <f t="shared" ca="1" si="12"/>
        <v>#N/A</v>
      </c>
      <c r="AA24" s="3">
        <f t="shared" ca="1" si="13"/>
        <v>0.99280039721946389</v>
      </c>
      <c r="AB24" s="3" t="e">
        <f t="shared" ca="1" si="14"/>
        <v>#N/A</v>
      </c>
      <c r="AC24" s="3" t="e">
        <f t="shared" ca="1" si="15"/>
        <v>#N/A</v>
      </c>
      <c r="AE24" s="3" t="e">
        <f t="shared" ca="1" si="16"/>
        <v>#N/A</v>
      </c>
      <c r="AF24" s="3">
        <f t="shared" ca="1" si="17"/>
        <v>0.89299900072525973</v>
      </c>
      <c r="AG24" s="3" t="e">
        <f t="shared" ca="1" si="18"/>
        <v>#N/A</v>
      </c>
      <c r="AH24" s="3" t="e">
        <f t="shared" ca="1" si="19"/>
        <v>#N/A</v>
      </c>
      <c r="AJ24" s="3" t="e">
        <f t="shared" ca="1" si="20"/>
        <v>#N/A</v>
      </c>
      <c r="AK24" s="3">
        <f t="shared" ca="1" si="21"/>
        <v>1.7378351539225423</v>
      </c>
      <c r="AL24" s="3" t="e">
        <f t="shared" ca="1" si="22"/>
        <v>#N/A</v>
      </c>
      <c r="AM24" s="3" t="e">
        <f t="shared" ca="1" si="23"/>
        <v>#N/A</v>
      </c>
      <c r="AO24" s="3" t="e">
        <f t="shared" ca="1" si="24"/>
        <v>#N/A</v>
      </c>
      <c r="AP24" s="3">
        <f t="shared" ca="1" si="25"/>
        <v>0.24826216484607749</v>
      </c>
      <c r="AQ24" s="3" t="e">
        <f t="shared" ca="1" si="26"/>
        <v>#N/A</v>
      </c>
      <c r="AR24" s="3" t="e">
        <f t="shared" ca="1" si="27"/>
        <v>#N/A</v>
      </c>
      <c r="AT24" s="3">
        <v>4.999999888241291E-3</v>
      </c>
      <c r="AU24" s="3">
        <v>2.3000000044703484E-2</v>
      </c>
      <c r="AV24" s="3">
        <v>0.2460000067949295</v>
      </c>
      <c r="AW24" s="3">
        <v>0.92500001192092896</v>
      </c>
      <c r="AY24" s="3" t="e">
        <f t="shared" ca="1" si="28"/>
        <v>#N/A</v>
      </c>
      <c r="AZ24" s="3">
        <f t="shared" ca="1" si="29"/>
        <v>0.7403177755710032</v>
      </c>
      <c r="BA24" s="3" t="e">
        <f t="shared" ca="1" si="30"/>
        <v>#N/A</v>
      </c>
      <c r="BB24" s="3" t="e">
        <f t="shared" ca="1" si="31"/>
        <v>#N/A</v>
      </c>
      <c r="BD24" s="3" t="e">
        <f t="shared" ca="1" si="32"/>
        <v>#N/A</v>
      </c>
      <c r="BE24" s="3">
        <f t="shared" ca="1" si="33"/>
        <v>0.74851043825708297</v>
      </c>
      <c r="BF24" s="3" t="e">
        <f t="shared" ca="1" si="34"/>
        <v>#N/A</v>
      </c>
      <c r="BG24" s="3" t="e">
        <f t="shared" ca="1" si="35"/>
        <v>#N/A</v>
      </c>
      <c r="BI24" s="3" t="e">
        <f t="shared" ca="1" si="36"/>
        <v>#N/A</v>
      </c>
      <c r="BJ24" s="3">
        <f t="shared" ca="1" si="37"/>
        <v>1.2413108242303874</v>
      </c>
      <c r="BK24" s="3" t="e">
        <f t="shared" ca="1" si="38"/>
        <v>#N/A</v>
      </c>
      <c r="BL24" s="3" t="e">
        <f t="shared" ca="1" si="39"/>
        <v>#N/A</v>
      </c>
      <c r="BN24" s="3" t="e">
        <f t="shared" ca="1" si="40"/>
        <v>#N/A</v>
      </c>
      <c r="BO24" s="3">
        <f t="shared" ca="1" si="41"/>
        <v>0.74478649453823242</v>
      </c>
      <c r="BP24" s="3" t="e">
        <f t="shared" ca="1" si="42"/>
        <v>#N/A</v>
      </c>
      <c r="BQ24" s="3" t="e">
        <f t="shared" ca="1" si="43"/>
        <v>#N/A</v>
      </c>
      <c r="BS24" s="3">
        <v>0.60500001907348633</v>
      </c>
      <c r="BT24" s="3">
        <v>0.50599998235702515</v>
      </c>
      <c r="BU24" s="3">
        <v>0.76200002431869507</v>
      </c>
      <c r="BV24" s="3">
        <v>4.0110000000000001</v>
      </c>
      <c r="BX24" s="3" t="e">
        <f t="shared" ca="1" si="44"/>
        <v>#N/A</v>
      </c>
      <c r="BY24" s="3">
        <f t="shared" ca="1" si="45"/>
        <v>2.879841112214496E-2</v>
      </c>
      <c r="BZ24" s="3" t="e">
        <f t="shared" ca="1" si="46"/>
        <v>#N/A</v>
      </c>
      <c r="CA24" s="3" t="e">
        <f t="shared" ca="1" si="47"/>
        <v>#N/A</v>
      </c>
      <c r="CC24" s="3" t="e">
        <f t="shared" ca="1" si="48"/>
        <v>#N/A</v>
      </c>
      <c r="CD24" s="3">
        <f t="shared" ca="1" si="49"/>
        <v>2.8798395495902466E-2</v>
      </c>
      <c r="CE24" s="3" t="e">
        <f t="shared" ca="1" si="50"/>
        <v>#N/A</v>
      </c>
      <c r="CF24" s="3" t="e">
        <f t="shared" ca="1" si="51"/>
        <v>#N/A</v>
      </c>
      <c r="CH24" s="3" t="e">
        <f t="shared" ca="1" si="52"/>
        <v>#N/A</v>
      </c>
      <c r="CI24" s="3">
        <f t="shared" ca="1" si="53"/>
        <v>0.24826216484607749</v>
      </c>
      <c r="CJ24" s="3" t="e">
        <f t="shared" ca="1" si="54"/>
        <v>#N/A</v>
      </c>
      <c r="CK24" s="3" t="e">
        <f t="shared" ca="1" si="55"/>
        <v>#N/A</v>
      </c>
      <c r="CM24" s="3" t="e">
        <f t="shared" ca="1" si="56"/>
        <v>#N/A</v>
      </c>
      <c r="CN24" s="3">
        <f t="shared" ca="1" si="57"/>
        <v>0.24826216484607749</v>
      </c>
      <c r="CO24" s="3" t="e">
        <f t="shared" ca="1" si="58"/>
        <v>#N/A</v>
      </c>
      <c r="CP24" s="3" t="e">
        <f t="shared" ca="1" si="59"/>
        <v>#N/A</v>
      </c>
      <c r="CR24" s="3">
        <v>4.0259999999999998</v>
      </c>
      <c r="CS24" s="3">
        <v>1.406000018119812</v>
      </c>
      <c r="CT24" s="3">
        <v>4.0090000000000003</v>
      </c>
      <c r="CU24" s="3">
        <v>4.0110000000000001</v>
      </c>
    </row>
    <row r="25" spans="1:99" s="3" customFormat="1" x14ac:dyDescent="0.35">
      <c r="A25" s="2" t="s">
        <v>19</v>
      </c>
      <c r="B25" s="2">
        <v>5.25</v>
      </c>
      <c r="C25" s="2" t="s">
        <v>168</v>
      </c>
      <c r="D25" s="2" t="s">
        <v>403</v>
      </c>
      <c r="F25" s="3">
        <v>4.016</v>
      </c>
      <c r="G25" s="3">
        <v>3.0939999999999999</v>
      </c>
      <c r="H25" s="3">
        <v>4.016</v>
      </c>
      <c r="I25" s="3">
        <v>4.016</v>
      </c>
      <c r="K25" s="3">
        <f t="shared" ca="1" si="0"/>
        <v>0.99576693227091628</v>
      </c>
      <c r="L25" s="3">
        <f t="shared" ca="1" si="1"/>
        <v>0.99612152553329025</v>
      </c>
      <c r="M25" s="3">
        <f t="shared" ca="1" si="2"/>
        <v>0.99576693227091639</v>
      </c>
      <c r="N25" s="3">
        <f t="shared" ca="1" si="3"/>
        <v>0.88371513944223101</v>
      </c>
      <c r="P25" s="3">
        <f t="shared" ca="1" si="4"/>
        <v>0.19098606064500087</v>
      </c>
      <c r="Q25" s="3">
        <f t="shared" ca="1" si="5"/>
        <v>0.22624437856766666</v>
      </c>
      <c r="R25" s="3">
        <f t="shared" ca="1" si="6"/>
        <v>6.2250996015936255E-2</v>
      </c>
      <c r="S25" s="3">
        <f t="shared" ca="1" si="7"/>
        <v>0.14940233700778854</v>
      </c>
      <c r="U25" s="3">
        <f t="shared" ca="1" si="8"/>
        <v>1.2450199203187251</v>
      </c>
      <c r="V25" s="3">
        <f t="shared" ca="1" si="9"/>
        <v>1.9392372333548804</v>
      </c>
      <c r="W25" s="3">
        <f t="shared" ca="1" si="10"/>
        <v>0.49800796812749004</v>
      </c>
      <c r="X25" s="3">
        <f t="shared" ca="1" si="11"/>
        <v>1.2450199203187251</v>
      </c>
      <c r="Z25" s="3">
        <f t="shared" ca="1" si="12"/>
        <v>0.56474103585657365</v>
      </c>
      <c r="AA25" s="3">
        <f t="shared" ca="1" si="13"/>
        <v>0.60827407886231422</v>
      </c>
      <c r="AB25" s="3">
        <f t="shared" ca="1" si="14"/>
        <v>0.4397410358565737</v>
      </c>
      <c r="AC25" s="3">
        <f t="shared" ca="1" si="15"/>
        <v>0.6431772908366532</v>
      </c>
      <c r="AE25" s="3">
        <f t="shared" ca="1" si="16"/>
        <v>0.19098606064500087</v>
      </c>
      <c r="AF25" s="3">
        <f t="shared" ca="1" si="17"/>
        <v>0.18875240200784951</v>
      </c>
      <c r="AG25" s="3">
        <f t="shared" ca="1" si="18"/>
        <v>3.7350561989256112E-2</v>
      </c>
      <c r="AH25" s="3">
        <f t="shared" ca="1" si="19"/>
        <v>0.11628483277393052</v>
      </c>
      <c r="AJ25" s="3">
        <f t="shared" ca="1" si="20"/>
        <v>1.2450199203187251</v>
      </c>
      <c r="AK25" s="3">
        <f t="shared" ca="1" si="21"/>
        <v>1.6160310277957337</v>
      </c>
      <c r="AL25" s="3">
        <f t="shared" ca="1" si="22"/>
        <v>0.24900398406374502</v>
      </c>
      <c r="AM25" s="3">
        <f t="shared" ca="1" si="23"/>
        <v>0.99601593625498008</v>
      </c>
      <c r="AO25" s="3">
        <f t="shared" ca="1" si="24"/>
        <v>6.9721115537848606</v>
      </c>
      <c r="AP25" s="3">
        <f t="shared" ca="1" si="25"/>
        <v>2.2624434389140271</v>
      </c>
      <c r="AQ25" s="3">
        <f t="shared" ca="1" si="26"/>
        <v>3.7350597609561751</v>
      </c>
      <c r="AR25" s="3">
        <f t="shared" ca="1" si="27"/>
        <v>1.9920318725099602</v>
      </c>
      <c r="AT25" s="3">
        <v>0.29899999499320984</v>
      </c>
      <c r="AU25" s="3">
        <v>0.52899998426437378</v>
      </c>
      <c r="AV25" s="3">
        <v>2.2890000343322754</v>
      </c>
      <c r="AW25" s="3">
        <v>1.3270000219345093</v>
      </c>
      <c r="AY25" s="3">
        <f t="shared" ca="1" si="28"/>
        <v>7.8934262948207129E-2</v>
      </c>
      <c r="AZ25" s="3">
        <f t="shared" ca="1" si="29"/>
        <v>9.1144149967679333E-2</v>
      </c>
      <c r="BA25" s="3">
        <f t="shared" ca="1" si="30"/>
        <v>1.2201195219123462E-2</v>
      </c>
      <c r="BB25" s="3">
        <f t="shared" ca="1" si="31"/>
        <v>0.11230079681274904</v>
      </c>
      <c r="BD25" s="3">
        <f t="shared" ca="1" si="32"/>
        <v>4.158366427003625E-2</v>
      </c>
      <c r="BE25" s="3">
        <f t="shared" ca="1" si="33"/>
        <v>3.7491918766043922E-2</v>
      </c>
      <c r="BF25" s="3">
        <f t="shared" ca="1" si="34"/>
        <v>0</v>
      </c>
      <c r="BG25" s="3">
        <f t="shared" ca="1" si="35"/>
        <v>9.1384458114426442E-2</v>
      </c>
      <c r="BI25" s="3">
        <f t="shared" ca="1" si="36"/>
        <v>0.24900398406374502</v>
      </c>
      <c r="BJ25" s="3">
        <f t="shared" ca="1" si="37"/>
        <v>0.32320620555914675</v>
      </c>
      <c r="BK25" s="3">
        <f t="shared" ca="1" si="38"/>
        <v>0</v>
      </c>
      <c r="BL25" s="3">
        <f t="shared" ca="1" si="39"/>
        <v>0.74701195219123506</v>
      </c>
      <c r="BN25" s="3">
        <f t="shared" ca="1" si="40"/>
        <v>3.7350597609561751</v>
      </c>
      <c r="BO25" s="3">
        <f t="shared" ca="1" si="41"/>
        <v>4.8480930833872016</v>
      </c>
      <c r="BP25" s="3">
        <f t="shared" ca="1" si="42"/>
        <v>1.4940239043824701</v>
      </c>
      <c r="BQ25" s="3">
        <f t="shared" ca="1" si="43"/>
        <v>3.237051792828685</v>
      </c>
      <c r="BS25" s="3">
        <v>0.29899999499320984</v>
      </c>
      <c r="BT25" s="3">
        <v>0.52899998426437378</v>
      </c>
      <c r="BU25" s="3">
        <v>4.016</v>
      </c>
      <c r="BV25" s="3">
        <v>1.3270000219345093</v>
      </c>
      <c r="BX25" s="3">
        <f t="shared" ca="1" si="44"/>
        <v>3.9840637450199237E-3</v>
      </c>
      <c r="BY25" s="3">
        <f t="shared" ca="1" si="45"/>
        <v>0</v>
      </c>
      <c r="BZ25" s="3">
        <f t="shared" ca="1" si="46"/>
        <v>0</v>
      </c>
      <c r="CA25" s="3">
        <f t="shared" ca="1" si="47"/>
        <v>2.0667330677290884E-2</v>
      </c>
      <c r="CC25" s="3">
        <f t="shared" ca="1" si="48"/>
        <v>0</v>
      </c>
      <c r="CD25" s="3">
        <f t="shared" ca="1" si="49"/>
        <v>0</v>
      </c>
      <c r="CE25" s="3">
        <f t="shared" ca="1" si="50"/>
        <v>0</v>
      </c>
      <c r="CF25" s="3">
        <f t="shared" ca="1" si="51"/>
        <v>2.4900374659504072E-2</v>
      </c>
      <c r="CH25" s="3">
        <f t="shared" ca="1" si="52"/>
        <v>0</v>
      </c>
      <c r="CI25" s="3">
        <f t="shared" ca="1" si="53"/>
        <v>0</v>
      </c>
      <c r="CJ25" s="3">
        <f t="shared" ca="1" si="54"/>
        <v>0</v>
      </c>
      <c r="CK25" s="3">
        <f t="shared" ca="1" si="55"/>
        <v>0.24900398406374502</v>
      </c>
      <c r="CM25" s="3">
        <f t="shared" ca="1" si="56"/>
        <v>0.24900398406374502</v>
      </c>
      <c r="CN25" s="3">
        <f t="shared" ca="1" si="57"/>
        <v>0.32320620555914675</v>
      </c>
      <c r="CO25" s="3">
        <f t="shared" ca="1" si="58"/>
        <v>1.2450199203187251</v>
      </c>
      <c r="CP25" s="3">
        <f t="shared" ca="1" si="59"/>
        <v>0.74701195219123506</v>
      </c>
      <c r="CR25" s="3">
        <v>4.016</v>
      </c>
      <c r="CS25" s="3">
        <v>4.016</v>
      </c>
      <c r="CT25" s="3">
        <v>4.016</v>
      </c>
      <c r="CU25" s="3">
        <v>3.7100000381469727</v>
      </c>
    </row>
    <row r="26" spans="1:99" s="3" customFormat="1" x14ac:dyDescent="0.35">
      <c r="A26" s="2" t="s">
        <v>66</v>
      </c>
      <c r="B26" s="2">
        <v>5.333333333333333</v>
      </c>
      <c r="C26" s="2" t="s">
        <v>168</v>
      </c>
      <c r="D26" s="2" t="s">
        <v>403</v>
      </c>
      <c r="F26" s="3">
        <v>4.0110000000000001</v>
      </c>
      <c r="G26" s="3">
        <v>4.016</v>
      </c>
      <c r="H26" s="3">
        <v>4.0039999999999996</v>
      </c>
      <c r="I26" s="3">
        <v>4.01</v>
      </c>
      <c r="K26" s="3">
        <f t="shared" ca="1" si="0"/>
        <v>0.98878085265519822</v>
      </c>
      <c r="L26" s="3">
        <f t="shared" ca="1" si="1"/>
        <v>0.99601593625498008</v>
      </c>
      <c r="M26" s="3">
        <f t="shared" ca="1" si="2"/>
        <v>0.99450549450549464</v>
      </c>
      <c r="N26" s="3">
        <f t="shared" ca="1" si="3"/>
        <v>0.99725685785536167</v>
      </c>
      <c r="P26" s="3">
        <f t="shared" ca="1" si="4"/>
        <v>0.57317373419203266</v>
      </c>
      <c r="Q26" s="3">
        <f t="shared" ca="1" si="5"/>
        <v>0.42355582451974727</v>
      </c>
      <c r="R26" s="3">
        <f t="shared" ca="1" si="6"/>
        <v>0.53771238003696487</v>
      </c>
      <c r="S26" s="3">
        <f t="shared" ca="1" si="7"/>
        <v>0.81022435664536063</v>
      </c>
      <c r="U26" s="3">
        <f t="shared" ca="1" si="8"/>
        <v>3.2410870107205185</v>
      </c>
      <c r="V26" s="3">
        <f t="shared" ca="1" si="9"/>
        <v>3.237051792828685</v>
      </c>
      <c r="W26" s="3">
        <f t="shared" ca="1" si="10"/>
        <v>3.4965034965034967</v>
      </c>
      <c r="X26" s="3">
        <f t="shared" ca="1" si="11"/>
        <v>2.7431421446384041</v>
      </c>
      <c r="Z26" s="3">
        <f t="shared" ca="1" si="12"/>
        <v>0.98878085265519822</v>
      </c>
      <c r="AA26" s="3">
        <f t="shared" ca="1" si="13"/>
        <v>0.87126494023904399</v>
      </c>
      <c r="AB26" s="3">
        <f t="shared" ca="1" si="14"/>
        <v>0.99450549450549464</v>
      </c>
      <c r="AC26" s="3">
        <f t="shared" ca="1" si="15"/>
        <v>0.98478802992518699</v>
      </c>
      <c r="AE26" s="3">
        <f t="shared" ca="1" si="16"/>
        <v>0.57317373419203266</v>
      </c>
      <c r="AF26" s="3">
        <f t="shared" ca="1" si="17"/>
        <v>0.42355582451974727</v>
      </c>
      <c r="AG26" s="3">
        <f t="shared" ca="1" si="18"/>
        <v>0.53771238003696487</v>
      </c>
      <c r="AH26" s="3">
        <f t="shared" ca="1" si="19"/>
        <v>0.81022435664536063</v>
      </c>
      <c r="AJ26" s="3">
        <f t="shared" ca="1" si="20"/>
        <v>3.2410870107205185</v>
      </c>
      <c r="AK26" s="3">
        <f t="shared" ca="1" si="21"/>
        <v>3.237051792828685</v>
      </c>
      <c r="AL26" s="3">
        <f t="shared" ca="1" si="22"/>
        <v>3.4965034965034967</v>
      </c>
      <c r="AM26" s="3">
        <f t="shared" ca="1" si="23"/>
        <v>2.7431421446384041</v>
      </c>
      <c r="AO26" s="3">
        <f t="shared" ca="1" si="24"/>
        <v>0.24931438544003989</v>
      </c>
      <c r="AP26" s="3">
        <f t="shared" ca="1" si="25"/>
        <v>1.9920318725099602</v>
      </c>
      <c r="AQ26" s="3">
        <f t="shared" ca="1" si="26"/>
        <v>0.24975024975024979</v>
      </c>
      <c r="AR26" s="3">
        <f t="shared" ca="1" si="27"/>
        <v>0.49875311720698257</v>
      </c>
      <c r="AT26" s="3">
        <v>1.6000000759959221E-2</v>
      </c>
      <c r="AU26" s="3">
        <v>3.9999999105930328E-2</v>
      </c>
      <c r="AV26" s="3">
        <v>0.21600000560283661</v>
      </c>
      <c r="AW26" s="3">
        <v>7.2999998927116394E-2</v>
      </c>
      <c r="AY26" s="3">
        <f t="shared" ca="1" si="28"/>
        <v>3.3657442034405287E-2</v>
      </c>
      <c r="AZ26" s="3">
        <f t="shared" ca="1" si="29"/>
        <v>4.1334661354581602E-2</v>
      </c>
      <c r="BA26" s="3">
        <f t="shared" ca="1" si="30"/>
        <v>0.17907092907092906</v>
      </c>
      <c r="BB26" s="3">
        <f t="shared" ca="1" si="31"/>
        <v>0.25735660847880304</v>
      </c>
      <c r="BD26" s="3">
        <f t="shared" ca="1" si="32"/>
        <v>2.4931437522358681E-2</v>
      </c>
      <c r="BE26" s="3">
        <f t="shared" ca="1" si="33"/>
        <v>0</v>
      </c>
      <c r="BF26" s="3">
        <f t="shared" ca="1" si="34"/>
        <v>0.13361640505261951</v>
      </c>
      <c r="BG26" s="3">
        <f t="shared" ca="1" si="35"/>
        <v>0.26583540766613739</v>
      </c>
      <c r="BI26" s="3">
        <f t="shared" ca="1" si="36"/>
        <v>0.24931438544003989</v>
      </c>
      <c r="BJ26" s="3">
        <f t="shared" ca="1" si="37"/>
        <v>0</v>
      </c>
      <c r="BK26" s="3">
        <f t="shared" ca="1" si="38"/>
        <v>0.7492507492507493</v>
      </c>
      <c r="BL26" s="3">
        <f t="shared" ca="1" si="39"/>
        <v>0.49875311720698257</v>
      </c>
      <c r="BN26" s="3">
        <f t="shared" ca="1" si="40"/>
        <v>1.7452006980802792</v>
      </c>
      <c r="BO26" s="3">
        <f t="shared" ca="1" si="41"/>
        <v>1.9920318725099602</v>
      </c>
      <c r="BP26" s="3">
        <f t="shared" ca="1" si="42"/>
        <v>0.99900099900099915</v>
      </c>
      <c r="BQ26" s="3">
        <f t="shared" ca="1" si="43"/>
        <v>0.49875311720698257</v>
      </c>
      <c r="BS26" s="3">
        <v>1.6000000759959221E-2</v>
      </c>
      <c r="BT26" s="3">
        <v>4.016</v>
      </c>
      <c r="BU26" s="3">
        <v>3.0309998989105225</v>
      </c>
      <c r="BV26" s="3">
        <v>2.8389999866485596</v>
      </c>
      <c r="BX26" s="3">
        <f t="shared" ca="1" si="44"/>
        <v>0</v>
      </c>
      <c r="BY26" s="3">
        <f t="shared" ca="1" si="45"/>
        <v>0.12823705179282865</v>
      </c>
      <c r="BZ26" s="3">
        <f t="shared" ca="1" si="46"/>
        <v>0</v>
      </c>
      <c r="CA26" s="3">
        <f t="shared" ca="1" si="47"/>
        <v>0</v>
      </c>
      <c r="CC26" s="3">
        <f t="shared" ca="1" si="48"/>
        <v>0</v>
      </c>
      <c r="CD26" s="3">
        <f t="shared" ca="1" si="49"/>
        <v>9.5617525145945792E-2</v>
      </c>
      <c r="CE26" s="3">
        <f t="shared" ca="1" si="50"/>
        <v>0</v>
      </c>
      <c r="CF26" s="3">
        <f t="shared" ca="1" si="51"/>
        <v>0</v>
      </c>
      <c r="CH26" s="3">
        <f t="shared" ca="1" si="52"/>
        <v>0</v>
      </c>
      <c r="CI26" s="3">
        <f t="shared" ca="1" si="53"/>
        <v>0.49800796812749004</v>
      </c>
      <c r="CJ26" s="3">
        <f t="shared" ca="1" si="54"/>
        <v>0</v>
      </c>
      <c r="CK26" s="3">
        <f t="shared" ca="1" si="55"/>
        <v>0</v>
      </c>
      <c r="CM26" s="3">
        <f t="shared" ca="1" si="56"/>
        <v>0</v>
      </c>
      <c r="CN26" s="3">
        <f t="shared" ca="1" si="57"/>
        <v>2.241035856573705</v>
      </c>
      <c r="CO26" s="3">
        <f t="shared" ca="1" si="58"/>
        <v>0</v>
      </c>
      <c r="CP26" s="3">
        <f t="shared" ca="1" si="59"/>
        <v>0</v>
      </c>
      <c r="CR26" s="3">
        <v>4.0110000000000001</v>
      </c>
      <c r="CS26" s="3">
        <v>3.9999999105930328E-2</v>
      </c>
      <c r="CT26" s="3">
        <v>4.0039999999999996</v>
      </c>
      <c r="CU26" s="3">
        <v>4.01</v>
      </c>
    </row>
    <row r="27" spans="1:99" s="3" customFormat="1" x14ac:dyDescent="0.35">
      <c r="A27" s="2" t="s">
        <v>16</v>
      </c>
      <c r="B27" s="2">
        <v>5.5</v>
      </c>
      <c r="C27" s="2" t="s">
        <v>167</v>
      </c>
      <c r="D27" s="2" t="s">
        <v>403</v>
      </c>
      <c r="F27" s="3">
        <v>4.0039999999999996</v>
      </c>
      <c r="G27" s="3">
        <v>4.016</v>
      </c>
      <c r="H27" s="3">
        <v>4.0039999999999996</v>
      </c>
      <c r="I27" s="3" t="e">
        <v>#N/A</v>
      </c>
      <c r="K27" s="3">
        <f t="shared" ca="1" si="0"/>
        <v>0.99875124875124888</v>
      </c>
      <c r="L27" s="3">
        <f t="shared" ca="1" si="1"/>
        <v>0.99576693227091639</v>
      </c>
      <c r="M27" s="3">
        <f t="shared" ca="1" si="2"/>
        <v>0.98626373626373642</v>
      </c>
      <c r="N27" s="3" t="e">
        <f t="shared" ca="1" si="3"/>
        <v>#N/A</v>
      </c>
      <c r="P27" s="3">
        <f t="shared" ca="1" si="4"/>
        <v>0.79495508361470102</v>
      </c>
      <c r="Q27" s="3">
        <f t="shared" ca="1" si="5"/>
        <v>0.95866539304986953</v>
      </c>
      <c r="R27" s="3">
        <f t="shared" ca="1" si="6"/>
        <v>0.89835164162305214</v>
      </c>
      <c r="S27" s="3" t="e">
        <f t="shared" ca="1" si="7"/>
        <v>#N/A</v>
      </c>
      <c r="U27" s="3">
        <f t="shared" ca="1" si="8"/>
        <v>2.9970029970029972</v>
      </c>
      <c r="V27" s="3">
        <f t="shared" ca="1" si="9"/>
        <v>2.4900398406374502</v>
      </c>
      <c r="W27" s="3">
        <f t="shared" ca="1" si="10"/>
        <v>3.7462537462537466</v>
      </c>
      <c r="X27" s="3" t="e">
        <f t="shared" ca="1" si="11"/>
        <v>#N/A</v>
      </c>
      <c r="Z27" s="3">
        <f t="shared" ca="1" si="12"/>
        <v>0.99875124875124888</v>
      </c>
      <c r="AA27" s="3">
        <f t="shared" ca="1" si="13"/>
        <v>0.99576693227091639</v>
      </c>
      <c r="AB27" s="3">
        <f t="shared" ca="1" si="14"/>
        <v>0.96553446553446565</v>
      </c>
      <c r="AC27" s="3" t="e">
        <f t="shared" ca="1" si="15"/>
        <v>#N/A</v>
      </c>
      <c r="AE27" s="3">
        <f t="shared" ca="1" si="16"/>
        <v>0.79495508361470102</v>
      </c>
      <c r="AF27" s="3">
        <f t="shared" ca="1" si="17"/>
        <v>0.95866539304986953</v>
      </c>
      <c r="AG27" s="3">
        <f t="shared" ca="1" si="18"/>
        <v>0.89835164162305214</v>
      </c>
      <c r="AH27" s="3" t="e">
        <f t="shared" ca="1" si="19"/>
        <v>#N/A</v>
      </c>
      <c r="AJ27" s="3">
        <f t="shared" ca="1" si="20"/>
        <v>2.9970029970029972</v>
      </c>
      <c r="AK27" s="3">
        <f t="shared" ca="1" si="21"/>
        <v>2.4900398406374502</v>
      </c>
      <c r="AL27" s="3">
        <f t="shared" ca="1" si="22"/>
        <v>3.7462537462537466</v>
      </c>
      <c r="AM27" s="3" t="e">
        <f t="shared" ca="1" si="23"/>
        <v>#N/A</v>
      </c>
      <c r="AO27" s="3">
        <f t="shared" ca="1" si="24"/>
        <v>0.24975024975024979</v>
      </c>
      <c r="AP27" s="3">
        <f t="shared" ca="1" si="25"/>
        <v>0.24900398406374502</v>
      </c>
      <c r="AQ27" s="3">
        <f t="shared" ca="1" si="26"/>
        <v>0.24975024975024979</v>
      </c>
      <c r="AR27" s="3" t="e">
        <f t="shared" ca="1" si="27"/>
        <v>#N/A</v>
      </c>
      <c r="AT27" s="3">
        <v>7.1000002324581146E-2</v>
      </c>
      <c r="AU27" s="3">
        <v>1.4999999664723873E-2</v>
      </c>
      <c r="AV27" s="3">
        <v>0.13199999928474426</v>
      </c>
      <c r="AW27" s="3">
        <v>3.2000001519918442E-2</v>
      </c>
      <c r="AY27" s="3">
        <f t="shared" ca="1" si="28"/>
        <v>0.25349650349650343</v>
      </c>
      <c r="AZ27" s="3">
        <f t="shared" ca="1" si="29"/>
        <v>0.54332669322709171</v>
      </c>
      <c r="BA27" s="3">
        <f t="shared" ca="1" si="30"/>
        <v>0.54095904095904113</v>
      </c>
      <c r="BB27" s="3" t="e">
        <f t="shared" ca="1" si="31"/>
        <v>#N/A</v>
      </c>
      <c r="BD27" s="3">
        <f t="shared" ca="1" si="32"/>
        <v>0.27897102492196224</v>
      </c>
      <c r="BE27" s="3">
        <f t="shared" ca="1" si="33"/>
        <v>0.5560259286507192</v>
      </c>
      <c r="BF27" s="3">
        <f t="shared" ca="1" si="34"/>
        <v>0.45304692589438766</v>
      </c>
      <c r="BG27" s="3" t="e">
        <f t="shared" ca="1" si="35"/>
        <v>#N/A</v>
      </c>
      <c r="BI27" s="3">
        <f t="shared" ca="1" si="36"/>
        <v>0.99900099900099915</v>
      </c>
      <c r="BJ27" s="3">
        <f t="shared" ca="1" si="37"/>
        <v>1.2450199203187251</v>
      </c>
      <c r="BK27" s="3">
        <f t="shared" ca="1" si="38"/>
        <v>1.7482517482517483</v>
      </c>
      <c r="BL27" s="3" t="e">
        <f t="shared" ca="1" si="39"/>
        <v>#N/A</v>
      </c>
      <c r="BN27" s="3">
        <f t="shared" ca="1" si="40"/>
        <v>1.2487512487512489</v>
      </c>
      <c r="BO27" s="3">
        <f t="shared" ca="1" si="41"/>
        <v>0.99601593625498008</v>
      </c>
      <c r="BP27" s="3">
        <f t="shared" ca="1" si="42"/>
        <v>0.7492507492507493</v>
      </c>
      <c r="BQ27" s="3" t="e">
        <f t="shared" ca="1" si="43"/>
        <v>#N/A</v>
      </c>
      <c r="BS27" s="3">
        <v>0.85399997234344482</v>
      </c>
      <c r="BT27" s="3">
        <v>0.49799999594688416</v>
      </c>
      <c r="BU27" s="3">
        <v>1.3990000486373901</v>
      </c>
      <c r="BV27" s="3">
        <v>0.38199999928474426</v>
      </c>
      <c r="BX27" s="3">
        <f t="shared" ca="1" si="44"/>
        <v>0.14160839160839173</v>
      </c>
      <c r="BY27" s="3">
        <f t="shared" ca="1" si="45"/>
        <v>0.1080677290836653</v>
      </c>
      <c r="BZ27" s="3">
        <f t="shared" ca="1" si="46"/>
        <v>4.995004995005E-2</v>
      </c>
      <c r="CA27" s="3" t="e">
        <f t="shared" ca="1" si="47"/>
        <v>#N/A</v>
      </c>
      <c r="CC27" s="3">
        <f t="shared" ca="1" si="48"/>
        <v>0.13736265522616728</v>
      </c>
      <c r="CD27" s="3">
        <f t="shared" ca="1" si="49"/>
        <v>6.6484053771334345E-2</v>
      </c>
      <c r="CE27" s="3">
        <f t="shared" ca="1" si="50"/>
        <v>7.9170866803332171E-2</v>
      </c>
      <c r="CF27" s="3" t="e">
        <f t="shared" ca="1" si="51"/>
        <v>#N/A</v>
      </c>
      <c r="CH27" s="3">
        <f t="shared" ca="1" si="52"/>
        <v>0.49950049950049957</v>
      </c>
      <c r="CI27" s="3">
        <f t="shared" ca="1" si="53"/>
        <v>0.24900398406374502</v>
      </c>
      <c r="CJ27" s="3">
        <f t="shared" ca="1" si="54"/>
        <v>0.24975024975024979</v>
      </c>
      <c r="CK27" s="3" t="e">
        <f t="shared" ca="1" si="55"/>
        <v>#N/A</v>
      </c>
      <c r="CM27" s="3">
        <f t="shared" ca="1" si="56"/>
        <v>1.2487512487512489</v>
      </c>
      <c r="CN27" s="3">
        <f t="shared" ca="1" si="57"/>
        <v>0.74701195219123506</v>
      </c>
      <c r="CO27" s="3">
        <f t="shared" ca="1" si="58"/>
        <v>0.49950049950049957</v>
      </c>
      <c r="CP27" s="3" t="e">
        <f t="shared" ca="1" si="59"/>
        <v>#N/A</v>
      </c>
      <c r="CR27" s="3">
        <v>1.9199999570846558</v>
      </c>
      <c r="CS27" s="3">
        <v>3.2309999465942383</v>
      </c>
      <c r="CT27" s="3">
        <v>2.747999906539917</v>
      </c>
      <c r="CU27" s="3">
        <v>4.0069999999999997</v>
      </c>
    </row>
    <row r="28" spans="1:99" s="3" customFormat="1" x14ac:dyDescent="0.35">
      <c r="A28" s="2" t="s">
        <v>69</v>
      </c>
      <c r="B28" s="2">
        <v>5.5</v>
      </c>
      <c r="C28" s="2" t="s">
        <v>167</v>
      </c>
      <c r="D28" s="2" t="s">
        <v>403</v>
      </c>
      <c r="F28" s="3">
        <v>4.016</v>
      </c>
      <c r="G28" s="11" t="e">
        <v>#N/A</v>
      </c>
      <c r="H28" s="3" t="e">
        <v>#N/A</v>
      </c>
      <c r="I28" s="3" t="e">
        <v>#N/A</v>
      </c>
      <c r="K28" s="3">
        <f t="shared" ca="1" si="0"/>
        <v>0.81324701195219129</v>
      </c>
      <c r="L28" s="3" t="e">
        <f t="shared" ca="1" si="1"/>
        <v>#N/A</v>
      </c>
      <c r="M28" s="3" t="e">
        <f t="shared" ca="1" si="2"/>
        <v>#N/A</v>
      </c>
      <c r="N28" s="3" t="e">
        <f t="shared" ca="1" si="3"/>
        <v>#N/A</v>
      </c>
      <c r="P28" s="3">
        <f t="shared" ca="1" si="4"/>
        <v>0.16185258370471667</v>
      </c>
      <c r="Q28" s="3" t="e">
        <f t="shared" ca="1" si="5"/>
        <v>#N/A</v>
      </c>
      <c r="R28" s="3" t="e">
        <f t="shared" ca="1" si="6"/>
        <v>#N/A</v>
      </c>
      <c r="S28" s="3" t="e">
        <f t="shared" ca="1" si="7"/>
        <v>#N/A</v>
      </c>
      <c r="U28" s="3">
        <f t="shared" ca="1" si="8"/>
        <v>0.99601593625498008</v>
      </c>
      <c r="V28" s="3" t="e">
        <f t="shared" ca="1" si="9"/>
        <v>#N/A</v>
      </c>
      <c r="W28" s="3" t="e">
        <f t="shared" ca="1" si="10"/>
        <v>#N/A</v>
      </c>
      <c r="X28" s="3" t="e">
        <f t="shared" ca="1" si="11"/>
        <v>#N/A</v>
      </c>
      <c r="Z28" s="3">
        <f t="shared" ca="1" si="12"/>
        <v>0.81324701195219129</v>
      </c>
      <c r="AA28" s="3" t="e">
        <f t="shared" ca="1" si="13"/>
        <v>#N/A</v>
      </c>
      <c r="AB28" s="3" t="e">
        <f t="shared" ca="1" si="14"/>
        <v>#N/A</v>
      </c>
      <c r="AC28" s="3" t="e">
        <f t="shared" ca="1" si="15"/>
        <v>#N/A</v>
      </c>
      <c r="AE28" s="3">
        <f t="shared" ca="1" si="16"/>
        <v>0.16185258370471667</v>
      </c>
      <c r="AF28" s="3" t="e">
        <f t="shared" ca="1" si="17"/>
        <v>#N/A</v>
      </c>
      <c r="AG28" s="3" t="e">
        <f t="shared" ca="1" si="18"/>
        <v>#N/A</v>
      </c>
      <c r="AH28" s="3" t="e">
        <f t="shared" ca="1" si="19"/>
        <v>#N/A</v>
      </c>
      <c r="AJ28" s="3">
        <f t="shared" ca="1" si="20"/>
        <v>0.99601593625498008</v>
      </c>
      <c r="AK28" s="3" t="e">
        <f t="shared" ca="1" si="21"/>
        <v>#N/A</v>
      </c>
      <c r="AL28" s="3" t="e">
        <f t="shared" ca="1" si="22"/>
        <v>#N/A</v>
      </c>
      <c r="AM28" s="3" t="e">
        <f t="shared" ca="1" si="23"/>
        <v>#N/A</v>
      </c>
      <c r="AO28" s="3">
        <f t="shared" ca="1" si="24"/>
        <v>0.24900398406374502</v>
      </c>
      <c r="AP28" s="3" t="e">
        <f t="shared" ca="1" si="25"/>
        <v>#N/A</v>
      </c>
      <c r="AQ28" s="3" t="e">
        <f t="shared" ca="1" si="26"/>
        <v>#N/A</v>
      </c>
      <c r="AR28" s="3" t="e">
        <f t="shared" ca="1" si="27"/>
        <v>#N/A</v>
      </c>
      <c r="AT28" s="3">
        <v>0.82099997997283936</v>
      </c>
      <c r="AU28" s="11" t="e">
        <v>#N/A</v>
      </c>
      <c r="AV28" s="3">
        <v>1.2009999752044678</v>
      </c>
      <c r="AW28" s="11" t="e">
        <v>#N/A</v>
      </c>
      <c r="AY28" s="3">
        <f t="shared" ca="1" si="28"/>
        <v>3.2868525896414424E-2</v>
      </c>
      <c r="AZ28" s="3" t="e">
        <f t="shared" ca="1" si="29"/>
        <v>#N/A</v>
      </c>
      <c r="BA28" s="3" t="e">
        <f t="shared" ca="1" si="30"/>
        <v>#N/A</v>
      </c>
      <c r="BB28" s="3" t="e">
        <f t="shared" ca="1" si="31"/>
        <v>#N/A</v>
      </c>
      <c r="BD28" s="3">
        <f t="shared" ca="1" si="32"/>
        <v>0</v>
      </c>
      <c r="BE28" s="3" t="e">
        <f t="shared" ca="1" si="33"/>
        <v>#N/A</v>
      </c>
      <c r="BF28" s="3" t="e">
        <f t="shared" ca="1" si="34"/>
        <v>#N/A</v>
      </c>
      <c r="BG28" s="3" t="e">
        <f t="shared" ca="1" si="35"/>
        <v>#N/A</v>
      </c>
      <c r="BI28" s="3">
        <f t="shared" ca="1" si="36"/>
        <v>0</v>
      </c>
      <c r="BJ28" s="3" t="e">
        <f t="shared" ca="1" si="37"/>
        <v>#N/A</v>
      </c>
      <c r="BK28" s="3" t="e">
        <f t="shared" ca="1" si="38"/>
        <v>#N/A</v>
      </c>
      <c r="BL28" s="3" t="e">
        <f t="shared" ca="1" si="39"/>
        <v>#N/A</v>
      </c>
      <c r="BN28" s="3">
        <f t="shared" ca="1" si="40"/>
        <v>2.241035856573705</v>
      </c>
      <c r="BO28" s="3" t="e">
        <f t="shared" ca="1" si="41"/>
        <v>#N/A</v>
      </c>
      <c r="BP28" s="3" t="e">
        <f t="shared" ca="1" si="42"/>
        <v>#N/A</v>
      </c>
      <c r="BQ28" s="3" t="e">
        <f t="shared" ca="1" si="43"/>
        <v>#N/A</v>
      </c>
      <c r="BS28" s="3">
        <v>4.016</v>
      </c>
      <c r="BT28" s="11" t="e">
        <v>#N/A</v>
      </c>
      <c r="BU28" s="3">
        <v>4.016</v>
      </c>
      <c r="BV28" s="11" t="e">
        <v>#N/A</v>
      </c>
      <c r="BX28" s="3">
        <f t="shared" ca="1" si="44"/>
        <v>8.4661354581674203E-3</v>
      </c>
      <c r="BY28" s="3" t="e">
        <f t="shared" ca="1" si="45"/>
        <v>#N/A</v>
      </c>
      <c r="BZ28" s="3" t="e">
        <f t="shared" ca="1" si="46"/>
        <v>#N/A</v>
      </c>
      <c r="CA28" s="3" t="e">
        <f t="shared" ca="1" si="47"/>
        <v>#N/A</v>
      </c>
      <c r="CC28" s="3">
        <f t="shared" ca="1" si="48"/>
        <v>0</v>
      </c>
      <c r="CD28" s="3" t="e">
        <f t="shared" ca="1" si="49"/>
        <v>#N/A</v>
      </c>
      <c r="CE28" s="3" t="e">
        <f t="shared" ca="1" si="50"/>
        <v>#N/A</v>
      </c>
      <c r="CF28" s="3" t="e">
        <f t="shared" ca="1" si="51"/>
        <v>#N/A</v>
      </c>
      <c r="CH28" s="3">
        <f t="shared" ca="1" si="52"/>
        <v>0</v>
      </c>
      <c r="CI28" s="3" t="e">
        <f t="shared" ca="1" si="53"/>
        <v>#N/A</v>
      </c>
      <c r="CJ28" s="3" t="e">
        <f t="shared" ca="1" si="54"/>
        <v>#N/A</v>
      </c>
      <c r="CK28" s="3" t="e">
        <f t="shared" ca="1" si="55"/>
        <v>#N/A</v>
      </c>
      <c r="CM28" s="3">
        <f t="shared" ca="1" si="56"/>
        <v>2.241035856573705</v>
      </c>
      <c r="CN28" s="3" t="e">
        <f t="shared" ca="1" si="57"/>
        <v>#N/A</v>
      </c>
      <c r="CO28" s="3" t="e">
        <f t="shared" ca="1" si="58"/>
        <v>#N/A</v>
      </c>
      <c r="CP28" s="3" t="e">
        <f t="shared" ca="1" si="59"/>
        <v>#N/A</v>
      </c>
      <c r="CR28" s="3">
        <v>4.016</v>
      </c>
      <c r="CS28" s="11" t="e">
        <v>#N/A</v>
      </c>
      <c r="CT28" s="3">
        <v>3.0510001182556152</v>
      </c>
      <c r="CU28" s="11" t="e">
        <v>#N/A</v>
      </c>
    </row>
    <row r="29" spans="1:99" s="3" customFormat="1" x14ac:dyDescent="0.35">
      <c r="A29" s="2" t="s">
        <v>74</v>
      </c>
      <c r="B29" s="2">
        <v>5.5</v>
      </c>
      <c r="C29" s="2" t="s">
        <v>168</v>
      </c>
      <c r="D29" s="2" t="s">
        <v>403</v>
      </c>
      <c r="F29" s="3">
        <v>4.0090000000000003</v>
      </c>
      <c r="G29" s="3">
        <v>4.0149999999999997</v>
      </c>
      <c r="H29" s="3">
        <v>3.044</v>
      </c>
      <c r="I29" s="3">
        <v>4.0110000000000001</v>
      </c>
      <c r="K29" s="3">
        <f t="shared" ca="1" si="0"/>
        <v>0.99326515340483901</v>
      </c>
      <c r="L29" s="3">
        <f t="shared" ca="1" si="1"/>
        <v>0.91706102117061039</v>
      </c>
      <c r="M29" s="3">
        <f t="shared" ca="1" si="2"/>
        <v>0.99047306176084104</v>
      </c>
      <c r="N29" s="3">
        <f t="shared" ca="1" si="3"/>
        <v>0.88506606831214163</v>
      </c>
      <c r="P29" s="3">
        <f t="shared" ca="1" si="4"/>
        <v>0.83537039041043393</v>
      </c>
      <c r="Q29" s="3">
        <f t="shared" ca="1" si="5"/>
        <v>0.84259020139093277</v>
      </c>
      <c r="R29" s="3">
        <f t="shared" ca="1" si="6"/>
        <v>0.91360058114128417</v>
      </c>
      <c r="S29" s="3">
        <f t="shared" ca="1" si="7"/>
        <v>0.73946650204769071</v>
      </c>
      <c r="U29" s="3">
        <f t="shared" ca="1" si="8"/>
        <v>1.4966325767024193</v>
      </c>
      <c r="V29" s="3">
        <f t="shared" ca="1" si="9"/>
        <v>2.2415940224159403</v>
      </c>
      <c r="W29" s="3">
        <f t="shared" ca="1" si="10"/>
        <v>2.6281208935611038</v>
      </c>
      <c r="X29" s="3">
        <f t="shared" ca="1" si="11"/>
        <v>2.7424582398404387</v>
      </c>
      <c r="Z29" s="3">
        <f t="shared" ca="1" si="12"/>
        <v>0.92242454477425773</v>
      </c>
      <c r="AA29" s="3">
        <f t="shared" ca="1" si="13"/>
        <v>0.91307596513075984</v>
      </c>
      <c r="AB29" s="3">
        <f t="shared" ca="1" si="14"/>
        <v>0.88107752956635998</v>
      </c>
      <c r="AC29" s="3">
        <f t="shared" ca="1" si="15"/>
        <v>0.88506606831214163</v>
      </c>
      <c r="AE29" s="3">
        <f t="shared" ca="1" si="16"/>
        <v>0.83537039041043393</v>
      </c>
      <c r="AF29" s="3">
        <f t="shared" ca="1" si="17"/>
        <v>0.84259020139093277</v>
      </c>
      <c r="AG29" s="3">
        <f t="shared" ca="1" si="18"/>
        <v>0.826215550778299</v>
      </c>
      <c r="AH29" s="3">
        <f t="shared" ca="1" si="19"/>
        <v>0.73946650204769071</v>
      </c>
      <c r="AJ29" s="3">
        <f t="shared" ca="1" si="20"/>
        <v>1.4966325767024193</v>
      </c>
      <c r="AK29" s="3">
        <f t="shared" ca="1" si="21"/>
        <v>2.2415940224159403</v>
      </c>
      <c r="AL29" s="3">
        <f t="shared" ca="1" si="22"/>
        <v>2.2996057818659659</v>
      </c>
      <c r="AM29" s="3">
        <f t="shared" ca="1" si="23"/>
        <v>2.7424582398404387</v>
      </c>
      <c r="AO29" s="3">
        <f t="shared" ca="1" si="24"/>
        <v>0.49887752556747317</v>
      </c>
      <c r="AP29" s="3">
        <f t="shared" ca="1" si="25"/>
        <v>0.24906600249066005</v>
      </c>
      <c r="AQ29" s="3">
        <f t="shared" ca="1" si="26"/>
        <v>0.65703022339027595</v>
      </c>
      <c r="AR29" s="3">
        <f t="shared" ca="1" si="27"/>
        <v>0.24931438544003989</v>
      </c>
      <c r="AT29" s="3">
        <v>1.0999999940395355E-2</v>
      </c>
      <c r="AU29" s="3">
        <v>0.35199999809265137</v>
      </c>
      <c r="AV29" s="3">
        <v>1.6000000759959221E-2</v>
      </c>
      <c r="AW29" s="3">
        <v>0.44499999284744263</v>
      </c>
      <c r="AY29" s="3">
        <f t="shared" ca="1" si="28"/>
        <v>0.44050885507607873</v>
      </c>
      <c r="AZ29" s="3">
        <f t="shared" ca="1" si="29"/>
        <v>0.42739726027397268</v>
      </c>
      <c r="BA29" s="3">
        <f t="shared" ca="1" si="30"/>
        <v>0.37187910643889621</v>
      </c>
      <c r="BB29" s="3">
        <f t="shared" ca="1" si="31"/>
        <v>0.19122413363251059</v>
      </c>
      <c r="BD29" s="3">
        <f t="shared" ca="1" si="32"/>
        <v>0.51958089934587182</v>
      </c>
      <c r="BE29" s="3">
        <f t="shared" ca="1" si="33"/>
        <v>0.39028644858677392</v>
      </c>
      <c r="BF29" s="3">
        <f t="shared" ca="1" si="34"/>
        <v>0.361038119814869</v>
      </c>
      <c r="BG29" s="3">
        <f t="shared" ca="1" si="35"/>
        <v>0.19097485705166201</v>
      </c>
      <c r="BI29" s="3">
        <f t="shared" ca="1" si="36"/>
        <v>0.99775505113494634</v>
      </c>
      <c r="BJ29" s="3">
        <f t="shared" ca="1" si="37"/>
        <v>0.4981320049813201</v>
      </c>
      <c r="BK29" s="3">
        <f t="shared" ca="1" si="38"/>
        <v>0.98554533508541386</v>
      </c>
      <c r="BL29" s="3">
        <f t="shared" ca="1" si="39"/>
        <v>0.99725754176015957</v>
      </c>
      <c r="BN29" s="3">
        <f t="shared" ca="1" si="40"/>
        <v>1.2471938139186829</v>
      </c>
      <c r="BO29" s="3">
        <f t="shared" ca="1" si="41"/>
        <v>0.74719800747198017</v>
      </c>
      <c r="BP29" s="3">
        <f t="shared" ca="1" si="42"/>
        <v>0.65703022339027595</v>
      </c>
      <c r="BQ29" s="3">
        <f t="shared" ca="1" si="43"/>
        <v>0.74794315632011965</v>
      </c>
      <c r="BS29" s="3">
        <v>0.57700002193450928</v>
      </c>
      <c r="BT29" s="3">
        <v>0.7850000262260437</v>
      </c>
      <c r="BU29" s="3">
        <v>0.53200000524520874</v>
      </c>
      <c r="BV29" s="3">
        <v>0.72899997234344482</v>
      </c>
      <c r="BX29" s="3">
        <f t="shared" ca="1" si="44"/>
        <v>0</v>
      </c>
      <c r="BY29" s="3">
        <f t="shared" ca="1" si="45"/>
        <v>0.17858032378580332</v>
      </c>
      <c r="BZ29" s="3">
        <f t="shared" ca="1" si="46"/>
        <v>0</v>
      </c>
      <c r="CA29" s="3">
        <f t="shared" ca="1" si="47"/>
        <v>0</v>
      </c>
      <c r="CC29" s="3">
        <f t="shared" ca="1" si="48"/>
        <v>0</v>
      </c>
      <c r="CD29" s="3">
        <f t="shared" ca="1" si="49"/>
        <v>0.18256536011084229</v>
      </c>
      <c r="CE29" s="3">
        <f t="shared" ca="1" si="50"/>
        <v>0</v>
      </c>
      <c r="CF29" s="3">
        <f t="shared" ca="1" si="51"/>
        <v>0</v>
      </c>
      <c r="CH29" s="3">
        <f t="shared" ca="1" si="52"/>
        <v>0</v>
      </c>
      <c r="CI29" s="3">
        <f t="shared" ca="1" si="53"/>
        <v>0.4981320049813201</v>
      </c>
      <c r="CJ29" s="3">
        <f t="shared" ca="1" si="54"/>
        <v>0</v>
      </c>
      <c r="CK29" s="3">
        <f t="shared" ca="1" si="55"/>
        <v>0</v>
      </c>
      <c r="CM29" s="3">
        <f t="shared" ca="1" si="56"/>
        <v>0</v>
      </c>
      <c r="CN29" s="3">
        <f t="shared" ca="1" si="57"/>
        <v>0.74719800747198017</v>
      </c>
      <c r="CO29" s="3">
        <f t="shared" ca="1" si="58"/>
        <v>0</v>
      </c>
      <c r="CP29" s="3">
        <f t="shared" ca="1" si="59"/>
        <v>0</v>
      </c>
      <c r="CR29" s="3">
        <v>4.0090000000000003</v>
      </c>
      <c r="CS29" s="3">
        <v>1.7020000219345093</v>
      </c>
      <c r="CT29" s="3">
        <v>4.0110000000000001</v>
      </c>
      <c r="CU29" s="3">
        <v>4.0110000000000001</v>
      </c>
    </row>
    <row r="30" spans="1:99" s="3" customFormat="1" x14ac:dyDescent="0.35">
      <c r="A30" s="2" t="s">
        <v>77</v>
      </c>
      <c r="B30" s="2">
        <v>5.583333333333333</v>
      </c>
      <c r="C30" s="2" t="s">
        <v>168</v>
      </c>
      <c r="D30" s="2" t="s">
        <v>403</v>
      </c>
      <c r="F30" s="3" t="e">
        <v>#N/A</v>
      </c>
      <c r="G30" s="3" t="e">
        <v>#N/A</v>
      </c>
      <c r="H30" s="3" t="e">
        <v>#N/A</v>
      </c>
      <c r="I30" s="3">
        <v>4.016</v>
      </c>
      <c r="K30" s="3" t="e">
        <f t="shared" ca="1" si="0"/>
        <v>#N/A</v>
      </c>
      <c r="L30" s="3" t="e">
        <f t="shared" ca="1" si="1"/>
        <v>#N/A</v>
      </c>
      <c r="M30" s="3" t="e">
        <f t="shared" ca="1" si="2"/>
        <v>#N/A</v>
      </c>
      <c r="N30" s="3">
        <f t="shared" ca="1" si="3"/>
        <v>0.99601593625497997</v>
      </c>
      <c r="P30" s="3" t="e">
        <f t="shared" ca="1" si="4"/>
        <v>#N/A</v>
      </c>
      <c r="Q30" s="3" t="e">
        <f t="shared" ca="1" si="5"/>
        <v>#N/A</v>
      </c>
      <c r="R30" s="3" t="e">
        <f t="shared" ca="1" si="6"/>
        <v>#N/A</v>
      </c>
      <c r="S30" s="3">
        <f t="shared" ca="1" si="7"/>
        <v>0.94173308039841008</v>
      </c>
      <c r="U30" s="3" t="e">
        <f t="shared" ca="1" si="8"/>
        <v>#N/A</v>
      </c>
      <c r="V30" s="3" t="e">
        <f t="shared" ca="1" si="9"/>
        <v>#N/A</v>
      </c>
      <c r="W30" s="3" t="e">
        <f t="shared" ca="1" si="10"/>
        <v>#N/A</v>
      </c>
      <c r="X30" s="3">
        <f t="shared" ca="1" si="11"/>
        <v>2.4900398406374502</v>
      </c>
      <c r="Z30" s="3" t="e">
        <f t="shared" ca="1" si="12"/>
        <v>#N/A</v>
      </c>
      <c r="AA30" s="3" t="e">
        <f t="shared" ca="1" si="13"/>
        <v>#N/A</v>
      </c>
      <c r="AB30" s="3" t="e">
        <f t="shared" ca="1" si="14"/>
        <v>#N/A</v>
      </c>
      <c r="AC30" s="3">
        <f t="shared" ca="1" si="15"/>
        <v>0.99601593625497997</v>
      </c>
      <c r="AE30" s="3" t="e">
        <f t="shared" ca="1" si="16"/>
        <v>#N/A</v>
      </c>
      <c r="AF30" s="3" t="e">
        <f t="shared" ca="1" si="17"/>
        <v>#N/A</v>
      </c>
      <c r="AG30" s="3" t="e">
        <f t="shared" ca="1" si="18"/>
        <v>#N/A</v>
      </c>
      <c r="AH30" s="3">
        <f t="shared" ca="1" si="19"/>
        <v>0.94173308039841008</v>
      </c>
      <c r="AJ30" s="3" t="e">
        <f t="shared" ca="1" si="20"/>
        <v>#N/A</v>
      </c>
      <c r="AK30" s="3" t="e">
        <f t="shared" ca="1" si="21"/>
        <v>#N/A</v>
      </c>
      <c r="AL30" s="3" t="e">
        <f t="shared" ca="1" si="22"/>
        <v>#N/A</v>
      </c>
      <c r="AM30" s="3">
        <f t="shared" ca="1" si="23"/>
        <v>2.4900398406374502</v>
      </c>
      <c r="AO30" s="3" t="e">
        <f t="shared" ca="1" si="24"/>
        <v>#N/A</v>
      </c>
      <c r="AP30" s="3" t="e">
        <f t="shared" ca="1" si="25"/>
        <v>#N/A</v>
      </c>
      <c r="AQ30" s="3" t="e">
        <f t="shared" ca="1" si="26"/>
        <v>#N/A</v>
      </c>
      <c r="AR30" s="3">
        <f t="shared" ca="1" si="27"/>
        <v>0.24900398406374502</v>
      </c>
      <c r="AT30" s="11" t="e">
        <v>#N/A</v>
      </c>
      <c r="AU30" s="11" t="e">
        <v>#N/A</v>
      </c>
      <c r="AV30" s="11" t="e">
        <v>#N/A</v>
      </c>
      <c r="AW30" s="3">
        <v>1.4999999664723873E-2</v>
      </c>
      <c r="AY30" s="3" t="e">
        <f t="shared" ca="1" si="28"/>
        <v>#N/A</v>
      </c>
      <c r="AZ30" s="3" t="e">
        <f t="shared" ca="1" si="29"/>
        <v>#N/A</v>
      </c>
      <c r="BA30" s="3" t="e">
        <f t="shared" ca="1" si="30"/>
        <v>#N/A</v>
      </c>
      <c r="BB30" s="3">
        <f t="shared" ca="1" si="31"/>
        <v>0.4275398406374501</v>
      </c>
      <c r="BD30" s="3" t="e">
        <f t="shared" ca="1" si="32"/>
        <v>#N/A</v>
      </c>
      <c r="BE30" s="3" t="e">
        <f t="shared" ca="1" si="33"/>
        <v>#N/A</v>
      </c>
      <c r="BF30" s="3" t="e">
        <f t="shared" ca="1" si="34"/>
        <v>#N/A</v>
      </c>
      <c r="BG30" s="3">
        <f t="shared" ca="1" si="35"/>
        <v>0.48132475272592795</v>
      </c>
      <c r="BI30" s="3" t="e">
        <f t="shared" ca="1" si="36"/>
        <v>#N/A</v>
      </c>
      <c r="BJ30" s="3" t="e">
        <f t="shared" ca="1" si="37"/>
        <v>#N/A</v>
      </c>
      <c r="BK30" s="3" t="e">
        <f t="shared" ca="1" si="38"/>
        <v>#N/A</v>
      </c>
      <c r="BL30" s="3">
        <f t="shared" ca="1" si="39"/>
        <v>1.4940239043824701</v>
      </c>
      <c r="BN30" s="3" t="e">
        <f t="shared" ca="1" si="40"/>
        <v>#N/A</v>
      </c>
      <c r="BO30" s="3" t="e">
        <f t="shared" ca="1" si="41"/>
        <v>#N/A</v>
      </c>
      <c r="BP30" s="3" t="e">
        <f t="shared" ca="1" si="42"/>
        <v>#N/A</v>
      </c>
      <c r="BQ30" s="3">
        <f t="shared" ca="1" si="43"/>
        <v>0.74701195219123506</v>
      </c>
      <c r="BS30" s="11" t="e">
        <v>#N/A</v>
      </c>
      <c r="BT30" s="11" t="e">
        <v>#N/A</v>
      </c>
      <c r="BU30" s="11" t="e">
        <v>#N/A</v>
      </c>
      <c r="BV30" s="3">
        <v>1.1319999694824219</v>
      </c>
      <c r="BX30" s="3" t="e">
        <f t="shared" ca="1" si="44"/>
        <v>#N/A</v>
      </c>
      <c r="BY30" s="3" t="e">
        <f t="shared" ca="1" si="45"/>
        <v>#N/A</v>
      </c>
      <c r="BZ30" s="3" t="e">
        <f t="shared" ca="1" si="46"/>
        <v>#N/A</v>
      </c>
      <c r="CA30" s="3">
        <f t="shared" ca="1" si="47"/>
        <v>0.28212151394422308</v>
      </c>
      <c r="CC30" s="3" t="e">
        <f t="shared" ca="1" si="48"/>
        <v>#N/A</v>
      </c>
      <c r="CD30" s="3" t="e">
        <f t="shared" ca="1" si="49"/>
        <v>#N/A</v>
      </c>
      <c r="CE30" s="3" t="e">
        <f t="shared" ca="1" si="50"/>
        <v>#N/A</v>
      </c>
      <c r="CF30" s="3">
        <f t="shared" ca="1" si="51"/>
        <v>0.16160350871751034</v>
      </c>
      <c r="CH30" s="3" t="e">
        <f t="shared" ca="1" si="52"/>
        <v>#N/A</v>
      </c>
      <c r="CI30" s="3" t="e">
        <f t="shared" ca="1" si="53"/>
        <v>#N/A</v>
      </c>
      <c r="CJ30" s="3" t="e">
        <f t="shared" ca="1" si="54"/>
        <v>#N/A</v>
      </c>
      <c r="CK30" s="3">
        <f t="shared" ca="1" si="55"/>
        <v>0.49800796812749004</v>
      </c>
      <c r="CM30" s="3" t="e">
        <f t="shared" ca="1" si="56"/>
        <v>#N/A</v>
      </c>
      <c r="CN30" s="3" t="e">
        <f t="shared" ca="1" si="57"/>
        <v>#N/A</v>
      </c>
      <c r="CO30" s="3" t="e">
        <f t="shared" ca="1" si="58"/>
        <v>#N/A</v>
      </c>
      <c r="CP30" s="3">
        <f t="shared" ca="1" si="59"/>
        <v>0.74701195219123506</v>
      </c>
      <c r="CR30" s="11" t="e">
        <v>#N/A</v>
      </c>
      <c r="CS30" s="11" t="e">
        <v>#N/A</v>
      </c>
      <c r="CT30" s="11" t="e">
        <v>#N/A</v>
      </c>
      <c r="CU30" s="3">
        <v>2.065000057220459</v>
      </c>
    </row>
    <row r="31" spans="1:99" s="3" customFormat="1" x14ac:dyDescent="0.35">
      <c r="A31" s="2" t="s">
        <v>90</v>
      </c>
      <c r="B31" s="2">
        <v>5.583333333333333</v>
      </c>
      <c r="C31" s="2" t="s">
        <v>168</v>
      </c>
      <c r="D31" s="2" t="s">
        <v>403</v>
      </c>
      <c r="F31" s="3">
        <v>4.0149999999999997</v>
      </c>
      <c r="G31" s="3">
        <v>4.0140000000000002</v>
      </c>
      <c r="H31" s="3">
        <v>4.0259999999999998</v>
      </c>
      <c r="I31" s="3">
        <v>4.0149999999999997</v>
      </c>
      <c r="K31" s="3">
        <f t="shared" ca="1" si="0"/>
        <v>0.99178082191780836</v>
      </c>
      <c r="L31" s="3">
        <f t="shared" ca="1" si="1"/>
        <v>0.97533632286995509</v>
      </c>
      <c r="M31" s="3">
        <f t="shared" ca="1" si="2"/>
        <v>0.8857426726279185</v>
      </c>
      <c r="N31" s="3">
        <f t="shared" ca="1" si="3"/>
        <v>0.99601494396014956</v>
      </c>
      <c r="P31" s="3">
        <f t="shared" ca="1" si="4"/>
        <v>0.96313810975732728</v>
      </c>
      <c r="Q31" s="3">
        <f t="shared" ca="1" si="5"/>
        <v>0.94618838360253765</v>
      </c>
      <c r="R31" s="3">
        <f t="shared" ca="1" si="6"/>
        <v>0.87332330233293931</v>
      </c>
      <c r="S31" s="3">
        <f t="shared" ca="1" si="7"/>
        <v>0.81768374365857655</v>
      </c>
      <c r="U31" s="3">
        <f t="shared" ca="1" si="8"/>
        <v>1.9925280199252804</v>
      </c>
      <c r="V31" s="3">
        <f t="shared" ca="1" si="9"/>
        <v>1.4947683109118086</v>
      </c>
      <c r="W31" s="3">
        <f t="shared" ca="1" si="10"/>
        <v>0.99354197714853454</v>
      </c>
      <c r="X31" s="3">
        <f t="shared" ca="1" si="11"/>
        <v>2.9887920298879207</v>
      </c>
      <c r="Z31" s="3">
        <f t="shared" ca="1" si="12"/>
        <v>0.99178082191780836</v>
      </c>
      <c r="AA31" s="3">
        <f t="shared" ca="1" si="13"/>
        <v>0.97135027404085694</v>
      </c>
      <c r="AB31" s="3">
        <f t="shared" ca="1" si="14"/>
        <v>0.8857426726279185</v>
      </c>
      <c r="AC31" s="3">
        <f t="shared" ca="1" si="15"/>
        <v>0.93773349937733508</v>
      </c>
      <c r="AE31" s="3">
        <f t="shared" ca="1" si="16"/>
        <v>0.96313810975732728</v>
      </c>
      <c r="AF31" s="3">
        <f t="shared" ca="1" si="17"/>
        <v>0.94618838360253765</v>
      </c>
      <c r="AG31" s="3">
        <f t="shared" ca="1" si="18"/>
        <v>0.87332330233293931</v>
      </c>
      <c r="AH31" s="3">
        <f t="shared" ca="1" si="19"/>
        <v>0.81768374365857655</v>
      </c>
      <c r="AJ31" s="3">
        <f t="shared" ca="1" si="20"/>
        <v>1.9925280199252804</v>
      </c>
      <c r="AK31" s="3">
        <f t="shared" ca="1" si="21"/>
        <v>1.4947683109118086</v>
      </c>
      <c r="AL31" s="3">
        <f t="shared" ca="1" si="22"/>
        <v>0.99354197714853454</v>
      </c>
      <c r="AM31" s="3">
        <f t="shared" ca="1" si="23"/>
        <v>2.9887920298879207</v>
      </c>
      <c r="AO31" s="3">
        <f t="shared" ca="1" si="24"/>
        <v>0.24906600249066005</v>
      </c>
      <c r="AP31" s="3">
        <f t="shared" ca="1" si="25"/>
        <v>0.24912805181863476</v>
      </c>
      <c r="AQ31" s="3">
        <f t="shared" ca="1" si="26"/>
        <v>0.24838549428713363</v>
      </c>
      <c r="AR31" s="3">
        <f t="shared" ca="1" si="27"/>
        <v>0.4981320049813201</v>
      </c>
      <c r="AT31" s="3">
        <v>8.999999612569809E-3</v>
      </c>
      <c r="AU31" s="3">
        <v>0.12399999797344208</v>
      </c>
      <c r="AV31" s="3">
        <v>0.44900000095367432</v>
      </c>
      <c r="AW31" s="3">
        <v>0.26800000667572021</v>
      </c>
      <c r="AY31" s="3">
        <f t="shared" ca="1" si="28"/>
        <v>0.19078455790784565</v>
      </c>
      <c r="AZ31" s="3">
        <f t="shared" ca="1" si="29"/>
        <v>0.53512705530642757</v>
      </c>
      <c r="BA31" s="3">
        <f t="shared" ca="1" si="30"/>
        <v>0.46348733233979139</v>
      </c>
      <c r="BB31" s="3">
        <f t="shared" ca="1" si="31"/>
        <v>0.26973848069738487</v>
      </c>
      <c r="BD31" s="3">
        <f t="shared" ca="1" si="32"/>
        <v>0</v>
      </c>
      <c r="BE31" s="3">
        <f t="shared" ca="1" si="33"/>
        <v>0.34030890310351147</v>
      </c>
      <c r="BF31" s="3">
        <f t="shared" ca="1" si="34"/>
        <v>0.44684548077154562</v>
      </c>
      <c r="BG31" s="3">
        <f t="shared" ca="1" si="35"/>
        <v>0.33225408972126169</v>
      </c>
      <c r="BI31" s="3">
        <f t="shared" ca="1" si="36"/>
        <v>0</v>
      </c>
      <c r="BJ31" s="3">
        <f t="shared" ca="1" si="37"/>
        <v>0.49825610363726952</v>
      </c>
      <c r="BK31" s="3">
        <f t="shared" ca="1" si="38"/>
        <v>0.24838549428713363</v>
      </c>
      <c r="BL31" s="3">
        <f t="shared" ca="1" si="39"/>
        <v>1.2453300124533002</v>
      </c>
      <c r="BN31" s="3">
        <f t="shared" ca="1" si="40"/>
        <v>0.4981320049813201</v>
      </c>
      <c r="BO31" s="3">
        <f t="shared" ca="1" si="41"/>
        <v>1.4947683109118086</v>
      </c>
      <c r="BP31" s="3">
        <f t="shared" ca="1" si="42"/>
        <v>0.24838549428713363</v>
      </c>
      <c r="BQ31" s="3">
        <f t="shared" ca="1" si="43"/>
        <v>1.2453300124533002</v>
      </c>
      <c r="BS31" s="3">
        <v>4.0149999999999997</v>
      </c>
      <c r="BT31" s="3">
        <v>1.690000057220459</v>
      </c>
      <c r="BU31" s="3">
        <v>0.91600000858306885</v>
      </c>
      <c r="BV31" s="3">
        <v>0.91699999570846558</v>
      </c>
      <c r="BX31" s="3">
        <f t="shared" ca="1" si="44"/>
        <v>0.22814445828144456</v>
      </c>
      <c r="BY31" s="3">
        <f t="shared" ca="1" si="45"/>
        <v>0.10388639760837068</v>
      </c>
      <c r="BZ31" s="3">
        <f t="shared" ca="1" si="46"/>
        <v>0.13238946845504221</v>
      </c>
      <c r="CA31" s="3">
        <f t="shared" ca="1" si="47"/>
        <v>8.2689912826899123E-2</v>
      </c>
      <c r="CC31" s="3">
        <f t="shared" ca="1" si="48"/>
        <v>0.19925276135299752</v>
      </c>
      <c r="CD31" s="3">
        <f t="shared" ca="1" si="49"/>
        <v>0</v>
      </c>
      <c r="CE31" s="3">
        <f t="shared" ca="1" si="50"/>
        <v>0.28564328289837371</v>
      </c>
      <c r="CF31" s="3">
        <f t="shared" ca="1" si="51"/>
        <v>9.9377332262203091E-2</v>
      </c>
      <c r="CH31" s="3">
        <f t="shared" ca="1" si="52"/>
        <v>0.4981320049813201</v>
      </c>
      <c r="CI31" s="3">
        <f t="shared" ca="1" si="53"/>
        <v>0</v>
      </c>
      <c r="CJ31" s="3">
        <f t="shared" ca="1" si="54"/>
        <v>0.24838549428713363</v>
      </c>
      <c r="CK31" s="3">
        <f t="shared" ca="1" si="55"/>
        <v>0.24906600249066005</v>
      </c>
      <c r="CM31" s="3">
        <f t="shared" ca="1" si="56"/>
        <v>0.74719800747198017</v>
      </c>
      <c r="CN31" s="3">
        <f t="shared" ca="1" si="57"/>
        <v>0.49825610363726952</v>
      </c>
      <c r="CO31" s="3">
        <f t="shared" ca="1" si="58"/>
        <v>0.24838549428713363</v>
      </c>
      <c r="CP31" s="3">
        <f t="shared" ca="1" si="59"/>
        <v>0.4981320049813201</v>
      </c>
      <c r="CR31" s="3">
        <v>8.999999612569809E-3</v>
      </c>
      <c r="CS31" s="3">
        <v>4.0140000000000002</v>
      </c>
      <c r="CT31" s="3">
        <v>2.8650000095367432</v>
      </c>
      <c r="CU31" s="3">
        <v>0.26800000667572021</v>
      </c>
    </row>
    <row r="32" spans="1:99" s="3" customFormat="1" x14ac:dyDescent="0.35">
      <c r="A32" s="2" t="s">
        <v>4</v>
      </c>
      <c r="B32" s="2">
        <v>5.833333333333333</v>
      </c>
      <c r="C32" s="2" t="s">
        <v>167</v>
      </c>
      <c r="D32" s="2" t="s">
        <v>403</v>
      </c>
      <c r="F32" s="3">
        <v>4.0149999999999997</v>
      </c>
      <c r="G32" s="3" t="e">
        <v>#N/A</v>
      </c>
      <c r="H32" s="11" t="e">
        <v>#N/A</v>
      </c>
      <c r="I32" s="3">
        <v>4.016</v>
      </c>
      <c r="K32" s="3">
        <f t="shared" ca="1" si="0"/>
        <v>0.99601494396014956</v>
      </c>
      <c r="L32" s="3" t="e">
        <f t="shared" ca="1" si="1"/>
        <v>#N/A</v>
      </c>
      <c r="M32" s="3" t="e">
        <f t="shared" ca="1" si="2"/>
        <v>#N/A</v>
      </c>
      <c r="N32" s="3">
        <f t="shared" ca="1" si="3"/>
        <v>0.99576693227091639</v>
      </c>
      <c r="P32" s="3">
        <f t="shared" ca="1" si="4"/>
        <v>0.92552928717929883</v>
      </c>
      <c r="Q32" s="3" t="e">
        <f t="shared" ca="1" si="5"/>
        <v>#N/A</v>
      </c>
      <c r="R32" s="3" t="e">
        <f t="shared" ca="1" si="6"/>
        <v>#N/A</v>
      </c>
      <c r="S32" s="3">
        <f t="shared" ca="1" si="7"/>
        <v>0.74651398031835059</v>
      </c>
      <c r="U32" s="3">
        <f t="shared" ca="1" si="8"/>
        <v>2.2415940224159403</v>
      </c>
      <c r="V32" s="3" t="e">
        <f t="shared" ca="1" si="9"/>
        <v>#N/A</v>
      </c>
      <c r="W32" s="3" t="e">
        <f t="shared" ca="1" si="10"/>
        <v>#N/A</v>
      </c>
      <c r="X32" s="3">
        <f t="shared" ca="1" si="11"/>
        <v>1.4940239043824701</v>
      </c>
      <c r="Z32" s="3">
        <f t="shared" ca="1" si="12"/>
        <v>0.99601494396014956</v>
      </c>
      <c r="AA32" s="3" t="e">
        <f t="shared" ca="1" si="13"/>
        <v>#N/A</v>
      </c>
      <c r="AB32" s="3" t="e">
        <f t="shared" ca="1" si="14"/>
        <v>#N/A</v>
      </c>
      <c r="AC32" s="3">
        <f t="shared" ca="1" si="15"/>
        <v>0.97485059760956183</v>
      </c>
      <c r="AE32" s="3">
        <f t="shared" ca="1" si="16"/>
        <v>0.92552928717929883</v>
      </c>
      <c r="AF32" s="3" t="e">
        <f t="shared" ca="1" si="17"/>
        <v>#N/A</v>
      </c>
      <c r="AG32" s="3" t="e">
        <f t="shared" ca="1" si="18"/>
        <v>#N/A</v>
      </c>
      <c r="AH32" s="3">
        <f t="shared" ca="1" si="19"/>
        <v>0.74651398031835059</v>
      </c>
      <c r="AJ32" s="3">
        <f t="shared" ca="1" si="20"/>
        <v>2.2415940224159403</v>
      </c>
      <c r="AK32" s="3" t="e">
        <f t="shared" ca="1" si="21"/>
        <v>#N/A</v>
      </c>
      <c r="AL32" s="3" t="e">
        <f t="shared" ca="1" si="22"/>
        <v>#N/A</v>
      </c>
      <c r="AM32" s="3">
        <f t="shared" ca="1" si="23"/>
        <v>1.4940239043824701</v>
      </c>
      <c r="AO32" s="3">
        <f t="shared" ca="1" si="24"/>
        <v>0.24906600249066005</v>
      </c>
      <c r="AP32" s="3" t="e">
        <f t="shared" ca="1" si="25"/>
        <v>#N/A</v>
      </c>
      <c r="AQ32" s="3" t="e">
        <f t="shared" ca="1" si="26"/>
        <v>#N/A</v>
      </c>
      <c r="AR32" s="3">
        <f t="shared" ca="1" si="27"/>
        <v>0.49800796812749004</v>
      </c>
      <c r="AT32" s="3">
        <v>4.0000001899898052E-3</v>
      </c>
      <c r="AU32" s="11" t="e">
        <v>#N/A</v>
      </c>
      <c r="AV32" s="11" t="e">
        <v>#N/A</v>
      </c>
      <c r="AW32" s="3">
        <v>0</v>
      </c>
      <c r="AY32" s="3">
        <f t="shared" ca="1" si="28"/>
        <v>0.25753424657534263</v>
      </c>
      <c r="AZ32" s="3" t="e">
        <f t="shared" ca="1" si="29"/>
        <v>#N/A</v>
      </c>
      <c r="BA32" s="3" t="e">
        <f t="shared" ca="1" si="30"/>
        <v>#N/A</v>
      </c>
      <c r="BB32" s="3">
        <f t="shared" ca="1" si="31"/>
        <v>0.39815737051792832</v>
      </c>
      <c r="BD32" s="3">
        <f t="shared" ca="1" si="32"/>
        <v>0.25330007002035976</v>
      </c>
      <c r="BE32" s="3" t="e">
        <f t="shared" ca="1" si="33"/>
        <v>#N/A</v>
      </c>
      <c r="BF32" s="3" t="e">
        <f t="shared" ca="1" si="34"/>
        <v>#N/A</v>
      </c>
      <c r="BG32" s="3">
        <f t="shared" ca="1" si="35"/>
        <v>0.4106076263574015</v>
      </c>
      <c r="BI32" s="3">
        <f t="shared" ca="1" si="36"/>
        <v>0.9962640099626402</v>
      </c>
      <c r="BJ32" s="3" t="e">
        <f t="shared" ca="1" si="37"/>
        <v>#N/A</v>
      </c>
      <c r="BK32" s="3" t="e">
        <f t="shared" ca="1" si="38"/>
        <v>#N/A</v>
      </c>
      <c r="BL32" s="3">
        <f t="shared" ca="1" si="39"/>
        <v>0.49800796812749004</v>
      </c>
      <c r="BN32" s="3">
        <f t="shared" ca="1" si="40"/>
        <v>1.2453300124533002</v>
      </c>
      <c r="BO32" s="3" t="e">
        <f t="shared" ca="1" si="41"/>
        <v>#N/A</v>
      </c>
      <c r="BP32" s="3" t="e">
        <f t="shared" ca="1" si="42"/>
        <v>#N/A</v>
      </c>
      <c r="BQ32" s="3">
        <f t="shared" ca="1" si="43"/>
        <v>0.74701195219123506</v>
      </c>
      <c r="BS32" s="3">
        <v>0.97100001573562622</v>
      </c>
      <c r="BT32" s="11" t="e">
        <v>#N/A</v>
      </c>
      <c r="BU32" s="11" t="e">
        <v>#N/A</v>
      </c>
      <c r="BV32" s="3">
        <v>0.69999998807907104</v>
      </c>
      <c r="BX32" s="3">
        <f t="shared" ca="1" si="44"/>
        <v>0.17858032378580327</v>
      </c>
      <c r="BY32" s="3" t="e">
        <f t="shared" ca="1" si="45"/>
        <v>#N/A</v>
      </c>
      <c r="BZ32" s="3" t="e">
        <f t="shared" ca="1" si="46"/>
        <v>#N/A</v>
      </c>
      <c r="CA32" s="3">
        <f t="shared" ca="1" si="47"/>
        <v>0.10358565737051796</v>
      </c>
      <c r="CC32" s="3">
        <f t="shared" ca="1" si="48"/>
        <v>0.22415942599437902</v>
      </c>
      <c r="CD32" s="3" t="e">
        <f t="shared" ca="1" si="49"/>
        <v>#N/A</v>
      </c>
      <c r="CE32" s="3" t="e">
        <f t="shared" ca="1" si="50"/>
        <v>#N/A</v>
      </c>
      <c r="CF32" s="3">
        <f t="shared" ca="1" si="51"/>
        <v>3.7350561989256112E-2</v>
      </c>
      <c r="CH32" s="3">
        <f t="shared" ca="1" si="52"/>
        <v>0.24906600249066005</v>
      </c>
      <c r="CI32" s="3" t="e">
        <f t="shared" ca="1" si="53"/>
        <v>#N/A</v>
      </c>
      <c r="CJ32" s="3" t="e">
        <f t="shared" ca="1" si="54"/>
        <v>#N/A</v>
      </c>
      <c r="CK32" s="3">
        <f t="shared" ca="1" si="55"/>
        <v>0.24900398406374502</v>
      </c>
      <c r="CM32" s="3">
        <f t="shared" ca="1" si="56"/>
        <v>0.24906600249066005</v>
      </c>
      <c r="CN32" s="3" t="e">
        <f t="shared" ca="1" si="57"/>
        <v>#N/A</v>
      </c>
      <c r="CO32" s="3" t="e">
        <f t="shared" ca="1" si="58"/>
        <v>#N/A</v>
      </c>
      <c r="CP32" s="3">
        <f t="shared" ca="1" si="59"/>
        <v>1.2450199203187251</v>
      </c>
      <c r="CR32" s="3">
        <v>2.4869999885559082</v>
      </c>
      <c r="CS32" s="11" t="e">
        <v>#N/A</v>
      </c>
      <c r="CT32" s="11" t="e">
        <v>#N/A</v>
      </c>
      <c r="CU32" s="3">
        <v>1.9830000400543213</v>
      </c>
    </row>
    <row r="33" spans="1:99" s="3" customFormat="1" x14ac:dyDescent="0.35">
      <c r="A33" s="2" t="s">
        <v>21</v>
      </c>
      <c r="B33" s="2">
        <v>5.916666666666667</v>
      </c>
      <c r="C33" s="2" t="s">
        <v>168</v>
      </c>
      <c r="D33" s="2" t="s">
        <v>403</v>
      </c>
      <c r="F33" s="11" t="e">
        <v>#N/A</v>
      </c>
      <c r="G33" s="11" t="e">
        <v>#N/A</v>
      </c>
      <c r="H33" s="3">
        <v>3.2159999999999997</v>
      </c>
      <c r="I33" s="3">
        <v>4.0149999999999997</v>
      </c>
      <c r="K33" s="3" t="e">
        <f t="shared" ca="1" si="0"/>
        <v>#N/A</v>
      </c>
      <c r="L33" s="3" t="e">
        <f t="shared" ca="1" si="1"/>
        <v>#N/A</v>
      </c>
      <c r="M33" s="3">
        <f t="shared" ca="1" si="2"/>
        <v>0.78264925373134342</v>
      </c>
      <c r="N33" s="3">
        <f t="shared" ca="1" si="3"/>
        <v>0.99601494396014956</v>
      </c>
      <c r="P33" s="3" t="e">
        <f t="shared" ca="1" si="4"/>
        <v>#N/A</v>
      </c>
      <c r="Q33" s="3" t="e">
        <f t="shared" ca="1" si="5"/>
        <v>#N/A</v>
      </c>
      <c r="R33" s="3">
        <f t="shared" ca="1" si="6"/>
        <v>0.12468900624199294</v>
      </c>
      <c r="S33" s="3">
        <f t="shared" ca="1" si="7"/>
        <v>0.92129515388871497</v>
      </c>
      <c r="U33" s="3" t="e">
        <f t="shared" ca="1" si="8"/>
        <v>#N/A</v>
      </c>
      <c r="V33" s="3" t="e">
        <f t="shared" ca="1" si="9"/>
        <v>#N/A</v>
      </c>
      <c r="W33" s="3">
        <f t="shared" ca="1" si="10"/>
        <v>0.93283582089552242</v>
      </c>
      <c r="X33" s="3">
        <f t="shared" ca="1" si="11"/>
        <v>2.4906600249066004</v>
      </c>
      <c r="Z33" s="3" t="e">
        <f t="shared" ca="1" si="12"/>
        <v>#N/A</v>
      </c>
      <c r="AA33" s="3" t="e">
        <f t="shared" ca="1" si="13"/>
        <v>#N/A</v>
      </c>
      <c r="AB33" s="3">
        <f t="shared" ca="1" si="14"/>
        <v>0.445584577114428</v>
      </c>
      <c r="AC33" s="3">
        <f t="shared" ca="1" si="15"/>
        <v>0.82166874221668762</v>
      </c>
      <c r="AE33" s="3" t="e">
        <f t="shared" ca="1" si="16"/>
        <v>#N/A</v>
      </c>
      <c r="AF33" s="3" t="e">
        <f t="shared" ca="1" si="17"/>
        <v>#N/A</v>
      </c>
      <c r="AG33" s="3">
        <f t="shared" ca="1" si="18"/>
        <v>0.12468900624199294</v>
      </c>
      <c r="AH33" s="3">
        <f t="shared" ca="1" si="19"/>
        <v>0.75093400438465785</v>
      </c>
      <c r="AJ33" s="3" t="e">
        <f t="shared" ca="1" si="20"/>
        <v>#N/A</v>
      </c>
      <c r="AK33" s="3" t="e">
        <f t="shared" ca="1" si="21"/>
        <v>#N/A</v>
      </c>
      <c r="AL33" s="3">
        <f t="shared" ca="1" si="22"/>
        <v>0.93283582089552242</v>
      </c>
      <c r="AM33" s="3">
        <f t="shared" ca="1" si="23"/>
        <v>2.2415940224159403</v>
      </c>
      <c r="AO33" s="3" t="e">
        <f t="shared" ca="1" si="24"/>
        <v>#N/A</v>
      </c>
      <c r="AP33" s="3" t="e">
        <f t="shared" ca="1" si="25"/>
        <v>#N/A</v>
      </c>
      <c r="AQ33" s="3">
        <f t="shared" ca="1" si="26"/>
        <v>1.8656716417910448</v>
      </c>
      <c r="AR33" s="3">
        <f t="shared" ca="1" si="27"/>
        <v>0.4981320049813201</v>
      </c>
      <c r="AT33" s="11" t="e">
        <v>#N/A</v>
      </c>
      <c r="AU33" s="11" t="e">
        <v>#N/A</v>
      </c>
      <c r="AV33" s="3">
        <v>0.36300000548362732</v>
      </c>
      <c r="AW33" s="3">
        <v>6.0000000521540642E-3</v>
      </c>
      <c r="AY33" s="3" t="e">
        <f t="shared" ca="1" si="28"/>
        <v>#N/A</v>
      </c>
      <c r="AZ33" s="3" t="e">
        <f t="shared" ca="1" si="29"/>
        <v>#N/A</v>
      </c>
      <c r="BA33" s="3">
        <f t="shared" ca="1" si="30"/>
        <v>0</v>
      </c>
      <c r="BB33" s="3">
        <f t="shared" ca="1" si="31"/>
        <v>0</v>
      </c>
      <c r="BD33" s="3" t="e">
        <f t="shared" ca="1" si="32"/>
        <v>#N/A</v>
      </c>
      <c r="BE33" s="3" t="e">
        <f t="shared" ca="1" si="33"/>
        <v>#N/A</v>
      </c>
      <c r="BF33" s="3">
        <f t="shared" ca="1" si="34"/>
        <v>0</v>
      </c>
      <c r="BG33" s="3">
        <f t="shared" ca="1" si="35"/>
        <v>0</v>
      </c>
      <c r="BI33" s="3" t="e">
        <f t="shared" ca="1" si="36"/>
        <v>#N/A</v>
      </c>
      <c r="BJ33" s="3" t="e">
        <f t="shared" ca="1" si="37"/>
        <v>#N/A</v>
      </c>
      <c r="BK33" s="3">
        <f t="shared" ca="1" si="38"/>
        <v>0</v>
      </c>
      <c r="BL33" s="3">
        <f t="shared" ca="1" si="39"/>
        <v>0</v>
      </c>
      <c r="BN33" s="3" t="e">
        <f t="shared" ca="1" si="40"/>
        <v>#N/A</v>
      </c>
      <c r="BO33" s="3" t="e">
        <f t="shared" ca="1" si="41"/>
        <v>#N/A</v>
      </c>
      <c r="BP33" s="3">
        <f t="shared" ca="1" si="42"/>
        <v>0</v>
      </c>
      <c r="BQ33" s="3">
        <f t="shared" ca="1" si="43"/>
        <v>0</v>
      </c>
      <c r="BS33" s="11" t="e">
        <v>#N/A</v>
      </c>
      <c r="BT33" s="11" t="e">
        <v>#N/A</v>
      </c>
      <c r="BU33" s="3">
        <v>4.0149999999999997</v>
      </c>
      <c r="BV33" s="3">
        <v>4.0149999999999997</v>
      </c>
      <c r="BX33" s="3" t="e">
        <f t="shared" ca="1" si="44"/>
        <v>#N/A</v>
      </c>
      <c r="BY33" s="3" t="e">
        <f t="shared" ca="1" si="45"/>
        <v>#N/A</v>
      </c>
      <c r="BZ33" s="3">
        <f t="shared" ca="1" si="46"/>
        <v>0</v>
      </c>
      <c r="CA33" s="3">
        <f t="shared" ca="1" si="47"/>
        <v>0</v>
      </c>
      <c r="CC33" s="3" t="e">
        <f t="shared" ca="1" si="48"/>
        <v>#N/A</v>
      </c>
      <c r="CD33" s="3" t="e">
        <f t="shared" ca="1" si="49"/>
        <v>#N/A</v>
      </c>
      <c r="CE33" s="3">
        <f t="shared" ca="1" si="50"/>
        <v>0</v>
      </c>
      <c r="CF33" s="3">
        <f t="shared" ca="1" si="51"/>
        <v>0</v>
      </c>
      <c r="CH33" s="3" t="e">
        <f t="shared" ca="1" si="52"/>
        <v>#N/A</v>
      </c>
      <c r="CI33" s="3" t="e">
        <f t="shared" ca="1" si="53"/>
        <v>#N/A</v>
      </c>
      <c r="CJ33" s="3">
        <f t="shared" ca="1" si="54"/>
        <v>0</v>
      </c>
      <c r="CK33" s="3">
        <f t="shared" ca="1" si="55"/>
        <v>0</v>
      </c>
      <c r="CM33" s="3" t="e">
        <f t="shared" ca="1" si="56"/>
        <v>#N/A</v>
      </c>
      <c r="CN33" s="3" t="e">
        <f t="shared" ca="1" si="57"/>
        <v>#N/A</v>
      </c>
      <c r="CO33" s="3">
        <f t="shared" ca="1" si="58"/>
        <v>0</v>
      </c>
      <c r="CP33" s="3">
        <f t="shared" ca="1" si="59"/>
        <v>0</v>
      </c>
      <c r="CR33" s="11" t="e">
        <v>#N/A</v>
      </c>
      <c r="CS33" s="11" t="e">
        <v>#N/A</v>
      </c>
      <c r="CT33" s="3">
        <v>4.0149999999999997</v>
      </c>
      <c r="CU33" s="3">
        <v>4.0149999999999997</v>
      </c>
    </row>
    <row r="34" spans="1:99" s="3" customFormat="1" x14ac:dyDescent="0.35">
      <c r="A34" s="2" t="s">
        <v>24</v>
      </c>
      <c r="B34" s="2">
        <v>5.916666666666667</v>
      </c>
      <c r="C34" s="2" t="s">
        <v>168</v>
      </c>
      <c r="D34" s="2" t="s">
        <v>403</v>
      </c>
      <c r="F34" s="3">
        <v>4.016</v>
      </c>
      <c r="G34" s="11" t="e">
        <v>#N/A</v>
      </c>
      <c r="H34" s="3">
        <v>4.0149999999999997</v>
      </c>
      <c r="I34" s="3">
        <v>4.0149999999999997</v>
      </c>
      <c r="K34" s="3">
        <f t="shared" ca="1" si="0"/>
        <v>0.91259960159362552</v>
      </c>
      <c r="L34" s="3" t="e">
        <f t="shared" ca="1" si="1"/>
        <v>#N/A</v>
      </c>
      <c r="M34" s="3">
        <f t="shared" ca="1" si="2"/>
        <v>0.82590286425902881</v>
      </c>
      <c r="N34" s="3">
        <f t="shared" ca="1" si="3"/>
        <v>0.8879202988792031</v>
      </c>
      <c r="P34" s="3">
        <f t="shared" ca="1" si="4"/>
        <v>0.14118525937971366</v>
      </c>
      <c r="Q34" s="3" t="e">
        <f t="shared" ca="1" si="5"/>
        <v>#N/A</v>
      </c>
      <c r="R34" s="3">
        <f t="shared" ca="1" si="6"/>
        <v>0.44433363941805454</v>
      </c>
      <c r="S34" s="3">
        <f t="shared" ca="1" si="7"/>
        <v>0.24906600249066005</v>
      </c>
      <c r="U34" s="3">
        <f t="shared" ca="1" si="8"/>
        <v>0.99601593625498008</v>
      </c>
      <c r="V34" s="3" t="e">
        <f t="shared" ca="1" si="9"/>
        <v>#N/A</v>
      </c>
      <c r="W34" s="3">
        <f t="shared" ca="1" si="10"/>
        <v>1.9925280199252804</v>
      </c>
      <c r="X34" s="3">
        <f t="shared" ca="1" si="11"/>
        <v>1.2453300124533002</v>
      </c>
      <c r="Z34" s="3">
        <f t="shared" ca="1" si="12"/>
        <v>0.74252988047808766</v>
      </c>
      <c r="AA34" s="3" t="e">
        <f t="shared" ca="1" si="13"/>
        <v>#N/A</v>
      </c>
      <c r="AB34" s="3">
        <f t="shared" ca="1" si="14"/>
        <v>0.81743462017434632</v>
      </c>
      <c r="AC34" s="3">
        <f t="shared" ca="1" si="15"/>
        <v>0.72627646326276474</v>
      </c>
      <c r="AE34" s="3">
        <f t="shared" ca="1" si="16"/>
        <v>0.14118525937971366</v>
      </c>
      <c r="AF34" s="3" t="e">
        <f t="shared" ca="1" si="17"/>
        <v>#N/A</v>
      </c>
      <c r="AG34" s="3">
        <f t="shared" ca="1" si="18"/>
        <v>0.44433363941805454</v>
      </c>
      <c r="AH34" s="3">
        <f t="shared" ca="1" si="19"/>
        <v>0.22415939630339779</v>
      </c>
      <c r="AJ34" s="3">
        <f t="shared" ca="1" si="20"/>
        <v>0.99601593625498008</v>
      </c>
      <c r="AK34" s="3" t="e">
        <f t="shared" ca="1" si="21"/>
        <v>#N/A</v>
      </c>
      <c r="AL34" s="3">
        <f t="shared" ca="1" si="22"/>
        <v>1.9925280199252804</v>
      </c>
      <c r="AM34" s="3">
        <f t="shared" ca="1" si="23"/>
        <v>0.9962640099626402</v>
      </c>
      <c r="AO34" s="3">
        <f t="shared" ca="1" si="24"/>
        <v>1.2450199203187251</v>
      </c>
      <c r="AP34" s="3" t="e">
        <f t="shared" ca="1" si="25"/>
        <v>#N/A</v>
      </c>
      <c r="AQ34" s="3">
        <f t="shared" ca="1" si="26"/>
        <v>0.4981320049813201</v>
      </c>
      <c r="AR34" s="3">
        <f t="shared" ca="1" si="27"/>
        <v>1.2453300124533002</v>
      </c>
      <c r="AT34" s="3">
        <v>0.39500001072883606</v>
      </c>
      <c r="AU34" s="11" t="e">
        <v>#N/A</v>
      </c>
      <c r="AV34" s="3">
        <v>0.68500000238418579</v>
      </c>
      <c r="AW34" s="3">
        <v>0.28700000047683716</v>
      </c>
      <c r="AY34" s="3">
        <f t="shared" ca="1" si="28"/>
        <v>4.2330677290836416E-3</v>
      </c>
      <c r="AZ34" s="3" t="e">
        <f t="shared" ca="1" si="29"/>
        <v>#N/A</v>
      </c>
      <c r="BA34" s="3">
        <f t="shared" ca="1" si="30"/>
        <v>0.27820672478206737</v>
      </c>
      <c r="BB34" s="3">
        <f t="shared" ca="1" si="31"/>
        <v>9.1656288916562925E-2</v>
      </c>
      <c r="BD34" s="3">
        <f t="shared" ca="1" si="32"/>
        <v>0</v>
      </c>
      <c r="BE34" s="3" t="e">
        <f t="shared" ca="1" si="33"/>
        <v>#N/A</v>
      </c>
      <c r="BF34" s="3">
        <f t="shared" ca="1" si="34"/>
        <v>0.29041087196891663</v>
      </c>
      <c r="BG34" s="3">
        <f t="shared" ca="1" si="35"/>
        <v>4.9813182683543282E-2</v>
      </c>
      <c r="BI34" s="3">
        <f t="shared" ca="1" si="36"/>
        <v>0</v>
      </c>
      <c r="BJ34" s="3" t="e">
        <f t="shared" ca="1" si="37"/>
        <v>#N/A</v>
      </c>
      <c r="BK34" s="3">
        <f t="shared" ca="1" si="38"/>
        <v>1.2453300124533002</v>
      </c>
      <c r="BL34" s="3">
        <f t="shared" ca="1" si="39"/>
        <v>0.24906600249066005</v>
      </c>
      <c r="BN34" s="3">
        <f t="shared" ca="1" si="40"/>
        <v>2.241035856573705</v>
      </c>
      <c r="BO34" s="3" t="e">
        <f t="shared" ca="1" si="41"/>
        <v>#N/A</v>
      </c>
      <c r="BP34" s="3">
        <f t="shared" ca="1" si="42"/>
        <v>2.7397260273972606</v>
      </c>
      <c r="BQ34" s="3">
        <f t="shared" ca="1" si="43"/>
        <v>2.4906600249066004</v>
      </c>
      <c r="BS34" s="3">
        <v>4.016</v>
      </c>
      <c r="BT34" s="11" t="e">
        <v>#N/A</v>
      </c>
      <c r="BU34" s="3">
        <v>2.502000093460083</v>
      </c>
      <c r="BV34" s="3">
        <v>0.80400002002716064</v>
      </c>
      <c r="BX34" s="3">
        <f t="shared" ca="1" si="44"/>
        <v>5.3784860557768863E-2</v>
      </c>
      <c r="BY34" s="3" t="e">
        <f t="shared" ca="1" si="45"/>
        <v>#N/A</v>
      </c>
      <c r="BZ34" s="3">
        <f t="shared" ca="1" si="46"/>
        <v>4.9813200498132024E-2</v>
      </c>
      <c r="CA34" s="3">
        <f t="shared" ca="1" si="47"/>
        <v>4.5579078455790858E-2</v>
      </c>
      <c r="CC34" s="3">
        <f t="shared" ca="1" si="48"/>
        <v>3.7350621356432183E-2</v>
      </c>
      <c r="CD34" s="3" t="e">
        <f t="shared" ca="1" si="49"/>
        <v>#N/A</v>
      </c>
      <c r="CE34" s="3">
        <f t="shared" ca="1" si="50"/>
        <v>5.4047324440696029E-2</v>
      </c>
      <c r="CF34" s="3">
        <f t="shared" ca="1" si="51"/>
        <v>0</v>
      </c>
      <c r="CH34" s="3">
        <f t="shared" ca="1" si="52"/>
        <v>0.24900398406374502</v>
      </c>
      <c r="CI34" s="3" t="e">
        <f t="shared" ca="1" si="53"/>
        <v>#N/A</v>
      </c>
      <c r="CJ34" s="3">
        <f t="shared" ca="1" si="54"/>
        <v>0.24906600249066005</v>
      </c>
      <c r="CK34" s="3">
        <f t="shared" ca="1" si="55"/>
        <v>0</v>
      </c>
      <c r="CM34" s="3">
        <f t="shared" ca="1" si="56"/>
        <v>0.99601593625498008</v>
      </c>
      <c r="CN34" s="3" t="e">
        <f t="shared" ca="1" si="57"/>
        <v>#N/A</v>
      </c>
      <c r="CO34" s="3">
        <f t="shared" ca="1" si="58"/>
        <v>0.4981320049813201</v>
      </c>
      <c r="CP34" s="3">
        <f t="shared" ca="1" si="59"/>
        <v>0.9962640099626402</v>
      </c>
      <c r="CR34" s="3">
        <v>3.5109999179840088</v>
      </c>
      <c r="CS34" s="11" t="e">
        <v>#N/A</v>
      </c>
      <c r="CT34" s="3">
        <v>0.68500000238418579</v>
      </c>
      <c r="CU34" s="3">
        <v>4.0149999999999997</v>
      </c>
    </row>
    <row r="35" spans="1:99" s="3" customFormat="1" x14ac:dyDescent="0.35">
      <c r="A35" s="2" t="s">
        <v>39</v>
      </c>
      <c r="B35" s="2">
        <v>6.083333333333333</v>
      </c>
      <c r="C35" s="2" t="s">
        <v>167</v>
      </c>
      <c r="D35" s="2" t="s">
        <v>403</v>
      </c>
      <c r="F35" s="3">
        <v>4.016</v>
      </c>
      <c r="G35" s="3">
        <v>4.016</v>
      </c>
      <c r="H35" s="3">
        <v>4.016</v>
      </c>
      <c r="I35" s="3">
        <v>4.0149999999999997</v>
      </c>
      <c r="K35" s="3">
        <f t="shared" ca="1" si="0"/>
        <v>0.91683266932270924</v>
      </c>
      <c r="L35" s="3">
        <f t="shared" ca="1" si="1"/>
        <v>0.99576693227091628</v>
      </c>
      <c r="M35" s="3">
        <f t="shared" ca="1" si="2"/>
        <v>0.91259960159362541</v>
      </c>
      <c r="N35" s="3">
        <f t="shared" ca="1" si="3"/>
        <v>0.99601494396014945</v>
      </c>
      <c r="P35" s="3">
        <f t="shared" ca="1" si="4"/>
        <v>0.72584659662617157</v>
      </c>
      <c r="Q35" s="3">
        <f t="shared" ca="1" si="5"/>
        <v>0.94521912839820244</v>
      </c>
      <c r="R35" s="3">
        <f t="shared" ca="1" si="6"/>
        <v>0.88745021665713697</v>
      </c>
      <c r="S35" s="3">
        <f t="shared" ca="1" si="7"/>
        <v>0.94196764893764884</v>
      </c>
      <c r="U35" s="3">
        <f t="shared" ca="1" si="8"/>
        <v>2.241035856573705</v>
      </c>
      <c r="V35" s="3">
        <f t="shared" ca="1" si="9"/>
        <v>3.237051792828685</v>
      </c>
      <c r="W35" s="3">
        <f t="shared" ca="1" si="10"/>
        <v>1.7430278884462151</v>
      </c>
      <c r="X35" s="3">
        <f t="shared" ca="1" si="11"/>
        <v>2.7397260273972606</v>
      </c>
      <c r="Z35" s="3">
        <f t="shared" ca="1" si="12"/>
        <v>0.91284860557768932</v>
      </c>
      <c r="AA35" s="3">
        <f t="shared" ca="1" si="13"/>
        <v>0.99576693227091628</v>
      </c>
      <c r="AB35" s="3">
        <f t="shared" ca="1" si="14"/>
        <v>0.91259960159362541</v>
      </c>
      <c r="AC35" s="3">
        <f t="shared" ca="1" si="15"/>
        <v>0.84657534246575339</v>
      </c>
      <c r="AE35" s="3">
        <f t="shared" ca="1" si="16"/>
        <v>0.72584659662617157</v>
      </c>
      <c r="AF35" s="3">
        <f t="shared" ca="1" si="17"/>
        <v>0.94521912839820244</v>
      </c>
      <c r="AG35" s="3">
        <f t="shared" ca="1" si="18"/>
        <v>0.88745021665713697</v>
      </c>
      <c r="AH35" s="3">
        <f t="shared" ca="1" si="19"/>
        <v>0.81344958357652131</v>
      </c>
      <c r="AJ35" s="3">
        <f t="shared" ca="1" si="20"/>
        <v>2.241035856573705</v>
      </c>
      <c r="AK35" s="3">
        <f t="shared" ca="1" si="21"/>
        <v>3.237051792828685</v>
      </c>
      <c r="AL35" s="3">
        <f t="shared" ca="1" si="22"/>
        <v>1.7430278884462151</v>
      </c>
      <c r="AM35" s="3">
        <f t="shared" ca="1" si="23"/>
        <v>2.4906600249066004</v>
      </c>
      <c r="AO35" s="3">
        <f t="shared" ca="1" si="24"/>
        <v>0.24900398406374502</v>
      </c>
      <c r="AP35" s="3">
        <f t="shared" ca="1" si="25"/>
        <v>0.24900398406374502</v>
      </c>
      <c r="AQ35" s="3">
        <f t="shared" ca="1" si="26"/>
        <v>0.24900398406374502</v>
      </c>
      <c r="AR35" s="3">
        <f t="shared" ca="1" si="27"/>
        <v>0.4981320049813201</v>
      </c>
      <c r="AT35" s="3">
        <v>0.40999999642372131</v>
      </c>
      <c r="AU35" s="3">
        <v>8.0000003799796104E-3</v>
      </c>
      <c r="AV35" s="3">
        <v>0.34700000286102295</v>
      </c>
      <c r="AW35" s="3">
        <v>8.0000003799796104E-3</v>
      </c>
      <c r="AY35" s="3">
        <f t="shared" ca="1" si="28"/>
        <v>0.38994023904382463</v>
      </c>
      <c r="AZ35" s="3">
        <f t="shared" ca="1" si="29"/>
        <v>0.29855577689243024</v>
      </c>
      <c r="BA35" s="3">
        <f t="shared" ca="1" si="30"/>
        <v>0.69696215139442219</v>
      </c>
      <c r="BB35" s="3">
        <f t="shared" ca="1" si="31"/>
        <v>0.26550435865504357</v>
      </c>
      <c r="BD35" s="3">
        <f t="shared" ca="1" si="32"/>
        <v>0.41484066185010859</v>
      </c>
      <c r="BE35" s="3">
        <f t="shared" ca="1" si="33"/>
        <v>0.31499002143681287</v>
      </c>
      <c r="BF35" s="3">
        <f t="shared" ca="1" si="34"/>
        <v>0.77963149939400267</v>
      </c>
      <c r="BG35" s="3">
        <f t="shared" ca="1" si="35"/>
        <v>0.28642591177155341</v>
      </c>
      <c r="BI35" s="3">
        <f t="shared" ca="1" si="36"/>
        <v>1.2450199203187251</v>
      </c>
      <c r="BJ35" s="3">
        <f t="shared" ca="1" si="37"/>
        <v>1.4940239043824701</v>
      </c>
      <c r="BK35" s="3">
        <f t="shared" ca="1" si="38"/>
        <v>1.4940239043824701</v>
      </c>
      <c r="BL35" s="3">
        <f t="shared" ca="1" si="39"/>
        <v>0.74719800747198017</v>
      </c>
      <c r="BN35" s="3">
        <f t="shared" ca="1" si="40"/>
        <v>0.99601593625498008</v>
      </c>
      <c r="BO35" s="3">
        <f t="shared" ca="1" si="41"/>
        <v>0.99601593625498008</v>
      </c>
      <c r="BP35" s="3">
        <f t="shared" ca="1" si="42"/>
        <v>0.49800796812749004</v>
      </c>
      <c r="BQ35" s="3">
        <f t="shared" ca="1" si="43"/>
        <v>0.4981320049813201</v>
      </c>
      <c r="BS35" s="3">
        <v>0.40999999642372131</v>
      </c>
      <c r="BT35" s="3">
        <v>0.57499998807907104</v>
      </c>
      <c r="BU35" s="3">
        <v>0.34700000286102295</v>
      </c>
      <c r="BV35" s="3">
        <v>0.49099999666213989</v>
      </c>
      <c r="BX35" s="3">
        <f t="shared" ca="1" si="44"/>
        <v>6.2250996015936255E-2</v>
      </c>
      <c r="BY35" s="3">
        <f t="shared" ca="1" si="45"/>
        <v>0</v>
      </c>
      <c r="BZ35" s="3">
        <f t="shared" ca="1" si="46"/>
        <v>0</v>
      </c>
      <c r="CA35" s="3">
        <f t="shared" ca="1" si="47"/>
        <v>2.9140722291407222E-2</v>
      </c>
      <c r="CC35" s="3">
        <f t="shared" ca="1" si="48"/>
        <v>8.2918312920042245E-2</v>
      </c>
      <c r="CD35" s="3">
        <f t="shared" ca="1" si="49"/>
        <v>0</v>
      </c>
      <c r="CE35" s="3">
        <f t="shared" ca="1" si="50"/>
        <v>0</v>
      </c>
      <c r="CF35" s="3">
        <f t="shared" ca="1" si="51"/>
        <v>0</v>
      </c>
      <c r="CH35" s="3">
        <f t="shared" ca="1" si="52"/>
        <v>0.24900398406374502</v>
      </c>
      <c r="CI35" s="3">
        <f t="shared" ca="1" si="53"/>
        <v>0</v>
      </c>
      <c r="CJ35" s="3">
        <f t="shared" ca="1" si="54"/>
        <v>0</v>
      </c>
      <c r="CK35" s="3">
        <f t="shared" ca="1" si="55"/>
        <v>0</v>
      </c>
      <c r="CM35" s="3">
        <f t="shared" ca="1" si="56"/>
        <v>0.24900398406374502</v>
      </c>
      <c r="CN35" s="3">
        <f t="shared" ca="1" si="57"/>
        <v>0</v>
      </c>
      <c r="CO35" s="3">
        <f t="shared" ca="1" si="58"/>
        <v>0</v>
      </c>
      <c r="CP35" s="3">
        <f t="shared" ca="1" si="59"/>
        <v>0.24906600249066005</v>
      </c>
      <c r="CR35" s="3">
        <v>3.4430000782012939</v>
      </c>
      <c r="CS35" s="3">
        <v>4.016</v>
      </c>
      <c r="CT35" s="3">
        <v>4.016</v>
      </c>
      <c r="CU35" s="3">
        <v>4.0149999999999997</v>
      </c>
    </row>
    <row r="36" spans="1:99" s="3" customFormat="1" x14ac:dyDescent="0.35">
      <c r="A36" s="2" t="s">
        <v>1</v>
      </c>
      <c r="B36" s="2">
        <v>6.166666666666667</v>
      </c>
      <c r="C36" s="2" t="s">
        <v>167</v>
      </c>
      <c r="D36" s="2" t="s">
        <v>403</v>
      </c>
      <c r="F36" s="3" t="e">
        <v>#N/A</v>
      </c>
      <c r="G36" s="11" t="e">
        <v>#N/A</v>
      </c>
      <c r="H36" s="3">
        <v>4.016</v>
      </c>
      <c r="I36" s="3">
        <v>4.0090000000000003</v>
      </c>
      <c r="K36" s="3" t="e">
        <f t="shared" ref="K36:K67" ca="1" si="60">INDIRECT("'Data_Netteyage'!" &amp; LEFT(ADDRESS(1,COLUMN(),4),LEN(ADDRESS(1,COLUMN(),4))-1) &amp; ROW())/F36</f>
        <v>#N/A</v>
      </c>
      <c r="L36" s="3" t="e">
        <f t="shared" ref="L36:L67" ca="1" si="61">INDIRECT("'Data_Netteyage'!" &amp; LEFT(ADDRESS(1,COLUMN(),4),LEN(ADDRESS(1,COLUMN(),4))-1) &amp; ROW())/G36</f>
        <v>#N/A</v>
      </c>
      <c r="M36" s="3">
        <f t="shared" ref="M36:M67" ca="1" si="62">INDIRECT("'Data_Netteyage'!" &amp; LEFT(ADDRESS(1,COLUMN(),4),LEN(ADDRESS(1,COLUMN(),4))-1) &amp; ROW())/H36</f>
        <v>0.9957669322709165</v>
      </c>
      <c r="N36" s="3">
        <f t="shared" ref="N36:N67" ca="1" si="63">INDIRECT("'Data_Netteyage'!" &amp; LEFT(ADDRESS(1,COLUMN(),4),LEN(ADDRESS(1,COLUMN(),4))-1) &amp; ROW())/I36</f>
        <v>0.99750561237216262</v>
      </c>
      <c r="P36" s="3" t="e">
        <f t="shared" ref="P36:P67" ca="1" si="64">INDIRECT("'Data_Netteyage'!" &amp; LEFT(ADDRESS(1,COLUMN(),4),LEN(ADDRESS(1,COLUMN(),4))-1) &amp; ROW())/F36</f>
        <v>#N/A</v>
      </c>
      <c r="Q36" s="3" t="e">
        <f t="shared" ref="Q36:Q67" ca="1" si="65">INDIRECT("'Data_Netteyage'!" &amp; LEFT(ADDRESS(1,COLUMN(),4),LEN(ADDRESS(1,COLUMN(),4))-1) &amp; ROW())/G36</f>
        <v>#N/A</v>
      </c>
      <c r="R36" s="3">
        <f t="shared" ref="R36:R67" ca="1" si="66">INDIRECT("'Data_Netteyage'!" &amp; LEFT(ADDRESS(1,COLUMN(),4),LEN(ADDRESS(1,COLUMN(),4))-1) &amp; ROW())/H36</f>
        <v>0.8879481969365064</v>
      </c>
      <c r="S36" s="3">
        <f t="shared" ref="S36:S67" ca="1" si="67">INDIRECT("'Data_Netteyage'!" &amp; LEFT(ADDRESS(1,COLUMN(),4),LEN(ADDRESS(1,COLUMN(),4))-1) &amp; ROW())/I36</f>
        <v>0.74432525076631828</v>
      </c>
      <c r="U36" s="3" t="e">
        <f t="shared" ref="U36:U67" ca="1" si="68">INDIRECT("'Data_Netteyage'!" &amp; LEFT(ADDRESS(1,COLUMN(),4),LEN(ADDRESS(1,COLUMN(),4))-1) &amp; ROW())/F36</f>
        <v>#N/A</v>
      </c>
      <c r="V36" s="3" t="e">
        <f t="shared" ref="V36:V67" ca="1" si="69">INDIRECT("'Data_Netteyage'!" &amp; LEFT(ADDRESS(1,COLUMN(),4),LEN(ADDRESS(1,COLUMN(),4))-1) &amp; ROW())/G36</f>
        <v>#N/A</v>
      </c>
      <c r="W36" s="3">
        <f t="shared" ref="W36:W67" ca="1" si="70">INDIRECT("'Data_Netteyage'!" &amp; LEFT(ADDRESS(1,COLUMN(),4),LEN(ADDRESS(1,COLUMN(),4))-1) &amp; ROW())/H36</f>
        <v>3.4860557768924303</v>
      </c>
      <c r="X36" s="3">
        <f t="shared" ref="X36:X67" ca="1" si="71">INDIRECT("'Data_Netteyage'!" &amp; LEFT(ADDRESS(1,COLUMN(),4),LEN(ADDRESS(1,COLUMN(),4))-1) &amp; ROW())/I36</f>
        <v>3.7415814417560487</v>
      </c>
      <c r="Z36" s="3" t="e">
        <f t="shared" ref="Z36:Z67" ca="1" si="72">INDIRECT("'Data_Netteyage'!" &amp; LEFT(ADDRESS(1,COLUMN(),4),LEN(ADDRESS(1,COLUMN(),4))-1) &amp; ROW())/F36</f>
        <v>#N/A</v>
      </c>
      <c r="AA36" s="3" t="e">
        <f t="shared" ref="AA36:AA67" ca="1" si="73">INDIRECT("'Data_Netteyage'!" &amp; LEFT(ADDRESS(1,COLUMN(),4),LEN(ADDRESS(1,COLUMN(),4))-1) &amp; ROW())/G36</f>
        <v>#N/A</v>
      </c>
      <c r="AB36" s="3">
        <f t="shared" ref="AB36:AB67" ca="1" si="74">INDIRECT("'Data_Netteyage'!" &amp; LEFT(ADDRESS(1,COLUMN(),4),LEN(ADDRESS(1,COLUMN(),4))-1) &amp; ROW())/H36</f>
        <v>0.9957669322709165</v>
      </c>
      <c r="AC36" s="3">
        <f t="shared" ref="AC36:AC67" ca="1" si="75">INDIRECT("'Data_Netteyage'!" &amp; LEFT(ADDRESS(1,COLUMN(),4),LEN(ADDRESS(1,COLUMN(),4))-1) &amp; ROW())/I36</f>
        <v>0.92691444250436517</v>
      </c>
      <c r="AE36" s="3" t="e">
        <f t="shared" ref="AE36:AE67" ca="1" si="76">INDIRECT("'Data_Netteyage'!" &amp; LEFT(ADDRESS(1,COLUMN(),4),LEN(ADDRESS(1,COLUMN(),4))-1) &amp; ROW())/F36</f>
        <v>#N/A</v>
      </c>
      <c r="AF36" s="3" t="e">
        <f t="shared" ref="AF36:AF67" ca="1" si="77">INDIRECT("'Data_Netteyage'!" &amp; LEFT(ADDRESS(1,COLUMN(),4),LEN(ADDRESS(1,COLUMN(),4))-1) &amp; ROW())/G36</f>
        <v>#N/A</v>
      </c>
      <c r="AG36" s="3">
        <f t="shared" ref="AG36:AG67" ca="1" si="78">INDIRECT("'Data_Netteyage'!" &amp; LEFT(ADDRESS(1,COLUMN(),4),LEN(ADDRESS(1,COLUMN(),4))-1) &amp; ROW())/H36</f>
        <v>0.8879481969365064</v>
      </c>
      <c r="AH36" s="3">
        <f t="shared" ref="AH36:AH67" ca="1" si="79">INDIRECT("'Data_Netteyage'!" &amp; LEFT(ADDRESS(1,COLUMN(),4),LEN(ADDRESS(1,COLUMN(),4))-1) &amp; ROW())/I36</f>
        <v>0.74432525076631828</v>
      </c>
      <c r="AJ36" s="3" t="e">
        <f t="shared" ref="AJ36:AJ67" ca="1" si="80">INDIRECT("'Data_Netteyage'!" &amp; LEFT(ADDRESS(1,COLUMN(),4),LEN(ADDRESS(1,COLUMN(),4))-1) &amp; ROW())/F36</f>
        <v>#N/A</v>
      </c>
      <c r="AK36" s="3" t="e">
        <f t="shared" ref="AK36:AK67" ca="1" si="81">INDIRECT("'Data_Netteyage'!" &amp; LEFT(ADDRESS(1,COLUMN(),4),LEN(ADDRESS(1,COLUMN(),4))-1) &amp; ROW())/G36</f>
        <v>#N/A</v>
      </c>
      <c r="AL36" s="3">
        <f t="shared" ref="AL36:AL67" ca="1" si="82">INDIRECT("'Data_Netteyage'!" &amp; LEFT(ADDRESS(1,COLUMN(),4),LEN(ADDRESS(1,COLUMN(),4))-1) &amp; ROW())/H36</f>
        <v>3.4860557768924303</v>
      </c>
      <c r="AM36" s="3">
        <f t="shared" ref="AM36:AM67" ca="1" si="83">INDIRECT("'Data_Netteyage'!" &amp; LEFT(ADDRESS(1,COLUMN(),4),LEN(ADDRESS(1,COLUMN(),4))-1) &amp; ROW())/I36</f>
        <v>3.7415814417560487</v>
      </c>
      <c r="AO36" s="3" t="e">
        <f t="shared" ref="AO36:AO67" ca="1" si="84">INDIRECT("'Data_Netteyage'!" &amp; LEFT(ADDRESS(1,COLUMN(),4),LEN(ADDRESS(1,COLUMN(),4))-1) &amp; ROW())/F36</f>
        <v>#N/A</v>
      </c>
      <c r="AP36" s="3" t="e">
        <f t="shared" ref="AP36:AP67" ca="1" si="85">INDIRECT("'Data_Netteyage'!" &amp; LEFT(ADDRESS(1,COLUMN(),4),LEN(ADDRESS(1,COLUMN(),4))-1) &amp; ROW())/G36</f>
        <v>#N/A</v>
      </c>
      <c r="AQ36" s="3">
        <f t="shared" ref="AQ36:AQ67" ca="1" si="86">INDIRECT("'Data_Netteyage'!" &amp; LEFT(ADDRESS(1,COLUMN(),4),LEN(ADDRESS(1,COLUMN(),4))-1) &amp; ROW())/H36</f>
        <v>0.24900398406374502</v>
      </c>
      <c r="AR36" s="3">
        <f t="shared" ref="AR36:AR67" ca="1" si="87">INDIRECT("'Data_Netteyage'!" &amp; LEFT(ADDRESS(1,COLUMN(),4),LEN(ADDRESS(1,COLUMN(),4))-1) &amp; ROW())/I36</f>
        <v>0.49887752556747317</v>
      </c>
      <c r="AT36" s="3">
        <v>1.4000000432133675E-2</v>
      </c>
      <c r="AU36" s="11" t="e">
        <v>#N/A</v>
      </c>
      <c r="AV36" s="3">
        <v>2.0000000949949026E-3</v>
      </c>
      <c r="AW36" s="3">
        <v>2.6000000536441803E-2</v>
      </c>
      <c r="AY36" s="3" t="e">
        <f t="shared" ref="AY36:AY67" ca="1" si="88">INDIRECT("'Data_Netteyage'!" &amp; LEFT(ADDRESS(1,COLUMN(),4),LEN(ADDRESS(1,COLUMN(),4))-1) &amp; ROW())/F36</f>
        <v>#N/A</v>
      </c>
      <c r="AZ36" s="3" t="e">
        <f t="shared" ref="AZ36:AZ67" ca="1" si="89">INDIRECT("'Data_Netteyage'!" &amp; LEFT(ADDRESS(1,COLUMN(),4),LEN(ADDRESS(1,COLUMN(),4))-1) &amp; ROW())/G36</f>
        <v>#N/A</v>
      </c>
      <c r="BA36" s="3">
        <f t="shared" ref="BA36:BA67" ca="1" si="90">INDIRECT("'Data_Netteyage'!" &amp; LEFT(ADDRESS(1,COLUMN(),4),LEN(ADDRESS(1,COLUMN(),4))-1) &amp; ROW())/H36</f>
        <v>0.19945219123505964</v>
      </c>
      <c r="BB36" s="3">
        <f t="shared" ref="BB36:BB67" ca="1" si="91">INDIRECT("'Data_Netteyage'!" &amp; LEFT(ADDRESS(1,COLUMN(),4),LEN(ADDRESS(1,COLUMN(),4))-1) &amp; ROW())/I36</f>
        <v>0.51134946370665979</v>
      </c>
      <c r="BD36" s="3" t="e">
        <f t="shared" ref="BD36:BD67" ca="1" si="92">INDIRECT("'Data_Netteyage'!" &amp; LEFT(ADDRESS(1,COLUMN(),4),LEN(ADDRESS(1,COLUMN(),4))-1) &amp; ROW())/F36</f>
        <v>#N/A</v>
      </c>
      <c r="BE36" s="3" t="e">
        <f t="shared" ref="BE36:BE67" ca="1" si="93">INDIRECT("'Data_Netteyage'!" &amp; LEFT(ADDRESS(1,COLUMN(),4),LEN(ADDRESS(1,COLUMN(),4))-1) &amp; ROW())/G36</f>
        <v>#N/A</v>
      </c>
      <c r="BF36" s="3">
        <f t="shared" ref="BF36:BF67" ca="1" si="94">INDIRECT("'Data_Netteyage'!" &amp; LEFT(ADDRESS(1,COLUMN(),4),LEN(ADDRESS(1,COLUMN(),4))-1) &amp; ROW())/H36</f>
        <v>0.15338640882674442</v>
      </c>
      <c r="BG36" s="3">
        <f t="shared" ref="BG36:BG67" ca="1" si="95">INDIRECT("'Data_Netteyage'!" &amp; LEFT(ADDRESS(1,COLUMN(),4),LEN(ADDRESS(1,COLUMN(),4))-1) &amp; ROW())/I36</f>
        <v>0.47817412948751126</v>
      </c>
      <c r="BI36" s="3" t="e">
        <f t="shared" ref="BI36:BI67" ca="1" si="96">INDIRECT("'Data_Netteyage'!" &amp; LEFT(ADDRESS(1,COLUMN(),4),LEN(ADDRESS(1,COLUMN(),4))-1) &amp; ROW())/F36</f>
        <v>#N/A</v>
      </c>
      <c r="BJ36" s="3" t="e">
        <f t="shared" ref="BJ36:BJ67" ca="1" si="97">INDIRECT("'Data_Netteyage'!" &amp; LEFT(ADDRESS(1,COLUMN(),4),LEN(ADDRESS(1,COLUMN(),4))-1) &amp; ROW())/G36</f>
        <v>#N/A</v>
      </c>
      <c r="BK36" s="3">
        <f t="shared" ref="BK36:BK67" ca="1" si="98">INDIRECT("'Data_Netteyage'!" &amp; LEFT(ADDRESS(1,COLUMN(),4),LEN(ADDRESS(1,COLUMN(),4))-1) &amp; ROW())/H36</f>
        <v>0.74701195219123506</v>
      </c>
      <c r="BL36" s="3">
        <f t="shared" ref="BL36:BL67" ca="1" si="99">INDIRECT("'Data_Netteyage'!" &amp; LEFT(ADDRESS(1,COLUMN(),4),LEN(ADDRESS(1,COLUMN(),4))-1) &amp; ROW())/I36</f>
        <v>2.2449488650536291</v>
      </c>
      <c r="BN36" s="3" t="e">
        <f t="shared" ref="BN36:BN67" ca="1" si="100">INDIRECT("'Data_Netteyage'!" &amp; LEFT(ADDRESS(1,COLUMN(),4),LEN(ADDRESS(1,COLUMN(),4))-1) &amp; ROW())/F36</f>
        <v>#N/A</v>
      </c>
      <c r="BO36" s="3" t="e">
        <f t="shared" ref="BO36:BO67" ca="1" si="101">INDIRECT("'Data_Netteyage'!" &amp; LEFT(ADDRESS(1,COLUMN(),4),LEN(ADDRESS(1,COLUMN(),4))-1) &amp; ROW())/G36</f>
        <v>#N/A</v>
      </c>
      <c r="BP36" s="3">
        <f t="shared" ref="BP36:BP67" ca="1" si="102">INDIRECT("'Data_Netteyage'!" &amp; LEFT(ADDRESS(1,COLUMN(),4),LEN(ADDRESS(1,COLUMN(),4))-1) &amp; ROW())/H36</f>
        <v>1.2450199203187251</v>
      </c>
      <c r="BQ36" s="3">
        <f t="shared" ref="BQ36:BQ67" ca="1" si="103">INDIRECT("'Data_Netteyage'!" &amp; LEFT(ADDRESS(1,COLUMN(),4),LEN(ADDRESS(1,COLUMN(),4))-1) &amp; ROW())/I36</f>
        <v>1.4966325767024193</v>
      </c>
      <c r="BS36" s="3">
        <v>1.2460000514984131</v>
      </c>
      <c r="BT36" s="11" t="e">
        <v>#N/A</v>
      </c>
      <c r="BU36" s="3">
        <v>1.6019999980926514</v>
      </c>
      <c r="BV36" s="3">
        <v>0.35899999737739563</v>
      </c>
      <c r="BX36" s="3" t="e">
        <f t="shared" ref="BX36:BX67" ca="1" si="104">INDIRECT("'Data_Netteyage'!" &amp; LEFT(ADDRESS(1,COLUMN(),4),LEN(ADDRESS(1,COLUMN(),4))-1) &amp; ROW())/F36</f>
        <v>#N/A</v>
      </c>
      <c r="BY36" s="3" t="e">
        <f t="shared" ref="BY36:BY67" ca="1" si="105">INDIRECT("'Data_Netteyage'!" &amp; LEFT(ADDRESS(1,COLUMN(),4),LEN(ADDRESS(1,COLUMN(),4))-1) &amp; ROW())/G36</f>
        <v>#N/A</v>
      </c>
      <c r="BZ36" s="3">
        <f t="shared" ref="BZ36:BZ67" ca="1" si="106">INDIRECT("'Data_Netteyage'!" &amp; LEFT(ADDRESS(1,COLUMN(),4),LEN(ADDRESS(1,COLUMN(),4))-1) &amp; ROW())/H36</f>
        <v>0</v>
      </c>
      <c r="CA36" s="3">
        <f t="shared" ref="CA36:CA67" ca="1" si="107">INDIRECT("'Data_Netteyage'!" &amp; LEFT(ADDRESS(1,COLUMN(),4),LEN(ADDRESS(1,COLUMN(),4))-1) &amp; ROW())/I36</f>
        <v>0</v>
      </c>
      <c r="CC36" s="3" t="e">
        <f t="shared" ref="CC36:CC67" ca="1" si="108">INDIRECT("'Data_Netteyage'!" &amp; LEFT(ADDRESS(1,COLUMN(),4),LEN(ADDRESS(1,COLUMN(),4))-1) &amp; ROW())/F36</f>
        <v>#N/A</v>
      </c>
      <c r="CD36" s="3" t="e">
        <f t="shared" ref="CD36:CD67" ca="1" si="109">INDIRECT("'Data_Netteyage'!" &amp; LEFT(ADDRESS(1,COLUMN(),4),LEN(ADDRESS(1,COLUMN(),4))-1) &amp; ROW())/G36</f>
        <v>#N/A</v>
      </c>
      <c r="CE36" s="3">
        <f t="shared" ref="CE36:CE67" ca="1" si="110">INDIRECT("'Data_Netteyage'!" &amp; LEFT(ADDRESS(1,COLUMN(),4),LEN(ADDRESS(1,COLUMN(),4))-1) &amp; ROW())/H36</f>
        <v>0</v>
      </c>
      <c r="CF36" s="3">
        <f t="shared" ref="CF36:CF67" ca="1" si="111">INDIRECT("'Data_Netteyage'!" &amp; LEFT(ADDRESS(1,COLUMN(),4),LEN(ADDRESS(1,COLUMN(),4))-1) &amp; ROW())/I36</f>
        <v>0</v>
      </c>
      <c r="CH36" s="3" t="e">
        <f t="shared" ref="CH36:CH67" ca="1" si="112">INDIRECT("'Data_Netteyage'!" &amp; LEFT(ADDRESS(1,COLUMN(),4),LEN(ADDRESS(1,COLUMN(),4))-1) &amp; ROW())/F36</f>
        <v>#N/A</v>
      </c>
      <c r="CI36" s="3" t="e">
        <f t="shared" ref="CI36:CI67" ca="1" si="113">INDIRECT("'Data_Netteyage'!" &amp; LEFT(ADDRESS(1,COLUMN(),4),LEN(ADDRESS(1,COLUMN(),4))-1) &amp; ROW())/G36</f>
        <v>#N/A</v>
      </c>
      <c r="CJ36" s="3">
        <f t="shared" ref="CJ36:CJ67" ca="1" si="114">INDIRECT("'Data_Netteyage'!" &amp; LEFT(ADDRESS(1,COLUMN(),4),LEN(ADDRESS(1,COLUMN(),4))-1) &amp; ROW())/H36</f>
        <v>0</v>
      </c>
      <c r="CK36" s="3">
        <f t="shared" ref="CK36:CK67" ca="1" si="115">INDIRECT("'Data_Netteyage'!" &amp; LEFT(ADDRESS(1,COLUMN(),4),LEN(ADDRESS(1,COLUMN(),4))-1) &amp; ROW())/I36</f>
        <v>0</v>
      </c>
      <c r="CM36" s="3" t="e">
        <f t="shared" ref="CM36:CM67" ca="1" si="116">INDIRECT("'Data_Netteyage'!" &amp; LEFT(ADDRESS(1,COLUMN(),4),LEN(ADDRESS(1,COLUMN(),4))-1) &amp; ROW())/F36</f>
        <v>#N/A</v>
      </c>
      <c r="CN36" s="3" t="e">
        <f t="shared" ref="CN36:CN67" ca="1" si="117">INDIRECT("'Data_Netteyage'!" &amp; LEFT(ADDRESS(1,COLUMN(),4),LEN(ADDRESS(1,COLUMN(),4))-1) &amp; ROW())/G36</f>
        <v>#N/A</v>
      </c>
      <c r="CO36" s="3">
        <f t="shared" ref="CO36:CO67" ca="1" si="118">INDIRECT("'Data_Netteyage'!" &amp; LEFT(ADDRESS(1,COLUMN(),4),LEN(ADDRESS(1,COLUMN(),4))-1) &amp; ROW())/H36</f>
        <v>0</v>
      </c>
      <c r="CP36" s="3">
        <f t="shared" ref="CP36:CP67" ca="1" si="119">INDIRECT("'Data_Netteyage'!" &amp; LEFT(ADDRESS(1,COLUMN(),4),LEN(ADDRESS(1,COLUMN(),4))-1) &amp; ROW())/I36</f>
        <v>0</v>
      </c>
      <c r="CR36" s="3">
        <v>4.0149999999999997</v>
      </c>
      <c r="CS36" s="11" t="e">
        <v>#N/A</v>
      </c>
      <c r="CT36" s="3">
        <v>4.016</v>
      </c>
      <c r="CU36" s="3">
        <v>4.0090000000000003</v>
      </c>
    </row>
    <row r="37" spans="1:99" s="3" customFormat="1" x14ac:dyDescent="0.35">
      <c r="A37" s="2" t="s">
        <v>70</v>
      </c>
      <c r="B37" s="2">
        <v>6.166666666666667</v>
      </c>
      <c r="C37" s="2" t="s">
        <v>168</v>
      </c>
      <c r="D37" s="2" t="s">
        <v>403</v>
      </c>
      <c r="F37" s="3">
        <v>4.0090000000000003</v>
      </c>
      <c r="G37" s="3">
        <v>4.0149999999999997</v>
      </c>
      <c r="H37" s="3">
        <v>4.01</v>
      </c>
      <c r="I37" s="3" t="e">
        <v>#N/A</v>
      </c>
      <c r="K37" s="3">
        <f t="shared" ca="1" si="60"/>
        <v>0.89348964829134436</v>
      </c>
      <c r="L37" s="3">
        <f t="shared" ca="1" si="61"/>
        <v>0.99601494396014945</v>
      </c>
      <c r="M37" s="3">
        <f t="shared" ca="1" si="62"/>
        <v>0.99326683291770579</v>
      </c>
      <c r="N37" s="3" t="e">
        <f t="shared" ca="1" si="63"/>
        <v>#N/A</v>
      </c>
      <c r="P37" s="3">
        <f t="shared" ca="1" si="64"/>
        <v>0.72312285906657747</v>
      </c>
      <c r="Q37" s="3">
        <f t="shared" ca="1" si="65"/>
        <v>0.7676214527148536</v>
      </c>
      <c r="R37" s="3">
        <f t="shared" ca="1" si="66"/>
        <v>0.84389017713709069</v>
      </c>
      <c r="S37" s="3" t="e">
        <f t="shared" ca="1" si="67"/>
        <v>#N/A</v>
      </c>
      <c r="U37" s="3">
        <f t="shared" ca="1" si="68"/>
        <v>1.9955101022698927</v>
      </c>
      <c r="V37" s="3">
        <f t="shared" ca="1" si="69"/>
        <v>2.4906600249066004</v>
      </c>
      <c r="W37" s="3">
        <f t="shared" ca="1" si="70"/>
        <v>2.2443890274314215</v>
      </c>
      <c r="X37" s="3" t="e">
        <f t="shared" ca="1" si="71"/>
        <v>#N/A</v>
      </c>
      <c r="Z37" s="3">
        <f t="shared" ca="1" si="72"/>
        <v>0.86031429284110739</v>
      </c>
      <c r="AA37" s="3">
        <f t="shared" ca="1" si="73"/>
        <v>0.99601494396014945</v>
      </c>
      <c r="AB37" s="3">
        <f t="shared" ca="1" si="74"/>
        <v>0.92269326683291775</v>
      </c>
      <c r="AC37" s="3" t="e">
        <f t="shared" ca="1" si="75"/>
        <v>#N/A</v>
      </c>
      <c r="AE37" s="3">
        <f t="shared" ca="1" si="76"/>
        <v>0.72312285906657747</v>
      </c>
      <c r="AF37" s="3">
        <f t="shared" ca="1" si="77"/>
        <v>0.7676214527148536</v>
      </c>
      <c r="AG37" s="3">
        <f t="shared" ca="1" si="78"/>
        <v>0.84389017713709069</v>
      </c>
      <c r="AH37" s="3" t="e">
        <f t="shared" ca="1" si="79"/>
        <v>#N/A</v>
      </c>
      <c r="AJ37" s="3">
        <f t="shared" ca="1" si="80"/>
        <v>1.9955101022698927</v>
      </c>
      <c r="AK37" s="3">
        <f t="shared" ca="1" si="81"/>
        <v>2.4906600249066004</v>
      </c>
      <c r="AL37" s="3">
        <f t="shared" ca="1" si="82"/>
        <v>2.2443890274314215</v>
      </c>
      <c r="AM37" s="3" t="e">
        <f t="shared" ca="1" si="83"/>
        <v>#N/A</v>
      </c>
      <c r="AO37" s="3">
        <f t="shared" ca="1" si="84"/>
        <v>0.49887752556747317</v>
      </c>
      <c r="AP37" s="3">
        <f t="shared" ca="1" si="85"/>
        <v>0.24906600249066005</v>
      </c>
      <c r="AQ37" s="3">
        <f t="shared" ca="1" si="86"/>
        <v>0.49875311720698257</v>
      </c>
      <c r="AR37" s="3" t="e">
        <f t="shared" ca="1" si="87"/>
        <v>#N/A</v>
      </c>
      <c r="AT37" s="3">
        <v>0.44600000977516174</v>
      </c>
      <c r="AU37" s="3">
        <v>1.3000000268220901E-2</v>
      </c>
      <c r="AV37" s="3">
        <v>1.2000000104308128E-2</v>
      </c>
      <c r="AW37" s="11" t="e">
        <v>#N/A</v>
      </c>
      <c r="AY37" s="3">
        <f t="shared" ca="1" si="88"/>
        <v>0.22424544774257918</v>
      </c>
      <c r="AZ37" s="3">
        <f t="shared" ca="1" si="89"/>
        <v>0.37359900373599009</v>
      </c>
      <c r="BA37" s="3">
        <f t="shared" ca="1" si="90"/>
        <v>0.28254364089775563</v>
      </c>
      <c r="BB37" s="3" t="e">
        <f t="shared" ca="1" si="91"/>
        <v>#N/A</v>
      </c>
      <c r="BD37" s="3">
        <f t="shared" ca="1" si="92"/>
        <v>0.22000492169215333</v>
      </c>
      <c r="BE37" s="3">
        <f t="shared" ca="1" si="93"/>
        <v>0.35292651703764466</v>
      </c>
      <c r="BF37" s="3">
        <f t="shared" ca="1" si="94"/>
        <v>0.31197002701033977</v>
      </c>
      <c r="BG37" s="3" t="e">
        <f t="shared" ca="1" si="95"/>
        <v>#N/A</v>
      </c>
      <c r="BI37" s="3">
        <f t="shared" ca="1" si="96"/>
        <v>0.49887752556747317</v>
      </c>
      <c r="BJ37" s="3">
        <f t="shared" ca="1" si="97"/>
        <v>0.9962640099626402</v>
      </c>
      <c r="BK37" s="3">
        <f t="shared" ca="1" si="98"/>
        <v>0.99750623441396513</v>
      </c>
      <c r="BL37" s="3" t="e">
        <f t="shared" ca="1" si="99"/>
        <v>#N/A</v>
      </c>
      <c r="BN37" s="3">
        <f t="shared" ca="1" si="100"/>
        <v>0.49887752556747317</v>
      </c>
      <c r="BO37" s="3">
        <f t="shared" ca="1" si="101"/>
        <v>0.74719800747198017</v>
      </c>
      <c r="BP37" s="3">
        <f t="shared" ca="1" si="102"/>
        <v>0.49875311720698257</v>
      </c>
      <c r="BQ37" s="3" t="e">
        <f t="shared" ca="1" si="103"/>
        <v>#N/A</v>
      </c>
      <c r="BS37" s="3">
        <v>1.8459999561309814</v>
      </c>
      <c r="BT37" s="3">
        <v>0.42899999022483826</v>
      </c>
      <c r="BU37" s="3">
        <v>1.2450000047683716</v>
      </c>
      <c r="BV37" s="11" t="e">
        <v>#N/A</v>
      </c>
      <c r="BX37" s="3">
        <f t="shared" ca="1" si="104"/>
        <v>0.14143177849837868</v>
      </c>
      <c r="BY37" s="3">
        <f t="shared" ca="1" si="105"/>
        <v>0</v>
      </c>
      <c r="BZ37" s="3">
        <f t="shared" ca="1" si="106"/>
        <v>0.13291770573566097</v>
      </c>
      <c r="CA37" s="3" t="e">
        <f t="shared" ca="1" si="107"/>
        <v>#N/A</v>
      </c>
      <c r="CC37" s="3">
        <f t="shared" ca="1" si="108"/>
        <v>0.10002494958547856</v>
      </c>
      <c r="CD37" s="3">
        <f t="shared" ca="1" si="109"/>
        <v>0</v>
      </c>
      <c r="CE37" s="3">
        <f t="shared" ca="1" si="110"/>
        <v>0.1538653326153458</v>
      </c>
      <c r="CF37" s="3" t="e">
        <f t="shared" ca="1" si="111"/>
        <v>#N/A</v>
      </c>
      <c r="CH37" s="3">
        <f t="shared" ca="1" si="112"/>
        <v>0.49887752556747317</v>
      </c>
      <c r="CI37" s="3">
        <f t="shared" ca="1" si="113"/>
        <v>0</v>
      </c>
      <c r="CJ37" s="3">
        <f t="shared" ca="1" si="114"/>
        <v>0.49875311720698257</v>
      </c>
      <c r="CK37" s="3" t="e">
        <f t="shared" ca="1" si="115"/>
        <v>#N/A</v>
      </c>
      <c r="CM37" s="3">
        <f t="shared" ca="1" si="116"/>
        <v>1.2471938139186829</v>
      </c>
      <c r="CN37" s="3">
        <f t="shared" ca="1" si="117"/>
        <v>0.4981320049813201</v>
      </c>
      <c r="CO37" s="3">
        <f t="shared" ca="1" si="118"/>
        <v>0.74812967581047385</v>
      </c>
      <c r="CP37" s="3" t="e">
        <f t="shared" ca="1" si="119"/>
        <v>#N/A</v>
      </c>
      <c r="CR37" s="3">
        <v>1.3619999885559082</v>
      </c>
      <c r="CS37" s="3">
        <v>4.0149999999999997</v>
      </c>
      <c r="CT37" s="3">
        <v>0.79600000381469727</v>
      </c>
      <c r="CU37" s="11" t="e">
        <v>#N/A</v>
      </c>
    </row>
    <row r="38" spans="1:99" s="3" customFormat="1" x14ac:dyDescent="0.35">
      <c r="A38" s="2" t="s">
        <v>83</v>
      </c>
      <c r="B38" s="2">
        <v>6.166666666666667</v>
      </c>
      <c r="C38" s="2" t="s">
        <v>168</v>
      </c>
      <c r="D38" s="2" t="s">
        <v>403</v>
      </c>
      <c r="F38" s="3">
        <v>4.0170000000000003</v>
      </c>
      <c r="G38" s="3">
        <v>4.0149999999999997</v>
      </c>
      <c r="H38" s="3">
        <v>4.0049999999999999</v>
      </c>
      <c r="I38" s="3">
        <v>4.016</v>
      </c>
      <c r="K38" s="3">
        <f t="shared" ca="1" si="60"/>
        <v>0.89195917351257148</v>
      </c>
      <c r="L38" s="3">
        <f t="shared" ca="1" si="61"/>
        <v>0.99202988792029889</v>
      </c>
      <c r="M38" s="3">
        <f t="shared" ca="1" si="62"/>
        <v>0.92784019975031218</v>
      </c>
      <c r="N38" s="3">
        <f t="shared" ca="1" si="63"/>
        <v>0.98754980079681276</v>
      </c>
      <c r="P38" s="3">
        <f t="shared" ca="1" si="64"/>
        <v>0.76723913366532837</v>
      </c>
      <c r="Q38" s="3">
        <f t="shared" ca="1" si="65"/>
        <v>0.82216683176727701</v>
      </c>
      <c r="R38" s="3">
        <f t="shared" ca="1" si="66"/>
        <v>0.71535569647054997</v>
      </c>
      <c r="S38" s="3">
        <f t="shared" ca="1" si="67"/>
        <v>0.77938247313542086</v>
      </c>
      <c r="U38" s="3">
        <f t="shared" ca="1" si="68"/>
        <v>1.7425939756036841</v>
      </c>
      <c r="V38" s="3">
        <f t="shared" ca="1" si="69"/>
        <v>1.9925280199252804</v>
      </c>
      <c r="W38" s="3">
        <f t="shared" ca="1" si="70"/>
        <v>1.9975031210986267</v>
      </c>
      <c r="X38" s="3">
        <f t="shared" ca="1" si="71"/>
        <v>1.9920318725099602</v>
      </c>
      <c r="Z38" s="3">
        <f t="shared" ca="1" si="72"/>
        <v>0.89195917351257148</v>
      </c>
      <c r="AA38" s="3">
        <f t="shared" ca="1" si="73"/>
        <v>0.77633872976338714</v>
      </c>
      <c r="AB38" s="3">
        <f t="shared" ca="1" si="74"/>
        <v>0.92359550561797754</v>
      </c>
      <c r="AC38" s="3">
        <f t="shared" ca="1" si="75"/>
        <v>0.87126494023904388</v>
      </c>
      <c r="AE38" s="3">
        <f t="shared" ca="1" si="76"/>
        <v>0.76723913366532837</v>
      </c>
      <c r="AF38" s="3">
        <f t="shared" ca="1" si="77"/>
        <v>0.67272725402566602</v>
      </c>
      <c r="AG38" s="3">
        <f t="shared" ca="1" si="78"/>
        <v>0.71535569647054997</v>
      </c>
      <c r="AH38" s="3">
        <f t="shared" ca="1" si="79"/>
        <v>0.77938247313542086</v>
      </c>
      <c r="AJ38" s="3">
        <f t="shared" ca="1" si="80"/>
        <v>1.7425939756036841</v>
      </c>
      <c r="AK38" s="3">
        <f t="shared" ca="1" si="81"/>
        <v>1.7434620174346203</v>
      </c>
      <c r="AL38" s="3">
        <f t="shared" ca="1" si="82"/>
        <v>1.9975031210986267</v>
      </c>
      <c r="AM38" s="3">
        <f t="shared" ca="1" si="83"/>
        <v>1.9920318725099602</v>
      </c>
      <c r="AO38" s="3">
        <f t="shared" ca="1" si="84"/>
        <v>0.24894199651481203</v>
      </c>
      <c r="AP38" s="3">
        <f t="shared" ca="1" si="85"/>
        <v>0.74719800747198017</v>
      </c>
      <c r="AQ38" s="3">
        <f t="shared" ca="1" si="86"/>
        <v>0.24968789013732834</v>
      </c>
      <c r="AR38" s="3">
        <f t="shared" ca="1" si="87"/>
        <v>0.99601593625498008</v>
      </c>
      <c r="AT38" s="3">
        <v>0.37999999523162842</v>
      </c>
      <c r="AU38" s="3">
        <v>2.7000000700354576E-2</v>
      </c>
      <c r="AV38" s="3">
        <v>1.6000000759959221E-2</v>
      </c>
      <c r="AW38" s="3">
        <v>1.0000000474974513E-3</v>
      </c>
      <c r="AY38" s="3">
        <f t="shared" ca="1" si="88"/>
        <v>0.29474732387353741</v>
      </c>
      <c r="AZ38" s="3">
        <f t="shared" ca="1" si="89"/>
        <v>0.24059775840597741</v>
      </c>
      <c r="BA38" s="3">
        <f t="shared" ca="1" si="90"/>
        <v>8.3146067415730274E-2</v>
      </c>
      <c r="BB38" s="3">
        <f t="shared" ca="1" si="91"/>
        <v>8.7151394422310763E-2</v>
      </c>
      <c r="BD38" s="3">
        <f t="shared" ca="1" si="92"/>
        <v>0.27383620210153292</v>
      </c>
      <c r="BE38" s="3">
        <f t="shared" ca="1" si="93"/>
        <v>0.38605232167511178</v>
      </c>
      <c r="BF38" s="3">
        <f t="shared" ca="1" si="94"/>
        <v>0</v>
      </c>
      <c r="BG38" s="3">
        <f t="shared" ca="1" si="95"/>
        <v>0.14516930893597849</v>
      </c>
      <c r="BI38" s="3">
        <f t="shared" ca="1" si="96"/>
        <v>0.49788399302962405</v>
      </c>
      <c r="BJ38" s="3">
        <f t="shared" ca="1" si="97"/>
        <v>0.74719800747198017</v>
      </c>
      <c r="BK38" s="3">
        <f t="shared" ca="1" si="98"/>
        <v>0</v>
      </c>
      <c r="BL38" s="3">
        <f t="shared" ca="1" si="99"/>
        <v>0.24900398406374502</v>
      </c>
      <c r="BN38" s="3">
        <f t="shared" ca="1" si="100"/>
        <v>0.74682598954443613</v>
      </c>
      <c r="BO38" s="3">
        <f t="shared" ca="1" si="101"/>
        <v>1.7434620174346203</v>
      </c>
      <c r="BP38" s="3">
        <f t="shared" ca="1" si="102"/>
        <v>0.74906367041198507</v>
      </c>
      <c r="BQ38" s="3">
        <f t="shared" ca="1" si="103"/>
        <v>0.74701195219123506</v>
      </c>
      <c r="BS38" s="3">
        <v>0.89600002765655518</v>
      </c>
      <c r="BT38" s="3">
        <v>0.86000001430511475</v>
      </c>
      <c r="BU38" s="3">
        <v>4.0049999999999999</v>
      </c>
      <c r="BV38" s="3">
        <v>2.3340001106262207</v>
      </c>
      <c r="BX38" s="3">
        <f t="shared" ca="1" si="104"/>
        <v>1.2447099825740613E-2</v>
      </c>
      <c r="BY38" s="3">
        <f t="shared" ca="1" si="105"/>
        <v>4.2341220423412242E-3</v>
      </c>
      <c r="BZ38" s="3">
        <f t="shared" ca="1" si="106"/>
        <v>8.4893882646692263E-3</v>
      </c>
      <c r="CA38" s="3">
        <f t="shared" ca="1" si="107"/>
        <v>0</v>
      </c>
      <c r="CC38" s="3">
        <f t="shared" ca="1" si="108"/>
        <v>0</v>
      </c>
      <c r="CD38" s="3">
        <f t="shared" ca="1" si="109"/>
        <v>0</v>
      </c>
      <c r="CE38" s="3">
        <f t="shared" ca="1" si="110"/>
        <v>0</v>
      </c>
      <c r="CF38" s="3">
        <f t="shared" ca="1" si="111"/>
        <v>0</v>
      </c>
      <c r="CH38" s="3">
        <f t="shared" ca="1" si="112"/>
        <v>0</v>
      </c>
      <c r="CI38" s="3">
        <f t="shared" ca="1" si="113"/>
        <v>0</v>
      </c>
      <c r="CJ38" s="3">
        <f t="shared" ca="1" si="114"/>
        <v>0</v>
      </c>
      <c r="CK38" s="3">
        <f t="shared" ca="1" si="115"/>
        <v>0</v>
      </c>
      <c r="CM38" s="3">
        <f t="shared" ca="1" si="116"/>
        <v>0.24894199651481203</v>
      </c>
      <c r="CN38" s="3">
        <f t="shared" ca="1" si="117"/>
        <v>0.4981320049813201</v>
      </c>
      <c r="CO38" s="3">
        <f t="shared" ca="1" si="118"/>
        <v>0.24968789013732834</v>
      </c>
      <c r="CP38" s="3">
        <f t="shared" ca="1" si="119"/>
        <v>0.24900398406374502</v>
      </c>
      <c r="CR38" s="3">
        <v>4.0170000000000003</v>
      </c>
      <c r="CS38" s="3">
        <v>4.0149999999999997</v>
      </c>
      <c r="CT38" s="3">
        <v>4.0049999999999999</v>
      </c>
      <c r="CU38" s="3">
        <v>4.016</v>
      </c>
    </row>
    <row r="39" spans="1:99" s="3" customFormat="1" x14ac:dyDescent="0.35">
      <c r="A39" s="2" t="s">
        <v>25</v>
      </c>
      <c r="B39" s="2">
        <v>6.25</v>
      </c>
      <c r="C39" s="2" t="s">
        <v>168</v>
      </c>
      <c r="D39" s="2" t="s">
        <v>403</v>
      </c>
      <c r="F39" s="3">
        <v>4.01</v>
      </c>
      <c r="G39" s="3">
        <v>4.0110000000000001</v>
      </c>
      <c r="H39" s="3">
        <v>4.01</v>
      </c>
      <c r="I39" s="3">
        <v>4.0110000000000001</v>
      </c>
      <c r="K39" s="3">
        <f t="shared" ca="1" si="60"/>
        <v>0.99301745635910232</v>
      </c>
      <c r="L39" s="3">
        <f t="shared" ca="1" si="61"/>
        <v>0.99301919720767884</v>
      </c>
      <c r="M39" s="3">
        <f t="shared" ca="1" si="62"/>
        <v>0.99725685785536156</v>
      </c>
      <c r="N39" s="3">
        <f t="shared" ca="1" si="63"/>
        <v>0.99700822737471939</v>
      </c>
      <c r="P39" s="3">
        <f t="shared" ca="1" si="64"/>
        <v>0.80199506170954793</v>
      </c>
      <c r="Q39" s="3">
        <f t="shared" ca="1" si="65"/>
        <v>0.7519321499902748</v>
      </c>
      <c r="R39" s="3">
        <f t="shared" ca="1" si="66"/>
        <v>0.53142147171229792</v>
      </c>
      <c r="S39" s="3">
        <f t="shared" ca="1" si="67"/>
        <v>0.58115188232538284</v>
      </c>
      <c r="U39" s="3">
        <f t="shared" ca="1" si="68"/>
        <v>2.7431421446384041</v>
      </c>
      <c r="V39" s="3">
        <f t="shared" ca="1" si="69"/>
        <v>3.2410870107205185</v>
      </c>
      <c r="W39" s="3">
        <f t="shared" ca="1" si="70"/>
        <v>2.7431421446384041</v>
      </c>
      <c r="X39" s="3">
        <f t="shared" ca="1" si="71"/>
        <v>2.4931438544003988</v>
      </c>
      <c r="Z39" s="3">
        <f t="shared" ca="1" si="72"/>
        <v>0.99301745635910232</v>
      </c>
      <c r="AA39" s="3">
        <f t="shared" ca="1" si="73"/>
        <v>0.93891797556719025</v>
      </c>
      <c r="AB39" s="3">
        <f t="shared" ca="1" si="74"/>
        <v>0.92643391521196994</v>
      </c>
      <c r="AC39" s="3">
        <f t="shared" ca="1" si="75"/>
        <v>0.99700822737471939</v>
      </c>
      <c r="AE39" s="3">
        <f t="shared" ca="1" si="76"/>
        <v>0.80199506170954793</v>
      </c>
      <c r="AF39" s="3">
        <f t="shared" ca="1" si="77"/>
        <v>0.7519321499902748</v>
      </c>
      <c r="AG39" s="3">
        <f t="shared" ca="1" si="78"/>
        <v>0.53142147171229792</v>
      </c>
      <c r="AH39" s="3">
        <f t="shared" ca="1" si="79"/>
        <v>0.58115188232538284</v>
      </c>
      <c r="AJ39" s="3">
        <f t="shared" ca="1" si="80"/>
        <v>2.7431421446384041</v>
      </c>
      <c r="AK39" s="3">
        <f t="shared" ca="1" si="81"/>
        <v>3.2410870107205185</v>
      </c>
      <c r="AL39" s="3">
        <f t="shared" ca="1" si="82"/>
        <v>2.7431421446384041</v>
      </c>
      <c r="AM39" s="3">
        <f t="shared" ca="1" si="83"/>
        <v>2.4931438544003988</v>
      </c>
      <c r="AO39" s="3">
        <f t="shared" ca="1" si="84"/>
        <v>0.24937655860349128</v>
      </c>
      <c r="AP39" s="3">
        <f t="shared" ca="1" si="85"/>
        <v>0.74794315632011965</v>
      </c>
      <c r="AQ39" s="3">
        <f t="shared" ca="1" si="86"/>
        <v>0.74812967581047385</v>
      </c>
      <c r="AR39" s="3">
        <f t="shared" ca="1" si="87"/>
        <v>0.24931438544003989</v>
      </c>
      <c r="AT39" s="3">
        <v>1.4000000432133675E-2</v>
      </c>
      <c r="AU39" s="3">
        <v>0.11100000143051147</v>
      </c>
      <c r="AV39" s="3">
        <v>2.199999988079071E-2</v>
      </c>
      <c r="AW39" s="3">
        <v>3.0000000260770321E-3</v>
      </c>
      <c r="AY39" s="3">
        <f t="shared" ca="1" si="88"/>
        <v>0.11620947630922698</v>
      </c>
      <c r="AZ39" s="3">
        <f t="shared" ca="1" si="89"/>
        <v>0.10770381451009718</v>
      </c>
      <c r="BA39" s="3">
        <f t="shared" ca="1" si="90"/>
        <v>9.9750623441396541E-2</v>
      </c>
      <c r="BB39" s="3">
        <f t="shared" ca="1" si="91"/>
        <v>0.2408376963350784</v>
      </c>
      <c r="BD39" s="3">
        <f t="shared" ca="1" si="92"/>
        <v>0.11221946326277203</v>
      </c>
      <c r="BE39" s="3">
        <f t="shared" ca="1" si="93"/>
        <v>0.14958859262725593</v>
      </c>
      <c r="BF39" s="3">
        <f t="shared" ca="1" si="94"/>
        <v>9.5511255716147866E-2</v>
      </c>
      <c r="BG39" s="3">
        <f t="shared" ca="1" si="95"/>
        <v>0.23261032642379154</v>
      </c>
      <c r="BI39" s="3">
        <f t="shared" ca="1" si="96"/>
        <v>0.49875311720698257</v>
      </c>
      <c r="BJ39" s="3">
        <f t="shared" ca="1" si="97"/>
        <v>0.74794315632011965</v>
      </c>
      <c r="BK39" s="3">
        <f t="shared" ca="1" si="98"/>
        <v>0.24937655860349128</v>
      </c>
      <c r="BL39" s="3">
        <f t="shared" ca="1" si="99"/>
        <v>0.74794315632011965</v>
      </c>
      <c r="BN39" s="3">
        <f t="shared" ca="1" si="100"/>
        <v>1.2468827930174564</v>
      </c>
      <c r="BO39" s="3">
        <f t="shared" ca="1" si="101"/>
        <v>2.2438294689603588</v>
      </c>
      <c r="BP39" s="3">
        <f t="shared" ca="1" si="102"/>
        <v>0.74812967581047385</v>
      </c>
      <c r="BQ39" s="3">
        <f t="shared" ca="1" si="103"/>
        <v>3.4904013961605584</v>
      </c>
      <c r="BS39" s="3">
        <v>1.3300000429153442</v>
      </c>
      <c r="BT39" s="3">
        <v>0.6940000057220459</v>
      </c>
      <c r="BU39" s="3">
        <v>1.937999963760376</v>
      </c>
      <c r="BV39" s="3">
        <v>3.0000000260770321E-3</v>
      </c>
      <c r="BX39" s="3">
        <f t="shared" ca="1" si="104"/>
        <v>0</v>
      </c>
      <c r="BY39" s="3">
        <f t="shared" ca="1" si="105"/>
        <v>0</v>
      </c>
      <c r="BZ39" s="3">
        <f t="shared" ca="1" si="106"/>
        <v>0</v>
      </c>
      <c r="CA39" s="3">
        <f t="shared" ca="1" si="107"/>
        <v>0</v>
      </c>
      <c r="CC39" s="3">
        <f t="shared" ca="1" si="108"/>
        <v>0</v>
      </c>
      <c r="CD39" s="3">
        <f t="shared" ca="1" si="109"/>
        <v>0</v>
      </c>
      <c r="CE39" s="3">
        <f t="shared" ca="1" si="110"/>
        <v>0</v>
      </c>
      <c r="CF39" s="3">
        <f t="shared" ca="1" si="111"/>
        <v>0</v>
      </c>
      <c r="CH39" s="3">
        <f t="shared" ca="1" si="112"/>
        <v>0</v>
      </c>
      <c r="CI39" s="3">
        <f t="shared" ca="1" si="113"/>
        <v>0</v>
      </c>
      <c r="CJ39" s="3">
        <f t="shared" ca="1" si="114"/>
        <v>0</v>
      </c>
      <c r="CK39" s="3">
        <f t="shared" ca="1" si="115"/>
        <v>0</v>
      </c>
      <c r="CM39" s="3">
        <f t="shared" ca="1" si="116"/>
        <v>0</v>
      </c>
      <c r="CN39" s="3">
        <f t="shared" ca="1" si="117"/>
        <v>0</v>
      </c>
      <c r="CO39" s="3">
        <f t="shared" ca="1" si="118"/>
        <v>0</v>
      </c>
      <c r="CP39" s="3">
        <f t="shared" ca="1" si="119"/>
        <v>0</v>
      </c>
      <c r="CR39" s="3">
        <v>4.01</v>
      </c>
      <c r="CS39" s="3">
        <v>4.0110000000000001</v>
      </c>
      <c r="CT39" s="3">
        <v>4.01</v>
      </c>
      <c r="CU39" s="3">
        <v>4.0110000000000001</v>
      </c>
    </row>
    <row r="40" spans="1:99" s="3" customFormat="1" x14ac:dyDescent="0.35">
      <c r="A40" s="2" t="s">
        <v>51</v>
      </c>
      <c r="B40" s="2">
        <v>6.25</v>
      </c>
      <c r="C40" s="2" t="s">
        <v>167</v>
      </c>
      <c r="D40" s="2" t="s">
        <v>403</v>
      </c>
      <c r="F40" s="11" t="e">
        <v>#N/A</v>
      </c>
      <c r="G40" s="3">
        <v>3.0429999999999997</v>
      </c>
      <c r="H40" s="3">
        <v>4.01</v>
      </c>
      <c r="I40" s="3">
        <v>4.01</v>
      </c>
      <c r="K40" s="3" t="e">
        <f t="shared" ca="1" si="60"/>
        <v>#N/A</v>
      </c>
      <c r="L40" s="3">
        <f t="shared" ca="1" si="61"/>
        <v>0.98061123890897151</v>
      </c>
      <c r="M40" s="3">
        <f t="shared" ca="1" si="62"/>
        <v>0.99725685785536167</v>
      </c>
      <c r="N40" s="3">
        <f t="shared" ca="1" si="63"/>
        <v>0.99725685785536167</v>
      </c>
      <c r="P40" s="3" t="e">
        <f t="shared" ca="1" si="64"/>
        <v>#N/A</v>
      </c>
      <c r="Q40" s="3">
        <f t="shared" ca="1" si="65"/>
        <v>0.89286888557517763</v>
      </c>
      <c r="R40" s="3">
        <f t="shared" ca="1" si="66"/>
        <v>0.95536162301043326</v>
      </c>
      <c r="S40" s="3">
        <f t="shared" ca="1" si="67"/>
        <v>0.74837895997444592</v>
      </c>
      <c r="U40" s="3" t="e">
        <f t="shared" ca="1" si="68"/>
        <v>#N/A</v>
      </c>
      <c r="V40" s="3">
        <f t="shared" ca="1" si="69"/>
        <v>3.2862306933946765</v>
      </c>
      <c r="W40" s="3">
        <f t="shared" ca="1" si="70"/>
        <v>2.4937655860349128</v>
      </c>
      <c r="X40" s="3">
        <f t="shared" ca="1" si="71"/>
        <v>2.4937655860349128</v>
      </c>
      <c r="Z40" s="3" t="e">
        <f t="shared" ca="1" si="72"/>
        <v>#N/A</v>
      </c>
      <c r="AA40" s="3">
        <f t="shared" ca="1" si="73"/>
        <v>0.99145580019717394</v>
      </c>
      <c r="AB40" s="3">
        <f t="shared" ca="1" si="74"/>
        <v>0.99301745635910232</v>
      </c>
      <c r="AC40" s="3">
        <f t="shared" ca="1" si="75"/>
        <v>0.9017456359102245</v>
      </c>
      <c r="AE40" s="3" t="e">
        <f t="shared" ca="1" si="76"/>
        <v>#N/A</v>
      </c>
      <c r="AF40" s="3">
        <f t="shared" ca="1" si="77"/>
        <v>0.89286888557517763</v>
      </c>
      <c r="AG40" s="3">
        <f t="shared" ca="1" si="78"/>
        <v>0.95536162301043326</v>
      </c>
      <c r="AH40" s="3">
        <f t="shared" ca="1" si="79"/>
        <v>0.74837895997444592</v>
      </c>
      <c r="AJ40" s="3" t="e">
        <f t="shared" ca="1" si="80"/>
        <v>#N/A</v>
      </c>
      <c r="AK40" s="3">
        <f t="shared" ca="1" si="81"/>
        <v>3.2862306933946765</v>
      </c>
      <c r="AL40" s="3">
        <f t="shared" ca="1" si="82"/>
        <v>2.4937655860349128</v>
      </c>
      <c r="AM40" s="3">
        <f t="shared" ca="1" si="83"/>
        <v>2.4937655860349128</v>
      </c>
      <c r="AO40" s="3" t="e">
        <f t="shared" ca="1" si="84"/>
        <v>#N/A</v>
      </c>
      <c r="AP40" s="3">
        <f t="shared" ca="1" si="85"/>
        <v>0.65724613867893533</v>
      </c>
      <c r="AQ40" s="3">
        <f t="shared" ca="1" si="86"/>
        <v>0.24937655860349128</v>
      </c>
      <c r="AR40" s="3">
        <f t="shared" ca="1" si="87"/>
        <v>0.49875311720698257</v>
      </c>
      <c r="AT40" s="11" t="e">
        <v>#N/A</v>
      </c>
      <c r="AU40" s="3">
        <v>1.3000000268220901E-2</v>
      </c>
      <c r="AV40" s="3">
        <v>1.7000000923871994E-2</v>
      </c>
      <c r="AW40" s="3">
        <v>0.47200000286102295</v>
      </c>
      <c r="AY40" s="3" t="e">
        <f t="shared" ca="1" si="88"/>
        <v>#N/A</v>
      </c>
      <c r="AZ40" s="3">
        <f t="shared" ca="1" si="89"/>
        <v>0.14262241209332888</v>
      </c>
      <c r="BA40" s="3">
        <f t="shared" ca="1" si="90"/>
        <v>0.54014962593516203</v>
      </c>
      <c r="BB40" s="3">
        <f t="shared" ca="1" si="91"/>
        <v>0.66907730673316723</v>
      </c>
      <c r="BD40" s="3" t="e">
        <f t="shared" ca="1" si="92"/>
        <v>#N/A</v>
      </c>
      <c r="BE40" s="3">
        <f t="shared" ca="1" si="93"/>
        <v>0.11501810169125952</v>
      </c>
      <c r="BF40" s="3">
        <f t="shared" ca="1" si="94"/>
        <v>0.50249377688267582</v>
      </c>
      <c r="BG40" s="3">
        <f t="shared" ca="1" si="95"/>
        <v>0.59875304859475309</v>
      </c>
      <c r="BI40" s="3" t="e">
        <f t="shared" ca="1" si="96"/>
        <v>#N/A</v>
      </c>
      <c r="BJ40" s="3">
        <f t="shared" ca="1" si="97"/>
        <v>0.65724613867893533</v>
      </c>
      <c r="BK40" s="3">
        <f t="shared" ca="1" si="98"/>
        <v>1.4962593516209477</v>
      </c>
      <c r="BL40" s="3">
        <f t="shared" ca="1" si="99"/>
        <v>1.9950124688279303</v>
      </c>
      <c r="BN40" s="3" t="e">
        <f t="shared" ca="1" si="100"/>
        <v>#N/A</v>
      </c>
      <c r="BO40" s="3">
        <f t="shared" ca="1" si="101"/>
        <v>0.65724613867893533</v>
      </c>
      <c r="BP40" s="3">
        <f t="shared" ca="1" si="102"/>
        <v>0.99750623441396513</v>
      </c>
      <c r="BQ40" s="3">
        <f t="shared" ca="1" si="103"/>
        <v>1.2468827930174564</v>
      </c>
      <c r="BS40" s="11" t="e">
        <v>#N/A</v>
      </c>
      <c r="BT40" s="3">
        <v>0.56300002336502075</v>
      </c>
      <c r="BU40" s="3">
        <v>0.66699999570846558</v>
      </c>
      <c r="BV40" s="3">
        <v>0.47200000286102295</v>
      </c>
      <c r="BX40" s="3" t="e">
        <f t="shared" ca="1" si="104"/>
        <v>#N/A</v>
      </c>
      <c r="BY40" s="3">
        <f t="shared" ca="1" si="105"/>
        <v>0.23003614853762727</v>
      </c>
      <c r="BZ40" s="3">
        <f t="shared" ca="1" si="106"/>
        <v>0</v>
      </c>
      <c r="CA40" s="3">
        <f t="shared" ca="1" si="107"/>
        <v>0</v>
      </c>
      <c r="CC40" s="3" t="e">
        <f t="shared" ca="1" si="108"/>
        <v>#N/A</v>
      </c>
      <c r="CD40" s="3">
        <f t="shared" ca="1" si="109"/>
        <v>0.20276044804212337</v>
      </c>
      <c r="CE40" s="3">
        <f t="shared" ca="1" si="110"/>
        <v>0</v>
      </c>
      <c r="CF40" s="3">
        <f t="shared" ca="1" si="111"/>
        <v>0</v>
      </c>
      <c r="CH40" s="3" t="e">
        <f t="shared" ca="1" si="112"/>
        <v>#N/A</v>
      </c>
      <c r="CI40" s="3">
        <f t="shared" ca="1" si="113"/>
        <v>0.98586920801840294</v>
      </c>
      <c r="CJ40" s="3">
        <f t="shared" ca="1" si="114"/>
        <v>0</v>
      </c>
      <c r="CK40" s="3">
        <f t="shared" ca="1" si="115"/>
        <v>0</v>
      </c>
      <c r="CM40" s="3" t="e">
        <f t="shared" ca="1" si="116"/>
        <v>#N/A</v>
      </c>
      <c r="CN40" s="3">
        <f t="shared" ca="1" si="117"/>
        <v>0.65724613867893533</v>
      </c>
      <c r="CO40" s="3">
        <f t="shared" ca="1" si="118"/>
        <v>0</v>
      </c>
      <c r="CP40" s="3">
        <f t="shared" ca="1" si="119"/>
        <v>0.24937655860349128</v>
      </c>
      <c r="CR40" s="11" t="e">
        <v>#N/A</v>
      </c>
      <c r="CS40" s="3">
        <v>0.93000000715255737</v>
      </c>
      <c r="CT40" s="3">
        <v>4.01</v>
      </c>
      <c r="CU40" s="3">
        <v>4.01</v>
      </c>
    </row>
    <row r="41" spans="1:99" s="3" customFormat="1" x14ac:dyDescent="0.35">
      <c r="A41" s="2" t="s">
        <v>87</v>
      </c>
      <c r="B41" s="2">
        <v>6.333333333333333</v>
      </c>
      <c r="C41" s="2" t="s">
        <v>167</v>
      </c>
      <c r="D41" s="2" t="s">
        <v>403</v>
      </c>
      <c r="F41" s="3">
        <v>4.0259999999999998</v>
      </c>
      <c r="G41" s="3">
        <v>4.0359999999999996</v>
      </c>
      <c r="H41" s="3">
        <v>4.0110000000000001</v>
      </c>
      <c r="I41" s="3">
        <v>4.0110000000000001</v>
      </c>
      <c r="K41" s="3">
        <f t="shared" ca="1" si="60"/>
        <v>0.99751614505712871</v>
      </c>
      <c r="L41" s="3">
        <f t="shared" ca="1" si="61"/>
        <v>0.99504459861248773</v>
      </c>
      <c r="M41" s="3">
        <f t="shared" ca="1" si="62"/>
        <v>0.9970082273747195</v>
      </c>
      <c r="N41" s="3">
        <f t="shared" ca="1" si="63"/>
        <v>0.9970082273747195</v>
      </c>
      <c r="P41" s="3">
        <f t="shared" ca="1" si="64"/>
        <v>0.93989081829286636</v>
      </c>
      <c r="Q41" s="3">
        <f t="shared" ca="1" si="65"/>
        <v>0.81739334871381442</v>
      </c>
      <c r="R41" s="3">
        <f t="shared" ca="1" si="66"/>
        <v>0.8768386038485102</v>
      </c>
      <c r="S41" s="3">
        <f t="shared" ca="1" si="67"/>
        <v>0.84293190282134456</v>
      </c>
      <c r="U41" s="3">
        <f t="shared" ca="1" si="68"/>
        <v>1.9870839542970691</v>
      </c>
      <c r="V41" s="3">
        <f t="shared" ca="1" si="69"/>
        <v>1.9821605550049557</v>
      </c>
      <c r="W41" s="3">
        <f t="shared" ca="1" si="70"/>
        <v>2.4931438544003988</v>
      </c>
      <c r="X41" s="3">
        <f t="shared" ca="1" si="71"/>
        <v>2.4931438544003988</v>
      </c>
      <c r="Z41" s="3">
        <f t="shared" ca="1" si="72"/>
        <v>0.99751614505712871</v>
      </c>
      <c r="AA41" s="3">
        <f t="shared" ca="1" si="73"/>
        <v>0.87091179385530249</v>
      </c>
      <c r="AB41" s="3">
        <f t="shared" ca="1" si="74"/>
        <v>0.9970082273747195</v>
      </c>
      <c r="AC41" s="3">
        <f t="shared" ca="1" si="75"/>
        <v>0.9970082273747195</v>
      </c>
      <c r="AE41" s="3">
        <f t="shared" ca="1" si="76"/>
        <v>0.93989081829286636</v>
      </c>
      <c r="AF41" s="3">
        <f t="shared" ca="1" si="77"/>
        <v>0.81739334871381442</v>
      </c>
      <c r="AG41" s="3">
        <f t="shared" ca="1" si="78"/>
        <v>0.8768386038485102</v>
      </c>
      <c r="AH41" s="3">
        <f t="shared" ca="1" si="79"/>
        <v>0.84293190282134456</v>
      </c>
      <c r="AJ41" s="3">
        <f t="shared" ca="1" si="80"/>
        <v>1.9870839542970691</v>
      </c>
      <c r="AK41" s="3">
        <f t="shared" ca="1" si="81"/>
        <v>1.9821605550049557</v>
      </c>
      <c r="AL41" s="3">
        <f t="shared" ca="1" si="82"/>
        <v>2.4931438544003988</v>
      </c>
      <c r="AM41" s="3">
        <f t="shared" ca="1" si="83"/>
        <v>2.4931438544003988</v>
      </c>
      <c r="AO41" s="3">
        <f t="shared" ca="1" si="84"/>
        <v>0.24838549428713363</v>
      </c>
      <c r="AP41" s="3">
        <f t="shared" ca="1" si="85"/>
        <v>0.74331020812685833</v>
      </c>
      <c r="AQ41" s="3">
        <f t="shared" ca="1" si="86"/>
        <v>0.24931438544003989</v>
      </c>
      <c r="AR41" s="3">
        <f t="shared" ca="1" si="87"/>
        <v>0.24931438544003989</v>
      </c>
      <c r="AT41" s="3">
        <v>4.0000001899898052E-3</v>
      </c>
      <c r="AU41" s="3">
        <v>1.0999999940395355E-2</v>
      </c>
      <c r="AV41" s="3">
        <v>4.0000001899898052E-3</v>
      </c>
      <c r="AW41" s="3">
        <v>7.0000002160668373E-3</v>
      </c>
      <c r="AY41" s="3">
        <f t="shared" ca="1" si="88"/>
        <v>0.33109786388474932</v>
      </c>
      <c r="AZ41" s="3">
        <f t="shared" ca="1" si="89"/>
        <v>0.5616947472745295</v>
      </c>
      <c r="BA41" s="3">
        <f t="shared" ca="1" si="90"/>
        <v>0.71902268760907506</v>
      </c>
      <c r="BB41" s="3">
        <f t="shared" ca="1" si="91"/>
        <v>0.3819496384941411</v>
      </c>
      <c r="BD41" s="3">
        <f t="shared" ca="1" si="92"/>
        <v>0.33979137313366681</v>
      </c>
      <c r="BE41" s="3">
        <f t="shared" ca="1" si="93"/>
        <v>0.53691769496891262</v>
      </c>
      <c r="BF41" s="3">
        <f t="shared" ca="1" si="94"/>
        <v>0.55297922386667786</v>
      </c>
      <c r="BG41" s="3">
        <f t="shared" ca="1" si="95"/>
        <v>0.38219884695539569</v>
      </c>
      <c r="BI41" s="3">
        <f t="shared" ca="1" si="96"/>
        <v>0.7451564828614009</v>
      </c>
      <c r="BJ41" s="3">
        <f t="shared" ca="1" si="97"/>
        <v>1.2388503468780971</v>
      </c>
      <c r="BK41" s="3">
        <f t="shared" ca="1" si="98"/>
        <v>1.9945150835203191</v>
      </c>
      <c r="BL41" s="3">
        <f t="shared" ca="1" si="99"/>
        <v>1.2465719272001994</v>
      </c>
      <c r="BN41" s="3">
        <f t="shared" ca="1" si="100"/>
        <v>1.2419274714356683</v>
      </c>
      <c r="BO41" s="3">
        <f t="shared" ca="1" si="101"/>
        <v>1.2388503468780971</v>
      </c>
      <c r="BP41" s="3">
        <f t="shared" ca="1" si="102"/>
        <v>1.4958863126402393</v>
      </c>
      <c r="BQ41" s="3">
        <f t="shared" ca="1" si="103"/>
        <v>1.7452006980802792</v>
      </c>
      <c r="BS41" s="3">
        <v>4.0000001899898052E-3</v>
      </c>
      <c r="BT41" s="3">
        <v>0.47699999809265137</v>
      </c>
      <c r="BU41" s="3">
        <v>0.41999998688697815</v>
      </c>
      <c r="BV41" s="3">
        <v>0.32400000095367432</v>
      </c>
      <c r="BX41" s="3">
        <f t="shared" ca="1" si="104"/>
        <v>0</v>
      </c>
      <c r="BY41" s="3">
        <f t="shared" ca="1" si="105"/>
        <v>0</v>
      </c>
      <c r="BZ41" s="3">
        <f t="shared" ca="1" si="106"/>
        <v>0</v>
      </c>
      <c r="CA41" s="3">
        <f t="shared" ca="1" si="107"/>
        <v>1.6454749439042592E-2</v>
      </c>
      <c r="CC41" s="3">
        <f t="shared" ca="1" si="108"/>
        <v>0</v>
      </c>
      <c r="CD41" s="3">
        <f t="shared" ca="1" si="109"/>
        <v>0</v>
      </c>
      <c r="CE41" s="3">
        <f t="shared" ca="1" si="110"/>
        <v>0</v>
      </c>
      <c r="CF41" s="3">
        <f t="shared" ca="1" si="111"/>
        <v>0</v>
      </c>
      <c r="CH41" s="3">
        <f t="shared" ca="1" si="112"/>
        <v>0</v>
      </c>
      <c r="CI41" s="3">
        <f t="shared" ca="1" si="113"/>
        <v>0</v>
      </c>
      <c r="CJ41" s="3">
        <f t="shared" ca="1" si="114"/>
        <v>0</v>
      </c>
      <c r="CK41" s="3">
        <f t="shared" ca="1" si="115"/>
        <v>0</v>
      </c>
      <c r="CM41" s="3">
        <f t="shared" ca="1" si="116"/>
        <v>0</v>
      </c>
      <c r="CN41" s="3">
        <f t="shared" ca="1" si="117"/>
        <v>0</v>
      </c>
      <c r="CO41" s="3">
        <f t="shared" ca="1" si="118"/>
        <v>0</v>
      </c>
      <c r="CP41" s="3">
        <f t="shared" ca="1" si="119"/>
        <v>0.74794315632011965</v>
      </c>
      <c r="CR41" s="3">
        <v>4.0259999999999998</v>
      </c>
      <c r="CS41" s="3">
        <v>4.0359999999999996</v>
      </c>
      <c r="CT41" s="3">
        <v>4.0110000000000001</v>
      </c>
      <c r="CU41" s="3">
        <v>4.0110000000000001</v>
      </c>
    </row>
    <row r="42" spans="1:99" s="3" customFormat="1" x14ac:dyDescent="0.35">
      <c r="A42" s="2" t="s">
        <v>55</v>
      </c>
      <c r="B42" s="2">
        <v>6.416666666666667</v>
      </c>
      <c r="C42" s="2" t="s">
        <v>168</v>
      </c>
      <c r="D42" s="2" t="s">
        <v>403</v>
      </c>
      <c r="F42" s="3" t="e">
        <v>#N/A</v>
      </c>
      <c r="G42" s="11" t="e">
        <v>#N/A</v>
      </c>
      <c r="H42" s="3">
        <v>4.0270000000000001</v>
      </c>
      <c r="I42" s="3" t="e">
        <v>#N/A</v>
      </c>
      <c r="K42" s="3" t="e">
        <f t="shared" ca="1" si="60"/>
        <v>#N/A</v>
      </c>
      <c r="L42" s="3" t="e">
        <f t="shared" ca="1" si="61"/>
        <v>#N/A</v>
      </c>
      <c r="M42" s="3">
        <f t="shared" ca="1" si="62"/>
        <v>0.95157685622051147</v>
      </c>
      <c r="N42" s="3" t="e">
        <f t="shared" ca="1" si="63"/>
        <v>#N/A</v>
      </c>
      <c r="P42" s="3" t="e">
        <f t="shared" ca="1" si="64"/>
        <v>#N/A</v>
      </c>
      <c r="Q42" s="3" t="e">
        <f t="shared" ca="1" si="65"/>
        <v>#N/A</v>
      </c>
      <c r="R42" s="3">
        <f t="shared" ca="1" si="66"/>
        <v>0.84827405102005182</v>
      </c>
      <c r="S42" s="3" t="e">
        <f t="shared" ca="1" si="67"/>
        <v>#N/A</v>
      </c>
      <c r="U42" s="3" t="e">
        <f t="shared" ca="1" si="68"/>
        <v>#N/A</v>
      </c>
      <c r="V42" s="3" t="e">
        <f t="shared" ca="1" si="69"/>
        <v>#N/A</v>
      </c>
      <c r="W42" s="3">
        <f t="shared" ca="1" si="70"/>
        <v>3.4765333995530172</v>
      </c>
      <c r="X42" s="3" t="e">
        <f t="shared" ca="1" si="71"/>
        <v>#N/A</v>
      </c>
      <c r="Z42" s="3" t="e">
        <f t="shared" ca="1" si="72"/>
        <v>#N/A</v>
      </c>
      <c r="AA42" s="3" t="e">
        <f t="shared" ca="1" si="73"/>
        <v>#N/A</v>
      </c>
      <c r="AB42" s="3">
        <f t="shared" ca="1" si="74"/>
        <v>0.82319344425130381</v>
      </c>
      <c r="AC42" s="3" t="e">
        <f t="shared" ca="1" si="75"/>
        <v>#N/A</v>
      </c>
      <c r="AE42" s="3" t="e">
        <f t="shared" ca="1" si="76"/>
        <v>#N/A</v>
      </c>
      <c r="AF42" s="3" t="e">
        <f t="shared" ca="1" si="77"/>
        <v>#N/A</v>
      </c>
      <c r="AG42" s="3">
        <f t="shared" ca="1" si="78"/>
        <v>0.75713924481735828</v>
      </c>
      <c r="AH42" s="3" t="e">
        <f t="shared" ca="1" si="79"/>
        <v>#N/A</v>
      </c>
      <c r="AJ42" s="3" t="e">
        <f t="shared" ca="1" si="80"/>
        <v>#N/A</v>
      </c>
      <c r="AK42" s="3" t="e">
        <f t="shared" ca="1" si="81"/>
        <v>#N/A</v>
      </c>
      <c r="AL42" s="3">
        <f t="shared" ca="1" si="82"/>
        <v>2.9798857710454429</v>
      </c>
      <c r="AM42" s="3" t="e">
        <f t="shared" ca="1" si="83"/>
        <v>#N/A</v>
      </c>
      <c r="AO42" s="3" t="e">
        <f t="shared" ca="1" si="84"/>
        <v>#N/A</v>
      </c>
      <c r="AP42" s="3" t="e">
        <f t="shared" ca="1" si="85"/>
        <v>#N/A</v>
      </c>
      <c r="AQ42" s="3">
        <f t="shared" ca="1" si="86"/>
        <v>0.99329525701514776</v>
      </c>
      <c r="AR42" s="3" t="e">
        <f t="shared" ca="1" si="87"/>
        <v>#N/A</v>
      </c>
      <c r="AT42" s="3">
        <v>4.999999888241291E-3</v>
      </c>
      <c r="AU42" s="11" t="e">
        <v>#N/A</v>
      </c>
      <c r="AV42" s="3">
        <v>6.0000000521540642E-3</v>
      </c>
      <c r="AW42" s="11" t="e">
        <v>#N/A</v>
      </c>
      <c r="AY42" s="3" t="e">
        <f t="shared" ca="1" si="88"/>
        <v>#N/A</v>
      </c>
      <c r="AZ42" s="3" t="e">
        <f t="shared" ca="1" si="89"/>
        <v>#N/A</v>
      </c>
      <c r="BA42" s="3">
        <f t="shared" ca="1" si="90"/>
        <v>8.2691830146511033E-2</v>
      </c>
      <c r="BB42" s="3" t="e">
        <f t="shared" ca="1" si="91"/>
        <v>#N/A</v>
      </c>
      <c r="BD42" s="3" t="e">
        <f t="shared" ca="1" si="92"/>
        <v>#N/A</v>
      </c>
      <c r="BE42" s="3" t="e">
        <f t="shared" ca="1" si="93"/>
        <v>#N/A</v>
      </c>
      <c r="BF42" s="3">
        <f t="shared" ca="1" si="94"/>
        <v>4.5443250193381565E-2</v>
      </c>
      <c r="BG42" s="3" t="e">
        <f t="shared" ca="1" si="95"/>
        <v>#N/A</v>
      </c>
      <c r="BI42" s="3" t="e">
        <f t="shared" ca="1" si="96"/>
        <v>#N/A</v>
      </c>
      <c r="BJ42" s="3" t="e">
        <f t="shared" ca="1" si="97"/>
        <v>#N/A</v>
      </c>
      <c r="BK42" s="3">
        <f t="shared" ca="1" si="98"/>
        <v>0.24832381425378694</v>
      </c>
      <c r="BL42" s="3" t="e">
        <f t="shared" ca="1" si="99"/>
        <v>#N/A</v>
      </c>
      <c r="BN42" s="3" t="e">
        <f t="shared" ca="1" si="100"/>
        <v>#N/A</v>
      </c>
      <c r="BO42" s="3" t="e">
        <f t="shared" ca="1" si="101"/>
        <v>#N/A</v>
      </c>
      <c r="BP42" s="3">
        <f t="shared" ca="1" si="102"/>
        <v>0.74497144276136074</v>
      </c>
      <c r="BQ42" s="3" t="e">
        <f t="shared" ca="1" si="103"/>
        <v>#N/A</v>
      </c>
      <c r="BS42" s="3">
        <v>4.0259999999999998</v>
      </c>
      <c r="BT42" s="11" t="e">
        <v>#N/A</v>
      </c>
      <c r="BU42" s="3">
        <v>1.621999979019165</v>
      </c>
      <c r="BV42" s="11" t="e">
        <v>#N/A</v>
      </c>
      <c r="BX42" s="3" t="e">
        <f t="shared" ca="1" si="104"/>
        <v>#N/A</v>
      </c>
      <c r="BY42" s="3" t="e">
        <f t="shared" ca="1" si="105"/>
        <v>#N/A</v>
      </c>
      <c r="BZ42" s="3">
        <f t="shared" ca="1" si="106"/>
        <v>0.11994040228457908</v>
      </c>
      <c r="CA42" s="3" t="e">
        <f t="shared" ca="1" si="107"/>
        <v>#N/A</v>
      </c>
      <c r="CC42" s="3" t="e">
        <f t="shared" ca="1" si="108"/>
        <v>#N/A</v>
      </c>
      <c r="CD42" s="3" t="e">
        <f t="shared" ca="1" si="109"/>
        <v>#N/A</v>
      </c>
      <c r="CE42" s="3">
        <f t="shared" ca="1" si="110"/>
        <v>0.16538366543090696</v>
      </c>
      <c r="CF42" s="3" t="e">
        <f t="shared" ca="1" si="111"/>
        <v>#N/A</v>
      </c>
      <c r="CH42" s="3" t="e">
        <f t="shared" ca="1" si="112"/>
        <v>#N/A</v>
      </c>
      <c r="CI42" s="3" t="e">
        <f t="shared" ca="1" si="113"/>
        <v>#N/A</v>
      </c>
      <c r="CJ42" s="3">
        <f t="shared" ca="1" si="114"/>
        <v>0.49664762850757388</v>
      </c>
      <c r="CK42" s="3" t="e">
        <f t="shared" ca="1" si="115"/>
        <v>#N/A</v>
      </c>
      <c r="CM42" s="3" t="e">
        <f t="shared" ca="1" si="116"/>
        <v>#N/A</v>
      </c>
      <c r="CN42" s="3" t="e">
        <f t="shared" ca="1" si="117"/>
        <v>#N/A</v>
      </c>
      <c r="CO42" s="3">
        <f t="shared" ca="1" si="118"/>
        <v>0.74497144276136074</v>
      </c>
      <c r="CP42" s="3" t="e">
        <f t="shared" ca="1" si="119"/>
        <v>#N/A</v>
      </c>
      <c r="CR42" s="3">
        <v>0.7720000147819519</v>
      </c>
      <c r="CS42" s="11" t="e">
        <v>#N/A</v>
      </c>
      <c r="CT42" s="3">
        <v>6.0000000521540642E-3</v>
      </c>
      <c r="CU42" s="11" t="e">
        <v>#N/A</v>
      </c>
    </row>
    <row r="43" spans="1:99" s="3" customFormat="1" x14ac:dyDescent="0.35">
      <c r="A43" s="2" t="s">
        <v>72</v>
      </c>
      <c r="B43" s="2">
        <v>6.416666666666667</v>
      </c>
      <c r="C43" s="2" t="s">
        <v>168</v>
      </c>
      <c r="D43" s="2" t="s">
        <v>403</v>
      </c>
      <c r="F43" s="11" t="e">
        <v>#N/A</v>
      </c>
      <c r="G43" s="3">
        <v>4.0069999999999997</v>
      </c>
      <c r="H43" s="3">
        <v>4.008</v>
      </c>
      <c r="I43" s="11" t="e">
        <v>#N/A</v>
      </c>
      <c r="K43" s="3" t="e">
        <f t="shared" ca="1" si="60"/>
        <v>#N/A</v>
      </c>
      <c r="L43" s="3">
        <f t="shared" ca="1" si="61"/>
        <v>0.99775393062141271</v>
      </c>
      <c r="M43" s="3">
        <f t="shared" ca="1" si="62"/>
        <v>0.9977544910179641</v>
      </c>
      <c r="N43" s="3" t="e">
        <f t="shared" ca="1" si="63"/>
        <v>#N/A</v>
      </c>
      <c r="P43" s="3" t="e">
        <f t="shared" ca="1" si="64"/>
        <v>#N/A</v>
      </c>
      <c r="Q43" s="3">
        <f t="shared" ca="1" si="65"/>
        <v>0.89842774134779146</v>
      </c>
      <c r="R43" s="3">
        <f t="shared" ca="1" si="66"/>
        <v>0.95983032818452385</v>
      </c>
      <c r="S43" s="3" t="e">
        <f t="shared" ca="1" si="67"/>
        <v>#N/A</v>
      </c>
      <c r="U43" s="3" t="e">
        <f t="shared" ca="1" si="68"/>
        <v>#N/A</v>
      </c>
      <c r="V43" s="3">
        <f t="shared" ca="1" si="69"/>
        <v>2.2460693785874719</v>
      </c>
      <c r="W43" s="3">
        <f t="shared" ca="1" si="70"/>
        <v>2.2455089820359282</v>
      </c>
      <c r="X43" s="3" t="e">
        <f t="shared" ca="1" si="71"/>
        <v>#N/A</v>
      </c>
      <c r="Z43" s="3" t="e">
        <f t="shared" ca="1" si="72"/>
        <v>#N/A</v>
      </c>
      <c r="AA43" s="3">
        <f t="shared" ca="1" si="73"/>
        <v>0.99775393062141271</v>
      </c>
      <c r="AB43" s="3">
        <f t="shared" ca="1" si="74"/>
        <v>0.9977544910179641</v>
      </c>
      <c r="AC43" s="3" t="e">
        <f t="shared" ca="1" si="75"/>
        <v>#N/A</v>
      </c>
      <c r="AE43" s="3" t="e">
        <f t="shared" ca="1" si="76"/>
        <v>#N/A</v>
      </c>
      <c r="AF43" s="3">
        <f t="shared" ca="1" si="77"/>
        <v>0.89842774134779146</v>
      </c>
      <c r="AG43" s="3">
        <f t="shared" ca="1" si="78"/>
        <v>0.95983032818452385</v>
      </c>
      <c r="AH43" s="3" t="e">
        <f t="shared" ca="1" si="79"/>
        <v>#N/A</v>
      </c>
      <c r="AJ43" s="3" t="e">
        <f t="shared" ca="1" si="80"/>
        <v>#N/A</v>
      </c>
      <c r="AK43" s="3">
        <f t="shared" ca="1" si="81"/>
        <v>2.2460693785874719</v>
      </c>
      <c r="AL43" s="3">
        <f t="shared" ca="1" si="82"/>
        <v>2.2455089820359282</v>
      </c>
      <c r="AM43" s="3" t="e">
        <f t="shared" ca="1" si="83"/>
        <v>#N/A</v>
      </c>
      <c r="AO43" s="3" t="e">
        <f t="shared" ca="1" si="84"/>
        <v>#N/A</v>
      </c>
      <c r="AP43" s="3">
        <f t="shared" ca="1" si="85"/>
        <v>0.24956326428749689</v>
      </c>
      <c r="AQ43" s="3">
        <f t="shared" ca="1" si="86"/>
        <v>0.249500998003992</v>
      </c>
      <c r="AR43" s="3" t="e">
        <f t="shared" ca="1" si="87"/>
        <v>#N/A</v>
      </c>
      <c r="AT43" s="11" t="e">
        <v>#N/A</v>
      </c>
      <c r="AU43" s="3">
        <v>4.999999888241291E-3</v>
      </c>
      <c r="AV43" s="3">
        <v>6.0000000521540642E-3</v>
      </c>
      <c r="AW43" s="11" t="e">
        <v>#N/A</v>
      </c>
      <c r="AY43" s="3" t="e">
        <f t="shared" ca="1" si="88"/>
        <v>#N/A</v>
      </c>
      <c r="AZ43" s="3">
        <f t="shared" ca="1" si="89"/>
        <v>0.15348140753681069</v>
      </c>
      <c r="BA43" s="3">
        <f t="shared" ca="1" si="90"/>
        <v>0</v>
      </c>
      <c r="BB43" s="3" t="e">
        <f t="shared" ca="1" si="91"/>
        <v>#N/A</v>
      </c>
      <c r="BD43" s="3" t="e">
        <f t="shared" ca="1" si="92"/>
        <v>#N/A</v>
      </c>
      <c r="BE43" s="3">
        <f t="shared" ca="1" si="93"/>
        <v>0.19116546853629318</v>
      </c>
      <c r="BF43" s="3">
        <f t="shared" ca="1" si="94"/>
        <v>0</v>
      </c>
      <c r="BG43" s="3" t="e">
        <f t="shared" ca="1" si="95"/>
        <v>#N/A</v>
      </c>
      <c r="BI43" s="3" t="e">
        <f t="shared" ca="1" si="96"/>
        <v>#N/A</v>
      </c>
      <c r="BJ43" s="3">
        <f t="shared" ca="1" si="97"/>
        <v>0.49912652857499379</v>
      </c>
      <c r="BK43" s="3">
        <f t="shared" ca="1" si="98"/>
        <v>0</v>
      </c>
      <c r="BL43" s="3" t="e">
        <f t="shared" ca="1" si="99"/>
        <v>#N/A</v>
      </c>
      <c r="BN43" s="3" t="e">
        <f t="shared" ca="1" si="100"/>
        <v>#N/A</v>
      </c>
      <c r="BO43" s="3">
        <f t="shared" ca="1" si="101"/>
        <v>1.2478163214374844</v>
      </c>
      <c r="BP43" s="3">
        <f t="shared" ca="1" si="102"/>
        <v>0</v>
      </c>
      <c r="BQ43" s="3" t="e">
        <f t="shared" ca="1" si="103"/>
        <v>#N/A</v>
      </c>
      <c r="BS43" s="11" t="e">
        <v>#N/A</v>
      </c>
      <c r="BT43" s="3">
        <v>1.687999963760376</v>
      </c>
      <c r="BU43" s="3">
        <v>4.008</v>
      </c>
      <c r="BV43" s="11" t="e">
        <v>#N/A</v>
      </c>
      <c r="BX43" s="3" t="e">
        <f t="shared" ca="1" si="104"/>
        <v>#N/A</v>
      </c>
      <c r="BY43" s="3">
        <f t="shared" ca="1" si="105"/>
        <v>3.9930122285999538E-3</v>
      </c>
      <c r="BZ43" s="3">
        <f t="shared" ca="1" si="106"/>
        <v>0.49900199600798401</v>
      </c>
      <c r="CA43" s="3" t="e">
        <f t="shared" ca="1" si="107"/>
        <v>#N/A</v>
      </c>
      <c r="CC43" s="3" t="e">
        <f t="shared" ca="1" si="108"/>
        <v>#N/A</v>
      </c>
      <c r="CD43" s="3">
        <f t="shared" ca="1" si="109"/>
        <v>0</v>
      </c>
      <c r="CE43" s="3">
        <f t="shared" ca="1" si="110"/>
        <v>0.63173656101838616</v>
      </c>
      <c r="CF43" s="3" t="e">
        <f t="shared" ca="1" si="111"/>
        <v>#N/A</v>
      </c>
      <c r="CH43" s="3" t="e">
        <f t="shared" ca="1" si="112"/>
        <v>#N/A</v>
      </c>
      <c r="CI43" s="3">
        <f t="shared" ca="1" si="113"/>
        <v>0</v>
      </c>
      <c r="CJ43" s="3">
        <f t="shared" ca="1" si="114"/>
        <v>1.2475049900199602</v>
      </c>
      <c r="CK43" s="3" t="e">
        <f t="shared" ca="1" si="115"/>
        <v>#N/A</v>
      </c>
      <c r="CM43" s="3" t="e">
        <f t="shared" ca="1" si="116"/>
        <v>#N/A</v>
      </c>
      <c r="CN43" s="3">
        <f t="shared" ca="1" si="117"/>
        <v>1.4973795857249814</v>
      </c>
      <c r="CO43" s="3">
        <f t="shared" ca="1" si="118"/>
        <v>1.2475049900199602</v>
      </c>
      <c r="CP43" s="3" t="e">
        <f t="shared" ca="1" si="119"/>
        <v>#N/A</v>
      </c>
      <c r="CR43" s="11" t="e">
        <v>#N/A</v>
      </c>
      <c r="CS43" s="3">
        <v>4.0069999999999997</v>
      </c>
      <c r="CT43" s="3">
        <v>6.0000000521540642E-3</v>
      </c>
      <c r="CU43" s="11" t="e">
        <v>#N/A</v>
      </c>
    </row>
    <row r="44" spans="1:99" s="3" customFormat="1" x14ac:dyDescent="0.35">
      <c r="A44" s="2" t="s">
        <v>93</v>
      </c>
      <c r="B44" s="2">
        <v>6.666666666666667</v>
      </c>
      <c r="C44" s="2" t="s">
        <v>167</v>
      </c>
      <c r="D44" s="2" t="s">
        <v>403</v>
      </c>
      <c r="F44" s="3" t="e">
        <v>#N/A</v>
      </c>
      <c r="G44" s="3" t="e">
        <v>#N/A</v>
      </c>
      <c r="H44" s="11" t="e">
        <v>#N/A</v>
      </c>
      <c r="I44" s="3" t="e">
        <v>#N/A</v>
      </c>
      <c r="K44" s="3" t="e">
        <f t="shared" ca="1" si="60"/>
        <v>#N/A</v>
      </c>
      <c r="L44" s="3" t="e">
        <f t="shared" ca="1" si="61"/>
        <v>#N/A</v>
      </c>
      <c r="M44" s="3" t="e">
        <f t="shared" ca="1" si="62"/>
        <v>#N/A</v>
      </c>
      <c r="N44" s="3" t="e">
        <f t="shared" ca="1" si="63"/>
        <v>#N/A</v>
      </c>
      <c r="P44" s="3" t="e">
        <f t="shared" ca="1" si="64"/>
        <v>#N/A</v>
      </c>
      <c r="Q44" s="3" t="e">
        <f t="shared" ca="1" si="65"/>
        <v>#N/A</v>
      </c>
      <c r="R44" s="3" t="e">
        <f t="shared" ca="1" si="66"/>
        <v>#N/A</v>
      </c>
      <c r="S44" s="3" t="e">
        <f t="shared" ca="1" si="67"/>
        <v>#N/A</v>
      </c>
      <c r="U44" s="3" t="e">
        <f t="shared" ca="1" si="68"/>
        <v>#N/A</v>
      </c>
      <c r="V44" s="3" t="e">
        <f t="shared" ca="1" si="69"/>
        <v>#N/A</v>
      </c>
      <c r="W44" s="3" t="e">
        <f t="shared" ca="1" si="70"/>
        <v>#N/A</v>
      </c>
      <c r="X44" s="3" t="e">
        <f t="shared" ca="1" si="71"/>
        <v>#N/A</v>
      </c>
      <c r="Z44" s="3" t="e">
        <f t="shared" ca="1" si="72"/>
        <v>#N/A</v>
      </c>
      <c r="AA44" s="3" t="e">
        <f t="shared" ca="1" si="73"/>
        <v>#N/A</v>
      </c>
      <c r="AB44" s="3" t="e">
        <f t="shared" ca="1" si="74"/>
        <v>#N/A</v>
      </c>
      <c r="AC44" s="3" t="e">
        <f t="shared" ca="1" si="75"/>
        <v>#N/A</v>
      </c>
      <c r="AE44" s="3" t="e">
        <f t="shared" ca="1" si="76"/>
        <v>#N/A</v>
      </c>
      <c r="AF44" s="3" t="e">
        <f t="shared" ca="1" si="77"/>
        <v>#N/A</v>
      </c>
      <c r="AG44" s="3" t="e">
        <f t="shared" ca="1" si="78"/>
        <v>#N/A</v>
      </c>
      <c r="AH44" s="3" t="e">
        <f t="shared" ca="1" si="79"/>
        <v>#N/A</v>
      </c>
      <c r="AJ44" s="3" t="e">
        <f t="shared" ca="1" si="80"/>
        <v>#N/A</v>
      </c>
      <c r="AK44" s="3" t="e">
        <f t="shared" ca="1" si="81"/>
        <v>#N/A</v>
      </c>
      <c r="AL44" s="3" t="e">
        <f t="shared" ca="1" si="82"/>
        <v>#N/A</v>
      </c>
      <c r="AM44" s="3" t="e">
        <f t="shared" ca="1" si="83"/>
        <v>#N/A</v>
      </c>
      <c r="AO44" s="3" t="e">
        <f t="shared" ca="1" si="84"/>
        <v>#N/A</v>
      </c>
      <c r="AP44" s="3" t="e">
        <f t="shared" ca="1" si="85"/>
        <v>#N/A</v>
      </c>
      <c r="AQ44" s="3" t="e">
        <f t="shared" ca="1" si="86"/>
        <v>#N/A</v>
      </c>
      <c r="AR44" s="3" t="e">
        <f t="shared" ca="1" si="87"/>
        <v>#N/A</v>
      </c>
      <c r="AT44" s="11" t="e">
        <v>#N/A</v>
      </c>
      <c r="AU44" s="11" t="e">
        <v>#N/A</v>
      </c>
      <c r="AV44" s="11" t="e">
        <v>#N/A</v>
      </c>
      <c r="AW44" s="3">
        <v>2.246999979019165</v>
      </c>
      <c r="AY44" s="3" t="e">
        <f t="shared" ca="1" si="88"/>
        <v>#N/A</v>
      </c>
      <c r="AZ44" s="3" t="e">
        <f t="shared" ca="1" si="89"/>
        <v>#N/A</v>
      </c>
      <c r="BA44" s="3" t="e">
        <f t="shared" ca="1" si="90"/>
        <v>#N/A</v>
      </c>
      <c r="BB44" s="3" t="e">
        <f t="shared" ca="1" si="91"/>
        <v>#N/A</v>
      </c>
      <c r="BD44" s="3" t="e">
        <f t="shared" ca="1" si="92"/>
        <v>#N/A</v>
      </c>
      <c r="BE44" s="3" t="e">
        <f t="shared" ca="1" si="93"/>
        <v>#N/A</v>
      </c>
      <c r="BF44" s="3" t="e">
        <f t="shared" ca="1" si="94"/>
        <v>#N/A</v>
      </c>
      <c r="BG44" s="3" t="e">
        <f t="shared" ca="1" si="95"/>
        <v>#N/A</v>
      </c>
      <c r="BI44" s="3" t="e">
        <f t="shared" ca="1" si="96"/>
        <v>#N/A</v>
      </c>
      <c r="BJ44" s="3" t="e">
        <f t="shared" ca="1" si="97"/>
        <v>#N/A</v>
      </c>
      <c r="BK44" s="3" t="e">
        <f t="shared" ca="1" si="98"/>
        <v>#N/A</v>
      </c>
      <c r="BL44" s="3" t="e">
        <f t="shared" ca="1" si="99"/>
        <v>#N/A</v>
      </c>
      <c r="BN44" s="3" t="e">
        <f t="shared" ca="1" si="100"/>
        <v>#N/A</v>
      </c>
      <c r="BO44" s="3" t="e">
        <f t="shared" ca="1" si="101"/>
        <v>#N/A</v>
      </c>
      <c r="BP44" s="3" t="e">
        <f t="shared" ca="1" si="102"/>
        <v>#N/A</v>
      </c>
      <c r="BQ44" s="3" t="e">
        <f t="shared" ca="1" si="103"/>
        <v>#N/A</v>
      </c>
      <c r="BS44" s="11" t="e">
        <v>#N/A</v>
      </c>
      <c r="BT44" s="11" t="e">
        <v>#N/A</v>
      </c>
      <c r="BU44" s="11" t="e">
        <v>#N/A</v>
      </c>
      <c r="BV44" s="3">
        <v>4.008</v>
      </c>
      <c r="BX44" s="3" t="e">
        <f t="shared" ca="1" si="104"/>
        <v>#N/A</v>
      </c>
      <c r="BY44" s="3" t="e">
        <f t="shared" ca="1" si="105"/>
        <v>#N/A</v>
      </c>
      <c r="BZ44" s="3" t="e">
        <f t="shared" ca="1" si="106"/>
        <v>#N/A</v>
      </c>
      <c r="CA44" s="3" t="e">
        <f t="shared" ca="1" si="107"/>
        <v>#N/A</v>
      </c>
      <c r="CC44" s="3" t="e">
        <f t="shared" ca="1" si="108"/>
        <v>#N/A</v>
      </c>
      <c r="CD44" s="3" t="e">
        <f t="shared" ca="1" si="109"/>
        <v>#N/A</v>
      </c>
      <c r="CE44" s="3" t="e">
        <f t="shared" ca="1" si="110"/>
        <v>#N/A</v>
      </c>
      <c r="CF44" s="3" t="e">
        <f t="shared" ca="1" si="111"/>
        <v>#N/A</v>
      </c>
      <c r="CH44" s="3" t="e">
        <f t="shared" ca="1" si="112"/>
        <v>#N/A</v>
      </c>
      <c r="CI44" s="3" t="e">
        <f t="shared" ca="1" si="113"/>
        <v>#N/A</v>
      </c>
      <c r="CJ44" s="3" t="e">
        <f t="shared" ca="1" si="114"/>
        <v>#N/A</v>
      </c>
      <c r="CK44" s="3" t="e">
        <f t="shared" ca="1" si="115"/>
        <v>#N/A</v>
      </c>
      <c r="CM44" s="3" t="e">
        <f t="shared" ca="1" si="116"/>
        <v>#N/A</v>
      </c>
      <c r="CN44" s="3" t="e">
        <f t="shared" ca="1" si="117"/>
        <v>#N/A</v>
      </c>
      <c r="CO44" s="3" t="e">
        <f t="shared" ca="1" si="118"/>
        <v>#N/A</v>
      </c>
      <c r="CP44" s="3" t="e">
        <f t="shared" ca="1" si="119"/>
        <v>#N/A</v>
      </c>
      <c r="CR44" s="11" t="e">
        <v>#N/A</v>
      </c>
      <c r="CS44" s="11" t="e">
        <v>#N/A</v>
      </c>
      <c r="CT44" s="11" t="e">
        <v>#N/A</v>
      </c>
      <c r="CU44" s="3">
        <v>4.008</v>
      </c>
    </row>
    <row r="45" spans="1:99" s="3" customFormat="1" x14ac:dyDescent="0.35">
      <c r="A45" s="2" t="s">
        <v>7</v>
      </c>
      <c r="B45" s="2">
        <v>6.75</v>
      </c>
      <c r="C45" s="2" t="s">
        <v>167</v>
      </c>
      <c r="D45" s="2" t="s">
        <v>403</v>
      </c>
      <c r="F45" s="3">
        <v>4.0129999999999999</v>
      </c>
      <c r="G45" s="3">
        <v>4.0060000000000002</v>
      </c>
      <c r="H45" s="3">
        <v>4.008</v>
      </c>
      <c r="I45" s="3">
        <v>4.0110000000000001</v>
      </c>
      <c r="K45" s="3">
        <f t="shared" ca="1" si="60"/>
        <v>0.93845003737851984</v>
      </c>
      <c r="L45" s="3">
        <f t="shared" ca="1" si="61"/>
        <v>0.9398402396405392</v>
      </c>
      <c r="M45" s="3">
        <f t="shared" ca="1" si="62"/>
        <v>0.91017964071856294</v>
      </c>
      <c r="N45" s="3">
        <f t="shared" ca="1" si="63"/>
        <v>0.91398653702318633</v>
      </c>
      <c r="P45" s="3">
        <f t="shared" ca="1" si="64"/>
        <v>0.73087462260038105</v>
      </c>
      <c r="Q45" s="3">
        <f t="shared" ca="1" si="65"/>
        <v>0.47803296708965443</v>
      </c>
      <c r="R45" s="3">
        <f t="shared" ca="1" si="66"/>
        <v>0.77245490785368431</v>
      </c>
      <c r="S45" s="3">
        <f t="shared" ca="1" si="67"/>
        <v>0.82273739319256611</v>
      </c>
      <c r="U45" s="3">
        <f t="shared" ca="1" si="68"/>
        <v>1.74433092449539</v>
      </c>
      <c r="V45" s="3">
        <f t="shared" ca="1" si="69"/>
        <v>1.7473789316025961</v>
      </c>
      <c r="W45" s="3">
        <f t="shared" ca="1" si="70"/>
        <v>2.2455089820359282</v>
      </c>
      <c r="X45" s="3">
        <f t="shared" ca="1" si="71"/>
        <v>3.2410870107205185</v>
      </c>
      <c r="Z45" s="3">
        <f t="shared" ca="1" si="72"/>
        <v>0.93022676302018437</v>
      </c>
      <c r="AA45" s="3">
        <f t="shared" ca="1" si="73"/>
        <v>0.9398402396405392</v>
      </c>
      <c r="AB45" s="3">
        <f t="shared" ca="1" si="74"/>
        <v>0.91017964071856294</v>
      </c>
      <c r="AC45" s="3">
        <f t="shared" ca="1" si="75"/>
        <v>0.70630765395163309</v>
      </c>
      <c r="AE45" s="3">
        <f t="shared" ca="1" si="76"/>
        <v>0.73087462260038105</v>
      </c>
      <c r="AF45" s="3">
        <f t="shared" ca="1" si="77"/>
        <v>0.47803296708965443</v>
      </c>
      <c r="AG45" s="3">
        <f t="shared" ca="1" si="78"/>
        <v>0.77245490785368431</v>
      </c>
      <c r="AH45" s="3">
        <f t="shared" ca="1" si="79"/>
        <v>0.6564446843137054</v>
      </c>
      <c r="AJ45" s="3">
        <f t="shared" ca="1" si="80"/>
        <v>1.74433092449539</v>
      </c>
      <c r="AK45" s="3">
        <f t="shared" ca="1" si="81"/>
        <v>1.7473789316025961</v>
      </c>
      <c r="AL45" s="3">
        <f t="shared" ca="1" si="82"/>
        <v>2.2455089820359282</v>
      </c>
      <c r="AM45" s="3">
        <f t="shared" ca="1" si="83"/>
        <v>2.7424582398404387</v>
      </c>
      <c r="AO45" s="3">
        <f t="shared" ca="1" si="84"/>
        <v>0.49838026414154002</v>
      </c>
      <c r="AP45" s="3">
        <f t="shared" ca="1" si="85"/>
        <v>0.24962556165751371</v>
      </c>
      <c r="AQ45" s="3">
        <f t="shared" ca="1" si="86"/>
        <v>0.249500998003992</v>
      </c>
      <c r="AR45" s="3">
        <f t="shared" ca="1" si="87"/>
        <v>0.74794315632011965</v>
      </c>
      <c r="AT45" s="3">
        <v>1.3000000268220901E-2</v>
      </c>
      <c r="AU45" s="3">
        <v>0.23499999940395355</v>
      </c>
      <c r="AV45" s="3">
        <v>0.35499998927116394</v>
      </c>
      <c r="AW45" s="3">
        <v>0.34900000691413879</v>
      </c>
      <c r="AY45" s="3">
        <f t="shared" ca="1" si="88"/>
        <v>0.48168452529279843</v>
      </c>
      <c r="AZ45" s="3">
        <f t="shared" ca="1" si="89"/>
        <v>0.42436345481777327</v>
      </c>
      <c r="BA45" s="3">
        <f t="shared" ca="1" si="90"/>
        <v>0.58607784431137733</v>
      </c>
      <c r="BB45" s="3">
        <f t="shared" ca="1" si="91"/>
        <v>0</v>
      </c>
      <c r="BD45" s="3">
        <f t="shared" ca="1" si="92"/>
        <v>0.46100173541919093</v>
      </c>
      <c r="BE45" s="3">
        <f t="shared" ca="1" si="93"/>
        <v>0.37418872013844312</v>
      </c>
      <c r="BF45" s="3">
        <f t="shared" ca="1" si="94"/>
        <v>0.41117765262217343</v>
      </c>
      <c r="BG45" s="3">
        <f t="shared" ca="1" si="95"/>
        <v>0</v>
      </c>
      <c r="BI45" s="3">
        <f t="shared" ca="1" si="96"/>
        <v>0.74757039621231003</v>
      </c>
      <c r="BJ45" s="3">
        <f t="shared" ca="1" si="97"/>
        <v>1.2481278082875686</v>
      </c>
      <c r="BK45" s="3">
        <f t="shared" ca="1" si="98"/>
        <v>0.74850299401197606</v>
      </c>
      <c r="BL45" s="3">
        <f t="shared" ca="1" si="99"/>
        <v>0</v>
      </c>
      <c r="BN45" s="3">
        <f t="shared" ca="1" si="100"/>
        <v>0.74757039621231003</v>
      </c>
      <c r="BO45" s="3">
        <f t="shared" ca="1" si="101"/>
        <v>0.74887668497254112</v>
      </c>
      <c r="BP45" s="3">
        <f t="shared" ca="1" si="102"/>
        <v>0.99800399201596801</v>
      </c>
      <c r="BQ45" s="3">
        <f t="shared" ca="1" si="103"/>
        <v>0.24931438544003989</v>
      </c>
      <c r="BS45" s="3">
        <v>0.41299998760223389</v>
      </c>
      <c r="BT45" s="3">
        <v>0.86799997091293335</v>
      </c>
      <c r="BU45" s="3">
        <v>0.35499998927116394</v>
      </c>
      <c r="BV45" s="3">
        <v>4.0110000000000001</v>
      </c>
      <c r="BX45" s="3">
        <f t="shared" ca="1" si="104"/>
        <v>0</v>
      </c>
      <c r="BY45" s="3">
        <f t="shared" ca="1" si="105"/>
        <v>0</v>
      </c>
      <c r="BZ45" s="3">
        <f t="shared" ca="1" si="106"/>
        <v>0</v>
      </c>
      <c r="CA45" s="3">
        <f t="shared" ca="1" si="107"/>
        <v>2.0942408376963369E-2</v>
      </c>
      <c r="CC45" s="3">
        <f t="shared" ca="1" si="108"/>
        <v>0</v>
      </c>
      <c r="CD45" s="3">
        <f t="shared" ca="1" si="109"/>
        <v>0</v>
      </c>
      <c r="CE45" s="3">
        <f t="shared" ca="1" si="110"/>
        <v>0</v>
      </c>
      <c r="CF45" s="3">
        <f t="shared" ca="1" si="111"/>
        <v>0</v>
      </c>
      <c r="CH45" s="3">
        <f t="shared" ca="1" si="112"/>
        <v>0</v>
      </c>
      <c r="CI45" s="3">
        <f t="shared" ca="1" si="113"/>
        <v>0</v>
      </c>
      <c r="CJ45" s="3">
        <f t="shared" ca="1" si="114"/>
        <v>0</v>
      </c>
      <c r="CK45" s="3">
        <f t="shared" ca="1" si="115"/>
        <v>0</v>
      </c>
      <c r="CM45" s="3">
        <f t="shared" ca="1" si="116"/>
        <v>0</v>
      </c>
      <c r="CN45" s="3">
        <f t="shared" ca="1" si="117"/>
        <v>0</v>
      </c>
      <c r="CO45" s="3">
        <f t="shared" ca="1" si="118"/>
        <v>0</v>
      </c>
      <c r="CP45" s="3">
        <f t="shared" ca="1" si="119"/>
        <v>0.74794315632011965</v>
      </c>
      <c r="CR45" s="3">
        <v>4.0129999999999999</v>
      </c>
      <c r="CS45" s="3">
        <v>4.0060000000000002</v>
      </c>
      <c r="CT45" s="3">
        <v>4.008</v>
      </c>
      <c r="CU45" s="3">
        <v>4.0110000000000001</v>
      </c>
    </row>
    <row r="46" spans="1:99" s="3" customFormat="1" x14ac:dyDescent="0.35">
      <c r="A46" s="2" t="s">
        <v>28</v>
      </c>
      <c r="B46" s="2">
        <v>6.833333333333333</v>
      </c>
      <c r="C46" s="2" t="s">
        <v>168</v>
      </c>
      <c r="D46" s="2" t="s">
        <v>403</v>
      </c>
      <c r="F46" s="3">
        <v>4.0090000000000003</v>
      </c>
      <c r="G46" s="3">
        <v>4.0259999999999998</v>
      </c>
      <c r="H46" s="3">
        <v>4.01</v>
      </c>
      <c r="I46" s="3">
        <v>4.0090000000000003</v>
      </c>
      <c r="K46" s="3">
        <f t="shared" ca="1" si="60"/>
        <v>0.96433025692192564</v>
      </c>
      <c r="L46" s="3">
        <f t="shared" ca="1" si="61"/>
        <v>0.99751614505712871</v>
      </c>
      <c r="M46" s="3">
        <f t="shared" ca="1" si="62"/>
        <v>0.99725685785536156</v>
      </c>
      <c r="N46" s="3">
        <f t="shared" ca="1" si="63"/>
        <v>0.90197056622599159</v>
      </c>
      <c r="P46" s="3">
        <f t="shared" ca="1" si="64"/>
        <v>0.78099275444118299</v>
      </c>
      <c r="Q46" s="3">
        <f t="shared" ca="1" si="65"/>
        <v>0.90660714098820039</v>
      </c>
      <c r="R46" s="3">
        <f t="shared" ca="1" si="66"/>
        <v>0.89376565264050212</v>
      </c>
      <c r="S46" s="3">
        <f t="shared" ca="1" si="67"/>
        <v>0.86829626045788444</v>
      </c>
      <c r="U46" s="3">
        <f t="shared" ca="1" si="68"/>
        <v>1.9955101022698927</v>
      </c>
      <c r="V46" s="3">
        <f t="shared" ca="1" si="69"/>
        <v>1.7386984600099356</v>
      </c>
      <c r="W46" s="3">
        <f t="shared" ca="1" si="70"/>
        <v>0.99750623441396513</v>
      </c>
      <c r="X46" s="3">
        <f t="shared" ca="1" si="71"/>
        <v>1.9955101022698927</v>
      </c>
      <c r="Z46" s="3">
        <f t="shared" ca="1" si="72"/>
        <v>0.89773010725866786</v>
      </c>
      <c r="AA46" s="3">
        <f t="shared" ca="1" si="73"/>
        <v>0.97690014903129663</v>
      </c>
      <c r="AB46" s="3">
        <f t="shared" ca="1" si="74"/>
        <v>0.99725685785536156</v>
      </c>
      <c r="AC46" s="3">
        <f t="shared" ca="1" si="75"/>
        <v>0.90197056622599159</v>
      </c>
      <c r="AE46" s="3">
        <f t="shared" ca="1" si="76"/>
        <v>0.75604887964958023</v>
      </c>
      <c r="AF46" s="3">
        <f t="shared" ca="1" si="77"/>
        <v>0.90660714098820039</v>
      </c>
      <c r="AG46" s="3">
        <f t="shared" ca="1" si="78"/>
        <v>0.89376565264050212</v>
      </c>
      <c r="AH46" s="3">
        <f t="shared" ca="1" si="79"/>
        <v>0.86829626045788444</v>
      </c>
      <c r="AJ46" s="3">
        <f t="shared" ca="1" si="80"/>
        <v>1.746071339486156</v>
      </c>
      <c r="AK46" s="3">
        <f t="shared" ca="1" si="81"/>
        <v>1.7386984600099356</v>
      </c>
      <c r="AL46" s="3">
        <f t="shared" ca="1" si="82"/>
        <v>0.99750623441396513</v>
      </c>
      <c r="AM46" s="3">
        <f t="shared" ca="1" si="83"/>
        <v>1.9955101022698927</v>
      </c>
      <c r="AO46" s="3">
        <f t="shared" ca="1" si="84"/>
        <v>0.74831628835120967</v>
      </c>
      <c r="AP46" s="3">
        <f t="shared" ca="1" si="85"/>
        <v>0.7451564828614009</v>
      </c>
      <c r="AQ46" s="3">
        <f t="shared" ca="1" si="86"/>
        <v>0.24937655860349128</v>
      </c>
      <c r="AR46" s="3">
        <f t="shared" ca="1" si="87"/>
        <v>0.24943876278373658</v>
      </c>
      <c r="AT46" s="3">
        <v>0.28200000524520874</v>
      </c>
      <c r="AU46" s="3">
        <v>8.0000003799796104E-3</v>
      </c>
      <c r="AV46" s="3">
        <v>1.0999999940395355E-2</v>
      </c>
      <c r="AW46" s="3">
        <v>0.38499999046325684</v>
      </c>
      <c r="AY46" s="3">
        <f t="shared" ca="1" si="88"/>
        <v>0.35744574706909449</v>
      </c>
      <c r="AZ46" s="3">
        <f t="shared" ca="1" si="89"/>
        <v>8.2960755091902649E-2</v>
      </c>
      <c r="BA46" s="3">
        <f t="shared" ca="1" si="90"/>
        <v>0.30324189526184547</v>
      </c>
      <c r="BB46" s="3">
        <f t="shared" ca="1" si="91"/>
        <v>0</v>
      </c>
      <c r="BD46" s="3">
        <f t="shared" ca="1" si="92"/>
        <v>0.39037167059569383</v>
      </c>
      <c r="BE46" s="3">
        <f t="shared" ca="1" si="93"/>
        <v>0</v>
      </c>
      <c r="BF46" s="3">
        <f t="shared" ca="1" si="94"/>
        <v>0.32019951099766758</v>
      </c>
      <c r="BG46" s="3">
        <f t="shared" ca="1" si="95"/>
        <v>0</v>
      </c>
      <c r="BI46" s="3">
        <f t="shared" ca="1" si="96"/>
        <v>0.74831628835120967</v>
      </c>
      <c r="BJ46" s="3">
        <f t="shared" ca="1" si="97"/>
        <v>0</v>
      </c>
      <c r="BK46" s="3">
        <f t="shared" ca="1" si="98"/>
        <v>0.49875311720698257</v>
      </c>
      <c r="BL46" s="3">
        <f t="shared" ca="1" si="99"/>
        <v>0</v>
      </c>
      <c r="BN46" s="3">
        <f t="shared" ca="1" si="100"/>
        <v>0.49887752556747317</v>
      </c>
      <c r="BO46" s="3">
        <f t="shared" ca="1" si="101"/>
        <v>0.24838549428713363</v>
      </c>
      <c r="BP46" s="3">
        <f t="shared" ca="1" si="102"/>
        <v>0.24937655860349128</v>
      </c>
      <c r="BQ46" s="3">
        <f t="shared" ca="1" si="103"/>
        <v>0</v>
      </c>
      <c r="BS46" s="3">
        <v>0.28200000524520874</v>
      </c>
      <c r="BT46" s="3">
        <v>4.0259999999999998</v>
      </c>
      <c r="BU46" s="3">
        <v>1.2940000295639038</v>
      </c>
      <c r="BV46" s="3">
        <v>4.0090000000000003</v>
      </c>
      <c r="BX46" s="3">
        <f t="shared" ca="1" si="104"/>
        <v>6.6600149663257641E-2</v>
      </c>
      <c r="BY46" s="3">
        <f t="shared" ca="1" si="105"/>
        <v>0.56706408345752612</v>
      </c>
      <c r="BZ46" s="3">
        <f t="shared" ca="1" si="106"/>
        <v>0</v>
      </c>
      <c r="CA46" s="3">
        <f t="shared" ca="1" si="107"/>
        <v>0.39486156148665491</v>
      </c>
      <c r="CC46" s="3">
        <f t="shared" ca="1" si="108"/>
        <v>0.10401597787805196</v>
      </c>
      <c r="CD46" s="3">
        <f t="shared" ca="1" si="109"/>
        <v>0.59190267045559786</v>
      </c>
      <c r="CE46" s="3">
        <f t="shared" ca="1" si="110"/>
        <v>0</v>
      </c>
      <c r="CF46" s="3">
        <f t="shared" ca="1" si="111"/>
        <v>0.41132451709472317</v>
      </c>
      <c r="CH46" s="3">
        <f t="shared" ca="1" si="112"/>
        <v>0.24943876278373658</v>
      </c>
      <c r="CI46" s="3">
        <f t="shared" ca="1" si="113"/>
        <v>1.2419274714356683</v>
      </c>
      <c r="CJ46" s="3">
        <f t="shared" ca="1" si="114"/>
        <v>0</v>
      </c>
      <c r="CK46" s="3">
        <f t="shared" ca="1" si="115"/>
        <v>0.74831628835120967</v>
      </c>
      <c r="CM46" s="3">
        <f t="shared" ca="1" si="116"/>
        <v>0.99775505113494634</v>
      </c>
      <c r="CN46" s="3">
        <f t="shared" ca="1" si="117"/>
        <v>1.7386984600099356</v>
      </c>
      <c r="CO46" s="3">
        <f t="shared" ca="1" si="118"/>
        <v>0</v>
      </c>
      <c r="CP46" s="3">
        <f t="shared" ca="1" si="119"/>
        <v>0.74831628835120967</v>
      </c>
      <c r="CR46" s="3">
        <v>3.1480000019073486</v>
      </c>
      <c r="CS46" s="3">
        <v>8.0000003799796104E-3</v>
      </c>
      <c r="CT46" s="3">
        <v>4.01</v>
      </c>
      <c r="CU46" s="3">
        <v>0.38499999046325684</v>
      </c>
    </row>
    <row r="47" spans="1:99" s="3" customFormat="1" x14ac:dyDescent="0.35">
      <c r="A47" s="2" t="s">
        <v>6</v>
      </c>
      <c r="B47" s="2">
        <v>6.916666666666667</v>
      </c>
      <c r="C47" s="2" t="s">
        <v>167</v>
      </c>
      <c r="D47" s="2" t="s">
        <v>403</v>
      </c>
      <c r="F47" s="3">
        <v>4.0119999999999996</v>
      </c>
      <c r="G47" s="3">
        <v>4</v>
      </c>
      <c r="H47" s="11" t="e">
        <v>#N/A</v>
      </c>
      <c r="I47" s="3">
        <v>4.0090000000000003</v>
      </c>
      <c r="K47" s="3">
        <f t="shared" ca="1" si="60"/>
        <v>0.99675972083748765</v>
      </c>
      <c r="L47" s="3">
        <f t="shared" ca="1" si="61"/>
        <v>0.99575000000000002</v>
      </c>
      <c r="M47" s="3" t="e">
        <f t="shared" ca="1" si="62"/>
        <v>#N/A</v>
      </c>
      <c r="N47" s="3">
        <f t="shared" ca="1" si="63"/>
        <v>0.99351459216762283</v>
      </c>
      <c r="P47" s="3">
        <f t="shared" ca="1" si="64"/>
        <v>0.48554332876728401</v>
      </c>
      <c r="Q47" s="3">
        <f t="shared" ca="1" si="65"/>
        <v>0.73724988149479032</v>
      </c>
      <c r="R47" s="3" t="e">
        <f t="shared" ca="1" si="66"/>
        <v>#N/A</v>
      </c>
      <c r="S47" s="3">
        <f t="shared" ca="1" si="67"/>
        <v>0.15365424916523593</v>
      </c>
      <c r="U47" s="3">
        <f t="shared" ca="1" si="68"/>
        <v>2.9910269192422736</v>
      </c>
      <c r="V47" s="3">
        <f t="shared" ca="1" si="69"/>
        <v>3</v>
      </c>
      <c r="W47" s="3" t="e">
        <f t="shared" ca="1" si="70"/>
        <v>#N/A</v>
      </c>
      <c r="X47" s="3">
        <f t="shared" ca="1" si="71"/>
        <v>0.99775505113494634</v>
      </c>
      <c r="Z47" s="3">
        <f t="shared" ca="1" si="72"/>
        <v>0.90927218344965111</v>
      </c>
      <c r="AA47" s="3">
        <f t="shared" ca="1" si="73"/>
        <v>0.97075</v>
      </c>
      <c r="AB47" s="3" t="e">
        <f t="shared" ca="1" si="74"/>
        <v>#N/A</v>
      </c>
      <c r="AC47" s="3">
        <f t="shared" ca="1" si="75"/>
        <v>0.72761287104015959</v>
      </c>
      <c r="AE47" s="3">
        <f t="shared" ca="1" si="76"/>
        <v>0.48554332876728401</v>
      </c>
      <c r="AF47" s="3">
        <f t="shared" ca="1" si="77"/>
        <v>0.73724988149479032</v>
      </c>
      <c r="AG47" s="3" t="e">
        <f t="shared" ca="1" si="78"/>
        <v>#N/A</v>
      </c>
      <c r="AH47" s="3">
        <f t="shared" ca="1" si="79"/>
        <v>0.15365424916523593</v>
      </c>
      <c r="AJ47" s="3">
        <f t="shared" ca="1" si="80"/>
        <v>2.9910269192422736</v>
      </c>
      <c r="AK47" s="3">
        <f t="shared" ca="1" si="81"/>
        <v>3</v>
      </c>
      <c r="AL47" s="3" t="e">
        <f t="shared" ca="1" si="82"/>
        <v>#N/A</v>
      </c>
      <c r="AM47" s="3">
        <f t="shared" ca="1" si="83"/>
        <v>0.99775505113494634</v>
      </c>
      <c r="AO47" s="3">
        <f t="shared" ca="1" si="84"/>
        <v>1.9940179461615157</v>
      </c>
      <c r="AP47" s="3">
        <f t="shared" ca="1" si="85"/>
        <v>0.5</v>
      </c>
      <c r="AQ47" s="3" t="e">
        <f t="shared" ca="1" si="86"/>
        <v>#N/A</v>
      </c>
      <c r="AR47" s="3">
        <f t="shared" ca="1" si="87"/>
        <v>3.7415814417560487</v>
      </c>
      <c r="AT47" s="3">
        <v>0.15099999308586121</v>
      </c>
      <c r="AU47" s="3">
        <v>1.6000000759959221E-2</v>
      </c>
      <c r="AV47" s="11" t="e">
        <v>#N/A</v>
      </c>
      <c r="AW47" s="3">
        <v>0.11500000208616257</v>
      </c>
      <c r="AY47" s="3">
        <f t="shared" ca="1" si="88"/>
        <v>7.851445663010978E-2</v>
      </c>
      <c r="AZ47" s="3">
        <f t="shared" ca="1" si="89"/>
        <v>0.65399999999999991</v>
      </c>
      <c r="BA47" s="3" t="e">
        <f t="shared" ca="1" si="90"/>
        <v>#N/A</v>
      </c>
      <c r="BB47" s="3">
        <f t="shared" ca="1" si="91"/>
        <v>0.20778248939885238</v>
      </c>
      <c r="BD47" s="3">
        <f t="shared" ca="1" si="92"/>
        <v>4.5613122960981564E-2</v>
      </c>
      <c r="BE47" s="3">
        <f t="shared" ca="1" si="93"/>
        <v>0.71224990533664823</v>
      </c>
      <c r="BF47" s="3" t="e">
        <f t="shared" ca="1" si="94"/>
        <v>#N/A</v>
      </c>
      <c r="BG47" s="3">
        <f t="shared" ca="1" si="95"/>
        <v>3.3175329758836074E-2</v>
      </c>
      <c r="BI47" s="3">
        <f t="shared" ca="1" si="96"/>
        <v>0.24925224327018947</v>
      </c>
      <c r="BJ47" s="3">
        <f t="shared" ca="1" si="97"/>
        <v>2.75</v>
      </c>
      <c r="BK47" s="3" t="e">
        <f t="shared" ca="1" si="98"/>
        <v>#N/A</v>
      </c>
      <c r="BL47" s="3">
        <f t="shared" ca="1" si="99"/>
        <v>0.24943876278373658</v>
      </c>
      <c r="BN47" s="3">
        <f t="shared" ca="1" si="100"/>
        <v>2.9910269192422736</v>
      </c>
      <c r="BO47" s="3">
        <f t="shared" ca="1" si="101"/>
        <v>3</v>
      </c>
      <c r="BP47" s="3" t="e">
        <f t="shared" ca="1" si="102"/>
        <v>#N/A</v>
      </c>
      <c r="BQ47" s="3">
        <f t="shared" ca="1" si="103"/>
        <v>4.4898977301072582</v>
      </c>
      <c r="BS47" s="3">
        <v>2.8670001029968262</v>
      </c>
      <c r="BT47" s="3">
        <v>1.6000000759959221E-2</v>
      </c>
      <c r="BU47" s="11" t="e">
        <v>#N/A</v>
      </c>
      <c r="BV47" s="3">
        <v>2.0980000495910645</v>
      </c>
      <c r="BX47" s="3">
        <f t="shared" ca="1" si="104"/>
        <v>0</v>
      </c>
      <c r="BY47" s="3">
        <f t="shared" ca="1" si="105"/>
        <v>1.6750000000000043E-2</v>
      </c>
      <c r="BZ47" s="3" t="e">
        <f t="shared" ca="1" si="106"/>
        <v>#N/A</v>
      </c>
      <c r="CA47" s="3">
        <f t="shared" ca="1" si="107"/>
        <v>0</v>
      </c>
      <c r="CC47" s="3">
        <f t="shared" ca="1" si="108"/>
        <v>0</v>
      </c>
      <c r="CD47" s="3">
        <f t="shared" ca="1" si="109"/>
        <v>0</v>
      </c>
      <c r="CE47" s="3" t="e">
        <f t="shared" ca="1" si="110"/>
        <v>#N/A</v>
      </c>
      <c r="CF47" s="3">
        <f t="shared" ca="1" si="111"/>
        <v>0</v>
      </c>
      <c r="CH47" s="3">
        <f t="shared" ca="1" si="112"/>
        <v>0</v>
      </c>
      <c r="CI47" s="3">
        <f t="shared" ca="1" si="113"/>
        <v>0</v>
      </c>
      <c r="CJ47" s="3" t="e">
        <f t="shared" ca="1" si="114"/>
        <v>#N/A</v>
      </c>
      <c r="CK47" s="3">
        <f t="shared" ca="1" si="115"/>
        <v>0</v>
      </c>
      <c r="CM47" s="3">
        <f t="shared" ca="1" si="116"/>
        <v>0</v>
      </c>
      <c r="CN47" s="3">
        <f t="shared" ca="1" si="117"/>
        <v>1</v>
      </c>
      <c r="CO47" s="3" t="e">
        <f t="shared" ca="1" si="118"/>
        <v>#N/A</v>
      </c>
      <c r="CP47" s="3">
        <f t="shared" ca="1" si="119"/>
        <v>0.49887752556747317</v>
      </c>
      <c r="CR47" s="3">
        <v>4.0119999999999996</v>
      </c>
      <c r="CS47" s="3">
        <v>4</v>
      </c>
      <c r="CT47" s="11" t="e">
        <v>#N/A</v>
      </c>
      <c r="CU47" s="3">
        <v>4.0090000000000003</v>
      </c>
    </row>
    <row r="48" spans="1:99" s="3" customFormat="1" x14ac:dyDescent="0.35">
      <c r="A48" s="2" t="s">
        <v>88</v>
      </c>
      <c r="B48" s="2">
        <v>6.916666666666667</v>
      </c>
      <c r="C48" s="2" t="s">
        <v>168</v>
      </c>
      <c r="D48" s="2" t="s">
        <v>403</v>
      </c>
      <c r="F48" s="3">
        <v>4.0049999999999999</v>
      </c>
      <c r="G48" s="3">
        <v>4.0140000000000002</v>
      </c>
      <c r="H48" s="3">
        <v>4.0149999999999997</v>
      </c>
      <c r="I48" s="3" t="e">
        <v>#N/A</v>
      </c>
      <c r="K48" s="3">
        <f t="shared" ca="1" si="60"/>
        <v>0.99450686641697883</v>
      </c>
      <c r="L48" s="3">
        <f t="shared" ca="1" si="61"/>
        <v>0.65595416043846533</v>
      </c>
      <c r="M48" s="3">
        <f t="shared" ca="1" si="62"/>
        <v>0.99601494396014945</v>
      </c>
      <c r="N48" s="3" t="e">
        <f t="shared" ca="1" si="63"/>
        <v>#N/A</v>
      </c>
      <c r="P48" s="3">
        <f t="shared" ca="1" si="64"/>
        <v>0.95305863963195891</v>
      </c>
      <c r="Q48" s="3">
        <f t="shared" ca="1" si="65"/>
        <v>0.6223218575840157</v>
      </c>
      <c r="R48" s="3">
        <f t="shared" ca="1" si="66"/>
        <v>0.93748448149835784</v>
      </c>
      <c r="S48" s="3" t="e">
        <f t="shared" ca="1" si="67"/>
        <v>#N/A</v>
      </c>
      <c r="U48" s="3">
        <f t="shared" ca="1" si="68"/>
        <v>1.7478152309612984</v>
      </c>
      <c r="V48" s="3">
        <f t="shared" ca="1" si="69"/>
        <v>2.2421524663677128</v>
      </c>
      <c r="W48" s="3">
        <f t="shared" ca="1" si="70"/>
        <v>2.4906600249066004</v>
      </c>
      <c r="X48" s="3" t="e">
        <f t="shared" ca="1" si="71"/>
        <v>#N/A</v>
      </c>
      <c r="Z48" s="3">
        <f t="shared" ca="1" si="72"/>
        <v>0.99450686641697883</v>
      </c>
      <c r="AA48" s="3">
        <f t="shared" ca="1" si="73"/>
        <v>0.65994020926756347</v>
      </c>
      <c r="AB48" s="3">
        <f t="shared" ca="1" si="74"/>
        <v>0.99601494396014945</v>
      </c>
      <c r="AC48" s="3" t="e">
        <f t="shared" ca="1" si="75"/>
        <v>#N/A</v>
      </c>
      <c r="AE48" s="3">
        <f t="shared" ca="1" si="76"/>
        <v>0.95305863963195891</v>
      </c>
      <c r="AF48" s="3">
        <f t="shared" ca="1" si="77"/>
        <v>0.6223218575840157</v>
      </c>
      <c r="AG48" s="3">
        <f t="shared" ca="1" si="78"/>
        <v>0.93748448149835784</v>
      </c>
      <c r="AH48" s="3" t="e">
        <f t="shared" ca="1" si="79"/>
        <v>#N/A</v>
      </c>
      <c r="AJ48" s="3">
        <f t="shared" ca="1" si="80"/>
        <v>1.7478152309612984</v>
      </c>
      <c r="AK48" s="3">
        <f t="shared" ca="1" si="81"/>
        <v>2.2421524663677128</v>
      </c>
      <c r="AL48" s="3">
        <f t="shared" ca="1" si="82"/>
        <v>2.4906600249066004</v>
      </c>
      <c r="AM48" s="3" t="e">
        <f t="shared" ca="1" si="83"/>
        <v>#N/A</v>
      </c>
      <c r="AO48" s="3">
        <f t="shared" ca="1" si="84"/>
        <v>0.24968789013732834</v>
      </c>
      <c r="AP48" s="3">
        <f t="shared" ca="1" si="85"/>
        <v>0.24912805181863476</v>
      </c>
      <c r="AQ48" s="3">
        <f t="shared" ca="1" si="86"/>
        <v>0.24906600249066005</v>
      </c>
      <c r="AR48" s="3" t="e">
        <f t="shared" ca="1" si="87"/>
        <v>#N/A</v>
      </c>
      <c r="AT48" s="3">
        <v>7.0000002160668373E-3</v>
      </c>
      <c r="AU48" s="3">
        <v>0.33500000834465027</v>
      </c>
      <c r="AV48" s="3">
        <v>8.0000003799796104E-3</v>
      </c>
      <c r="AW48" s="11" t="e">
        <v>#N/A</v>
      </c>
      <c r="AY48" s="3">
        <f t="shared" ca="1" si="88"/>
        <v>0.58701622971285916</v>
      </c>
      <c r="AZ48" s="3">
        <f t="shared" ca="1" si="89"/>
        <v>0.14100647732934724</v>
      </c>
      <c r="BA48" s="3">
        <f t="shared" ca="1" si="90"/>
        <v>0.14520547945205486</v>
      </c>
      <c r="BB48" s="3" t="e">
        <f t="shared" ca="1" si="91"/>
        <v>#N/A</v>
      </c>
      <c r="BD48" s="3">
        <f t="shared" ca="1" si="92"/>
        <v>0.59101126911339541</v>
      </c>
      <c r="BE48" s="3">
        <f t="shared" ca="1" si="93"/>
        <v>0.16193325744081505</v>
      </c>
      <c r="BF48" s="3">
        <f t="shared" ca="1" si="94"/>
        <v>9.539233495111335E-2</v>
      </c>
      <c r="BG48" s="3" t="e">
        <f t="shared" ca="1" si="95"/>
        <v>#N/A</v>
      </c>
      <c r="BI48" s="3">
        <f t="shared" ca="1" si="96"/>
        <v>0.74906367041198507</v>
      </c>
      <c r="BJ48" s="3">
        <f t="shared" ca="1" si="97"/>
        <v>0.74738415545590431</v>
      </c>
      <c r="BK48" s="3">
        <f t="shared" ca="1" si="98"/>
        <v>0.74719800747198017</v>
      </c>
      <c r="BL48" s="3" t="e">
        <f t="shared" ca="1" si="99"/>
        <v>#N/A</v>
      </c>
      <c r="BN48" s="3">
        <f t="shared" ca="1" si="100"/>
        <v>0.99875156054931336</v>
      </c>
      <c r="BO48" s="3">
        <f t="shared" ca="1" si="101"/>
        <v>0.74738415545590431</v>
      </c>
      <c r="BP48" s="3">
        <f t="shared" ca="1" si="102"/>
        <v>0.74719800747198017</v>
      </c>
      <c r="BQ48" s="3" t="e">
        <f t="shared" ca="1" si="103"/>
        <v>#N/A</v>
      </c>
      <c r="BS48" s="3">
        <v>0.42399999499320984</v>
      </c>
      <c r="BT48" s="3">
        <v>0.5350000262260437</v>
      </c>
      <c r="BU48" s="3">
        <v>0.3580000102519989</v>
      </c>
      <c r="BV48" s="11" t="e">
        <v>#N/A</v>
      </c>
      <c r="BX48" s="3">
        <f t="shared" ca="1" si="104"/>
        <v>0.14157303370786517</v>
      </c>
      <c r="BY48" s="3">
        <f t="shared" ca="1" si="105"/>
        <v>0</v>
      </c>
      <c r="BZ48" s="3">
        <f t="shared" ca="1" si="106"/>
        <v>0</v>
      </c>
      <c r="CA48" s="3" t="e">
        <f t="shared" ca="1" si="107"/>
        <v>#N/A</v>
      </c>
      <c r="CC48" s="3">
        <f t="shared" ca="1" si="108"/>
        <v>0.17902618936831585</v>
      </c>
      <c r="CD48" s="3">
        <f t="shared" ca="1" si="109"/>
        <v>0</v>
      </c>
      <c r="CE48" s="3">
        <f t="shared" ca="1" si="110"/>
        <v>0</v>
      </c>
      <c r="CF48" s="3" t="e">
        <f t="shared" ca="1" si="111"/>
        <v>#N/A</v>
      </c>
      <c r="CH48" s="3">
        <f t="shared" ca="1" si="112"/>
        <v>0.24968789013732834</v>
      </c>
      <c r="CI48" s="3">
        <f t="shared" ca="1" si="113"/>
        <v>0</v>
      </c>
      <c r="CJ48" s="3">
        <f t="shared" ca="1" si="114"/>
        <v>0</v>
      </c>
      <c r="CK48" s="3" t="e">
        <f t="shared" ca="1" si="115"/>
        <v>#N/A</v>
      </c>
      <c r="CM48" s="3">
        <f t="shared" ca="1" si="116"/>
        <v>0.24968789013732834</v>
      </c>
      <c r="CN48" s="3">
        <f t="shared" ca="1" si="117"/>
        <v>0</v>
      </c>
      <c r="CO48" s="3">
        <f t="shared" ca="1" si="118"/>
        <v>0</v>
      </c>
      <c r="CP48" s="3" t="e">
        <f t="shared" ca="1" si="119"/>
        <v>#N/A</v>
      </c>
      <c r="CR48" s="3">
        <v>1.6230000257492065</v>
      </c>
      <c r="CS48" s="3">
        <v>4.0140000000000002</v>
      </c>
      <c r="CT48" s="3">
        <v>4.0149999999999997</v>
      </c>
      <c r="CU48" s="11" t="e">
        <v>#N/A</v>
      </c>
    </row>
    <row r="49" spans="1:99" s="3" customFormat="1" x14ac:dyDescent="0.35">
      <c r="A49" s="2" t="s">
        <v>85</v>
      </c>
      <c r="B49" s="2">
        <v>7.083333333333333</v>
      </c>
      <c r="C49" s="2" t="s">
        <v>168</v>
      </c>
      <c r="D49" s="2" t="s">
        <v>403</v>
      </c>
      <c r="F49" s="3">
        <v>4.0149999999999997</v>
      </c>
      <c r="G49" s="3">
        <v>4.0309999999999997</v>
      </c>
      <c r="H49" s="3">
        <v>4.0259999999999998</v>
      </c>
      <c r="I49" s="3">
        <v>4.0149999999999997</v>
      </c>
      <c r="K49" s="3">
        <f t="shared" ca="1" si="60"/>
        <v>0.99601494396014945</v>
      </c>
      <c r="L49" s="3">
        <f t="shared" ca="1" si="61"/>
        <v>0.97147109898288275</v>
      </c>
      <c r="M49" s="3">
        <f t="shared" ca="1" si="62"/>
        <v>0.99329359165424735</v>
      </c>
      <c r="N49" s="3">
        <f t="shared" ca="1" si="63"/>
        <v>0.99601494396014945</v>
      </c>
      <c r="P49" s="3">
        <f t="shared" ca="1" si="64"/>
        <v>0.93424664357976339</v>
      </c>
      <c r="Q49" s="3">
        <f t="shared" ca="1" si="65"/>
        <v>0.93401140246666925</v>
      </c>
      <c r="R49" s="3">
        <f t="shared" ca="1" si="66"/>
        <v>0.9642324756906806</v>
      </c>
      <c r="S49" s="3">
        <f t="shared" ca="1" si="67"/>
        <v>0.94221679222390786</v>
      </c>
      <c r="U49" s="3">
        <f t="shared" ca="1" si="68"/>
        <v>1.7434620174346203</v>
      </c>
      <c r="V49" s="3">
        <f t="shared" ca="1" si="69"/>
        <v>2.2326966013396183</v>
      </c>
      <c r="W49" s="3">
        <f t="shared" ca="1" si="70"/>
        <v>1.9870839542970691</v>
      </c>
      <c r="X49" s="3">
        <f t="shared" ca="1" si="71"/>
        <v>2.9887920298879207</v>
      </c>
      <c r="Z49" s="3">
        <f t="shared" ca="1" si="72"/>
        <v>0.99601494396014945</v>
      </c>
      <c r="AA49" s="3">
        <f t="shared" ca="1" si="73"/>
        <v>0.97147109898288275</v>
      </c>
      <c r="AB49" s="3">
        <f t="shared" ca="1" si="74"/>
        <v>0.99329359165424735</v>
      </c>
      <c r="AC49" s="3">
        <f t="shared" ca="1" si="75"/>
        <v>0.99601494396014945</v>
      </c>
      <c r="AE49" s="3">
        <f t="shared" ca="1" si="76"/>
        <v>0.93424664357976339</v>
      </c>
      <c r="AF49" s="3">
        <f t="shared" ca="1" si="77"/>
        <v>0.93401140246666925</v>
      </c>
      <c r="AG49" s="3">
        <f t="shared" ca="1" si="78"/>
        <v>0.9642324756906806</v>
      </c>
      <c r="AH49" s="3">
        <f t="shared" ca="1" si="79"/>
        <v>0.94221679222390786</v>
      </c>
      <c r="AJ49" s="3">
        <f t="shared" ca="1" si="80"/>
        <v>1.7434620174346203</v>
      </c>
      <c r="AK49" s="3">
        <f t="shared" ca="1" si="81"/>
        <v>2.2326966013396183</v>
      </c>
      <c r="AL49" s="3">
        <f t="shared" ca="1" si="82"/>
        <v>1.9870839542970691</v>
      </c>
      <c r="AM49" s="3">
        <f t="shared" ca="1" si="83"/>
        <v>2.9887920298879207</v>
      </c>
      <c r="AO49" s="3">
        <f t="shared" ca="1" si="84"/>
        <v>0.24906600249066005</v>
      </c>
      <c r="AP49" s="3">
        <f t="shared" ca="1" si="85"/>
        <v>0.24807740014884647</v>
      </c>
      <c r="AQ49" s="3">
        <f t="shared" ca="1" si="86"/>
        <v>0.24838549428713363</v>
      </c>
      <c r="AR49" s="3">
        <f t="shared" ca="1" si="87"/>
        <v>0.24906600249066005</v>
      </c>
      <c r="AT49" s="3">
        <v>3.7999998778104782E-2</v>
      </c>
      <c r="AU49" s="3">
        <v>1.0999999940395355E-2</v>
      </c>
      <c r="AV49" s="3">
        <v>1.0999999940395355E-2</v>
      </c>
      <c r="AW49" s="3">
        <v>1.3000000268220901E-2</v>
      </c>
      <c r="AY49" s="3">
        <f t="shared" ca="1" si="88"/>
        <v>0.74271481942714812</v>
      </c>
      <c r="AZ49" s="3">
        <f t="shared" ca="1" si="89"/>
        <v>0.61572810716943693</v>
      </c>
      <c r="BA49" s="3">
        <f t="shared" ca="1" si="90"/>
        <v>0.56706408345752612</v>
      </c>
      <c r="BB49" s="3">
        <f t="shared" ca="1" si="91"/>
        <v>0.60149439601494392</v>
      </c>
      <c r="BD49" s="3">
        <f t="shared" ca="1" si="92"/>
        <v>0.71432136212606656</v>
      </c>
      <c r="BE49" s="3">
        <f t="shared" ca="1" si="93"/>
        <v>0.6571570302735662</v>
      </c>
      <c r="BF49" s="3">
        <f t="shared" ca="1" si="94"/>
        <v>0.53402877718550734</v>
      </c>
      <c r="BG49" s="3">
        <f t="shared" ca="1" si="95"/>
        <v>0.60199261602399368</v>
      </c>
      <c r="BI49" s="3">
        <f t="shared" ca="1" si="96"/>
        <v>1.2453300124533002</v>
      </c>
      <c r="BJ49" s="3">
        <f t="shared" ca="1" si="97"/>
        <v>1.4884644008930787</v>
      </c>
      <c r="BK49" s="3">
        <f t="shared" ca="1" si="98"/>
        <v>0.99354197714853454</v>
      </c>
      <c r="BL49" s="3">
        <f t="shared" ca="1" si="99"/>
        <v>1.9925280199252804</v>
      </c>
      <c r="BN49" s="3">
        <f t="shared" ca="1" si="100"/>
        <v>0.4981320049813201</v>
      </c>
      <c r="BO49" s="3">
        <f t="shared" ca="1" si="101"/>
        <v>0.74423220044653937</v>
      </c>
      <c r="BP49" s="3">
        <f t="shared" ca="1" si="102"/>
        <v>0.49677098857426727</v>
      </c>
      <c r="BQ49" s="3">
        <f t="shared" ca="1" si="103"/>
        <v>0.9962640099626402</v>
      </c>
      <c r="BS49" s="3">
        <v>0.53799998760223389</v>
      </c>
      <c r="BT49" s="3">
        <v>0.56099998950958252</v>
      </c>
      <c r="BU49" s="3">
        <v>0.49500000476837158</v>
      </c>
      <c r="BV49" s="3">
        <v>0.52899998426437378</v>
      </c>
      <c r="BX49" s="3">
        <f t="shared" ca="1" si="104"/>
        <v>0</v>
      </c>
      <c r="BY49" s="3">
        <f t="shared" ca="1" si="105"/>
        <v>0</v>
      </c>
      <c r="BZ49" s="3">
        <f t="shared" ca="1" si="106"/>
        <v>0</v>
      </c>
      <c r="CA49" s="3">
        <f t="shared" ca="1" si="107"/>
        <v>0</v>
      </c>
      <c r="CC49" s="3">
        <f t="shared" ca="1" si="108"/>
        <v>0</v>
      </c>
      <c r="CD49" s="3">
        <f t="shared" ca="1" si="109"/>
        <v>0</v>
      </c>
      <c r="CE49" s="3">
        <f t="shared" ca="1" si="110"/>
        <v>0</v>
      </c>
      <c r="CF49" s="3">
        <f t="shared" ca="1" si="111"/>
        <v>0</v>
      </c>
      <c r="CH49" s="3">
        <f t="shared" ca="1" si="112"/>
        <v>0</v>
      </c>
      <c r="CI49" s="3">
        <f t="shared" ca="1" si="113"/>
        <v>0</v>
      </c>
      <c r="CJ49" s="3">
        <f t="shared" ca="1" si="114"/>
        <v>0</v>
      </c>
      <c r="CK49" s="3">
        <f t="shared" ca="1" si="115"/>
        <v>0</v>
      </c>
      <c r="CM49" s="3">
        <f t="shared" ca="1" si="116"/>
        <v>0</v>
      </c>
      <c r="CN49" s="3">
        <f t="shared" ca="1" si="117"/>
        <v>0</v>
      </c>
      <c r="CO49" s="3">
        <f t="shared" ca="1" si="118"/>
        <v>0</v>
      </c>
      <c r="CP49" s="3">
        <f t="shared" ca="1" si="119"/>
        <v>0</v>
      </c>
      <c r="CR49" s="3">
        <v>4.0149999999999997</v>
      </c>
      <c r="CS49" s="3">
        <v>4.0309999999999997</v>
      </c>
      <c r="CT49" s="3">
        <v>4.0259999999999998</v>
      </c>
      <c r="CU49" s="3">
        <v>4.0149999999999997</v>
      </c>
    </row>
    <row r="50" spans="1:99" s="3" customFormat="1" x14ac:dyDescent="0.35">
      <c r="A50" s="2" t="s">
        <v>86</v>
      </c>
      <c r="B50" s="2">
        <v>7.333333333333333</v>
      </c>
      <c r="C50" s="2" t="s">
        <v>167</v>
      </c>
      <c r="D50" s="2" t="s">
        <v>403</v>
      </c>
      <c r="F50" s="3">
        <v>4.0469999999999997</v>
      </c>
      <c r="G50" s="3">
        <v>4.016</v>
      </c>
      <c r="H50" s="3">
        <v>4.0149999999999997</v>
      </c>
      <c r="I50" s="3">
        <v>3.0479999999999996</v>
      </c>
      <c r="K50" s="3">
        <f t="shared" ca="1" si="60"/>
        <v>0.99234000494193242</v>
      </c>
      <c r="L50" s="3">
        <f t="shared" ca="1" si="61"/>
        <v>0.99576693227091639</v>
      </c>
      <c r="M50" s="3">
        <f t="shared" ca="1" si="62"/>
        <v>0.99601494396014945</v>
      </c>
      <c r="N50" s="3">
        <f t="shared" ca="1" si="63"/>
        <v>0.99475065616797897</v>
      </c>
      <c r="P50" s="3">
        <f t="shared" ca="1" si="64"/>
        <v>0.89770202527951692</v>
      </c>
      <c r="Q50" s="3">
        <f t="shared" ca="1" si="65"/>
        <v>0.96688244125524725</v>
      </c>
      <c r="R50" s="3">
        <f t="shared" ca="1" si="66"/>
        <v>0.90834375709796311</v>
      </c>
      <c r="S50" s="3">
        <f t="shared" ca="1" si="67"/>
        <v>0.68897626844290993</v>
      </c>
      <c r="U50" s="3">
        <f t="shared" ca="1" si="68"/>
        <v>3.2122559920929086</v>
      </c>
      <c r="V50" s="3">
        <f t="shared" ca="1" si="69"/>
        <v>1.9920318725099602</v>
      </c>
      <c r="W50" s="3">
        <f t="shared" ca="1" si="70"/>
        <v>1.9925280199252804</v>
      </c>
      <c r="X50" s="3">
        <f t="shared" ca="1" si="71"/>
        <v>2.2965879265091869</v>
      </c>
      <c r="Z50" s="3">
        <f t="shared" ca="1" si="72"/>
        <v>0.94292068198665679</v>
      </c>
      <c r="AA50" s="3">
        <f t="shared" ca="1" si="73"/>
        <v>0.99576693227091639</v>
      </c>
      <c r="AB50" s="3">
        <f t="shared" ca="1" si="74"/>
        <v>0.99601494396014945</v>
      </c>
      <c r="AC50" s="3">
        <f t="shared" ca="1" si="75"/>
        <v>0.55774278215223083</v>
      </c>
      <c r="AE50" s="3">
        <f t="shared" ca="1" si="76"/>
        <v>0.85643689029152559</v>
      </c>
      <c r="AF50" s="3">
        <f t="shared" ca="1" si="77"/>
        <v>0.96688244125524725</v>
      </c>
      <c r="AG50" s="3">
        <f t="shared" ca="1" si="78"/>
        <v>0.90834375709796311</v>
      </c>
      <c r="AH50" s="3">
        <f t="shared" ca="1" si="79"/>
        <v>0.49770343804296868</v>
      </c>
      <c r="AJ50" s="3">
        <f t="shared" ca="1" si="80"/>
        <v>2.9651593773165308</v>
      </c>
      <c r="AK50" s="3">
        <f t="shared" ca="1" si="81"/>
        <v>1.9920318725099602</v>
      </c>
      <c r="AL50" s="3">
        <f t="shared" ca="1" si="82"/>
        <v>1.9925280199252804</v>
      </c>
      <c r="AM50" s="3">
        <f t="shared" ca="1" si="83"/>
        <v>0.98425196850393715</v>
      </c>
      <c r="AO50" s="3">
        <f t="shared" ca="1" si="84"/>
        <v>0.24709661477637759</v>
      </c>
      <c r="AP50" s="3">
        <f t="shared" ca="1" si="85"/>
        <v>0.24900398406374502</v>
      </c>
      <c r="AQ50" s="3">
        <f t="shared" ca="1" si="86"/>
        <v>0.24906600249066005</v>
      </c>
      <c r="AR50" s="3">
        <f t="shared" ca="1" si="87"/>
        <v>0.98425196850393715</v>
      </c>
      <c r="AT50" s="3">
        <v>0.20999999344348907</v>
      </c>
      <c r="AU50" s="3">
        <v>1.0000000474974513E-3</v>
      </c>
      <c r="AV50" s="3">
        <v>3.0000000260770321E-3</v>
      </c>
      <c r="AW50" s="3">
        <v>0.3580000102519989</v>
      </c>
      <c r="AY50" s="3">
        <f t="shared" ca="1" si="88"/>
        <v>0.10279219174697309</v>
      </c>
      <c r="AZ50" s="3">
        <f t="shared" ca="1" si="89"/>
        <v>0.63471115537848599</v>
      </c>
      <c r="BA50" s="3">
        <f t="shared" ca="1" si="90"/>
        <v>0.2114570361145704</v>
      </c>
      <c r="BB50" s="3">
        <f t="shared" ca="1" si="91"/>
        <v>0.40485564304461946</v>
      </c>
      <c r="BD50" s="3">
        <f t="shared" ca="1" si="92"/>
        <v>0.12750185387264748</v>
      </c>
      <c r="BE50" s="3">
        <f t="shared" ca="1" si="93"/>
        <v>0.68476095617529875</v>
      </c>
      <c r="BF50" s="3">
        <f t="shared" ca="1" si="94"/>
        <v>0.18630136143077505</v>
      </c>
      <c r="BG50" s="3">
        <f t="shared" ca="1" si="95"/>
        <v>0.4593176165903648</v>
      </c>
      <c r="BI50" s="3">
        <f t="shared" ca="1" si="96"/>
        <v>0.24709661477637759</v>
      </c>
      <c r="BJ50" s="3">
        <f t="shared" ca="1" si="97"/>
        <v>0.99601593625498008</v>
      </c>
      <c r="BK50" s="3">
        <f t="shared" ca="1" si="98"/>
        <v>0.4981320049813201</v>
      </c>
      <c r="BL50" s="3">
        <f t="shared" ca="1" si="99"/>
        <v>0.6561679790026248</v>
      </c>
      <c r="BN50" s="3">
        <f t="shared" ca="1" si="100"/>
        <v>0.98838645910551037</v>
      </c>
      <c r="BO50" s="3">
        <f t="shared" ca="1" si="101"/>
        <v>0.74701195219123506</v>
      </c>
      <c r="BP50" s="3">
        <f t="shared" ca="1" si="102"/>
        <v>0.4981320049813201</v>
      </c>
      <c r="BQ50" s="3">
        <f t="shared" ca="1" si="103"/>
        <v>1.3123359580052496</v>
      </c>
      <c r="BS50" s="3">
        <v>0.37700000405311584</v>
      </c>
      <c r="BT50" s="3">
        <v>0.55099999904632568</v>
      </c>
      <c r="BU50" s="3">
        <v>0.95300000905990601</v>
      </c>
      <c r="BV50" s="3">
        <v>2.5569999217987061</v>
      </c>
      <c r="BX50" s="3">
        <f t="shared" ca="1" si="104"/>
        <v>0.16036570298986905</v>
      </c>
      <c r="BY50" s="3">
        <f t="shared" ca="1" si="105"/>
        <v>4.980079681274905E-2</v>
      </c>
      <c r="BZ50" s="3">
        <f t="shared" ca="1" si="106"/>
        <v>0.11606475716064751</v>
      </c>
      <c r="CA50" s="3">
        <f t="shared" ca="1" si="107"/>
        <v>0</v>
      </c>
      <c r="CC50" s="3">
        <f t="shared" ca="1" si="108"/>
        <v>0.22658760941762057</v>
      </c>
      <c r="CD50" s="3">
        <f t="shared" ca="1" si="109"/>
        <v>6.6484053771334345E-2</v>
      </c>
      <c r="CE50" s="3">
        <f t="shared" ca="1" si="110"/>
        <v>0.132752177427299</v>
      </c>
      <c r="CF50" s="3">
        <f t="shared" ca="1" si="111"/>
        <v>0</v>
      </c>
      <c r="CH50" s="3">
        <f t="shared" ca="1" si="112"/>
        <v>0.49419322955275519</v>
      </c>
      <c r="CI50" s="3">
        <f t="shared" ca="1" si="113"/>
        <v>0.24900398406374502</v>
      </c>
      <c r="CJ50" s="3">
        <f t="shared" ca="1" si="114"/>
        <v>0.4981320049813201</v>
      </c>
      <c r="CK50" s="3">
        <f t="shared" ca="1" si="115"/>
        <v>0</v>
      </c>
      <c r="CM50" s="3">
        <f t="shared" ca="1" si="116"/>
        <v>0.49419322955275519</v>
      </c>
      <c r="CN50" s="3">
        <f t="shared" ca="1" si="117"/>
        <v>0.24900398406374502</v>
      </c>
      <c r="CO50" s="3">
        <f t="shared" ca="1" si="118"/>
        <v>0.74719800747198017</v>
      </c>
      <c r="CP50" s="3">
        <f t="shared" ca="1" si="119"/>
        <v>0</v>
      </c>
      <c r="CR50" s="3">
        <v>2.9930000305175781</v>
      </c>
      <c r="CS50" s="3">
        <v>3.0499999523162842</v>
      </c>
      <c r="CT50" s="3">
        <v>3.4019999504089355</v>
      </c>
      <c r="CU50" s="3">
        <v>4.0149999999999997</v>
      </c>
    </row>
    <row r="51" spans="1:99" s="3" customFormat="1" x14ac:dyDescent="0.35">
      <c r="A51" s="2" t="s">
        <v>23</v>
      </c>
      <c r="B51" s="2">
        <v>7.416666666666667</v>
      </c>
      <c r="C51" s="2" t="s">
        <v>168</v>
      </c>
      <c r="D51" s="2" t="s">
        <v>403</v>
      </c>
      <c r="F51" s="3">
        <v>4.016</v>
      </c>
      <c r="G51" s="3">
        <v>4.0149999999999997</v>
      </c>
      <c r="H51" s="3">
        <v>4.0149999999999997</v>
      </c>
      <c r="I51" s="3">
        <v>4.0140000000000002</v>
      </c>
      <c r="K51" s="3">
        <f t="shared" ca="1" si="60"/>
        <v>0.89616533864541825</v>
      </c>
      <c r="L51" s="3">
        <f t="shared" ca="1" si="61"/>
        <v>0.97110834371108357</v>
      </c>
      <c r="M51" s="3">
        <f t="shared" ca="1" si="62"/>
        <v>0.99601494396014967</v>
      </c>
      <c r="N51" s="3">
        <f t="shared" ca="1" si="63"/>
        <v>0.99626307922272039</v>
      </c>
      <c r="P51" s="3">
        <f t="shared" ca="1" si="64"/>
        <v>0.80876483533724375</v>
      </c>
      <c r="Q51" s="3">
        <f t="shared" ca="1" si="65"/>
        <v>0.7880449332157673</v>
      </c>
      <c r="R51" s="3">
        <f t="shared" ca="1" si="66"/>
        <v>0.85479459524674262</v>
      </c>
      <c r="S51" s="3">
        <f t="shared" ca="1" si="67"/>
        <v>0.85550569105516572</v>
      </c>
      <c r="U51" s="3">
        <f t="shared" ca="1" si="68"/>
        <v>2.9880478087649402</v>
      </c>
      <c r="V51" s="3">
        <f t="shared" ca="1" si="69"/>
        <v>2.4906600249066004</v>
      </c>
      <c r="W51" s="3">
        <f t="shared" ca="1" si="70"/>
        <v>1.9925280199252804</v>
      </c>
      <c r="X51" s="3">
        <f t="shared" ca="1" si="71"/>
        <v>3.4877927254608867</v>
      </c>
      <c r="Z51" s="3">
        <f t="shared" ca="1" si="72"/>
        <v>0.87549800796812749</v>
      </c>
      <c r="AA51" s="3">
        <f t="shared" ca="1" si="73"/>
        <v>0.96687422166874237</v>
      </c>
      <c r="AB51" s="3">
        <f t="shared" ca="1" si="74"/>
        <v>0.93773349937733508</v>
      </c>
      <c r="AC51" s="3">
        <f t="shared" ca="1" si="75"/>
        <v>0.80916791230692564</v>
      </c>
      <c r="AE51" s="3">
        <f t="shared" ca="1" si="76"/>
        <v>0.80876483533724375</v>
      </c>
      <c r="AF51" s="3">
        <f t="shared" ca="1" si="77"/>
        <v>0.7880449332157673</v>
      </c>
      <c r="AG51" s="3">
        <f t="shared" ca="1" si="78"/>
        <v>0.85479459524674262</v>
      </c>
      <c r="AH51" s="3">
        <f t="shared" ca="1" si="79"/>
        <v>0.689088147436141</v>
      </c>
      <c r="AJ51" s="3">
        <f t="shared" ca="1" si="80"/>
        <v>2.9880478087649402</v>
      </c>
      <c r="AK51" s="3">
        <f t="shared" ca="1" si="81"/>
        <v>2.4906600249066004</v>
      </c>
      <c r="AL51" s="3">
        <f t="shared" ca="1" si="82"/>
        <v>1.9925280199252804</v>
      </c>
      <c r="AM51" s="3">
        <f t="shared" ca="1" si="83"/>
        <v>2.7404085700049823</v>
      </c>
      <c r="AO51" s="3">
        <f t="shared" ca="1" si="84"/>
        <v>0.49800796812749004</v>
      </c>
      <c r="AP51" s="3">
        <f t="shared" ca="1" si="85"/>
        <v>0.24906600249066005</v>
      </c>
      <c r="AQ51" s="3">
        <f t="shared" ca="1" si="86"/>
        <v>0.4981320049813201</v>
      </c>
      <c r="AR51" s="3">
        <f t="shared" ca="1" si="87"/>
        <v>1.2456402590931739</v>
      </c>
      <c r="AT51" s="3">
        <v>0.41899999976158142</v>
      </c>
      <c r="AU51" s="3">
        <v>0.1289999932050705</v>
      </c>
      <c r="AV51" s="3">
        <v>9.9999997764825821E-3</v>
      </c>
      <c r="AW51" s="3">
        <v>0.43399998545646667</v>
      </c>
      <c r="AY51" s="3">
        <f t="shared" ca="1" si="88"/>
        <v>7.4701195219123481E-2</v>
      </c>
      <c r="AZ51" s="3">
        <f t="shared" ca="1" si="89"/>
        <v>0.53947696139476953</v>
      </c>
      <c r="BA51" s="3">
        <f t="shared" ca="1" si="90"/>
        <v>0.10809464508094645</v>
      </c>
      <c r="BB51" s="3">
        <f t="shared" ca="1" si="91"/>
        <v>0.26557050323866455</v>
      </c>
      <c r="BD51" s="3">
        <f t="shared" ca="1" si="92"/>
        <v>0</v>
      </c>
      <c r="BE51" s="3">
        <f t="shared" ca="1" si="93"/>
        <v>0.59750939662548563</v>
      </c>
      <c r="BF51" s="3">
        <f t="shared" ca="1" si="94"/>
        <v>0.12453300124533002</v>
      </c>
      <c r="BG51" s="3">
        <f t="shared" ca="1" si="95"/>
        <v>0.29870452694353561</v>
      </c>
      <c r="BI51" s="3">
        <f t="shared" ca="1" si="96"/>
        <v>0</v>
      </c>
      <c r="BJ51" s="3">
        <f t="shared" ca="1" si="97"/>
        <v>1.4943960149439603</v>
      </c>
      <c r="BK51" s="3">
        <f t="shared" ca="1" si="98"/>
        <v>0.24906600249066005</v>
      </c>
      <c r="BL51" s="3">
        <f t="shared" ca="1" si="99"/>
        <v>0.99651220727453904</v>
      </c>
      <c r="BN51" s="3">
        <f t="shared" ca="1" si="100"/>
        <v>0.49800796812749004</v>
      </c>
      <c r="BO51" s="3">
        <f t="shared" ca="1" si="101"/>
        <v>0.74719800747198017</v>
      </c>
      <c r="BP51" s="3">
        <f t="shared" ca="1" si="102"/>
        <v>0.74719800747198017</v>
      </c>
      <c r="BQ51" s="3">
        <f t="shared" ca="1" si="103"/>
        <v>1.2456402590931739</v>
      </c>
      <c r="BS51" s="3">
        <v>4.016</v>
      </c>
      <c r="BT51" s="3">
        <v>0.52899998426437378</v>
      </c>
      <c r="BU51" s="3">
        <v>3.4590001106262207</v>
      </c>
      <c r="BV51" s="3">
        <v>0.43399998545646667</v>
      </c>
      <c r="BX51" s="3">
        <f t="shared" ca="1" si="104"/>
        <v>0.14915338645418322</v>
      </c>
      <c r="BY51" s="3">
        <f t="shared" ca="1" si="105"/>
        <v>3.3125778331257787E-2</v>
      </c>
      <c r="BZ51" s="3">
        <f t="shared" ca="1" si="106"/>
        <v>6.2266500622664964E-2</v>
      </c>
      <c r="CA51" s="3">
        <f t="shared" ca="1" si="107"/>
        <v>8.7443946188340782E-2</v>
      </c>
      <c r="CC51" s="3">
        <f t="shared" ca="1" si="108"/>
        <v>0.21140437677087062</v>
      </c>
      <c r="CD51" s="3">
        <f t="shared" ca="1" si="109"/>
        <v>3.3125778657858582E-2</v>
      </c>
      <c r="CE51" s="3">
        <f t="shared" ca="1" si="110"/>
        <v>0</v>
      </c>
      <c r="CF51" s="3">
        <f t="shared" ca="1" si="111"/>
        <v>5.4060789145339939E-2</v>
      </c>
      <c r="CH51" s="3">
        <f t="shared" ca="1" si="112"/>
        <v>1.2450199203187251</v>
      </c>
      <c r="CI51" s="3">
        <f t="shared" ca="1" si="113"/>
        <v>0.24906600249066005</v>
      </c>
      <c r="CJ51" s="3">
        <f t="shared" ca="1" si="114"/>
        <v>0</v>
      </c>
      <c r="CK51" s="3">
        <f t="shared" ca="1" si="115"/>
        <v>0.49825610363726952</v>
      </c>
      <c r="CM51" s="3">
        <f t="shared" ca="1" si="116"/>
        <v>1.9920318725099602</v>
      </c>
      <c r="CN51" s="3">
        <f t="shared" ca="1" si="117"/>
        <v>0.4981320049813201</v>
      </c>
      <c r="CO51" s="3">
        <f t="shared" ca="1" si="118"/>
        <v>0.4981320049813201</v>
      </c>
      <c r="CP51" s="3">
        <f t="shared" ca="1" si="119"/>
        <v>0.99651220727453904</v>
      </c>
      <c r="CR51" s="3">
        <v>1.2690000534057617</v>
      </c>
      <c r="CS51" s="3">
        <v>0.1289999932050705</v>
      </c>
      <c r="CT51" s="3">
        <v>4.0149999999999997</v>
      </c>
      <c r="CU51" s="3">
        <v>2.3499999046325684</v>
      </c>
    </row>
    <row r="52" spans="1:99" s="3" customFormat="1" x14ac:dyDescent="0.35">
      <c r="A52" s="2" t="s">
        <v>45</v>
      </c>
      <c r="B52" s="2">
        <v>7.583333333333333</v>
      </c>
      <c r="C52" s="2" t="s">
        <v>167</v>
      </c>
      <c r="D52" s="2" t="s">
        <v>403</v>
      </c>
      <c r="F52" s="3">
        <v>4.016</v>
      </c>
      <c r="G52" s="3">
        <v>4.016</v>
      </c>
      <c r="H52" s="3">
        <v>4.0149999999999997</v>
      </c>
      <c r="I52" s="3">
        <v>4.0309999999999997</v>
      </c>
      <c r="K52" s="3">
        <f t="shared" ca="1" si="60"/>
        <v>0.99576693227091639</v>
      </c>
      <c r="L52" s="3">
        <f t="shared" ca="1" si="61"/>
        <v>0.9957669322709165</v>
      </c>
      <c r="M52" s="3">
        <f t="shared" ca="1" si="62"/>
        <v>0.99178082191780836</v>
      </c>
      <c r="N52" s="3">
        <f t="shared" ca="1" si="63"/>
        <v>0.92185561895311341</v>
      </c>
      <c r="P52" s="3">
        <f t="shared" ca="1" si="64"/>
        <v>0.72584660497468068</v>
      </c>
      <c r="Q52" s="3">
        <f t="shared" ca="1" si="65"/>
        <v>0.9218127480304551</v>
      </c>
      <c r="R52" s="3">
        <f t="shared" ca="1" si="66"/>
        <v>0.87571599953349777</v>
      </c>
      <c r="S52" s="3">
        <f t="shared" ca="1" si="67"/>
        <v>0.81046885634970944</v>
      </c>
      <c r="U52" s="3">
        <f t="shared" ca="1" si="68"/>
        <v>1.9920318725099602</v>
      </c>
      <c r="V52" s="3">
        <f t="shared" ca="1" si="69"/>
        <v>2.241035856573705</v>
      </c>
      <c r="W52" s="3">
        <f t="shared" ca="1" si="70"/>
        <v>2.2415940224159403</v>
      </c>
      <c r="X52" s="3">
        <f t="shared" ca="1" si="71"/>
        <v>2.7288514016373111</v>
      </c>
      <c r="Z52" s="3">
        <f t="shared" ca="1" si="72"/>
        <v>0.94995019920318735</v>
      </c>
      <c r="AA52" s="3">
        <f t="shared" ca="1" si="73"/>
        <v>0.97933266932270935</v>
      </c>
      <c r="AB52" s="3">
        <f t="shared" ca="1" si="74"/>
        <v>0.99178082191780836</v>
      </c>
      <c r="AC52" s="3">
        <f t="shared" ca="1" si="75"/>
        <v>0.92185561895311341</v>
      </c>
      <c r="AE52" s="3">
        <f t="shared" ca="1" si="76"/>
        <v>0.6884959984600425</v>
      </c>
      <c r="AF52" s="3">
        <f t="shared" ca="1" si="77"/>
        <v>0.9218127480304551</v>
      </c>
      <c r="AG52" s="3">
        <f t="shared" ca="1" si="78"/>
        <v>0.87571599953349777</v>
      </c>
      <c r="AH52" s="3">
        <f t="shared" ca="1" si="79"/>
        <v>0.81046885634970944</v>
      </c>
      <c r="AJ52" s="3">
        <f t="shared" ca="1" si="80"/>
        <v>1.7430278884462151</v>
      </c>
      <c r="AK52" s="3">
        <f t="shared" ca="1" si="81"/>
        <v>2.241035856573705</v>
      </c>
      <c r="AL52" s="3">
        <f t="shared" ca="1" si="82"/>
        <v>2.2415940224159403</v>
      </c>
      <c r="AM52" s="3">
        <f t="shared" ca="1" si="83"/>
        <v>2.7288514016373111</v>
      </c>
      <c r="AO52" s="3">
        <f t="shared" ca="1" si="84"/>
        <v>0.49800796812749004</v>
      </c>
      <c r="AP52" s="3">
        <f t="shared" ca="1" si="85"/>
        <v>0.49800796812749004</v>
      </c>
      <c r="AQ52" s="3">
        <f t="shared" ca="1" si="86"/>
        <v>0.24906600249066005</v>
      </c>
      <c r="AR52" s="3">
        <f t="shared" ca="1" si="87"/>
        <v>0.24807740014884647</v>
      </c>
      <c r="AT52" s="3">
        <v>8.999999612569809E-3</v>
      </c>
      <c r="AU52" s="3">
        <v>2.0000000949949026E-3</v>
      </c>
      <c r="AV52" s="3">
        <v>3.2000001519918442E-2</v>
      </c>
      <c r="AW52" s="3">
        <v>0.33700001239776611</v>
      </c>
      <c r="AY52" s="3">
        <f t="shared" ca="1" si="88"/>
        <v>0.43152390438247001</v>
      </c>
      <c r="AZ52" s="3">
        <f t="shared" ca="1" si="89"/>
        <v>0.53934262948207168</v>
      </c>
      <c r="BA52" s="3">
        <f t="shared" ca="1" si="90"/>
        <v>0.35267745952677471</v>
      </c>
      <c r="BB52" s="3">
        <f t="shared" ca="1" si="91"/>
        <v>0.50855867030513535</v>
      </c>
      <c r="BD52" s="3">
        <f t="shared" ca="1" si="92"/>
        <v>0.42305781461476566</v>
      </c>
      <c r="BE52" s="3">
        <f t="shared" ca="1" si="93"/>
        <v>0.47758966684341431</v>
      </c>
      <c r="BF52" s="3">
        <f t="shared" ca="1" si="94"/>
        <v>0.32777084063177242</v>
      </c>
      <c r="BG52" s="3">
        <f t="shared" ca="1" si="95"/>
        <v>0.57032997866653978</v>
      </c>
      <c r="BI52" s="3">
        <f t="shared" ca="1" si="96"/>
        <v>0.74701195219123506</v>
      </c>
      <c r="BJ52" s="3">
        <f t="shared" ca="1" si="97"/>
        <v>1.2450199203187251</v>
      </c>
      <c r="BK52" s="3">
        <f t="shared" ca="1" si="98"/>
        <v>0.74719800747198017</v>
      </c>
      <c r="BL52" s="3">
        <f t="shared" ca="1" si="99"/>
        <v>1.7365418010419251</v>
      </c>
      <c r="BN52" s="3">
        <f t="shared" ca="1" si="100"/>
        <v>0.99601593625498008</v>
      </c>
      <c r="BO52" s="3">
        <f t="shared" ca="1" si="101"/>
        <v>0.74701195219123506</v>
      </c>
      <c r="BP52" s="3">
        <f t="shared" ca="1" si="102"/>
        <v>0.74719800747198017</v>
      </c>
      <c r="BQ52" s="3">
        <f t="shared" ca="1" si="103"/>
        <v>0.99230960059538587</v>
      </c>
      <c r="BS52" s="3">
        <v>8.999999612569809E-3</v>
      </c>
      <c r="BT52" s="3">
        <v>0.50099998712539673</v>
      </c>
      <c r="BU52" s="3">
        <v>0.34799998998641968</v>
      </c>
      <c r="BV52" s="3">
        <v>0.33700001239776611</v>
      </c>
      <c r="BX52" s="3">
        <f t="shared" ca="1" si="104"/>
        <v>4.980079681274905E-2</v>
      </c>
      <c r="BY52" s="3">
        <f t="shared" ca="1" si="105"/>
        <v>5.8017928286852614E-2</v>
      </c>
      <c r="BZ52" s="3">
        <f t="shared" ca="1" si="106"/>
        <v>0.17011207970112083</v>
      </c>
      <c r="CA52" s="3">
        <f t="shared" ca="1" si="107"/>
        <v>4.5398164227238746E-2</v>
      </c>
      <c r="CC52" s="3">
        <f t="shared" ca="1" si="108"/>
        <v>4.1583619744654195E-2</v>
      </c>
      <c r="CD52" s="3">
        <f t="shared" ca="1" si="109"/>
        <v>9.9601617372368431E-2</v>
      </c>
      <c r="CE52" s="3">
        <f t="shared" ca="1" si="110"/>
        <v>0.203237854231933</v>
      </c>
      <c r="CF52" s="3">
        <f t="shared" ca="1" si="111"/>
        <v>0</v>
      </c>
      <c r="CH52" s="3">
        <f t="shared" ca="1" si="112"/>
        <v>0.24900398406374502</v>
      </c>
      <c r="CI52" s="3">
        <f t="shared" ca="1" si="113"/>
        <v>0.24900398406374502</v>
      </c>
      <c r="CJ52" s="3">
        <f t="shared" ca="1" si="114"/>
        <v>0.24906600249066005</v>
      </c>
      <c r="CK52" s="3">
        <f t="shared" ca="1" si="115"/>
        <v>0</v>
      </c>
      <c r="CM52" s="3">
        <f t="shared" ca="1" si="116"/>
        <v>0.24900398406374502</v>
      </c>
      <c r="CN52" s="3">
        <f t="shared" ca="1" si="117"/>
        <v>0.49800796812749004</v>
      </c>
      <c r="CO52" s="3">
        <f t="shared" ca="1" si="118"/>
        <v>0.24906600249066005</v>
      </c>
      <c r="CP52" s="3">
        <f t="shared" ca="1" si="119"/>
        <v>0.49615480029769293</v>
      </c>
      <c r="CR52" s="3">
        <v>3.8410000801086426</v>
      </c>
      <c r="CS52" s="3">
        <v>1.9509999752044678</v>
      </c>
      <c r="CT52" s="3">
        <v>1.1150000095367432</v>
      </c>
      <c r="CU52" s="3">
        <v>4.0309999999999997</v>
      </c>
    </row>
    <row r="53" spans="1:99" s="3" customFormat="1" x14ac:dyDescent="0.35">
      <c r="A53" s="2" t="s">
        <v>68</v>
      </c>
      <c r="B53" s="2">
        <v>7.666666666666667</v>
      </c>
      <c r="C53" s="2" t="s">
        <v>167</v>
      </c>
      <c r="D53" s="2" t="s">
        <v>403</v>
      </c>
      <c r="F53" s="3">
        <v>4.0149999999999997</v>
      </c>
      <c r="G53" s="3">
        <v>4.0110000000000001</v>
      </c>
      <c r="H53" s="3">
        <v>4.0149999999999997</v>
      </c>
      <c r="I53" s="3">
        <v>4.0110000000000001</v>
      </c>
      <c r="K53" s="3">
        <f t="shared" ca="1" si="60"/>
        <v>0.76388542963885431</v>
      </c>
      <c r="L53" s="3">
        <f t="shared" ca="1" si="61"/>
        <v>0.94714535028671165</v>
      </c>
      <c r="M53" s="3">
        <f t="shared" ca="1" si="62"/>
        <v>0.95865504358655051</v>
      </c>
      <c r="N53" s="3">
        <f t="shared" ca="1" si="63"/>
        <v>0.98878085265519822</v>
      </c>
      <c r="P53" s="3">
        <f t="shared" ca="1" si="64"/>
        <v>0.64308848579972056</v>
      </c>
      <c r="Q53" s="3">
        <f t="shared" ca="1" si="65"/>
        <v>0.26975825477258669</v>
      </c>
      <c r="R53" s="3">
        <f t="shared" ca="1" si="66"/>
        <v>0.26600249529181802</v>
      </c>
      <c r="S53" s="3">
        <f t="shared" ca="1" si="67"/>
        <v>0.41560713518471287</v>
      </c>
      <c r="U53" s="3">
        <f t="shared" ca="1" si="68"/>
        <v>1.9925280199252804</v>
      </c>
      <c r="V53" s="3">
        <f t="shared" ca="1" si="69"/>
        <v>1.9945150835203191</v>
      </c>
      <c r="W53" s="3">
        <f t="shared" ca="1" si="70"/>
        <v>1.2453300124533002</v>
      </c>
      <c r="X53" s="3">
        <f t="shared" ca="1" si="71"/>
        <v>1.9945150835203191</v>
      </c>
      <c r="Z53" s="3">
        <f t="shared" ca="1" si="72"/>
        <v>0.7887920298879203</v>
      </c>
      <c r="AA53" s="3">
        <f t="shared" ca="1" si="73"/>
        <v>0.98030416355023686</v>
      </c>
      <c r="AB53" s="3">
        <f t="shared" ca="1" si="74"/>
        <v>0.87148194271481938</v>
      </c>
      <c r="AC53" s="3">
        <f t="shared" ca="1" si="75"/>
        <v>0.93467963101470952</v>
      </c>
      <c r="AE53" s="3">
        <f t="shared" ca="1" si="76"/>
        <v>0.64308848579972056</v>
      </c>
      <c r="AF53" s="3">
        <f t="shared" ca="1" si="77"/>
        <v>0.26975825477258669</v>
      </c>
      <c r="AG53" s="3">
        <f t="shared" ca="1" si="78"/>
        <v>0.26600249529181802</v>
      </c>
      <c r="AH53" s="3">
        <f t="shared" ca="1" si="79"/>
        <v>0.41560713518471287</v>
      </c>
      <c r="AJ53" s="3">
        <f t="shared" ca="1" si="80"/>
        <v>1.9925280199252804</v>
      </c>
      <c r="AK53" s="3">
        <f t="shared" ca="1" si="81"/>
        <v>1.9945150835203191</v>
      </c>
      <c r="AL53" s="3">
        <f t="shared" ca="1" si="82"/>
        <v>1.2453300124533002</v>
      </c>
      <c r="AM53" s="3">
        <f t="shared" ca="1" si="83"/>
        <v>1.9945150835203191</v>
      </c>
      <c r="AO53" s="3">
        <f t="shared" ca="1" si="84"/>
        <v>1.2453300124533002</v>
      </c>
      <c r="AP53" s="3">
        <f t="shared" ca="1" si="85"/>
        <v>0.24931438544003989</v>
      </c>
      <c r="AQ53" s="3">
        <f t="shared" ca="1" si="86"/>
        <v>0.4981320049813201</v>
      </c>
      <c r="AR53" s="3">
        <f t="shared" ca="1" si="87"/>
        <v>0.74794315632011965</v>
      </c>
      <c r="AT53" s="3">
        <v>0.18400000035762787</v>
      </c>
      <c r="AU53" s="3">
        <v>0.10999999940395355</v>
      </c>
      <c r="AV53" s="3">
        <v>0.38400000333786011</v>
      </c>
      <c r="AW53" s="3">
        <v>4.5000001788139343E-2</v>
      </c>
      <c r="AY53" s="3">
        <f t="shared" ca="1" si="88"/>
        <v>2.0921544209215461E-2</v>
      </c>
      <c r="AZ53" s="3">
        <f t="shared" ca="1" si="89"/>
        <v>0</v>
      </c>
      <c r="BA53" s="3">
        <f t="shared" ca="1" si="90"/>
        <v>7.4719800747198029E-2</v>
      </c>
      <c r="BB53" s="3">
        <f t="shared" ca="1" si="91"/>
        <v>0.14535028671154335</v>
      </c>
      <c r="BD53" s="3">
        <f t="shared" ca="1" si="92"/>
        <v>0</v>
      </c>
      <c r="BE53" s="3">
        <f t="shared" ca="1" si="93"/>
        <v>0</v>
      </c>
      <c r="BF53" s="3">
        <f t="shared" ca="1" si="94"/>
        <v>0.11631381021787043</v>
      </c>
      <c r="BG53" s="3">
        <f t="shared" ca="1" si="95"/>
        <v>0.21590627181919339</v>
      </c>
      <c r="BI53" s="3">
        <f t="shared" ca="1" si="96"/>
        <v>0</v>
      </c>
      <c r="BJ53" s="3">
        <f t="shared" ca="1" si="97"/>
        <v>0</v>
      </c>
      <c r="BK53" s="3">
        <f t="shared" ca="1" si="98"/>
        <v>0.74719800747198017</v>
      </c>
      <c r="BL53" s="3">
        <f t="shared" ca="1" si="99"/>
        <v>0.99725754176015957</v>
      </c>
      <c r="BN53" s="3">
        <f t="shared" ca="1" si="100"/>
        <v>0.4981320049813201</v>
      </c>
      <c r="BO53" s="3">
        <f t="shared" ca="1" si="101"/>
        <v>0.24931438544003989</v>
      </c>
      <c r="BP53" s="3">
        <f t="shared" ca="1" si="102"/>
        <v>1.9925280199252804</v>
      </c>
      <c r="BQ53" s="3">
        <f t="shared" ca="1" si="103"/>
        <v>3.7397157816005984</v>
      </c>
      <c r="BS53" s="3">
        <v>4.0149999999999997</v>
      </c>
      <c r="BT53" s="3">
        <v>4.0110000000000001</v>
      </c>
      <c r="BU53" s="3">
        <v>0.38400000333786011</v>
      </c>
      <c r="BV53" s="3">
        <v>1.0279999971389771</v>
      </c>
      <c r="BX53" s="3">
        <f t="shared" ca="1" si="104"/>
        <v>0.12453300124532997</v>
      </c>
      <c r="BY53" s="3">
        <f t="shared" ca="1" si="105"/>
        <v>0.13737222637746199</v>
      </c>
      <c r="BZ53" s="3">
        <f t="shared" ca="1" si="106"/>
        <v>2.515566625155663E-2</v>
      </c>
      <c r="CA53" s="3">
        <f t="shared" ca="1" si="107"/>
        <v>3.7646472201446027E-2</v>
      </c>
      <c r="CC53" s="3">
        <f t="shared" ca="1" si="108"/>
        <v>5.3798276490321942E-2</v>
      </c>
      <c r="CD53" s="3">
        <f t="shared" ca="1" si="109"/>
        <v>7.8783341994816986E-2</v>
      </c>
      <c r="CE53" s="3">
        <f t="shared" ca="1" si="110"/>
        <v>0</v>
      </c>
      <c r="CF53" s="3">
        <f t="shared" ca="1" si="111"/>
        <v>3.3408143341437269E-2</v>
      </c>
      <c r="CH53" s="3">
        <f t="shared" ca="1" si="112"/>
        <v>0.24906600249066005</v>
      </c>
      <c r="CI53" s="3">
        <f t="shared" ca="1" si="113"/>
        <v>0.49862877088007979</v>
      </c>
      <c r="CJ53" s="3">
        <f t="shared" ca="1" si="114"/>
        <v>0</v>
      </c>
      <c r="CK53" s="3">
        <f t="shared" ca="1" si="115"/>
        <v>0.24931438544003989</v>
      </c>
      <c r="CM53" s="3">
        <f t="shared" ca="1" si="116"/>
        <v>2.4906600249066004</v>
      </c>
      <c r="CN53" s="3">
        <f t="shared" ca="1" si="117"/>
        <v>4.4876589379207177</v>
      </c>
      <c r="CO53" s="3">
        <f t="shared" ca="1" si="118"/>
        <v>1.7434620174346203</v>
      </c>
      <c r="CP53" s="3">
        <f t="shared" ca="1" si="119"/>
        <v>2.2438294689603588</v>
      </c>
      <c r="CR53" s="3">
        <v>3.75</v>
      </c>
      <c r="CS53" s="3">
        <v>1.3259999752044678</v>
      </c>
      <c r="CT53" s="3">
        <v>4.0149999999999997</v>
      </c>
      <c r="CU53" s="3">
        <v>2.7939999103546143</v>
      </c>
    </row>
    <row r="54" spans="1:99" s="3" customFormat="1" x14ac:dyDescent="0.35">
      <c r="A54" s="2" t="s">
        <v>18</v>
      </c>
      <c r="B54" s="2">
        <v>8</v>
      </c>
      <c r="C54" s="2" t="s">
        <v>168</v>
      </c>
      <c r="D54" s="2" t="s">
        <v>403</v>
      </c>
      <c r="F54" s="3">
        <v>4.0149999999999997</v>
      </c>
      <c r="G54" s="3">
        <v>4.0149999999999997</v>
      </c>
      <c r="H54" s="3">
        <v>4.016</v>
      </c>
      <c r="I54" s="3">
        <v>4.016</v>
      </c>
      <c r="K54" s="3">
        <f t="shared" ca="1" si="60"/>
        <v>0.97509339975093412</v>
      </c>
      <c r="L54" s="3">
        <f t="shared" ca="1" si="61"/>
        <v>0.99601494396014945</v>
      </c>
      <c r="M54" s="3">
        <f t="shared" ca="1" si="62"/>
        <v>0.92953187250996017</v>
      </c>
      <c r="N54" s="3">
        <f t="shared" ca="1" si="63"/>
        <v>0.99576693227091628</v>
      </c>
      <c r="P54" s="3">
        <f t="shared" ca="1" si="64"/>
        <v>0.2276462791568761</v>
      </c>
      <c r="Q54" s="3">
        <f t="shared" ca="1" si="65"/>
        <v>0.54396012354906598</v>
      </c>
      <c r="R54" s="3">
        <f t="shared" ca="1" si="66"/>
        <v>0.34013947850442028</v>
      </c>
      <c r="S54" s="3">
        <f t="shared" ca="1" si="67"/>
        <v>0.41135451737865508</v>
      </c>
      <c r="U54" s="3">
        <f t="shared" ca="1" si="68"/>
        <v>1.2453300124533002</v>
      </c>
      <c r="V54" s="3">
        <f t="shared" ca="1" si="69"/>
        <v>2.4906600249066004</v>
      </c>
      <c r="W54" s="3">
        <f t="shared" ca="1" si="70"/>
        <v>2.241035856573705</v>
      </c>
      <c r="X54" s="3">
        <f t="shared" ca="1" si="71"/>
        <v>2.739043824701195</v>
      </c>
      <c r="Z54" s="3">
        <f t="shared" ca="1" si="72"/>
        <v>0.82141967621419687</v>
      </c>
      <c r="AA54" s="3">
        <f t="shared" ca="1" si="73"/>
        <v>0.98779576587795781</v>
      </c>
      <c r="AB54" s="3">
        <f t="shared" ca="1" si="74"/>
        <v>0.74277888446215146</v>
      </c>
      <c r="AC54" s="3">
        <f t="shared" ca="1" si="75"/>
        <v>0.99576693227091628</v>
      </c>
      <c r="AE54" s="3">
        <f t="shared" ca="1" si="76"/>
        <v>0.2276462791568761</v>
      </c>
      <c r="AF54" s="3">
        <f t="shared" ca="1" si="77"/>
        <v>0.54396012354906598</v>
      </c>
      <c r="AG54" s="3">
        <f t="shared" ca="1" si="78"/>
        <v>0.2487549907064058</v>
      </c>
      <c r="AH54" s="3">
        <f t="shared" ca="1" si="79"/>
        <v>0.41135451737865508</v>
      </c>
      <c r="AJ54" s="3">
        <f t="shared" ca="1" si="80"/>
        <v>1.2453300124533002</v>
      </c>
      <c r="AK54" s="3">
        <f t="shared" ca="1" si="81"/>
        <v>2.4906600249066004</v>
      </c>
      <c r="AL54" s="3">
        <f t="shared" ca="1" si="82"/>
        <v>1.9920318725099602</v>
      </c>
      <c r="AM54" s="3">
        <f t="shared" ca="1" si="83"/>
        <v>2.739043824701195</v>
      </c>
      <c r="AO54" s="3">
        <f t="shared" ca="1" si="84"/>
        <v>0.4981320049813201</v>
      </c>
      <c r="AP54" s="3">
        <f t="shared" ca="1" si="85"/>
        <v>0.4981320049813201</v>
      </c>
      <c r="AQ54" s="3">
        <f t="shared" ca="1" si="86"/>
        <v>1.7430278884462151</v>
      </c>
      <c r="AR54" s="3">
        <f t="shared" ca="1" si="87"/>
        <v>0.24900398406374502</v>
      </c>
      <c r="AT54" s="3">
        <v>0.17499999701976776</v>
      </c>
      <c r="AU54" s="3">
        <v>0.4440000057220459</v>
      </c>
      <c r="AV54" s="3">
        <v>0.42800000309944153</v>
      </c>
      <c r="AW54" s="3">
        <v>0.29600000381469727</v>
      </c>
      <c r="AY54" s="3">
        <f t="shared" ca="1" si="88"/>
        <v>1.2453300124533013E-2</v>
      </c>
      <c r="AZ54" s="3">
        <f t="shared" ca="1" si="89"/>
        <v>0.24458281444582816</v>
      </c>
      <c r="BA54" s="3">
        <f t="shared" ca="1" si="90"/>
        <v>2.0667330677290773E-2</v>
      </c>
      <c r="BB54" s="3">
        <f t="shared" ca="1" si="91"/>
        <v>5.8017928286852656E-2</v>
      </c>
      <c r="BD54" s="3">
        <f t="shared" ca="1" si="92"/>
        <v>0</v>
      </c>
      <c r="BE54" s="3">
        <f t="shared" ca="1" si="93"/>
        <v>0.31980075693664933</v>
      </c>
      <c r="BF54" s="3">
        <f t="shared" ca="1" si="94"/>
        <v>2.913349178207823E-2</v>
      </c>
      <c r="BG54" s="3">
        <f t="shared" ca="1" si="95"/>
        <v>5.8266946459671412E-2</v>
      </c>
      <c r="BI54" s="3">
        <f t="shared" ca="1" si="96"/>
        <v>0</v>
      </c>
      <c r="BJ54" s="3">
        <f t="shared" ca="1" si="97"/>
        <v>1.2453300124533002</v>
      </c>
      <c r="BK54" s="3">
        <f t="shared" ca="1" si="98"/>
        <v>0.24900398406374502</v>
      </c>
      <c r="BL54" s="3">
        <f t="shared" ca="1" si="99"/>
        <v>0.49800796812749004</v>
      </c>
      <c r="BN54" s="3">
        <f t="shared" ca="1" si="100"/>
        <v>1.4943960149439603</v>
      </c>
      <c r="BO54" s="3">
        <f t="shared" ca="1" si="101"/>
        <v>2.4906600249066004</v>
      </c>
      <c r="BP54" s="3">
        <f t="shared" ca="1" si="102"/>
        <v>4.7310756972111552</v>
      </c>
      <c r="BQ54" s="3">
        <f t="shared" ca="1" si="103"/>
        <v>2.241035856573705</v>
      </c>
      <c r="BS54" s="3">
        <v>4.0149999999999997</v>
      </c>
      <c r="BT54" s="3">
        <v>0.4440000057220459</v>
      </c>
      <c r="BU54" s="3">
        <v>2.2439999580383301</v>
      </c>
      <c r="BV54" s="3">
        <v>0.29600000381469727</v>
      </c>
      <c r="BX54" s="3">
        <f t="shared" ca="1" si="104"/>
        <v>2.4657534246575283E-2</v>
      </c>
      <c r="BY54" s="3">
        <f t="shared" ca="1" si="105"/>
        <v>0</v>
      </c>
      <c r="BZ54" s="3">
        <f t="shared" ca="1" si="106"/>
        <v>4.5816733067729168E-2</v>
      </c>
      <c r="CA54" s="3">
        <f t="shared" ca="1" si="107"/>
        <v>0</v>
      </c>
      <c r="CC54" s="3">
        <f t="shared" ca="1" si="108"/>
        <v>0</v>
      </c>
      <c r="CD54" s="3">
        <f t="shared" ca="1" si="109"/>
        <v>0</v>
      </c>
      <c r="CE54" s="3">
        <f t="shared" ca="1" si="110"/>
        <v>5.8017967944126204E-2</v>
      </c>
      <c r="CF54" s="3">
        <f t="shared" ca="1" si="111"/>
        <v>0</v>
      </c>
      <c r="CH54" s="3">
        <f t="shared" ca="1" si="112"/>
        <v>0</v>
      </c>
      <c r="CI54" s="3">
        <f t="shared" ca="1" si="113"/>
        <v>0</v>
      </c>
      <c r="CJ54" s="3">
        <f t="shared" ca="1" si="114"/>
        <v>0.49800796812749004</v>
      </c>
      <c r="CK54" s="3">
        <f t="shared" ca="1" si="115"/>
        <v>0</v>
      </c>
      <c r="CM54" s="3">
        <f t="shared" ca="1" si="116"/>
        <v>0.9962640099626402</v>
      </c>
      <c r="CN54" s="3">
        <f t="shared" ca="1" si="117"/>
        <v>0</v>
      </c>
      <c r="CO54" s="3">
        <f t="shared" ca="1" si="118"/>
        <v>1.9920318725099602</v>
      </c>
      <c r="CP54" s="3">
        <f t="shared" ca="1" si="119"/>
        <v>0</v>
      </c>
      <c r="CR54" s="3">
        <v>4.0149999999999997</v>
      </c>
      <c r="CS54" s="3">
        <v>4.0149999999999997</v>
      </c>
      <c r="CT54" s="3">
        <v>1.5279999971389771</v>
      </c>
      <c r="CU54" s="3">
        <v>4.016</v>
      </c>
    </row>
    <row r="55" spans="1:99" s="3" customFormat="1" x14ac:dyDescent="0.35">
      <c r="A55" s="2" t="s">
        <v>3</v>
      </c>
      <c r="B55" s="2">
        <v>8.0833333333333339</v>
      </c>
      <c r="C55" s="2" t="s">
        <v>168</v>
      </c>
      <c r="D55" s="2" t="s">
        <v>403</v>
      </c>
      <c r="F55" s="3" t="e">
        <v>#N/A</v>
      </c>
      <c r="G55" s="3" t="e">
        <v>#N/A</v>
      </c>
      <c r="H55" s="3">
        <v>3.0569999999999999</v>
      </c>
      <c r="I55" s="3" t="e">
        <v>#N/A</v>
      </c>
      <c r="K55" s="3" t="e">
        <f t="shared" ca="1" si="60"/>
        <v>#N/A</v>
      </c>
      <c r="L55" s="3" t="e">
        <f t="shared" ca="1" si="61"/>
        <v>#N/A</v>
      </c>
      <c r="M55" s="3">
        <f t="shared" ca="1" si="62"/>
        <v>0.43048740595354906</v>
      </c>
      <c r="N55" s="3" t="e">
        <f t="shared" ca="1" si="63"/>
        <v>#N/A</v>
      </c>
      <c r="P55" s="3" t="e">
        <f t="shared" ca="1" si="64"/>
        <v>#N/A</v>
      </c>
      <c r="Q55" s="3" t="e">
        <f t="shared" ca="1" si="65"/>
        <v>#N/A</v>
      </c>
      <c r="R55" s="3">
        <f t="shared" ca="1" si="66"/>
        <v>0.59437344266887115</v>
      </c>
      <c r="S55" s="3" t="e">
        <f t="shared" ca="1" si="67"/>
        <v>#N/A</v>
      </c>
      <c r="U55" s="3" t="e">
        <f t="shared" ca="1" si="68"/>
        <v>#N/A</v>
      </c>
      <c r="V55" s="3" t="e">
        <f t="shared" ca="1" si="69"/>
        <v>#N/A</v>
      </c>
      <c r="W55" s="3">
        <f t="shared" ca="1" si="70"/>
        <v>2.2898266274124959</v>
      </c>
      <c r="X55" s="3" t="e">
        <f t="shared" ca="1" si="71"/>
        <v>#N/A</v>
      </c>
      <c r="Z55" s="3" t="e">
        <f t="shared" ca="1" si="72"/>
        <v>#N/A</v>
      </c>
      <c r="AA55" s="3" t="e">
        <f t="shared" ca="1" si="73"/>
        <v>#N/A</v>
      </c>
      <c r="AB55" s="3">
        <f t="shared" ca="1" si="74"/>
        <v>0.30552829571475293</v>
      </c>
      <c r="AC55" s="3" t="e">
        <f t="shared" ca="1" si="75"/>
        <v>#N/A</v>
      </c>
      <c r="AE55" s="3" t="e">
        <f t="shared" ca="1" si="76"/>
        <v>#N/A</v>
      </c>
      <c r="AF55" s="3" t="e">
        <f t="shared" ca="1" si="77"/>
        <v>#N/A</v>
      </c>
      <c r="AG55" s="3">
        <f t="shared" ca="1" si="78"/>
        <v>0.24533848923173729</v>
      </c>
      <c r="AH55" s="3" t="e">
        <f t="shared" ca="1" si="79"/>
        <v>#N/A</v>
      </c>
      <c r="AJ55" s="3" t="e">
        <f t="shared" ca="1" si="80"/>
        <v>#N/A</v>
      </c>
      <c r="AK55" s="3" t="e">
        <f t="shared" ca="1" si="81"/>
        <v>#N/A</v>
      </c>
      <c r="AL55" s="3">
        <f t="shared" ca="1" si="82"/>
        <v>1.3084723585214262</v>
      </c>
      <c r="AM55" s="3" t="e">
        <f t="shared" ca="1" si="83"/>
        <v>#N/A</v>
      </c>
      <c r="AO55" s="3" t="e">
        <f t="shared" ca="1" si="84"/>
        <v>#N/A</v>
      </c>
      <c r="AP55" s="3" t="e">
        <f t="shared" ca="1" si="85"/>
        <v>#N/A</v>
      </c>
      <c r="AQ55" s="3">
        <f t="shared" ca="1" si="86"/>
        <v>1.6355904481517829</v>
      </c>
      <c r="AR55" s="3" t="e">
        <f t="shared" ca="1" si="87"/>
        <v>#N/A</v>
      </c>
      <c r="AT55" s="3">
        <v>0.29399999976158142</v>
      </c>
      <c r="AU55" s="3">
        <v>0.75499999523162842</v>
      </c>
      <c r="AV55" s="3">
        <v>2.0360000133514404</v>
      </c>
      <c r="AW55" s="11" t="e">
        <v>#N/A</v>
      </c>
      <c r="AY55" s="3" t="e">
        <f t="shared" ca="1" si="88"/>
        <v>#N/A</v>
      </c>
      <c r="AZ55" s="3" t="e">
        <f t="shared" ca="1" si="89"/>
        <v>#N/A</v>
      </c>
      <c r="BA55" s="3">
        <f t="shared" ca="1" si="90"/>
        <v>0</v>
      </c>
      <c r="BB55" s="3" t="e">
        <f t="shared" ca="1" si="91"/>
        <v>#N/A</v>
      </c>
      <c r="BD55" s="3" t="e">
        <f t="shared" ca="1" si="92"/>
        <v>#N/A</v>
      </c>
      <c r="BE55" s="3" t="e">
        <f t="shared" ca="1" si="93"/>
        <v>#N/A</v>
      </c>
      <c r="BF55" s="3">
        <f t="shared" ca="1" si="94"/>
        <v>0</v>
      </c>
      <c r="BG55" s="3" t="e">
        <f t="shared" ca="1" si="95"/>
        <v>#N/A</v>
      </c>
      <c r="BI55" s="3" t="e">
        <f t="shared" ca="1" si="96"/>
        <v>#N/A</v>
      </c>
      <c r="BJ55" s="3" t="e">
        <f t="shared" ca="1" si="97"/>
        <v>#N/A</v>
      </c>
      <c r="BK55" s="3">
        <f t="shared" ca="1" si="98"/>
        <v>0</v>
      </c>
      <c r="BL55" s="3" t="e">
        <f t="shared" ca="1" si="99"/>
        <v>#N/A</v>
      </c>
      <c r="BN55" s="3" t="e">
        <f t="shared" ca="1" si="100"/>
        <v>#N/A</v>
      </c>
      <c r="BO55" s="3" t="e">
        <f t="shared" ca="1" si="101"/>
        <v>#N/A</v>
      </c>
      <c r="BP55" s="3">
        <f t="shared" ca="1" si="102"/>
        <v>0</v>
      </c>
      <c r="BQ55" s="3" t="e">
        <f t="shared" ca="1" si="103"/>
        <v>#N/A</v>
      </c>
      <c r="BS55" s="3">
        <v>4.0010000000000003</v>
      </c>
      <c r="BT55" s="3">
        <v>4.0110000000000001</v>
      </c>
      <c r="BU55" s="3">
        <v>4.01</v>
      </c>
      <c r="BV55" s="11" t="e">
        <v>#N/A</v>
      </c>
      <c r="BX55" s="3" t="e">
        <f t="shared" ca="1" si="104"/>
        <v>#N/A</v>
      </c>
      <c r="BY55" s="3" t="e">
        <f t="shared" ca="1" si="105"/>
        <v>#N/A</v>
      </c>
      <c r="BZ55" s="3">
        <f t="shared" ca="1" si="106"/>
        <v>0.1089303238469088</v>
      </c>
      <c r="CA55" s="3" t="e">
        <f t="shared" ca="1" si="107"/>
        <v>#N/A</v>
      </c>
      <c r="CC55" s="3" t="e">
        <f t="shared" ca="1" si="108"/>
        <v>#N/A</v>
      </c>
      <c r="CD55" s="3" t="e">
        <f t="shared" ca="1" si="109"/>
        <v>#N/A</v>
      </c>
      <c r="CE55" s="3">
        <f t="shared" ca="1" si="110"/>
        <v>0.11449130017421275</v>
      </c>
      <c r="CF55" s="3" t="e">
        <f t="shared" ca="1" si="111"/>
        <v>#N/A</v>
      </c>
      <c r="CH55" s="3" t="e">
        <f t="shared" ca="1" si="112"/>
        <v>#N/A</v>
      </c>
      <c r="CI55" s="3" t="e">
        <f t="shared" ca="1" si="113"/>
        <v>#N/A</v>
      </c>
      <c r="CJ55" s="3">
        <f t="shared" ca="1" si="114"/>
        <v>0.32711808963035655</v>
      </c>
      <c r="CK55" s="3" t="e">
        <f t="shared" ca="1" si="115"/>
        <v>#N/A</v>
      </c>
      <c r="CM55" s="3" t="e">
        <f t="shared" ca="1" si="116"/>
        <v>#N/A</v>
      </c>
      <c r="CN55" s="3" t="e">
        <f t="shared" ca="1" si="117"/>
        <v>#N/A</v>
      </c>
      <c r="CO55" s="3">
        <f t="shared" ca="1" si="118"/>
        <v>0.32711808963035655</v>
      </c>
      <c r="CP55" s="3" t="e">
        <f t="shared" ca="1" si="119"/>
        <v>#N/A</v>
      </c>
      <c r="CR55" s="3">
        <v>1.2940000295639038</v>
      </c>
      <c r="CS55" s="3">
        <v>1.7050000429153442</v>
      </c>
      <c r="CT55" s="3">
        <v>3.5520000457763672</v>
      </c>
      <c r="CU55" s="11" t="e">
        <v>#N/A</v>
      </c>
    </row>
    <row r="56" spans="1:99" s="3" customFormat="1" x14ac:dyDescent="0.35">
      <c r="A56" s="2" t="s">
        <v>15</v>
      </c>
      <c r="B56" s="2">
        <v>8.25</v>
      </c>
      <c r="C56" s="2" t="s">
        <v>168</v>
      </c>
      <c r="D56" s="2" t="s">
        <v>403</v>
      </c>
      <c r="F56" s="3">
        <v>4.016</v>
      </c>
      <c r="G56" s="3">
        <v>4.016</v>
      </c>
      <c r="H56" s="3">
        <v>4.016</v>
      </c>
      <c r="I56" s="3">
        <v>4.0149999999999997</v>
      </c>
      <c r="K56" s="3">
        <f t="shared" ca="1" si="60"/>
        <v>0.99551792828685259</v>
      </c>
      <c r="L56" s="3">
        <f t="shared" ca="1" si="61"/>
        <v>0.95443227091633476</v>
      </c>
      <c r="M56" s="3">
        <f t="shared" ca="1" si="62"/>
        <v>0.99576693227091628</v>
      </c>
      <c r="N56" s="3">
        <f t="shared" ca="1" si="63"/>
        <v>0.99601494396014956</v>
      </c>
      <c r="P56" s="3">
        <f t="shared" ca="1" si="64"/>
        <v>0.99551796716493202</v>
      </c>
      <c r="Q56" s="3">
        <f t="shared" ca="1" si="65"/>
        <v>0.86354571941913483</v>
      </c>
      <c r="R56" s="3">
        <f t="shared" ca="1" si="66"/>
        <v>0.92529888409542371</v>
      </c>
      <c r="S56" s="3">
        <f t="shared" ca="1" si="67"/>
        <v>0.93349933599331802</v>
      </c>
      <c r="U56" s="3">
        <f t="shared" ca="1" si="68"/>
        <v>0.24900398406374502</v>
      </c>
      <c r="V56" s="3">
        <f t="shared" ca="1" si="69"/>
        <v>2.241035856573705</v>
      </c>
      <c r="W56" s="3">
        <f t="shared" ca="1" si="70"/>
        <v>1.2450199203187251</v>
      </c>
      <c r="X56" s="3">
        <f t="shared" ca="1" si="71"/>
        <v>1.9925280199252804</v>
      </c>
      <c r="Z56" s="3">
        <f t="shared" ca="1" si="72"/>
        <v>0.99551792828685259</v>
      </c>
      <c r="AA56" s="3">
        <f t="shared" ca="1" si="73"/>
        <v>0.92554780876494025</v>
      </c>
      <c r="AB56" s="3">
        <f t="shared" ca="1" si="74"/>
        <v>0.99576693227091628</v>
      </c>
      <c r="AC56" s="3">
        <f t="shared" ca="1" si="75"/>
        <v>0.82988792029887926</v>
      </c>
      <c r="AE56" s="3">
        <f t="shared" ca="1" si="76"/>
        <v>0.99551796716493202</v>
      </c>
      <c r="AF56" s="3">
        <f t="shared" ca="1" si="77"/>
        <v>0.86354571941913483</v>
      </c>
      <c r="AG56" s="3">
        <f t="shared" ca="1" si="78"/>
        <v>0.92529888409542371</v>
      </c>
      <c r="AH56" s="3">
        <f t="shared" ca="1" si="79"/>
        <v>0.78007469413590946</v>
      </c>
      <c r="AJ56" s="3">
        <f t="shared" ca="1" si="80"/>
        <v>0.24900398406374502</v>
      </c>
      <c r="AK56" s="3">
        <f t="shared" ca="1" si="81"/>
        <v>2.241035856573705</v>
      </c>
      <c r="AL56" s="3">
        <f t="shared" ca="1" si="82"/>
        <v>1.2450199203187251</v>
      </c>
      <c r="AM56" s="3">
        <f t="shared" ca="1" si="83"/>
        <v>1.7434620174346203</v>
      </c>
      <c r="AO56" s="3">
        <f t="shared" ca="1" si="84"/>
        <v>0.24900398406374502</v>
      </c>
      <c r="AP56" s="3">
        <f t="shared" ca="1" si="85"/>
        <v>0.49800796812749004</v>
      </c>
      <c r="AQ56" s="3">
        <f t="shared" ca="1" si="86"/>
        <v>0.24900398406374502</v>
      </c>
      <c r="AR56" s="3">
        <f t="shared" ca="1" si="87"/>
        <v>0.4981320049813201</v>
      </c>
      <c r="AT56" s="3">
        <v>1.3000000268220901E-2</v>
      </c>
      <c r="AU56" s="3">
        <v>1.6000000759959221E-2</v>
      </c>
      <c r="AV56" s="3">
        <v>0.22699999809265137</v>
      </c>
      <c r="AW56" s="3">
        <v>1.0000000474974513E-3</v>
      </c>
      <c r="AY56" s="3">
        <f t="shared" ca="1" si="88"/>
        <v>0.99551792828685259</v>
      </c>
      <c r="AZ56" s="3">
        <f t="shared" ca="1" si="89"/>
        <v>0.23655378486055775</v>
      </c>
      <c r="BA56" s="3">
        <f t="shared" ca="1" si="90"/>
        <v>0.88371513944223101</v>
      </c>
      <c r="BB56" s="3">
        <f t="shared" ca="1" si="91"/>
        <v>0.60572851805728523</v>
      </c>
      <c r="BD56" s="3">
        <f t="shared" ca="1" si="92"/>
        <v>0.99551796716493202</v>
      </c>
      <c r="BE56" s="3">
        <f t="shared" ca="1" si="93"/>
        <v>0.27813742436335026</v>
      </c>
      <c r="BF56" s="3">
        <f t="shared" ca="1" si="94"/>
        <v>0.85458175772689726</v>
      </c>
      <c r="BG56" s="3">
        <f t="shared" ca="1" si="95"/>
        <v>0.57683684312243244</v>
      </c>
      <c r="BI56" s="3">
        <f t="shared" ca="1" si="96"/>
        <v>0.24900398406374502</v>
      </c>
      <c r="BJ56" s="3">
        <f t="shared" ca="1" si="97"/>
        <v>0.49800796812749004</v>
      </c>
      <c r="BK56" s="3">
        <f t="shared" ca="1" si="98"/>
        <v>0.99601593625498008</v>
      </c>
      <c r="BL56" s="3">
        <f t="shared" ca="1" si="99"/>
        <v>1.2453300124533002</v>
      </c>
      <c r="BN56" s="3">
        <f t="shared" ca="1" si="100"/>
        <v>0.24900398406374502</v>
      </c>
      <c r="BO56" s="3">
        <f t="shared" ca="1" si="101"/>
        <v>0.49800796812749004</v>
      </c>
      <c r="BP56" s="3">
        <f t="shared" ca="1" si="102"/>
        <v>0.49800796812749004</v>
      </c>
      <c r="BQ56" s="3">
        <f t="shared" ca="1" si="103"/>
        <v>0.74719800747198017</v>
      </c>
      <c r="BS56" s="3">
        <v>1.3000000268220901E-2</v>
      </c>
      <c r="BT56" s="3">
        <v>1.6000000759959221E-2</v>
      </c>
      <c r="BU56" s="3">
        <v>0.52700001001358032</v>
      </c>
      <c r="BV56" s="3">
        <v>0.51800000667572021</v>
      </c>
      <c r="BX56" s="3">
        <f t="shared" ca="1" si="104"/>
        <v>0</v>
      </c>
      <c r="BY56" s="3">
        <f t="shared" ca="1" si="105"/>
        <v>2.0916334661354601E-2</v>
      </c>
      <c r="BZ56" s="3">
        <f t="shared" ca="1" si="106"/>
        <v>4.233067729083665E-3</v>
      </c>
      <c r="CA56" s="3">
        <f t="shared" ca="1" si="107"/>
        <v>0</v>
      </c>
      <c r="CC56" s="3">
        <f t="shared" ca="1" si="108"/>
        <v>0</v>
      </c>
      <c r="CD56" s="3">
        <f t="shared" ca="1" si="109"/>
        <v>2.4900374659504072E-2</v>
      </c>
      <c r="CE56" s="3">
        <f t="shared" ca="1" si="110"/>
        <v>0</v>
      </c>
      <c r="CF56" s="3">
        <f t="shared" ca="1" si="111"/>
        <v>0</v>
      </c>
      <c r="CH56" s="3">
        <f t="shared" ca="1" si="112"/>
        <v>0</v>
      </c>
      <c r="CI56" s="3">
        <f t="shared" ca="1" si="113"/>
        <v>0.24900398406374502</v>
      </c>
      <c r="CJ56" s="3">
        <f t="shared" ca="1" si="114"/>
        <v>0</v>
      </c>
      <c r="CK56" s="3">
        <f t="shared" ca="1" si="115"/>
        <v>0</v>
      </c>
      <c r="CM56" s="3">
        <f t="shared" ca="1" si="116"/>
        <v>0</v>
      </c>
      <c r="CN56" s="3">
        <f t="shared" ca="1" si="117"/>
        <v>0.24900398406374502</v>
      </c>
      <c r="CO56" s="3">
        <f t="shared" ca="1" si="118"/>
        <v>0.24900398406374502</v>
      </c>
      <c r="CP56" s="3">
        <f t="shared" ca="1" si="119"/>
        <v>0</v>
      </c>
      <c r="CR56" s="3">
        <v>4.016</v>
      </c>
      <c r="CS56" s="3">
        <v>1.9830000400543213</v>
      </c>
      <c r="CT56" s="3">
        <v>4.016</v>
      </c>
      <c r="CU56" s="3">
        <v>4.0149999999999997</v>
      </c>
    </row>
    <row r="57" spans="1:99" s="3" customFormat="1" x14ac:dyDescent="0.35">
      <c r="A57" s="2" t="s">
        <v>29</v>
      </c>
      <c r="B57" s="2">
        <v>8.5</v>
      </c>
      <c r="C57" s="2" t="s">
        <v>168</v>
      </c>
      <c r="D57" s="2" t="s">
        <v>403</v>
      </c>
      <c r="F57" s="3">
        <v>4.0110000000000001</v>
      </c>
      <c r="G57" s="3">
        <v>4.0110000000000001</v>
      </c>
      <c r="H57" s="3">
        <v>4.0309999999999997</v>
      </c>
      <c r="I57" s="3">
        <v>4.01</v>
      </c>
      <c r="K57" s="3">
        <f t="shared" ca="1" si="60"/>
        <v>0.99675891298927943</v>
      </c>
      <c r="L57" s="3">
        <f t="shared" ca="1" si="61"/>
        <v>0.9845425081027176</v>
      </c>
      <c r="M57" s="3">
        <f t="shared" ca="1" si="62"/>
        <v>0.99627883899776737</v>
      </c>
      <c r="N57" s="3">
        <f t="shared" ca="1" si="63"/>
        <v>0.77306733167082298</v>
      </c>
      <c r="P57" s="3">
        <f t="shared" ca="1" si="64"/>
        <v>0.97132879510202386</v>
      </c>
      <c r="Q57" s="3">
        <f t="shared" ca="1" si="65"/>
        <v>0.90152080948885993</v>
      </c>
      <c r="R57" s="3">
        <f t="shared" ca="1" si="66"/>
        <v>0.83527658749265499</v>
      </c>
      <c r="S57" s="3">
        <f t="shared" ca="1" si="67"/>
        <v>0.710473869209575</v>
      </c>
      <c r="U57" s="3">
        <f t="shared" ca="1" si="68"/>
        <v>1.4958863126402393</v>
      </c>
      <c r="V57" s="3">
        <f t="shared" ca="1" si="69"/>
        <v>0.99725754176015957</v>
      </c>
      <c r="W57" s="3">
        <f t="shared" ca="1" si="70"/>
        <v>2.4807740014884647</v>
      </c>
      <c r="X57" s="3">
        <f t="shared" ca="1" si="71"/>
        <v>1.4962593516209477</v>
      </c>
      <c r="Z57" s="3">
        <f t="shared" ca="1" si="72"/>
        <v>0.99675891298927943</v>
      </c>
      <c r="AA57" s="3">
        <f t="shared" ca="1" si="73"/>
        <v>0.9845425081027176</v>
      </c>
      <c r="AB57" s="3">
        <f t="shared" ca="1" si="74"/>
        <v>0.99627883899776737</v>
      </c>
      <c r="AC57" s="3">
        <f t="shared" ca="1" si="75"/>
        <v>0.31197007481296768</v>
      </c>
      <c r="AE57" s="3">
        <f t="shared" ca="1" si="76"/>
        <v>0.97132879510202386</v>
      </c>
      <c r="AF57" s="3">
        <f t="shared" ca="1" si="77"/>
        <v>0.90152080948885993</v>
      </c>
      <c r="AG57" s="3">
        <f t="shared" ca="1" si="78"/>
        <v>0.83527658749265499</v>
      </c>
      <c r="AH57" s="3">
        <f t="shared" ca="1" si="79"/>
        <v>0.28254367466876634</v>
      </c>
      <c r="AJ57" s="3">
        <f t="shared" ca="1" si="80"/>
        <v>1.4958863126402393</v>
      </c>
      <c r="AK57" s="3">
        <f t="shared" ca="1" si="81"/>
        <v>0.99725754176015957</v>
      </c>
      <c r="AL57" s="3">
        <f t="shared" ca="1" si="82"/>
        <v>2.4807740014884647</v>
      </c>
      <c r="AM57" s="3">
        <f t="shared" ca="1" si="83"/>
        <v>0.99750623441396513</v>
      </c>
      <c r="AO57" s="3">
        <f t="shared" ca="1" si="84"/>
        <v>0.24931438544003989</v>
      </c>
      <c r="AP57" s="3">
        <f t="shared" ca="1" si="85"/>
        <v>0.24931438544003989</v>
      </c>
      <c r="AQ57" s="3">
        <f t="shared" ca="1" si="86"/>
        <v>0.24807740014884647</v>
      </c>
      <c r="AR57" s="3">
        <f t="shared" ca="1" si="87"/>
        <v>0.74812967581047385</v>
      </c>
      <c r="AT57" s="3">
        <v>4.0000001899898052E-3</v>
      </c>
      <c r="AU57" s="3">
        <v>0.125</v>
      </c>
      <c r="AV57" s="3">
        <v>0.20600000023841858</v>
      </c>
      <c r="AW57" s="3">
        <v>0.26899999380111694</v>
      </c>
      <c r="AY57" s="3">
        <f t="shared" ca="1" si="88"/>
        <v>0.56494639740713037</v>
      </c>
      <c r="AZ57" s="3">
        <f t="shared" ca="1" si="89"/>
        <v>0</v>
      </c>
      <c r="BA57" s="3">
        <f t="shared" ca="1" si="90"/>
        <v>0.59538576035723145</v>
      </c>
      <c r="BB57" s="3">
        <f t="shared" ca="1" si="91"/>
        <v>2.4688279301745632E-2</v>
      </c>
      <c r="BD57" s="3">
        <f t="shared" ca="1" si="92"/>
        <v>0.58539015965638863</v>
      </c>
      <c r="BE57" s="3">
        <f t="shared" ca="1" si="93"/>
        <v>0</v>
      </c>
      <c r="BF57" s="3">
        <f t="shared" ca="1" si="94"/>
        <v>0.6162242095661471</v>
      </c>
      <c r="BG57" s="3">
        <f t="shared" ca="1" si="95"/>
        <v>0</v>
      </c>
      <c r="BI57" s="3">
        <f t="shared" ca="1" si="96"/>
        <v>0.49862877088007979</v>
      </c>
      <c r="BJ57" s="3">
        <f t="shared" ca="1" si="97"/>
        <v>0</v>
      </c>
      <c r="BK57" s="3">
        <f t="shared" ca="1" si="98"/>
        <v>1.4884644008930787</v>
      </c>
      <c r="BL57" s="3">
        <f t="shared" ca="1" si="99"/>
        <v>0</v>
      </c>
      <c r="BN57" s="3">
        <f t="shared" ca="1" si="100"/>
        <v>0.24931438544003989</v>
      </c>
      <c r="BO57" s="3">
        <f t="shared" ca="1" si="101"/>
        <v>0.24931438544003989</v>
      </c>
      <c r="BP57" s="3">
        <f t="shared" ca="1" si="102"/>
        <v>1.2403870007442324</v>
      </c>
      <c r="BQ57" s="3">
        <f t="shared" ca="1" si="103"/>
        <v>0.49875311720698257</v>
      </c>
      <c r="BS57" s="3">
        <v>0.58700001239776611</v>
      </c>
      <c r="BT57" s="3">
        <v>4.0110000000000001</v>
      </c>
      <c r="BU57" s="3">
        <v>0.20600000023841858</v>
      </c>
      <c r="BV57" s="3">
        <v>4.01</v>
      </c>
      <c r="BX57" s="3">
        <f t="shared" ca="1" si="104"/>
        <v>0.21166791323859391</v>
      </c>
      <c r="BY57" s="3">
        <f t="shared" ca="1" si="105"/>
        <v>0.72700074794315628</v>
      </c>
      <c r="BZ57" s="3">
        <f t="shared" ca="1" si="106"/>
        <v>8.2857851649714737E-2</v>
      </c>
      <c r="CA57" s="3">
        <f t="shared" ca="1" si="107"/>
        <v>8.2294264339152125E-3</v>
      </c>
      <c r="CC57" s="3">
        <f t="shared" ca="1" si="108"/>
        <v>0.21166790753224043</v>
      </c>
      <c r="CD57" s="3">
        <f t="shared" ca="1" si="109"/>
        <v>0.5774121128748968</v>
      </c>
      <c r="CE57" s="3">
        <f t="shared" ca="1" si="110"/>
        <v>9.5013648278953963E-2</v>
      </c>
      <c r="CF57" s="3">
        <f t="shared" ca="1" si="111"/>
        <v>0</v>
      </c>
      <c r="CH57" s="3">
        <f t="shared" ca="1" si="112"/>
        <v>0.49862877088007979</v>
      </c>
      <c r="CI57" s="3">
        <f t="shared" ca="1" si="113"/>
        <v>0.49862877088007979</v>
      </c>
      <c r="CJ57" s="3">
        <f t="shared" ca="1" si="114"/>
        <v>0.24807740014884647</v>
      </c>
      <c r="CK57" s="3">
        <f t="shared" ca="1" si="115"/>
        <v>0</v>
      </c>
      <c r="CM57" s="3">
        <f t="shared" ca="1" si="116"/>
        <v>0.24931438544003989</v>
      </c>
      <c r="CN57" s="3">
        <f t="shared" ca="1" si="117"/>
        <v>0.99725754176015957</v>
      </c>
      <c r="CO57" s="3">
        <f t="shared" ca="1" si="118"/>
        <v>0.24807740014884647</v>
      </c>
      <c r="CP57" s="3">
        <f t="shared" ca="1" si="119"/>
        <v>0.24937655860349128</v>
      </c>
      <c r="CR57" s="3">
        <v>3.1189999580383301</v>
      </c>
      <c r="CS57" s="3">
        <v>0.125</v>
      </c>
      <c r="CT57" s="3">
        <v>1.1890000104904175</v>
      </c>
      <c r="CU57" s="3">
        <v>4.01</v>
      </c>
    </row>
    <row r="58" spans="1:99" s="3" customFormat="1" x14ac:dyDescent="0.35">
      <c r="A58" s="2" t="s">
        <v>71</v>
      </c>
      <c r="B58" s="2">
        <v>8.5</v>
      </c>
      <c r="C58" s="2" t="s">
        <v>167</v>
      </c>
      <c r="D58" s="2" t="s">
        <v>403</v>
      </c>
      <c r="F58" s="3" t="e">
        <v>#N/A</v>
      </c>
      <c r="G58" s="3" t="e">
        <v>#N/A</v>
      </c>
      <c r="H58" s="3">
        <v>4.0049999999999999</v>
      </c>
      <c r="I58" s="3" t="e">
        <v>#N/A</v>
      </c>
      <c r="K58" s="3" t="e">
        <f t="shared" ca="1" si="60"/>
        <v>#N/A</v>
      </c>
      <c r="L58" s="3" t="e">
        <f t="shared" ca="1" si="61"/>
        <v>#N/A</v>
      </c>
      <c r="M58" s="3">
        <f t="shared" ca="1" si="62"/>
        <v>0.99450686641697883</v>
      </c>
      <c r="N58" s="3" t="e">
        <f t="shared" ca="1" si="63"/>
        <v>#N/A</v>
      </c>
      <c r="P58" s="3" t="e">
        <f t="shared" ca="1" si="64"/>
        <v>#N/A</v>
      </c>
      <c r="Q58" s="3" t="e">
        <f t="shared" ca="1" si="65"/>
        <v>#N/A</v>
      </c>
      <c r="R58" s="3">
        <f t="shared" ca="1" si="66"/>
        <v>0.11635460657126895</v>
      </c>
      <c r="S58" s="3" t="e">
        <f t="shared" ca="1" si="67"/>
        <v>#N/A</v>
      </c>
      <c r="U58" s="3" t="e">
        <f t="shared" ca="1" si="68"/>
        <v>#N/A</v>
      </c>
      <c r="V58" s="3" t="e">
        <f t="shared" ca="1" si="69"/>
        <v>#N/A</v>
      </c>
      <c r="W58" s="3">
        <f t="shared" ca="1" si="70"/>
        <v>0.74906367041198507</v>
      </c>
      <c r="X58" s="3" t="e">
        <f t="shared" ca="1" si="71"/>
        <v>#N/A</v>
      </c>
      <c r="Z58" s="3" t="e">
        <f t="shared" ca="1" si="72"/>
        <v>#N/A</v>
      </c>
      <c r="AA58" s="3" t="e">
        <f t="shared" ca="1" si="73"/>
        <v>#N/A</v>
      </c>
      <c r="AB58" s="3">
        <f t="shared" ca="1" si="74"/>
        <v>0.85293383270911383</v>
      </c>
      <c r="AC58" s="3" t="e">
        <f t="shared" ca="1" si="75"/>
        <v>#N/A</v>
      </c>
      <c r="AE58" s="3" t="e">
        <f t="shared" ca="1" si="76"/>
        <v>#N/A</v>
      </c>
      <c r="AF58" s="3" t="e">
        <f t="shared" ca="1" si="77"/>
        <v>#N/A</v>
      </c>
      <c r="AG58" s="3">
        <f t="shared" ca="1" si="78"/>
        <v>0.11635460657126895</v>
      </c>
      <c r="AH58" s="3" t="e">
        <f t="shared" ca="1" si="79"/>
        <v>#N/A</v>
      </c>
      <c r="AJ58" s="3" t="e">
        <f t="shared" ca="1" si="80"/>
        <v>#N/A</v>
      </c>
      <c r="AK58" s="3" t="e">
        <f t="shared" ca="1" si="81"/>
        <v>#N/A</v>
      </c>
      <c r="AL58" s="3">
        <f t="shared" ca="1" si="82"/>
        <v>0.74906367041198507</v>
      </c>
      <c r="AM58" s="3" t="e">
        <f t="shared" ca="1" si="83"/>
        <v>#N/A</v>
      </c>
      <c r="AO58" s="3" t="e">
        <f t="shared" ca="1" si="84"/>
        <v>#N/A</v>
      </c>
      <c r="AP58" s="3" t="e">
        <f t="shared" ca="1" si="85"/>
        <v>#N/A</v>
      </c>
      <c r="AQ58" s="3">
        <f t="shared" ca="1" si="86"/>
        <v>1.2484394506866416</v>
      </c>
      <c r="AR58" s="3" t="e">
        <f t="shared" ca="1" si="87"/>
        <v>#N/A</v>
      </c>
      <c r="AT58" s="11" t="e">
        <v>#N/A</v>
      </c>
      <c r="AU58" s="3">
        <v>2.3059999942779541</v>
      </c>
      <c r="AV58" s="3">
        <v>1.3600000143051147</v>
      </c>
      <c r="AW58" s="3">
        <v>1.2000000104308128E-2</v>
      </c>
      <c r="AY58" s="3" t="e">
        <f t="shared" ca="1" si="88"/>
        <v>#N/A</v>
      </c>
      <c r="AZ58" s="3" t="e">
        <f t="shared" ca="1" si="89"/>
        <v>#N/A</v>
      </c>
      <c r="BA58" s="3">
        <f t="shared" ca="1" si="90"/>
        <v>5.4182272159800128E-2</v>
      </c>
      <c r="BB58" s="3" t="e">
        <f t="shared" ca="1" si="91"/>
        <v>#N/A</v>
      </c>
      <c r="BD58" s="3" t="e">
        <f t="shared" ca="1" si="92"/>
        <v>#N/A</v>
      </c>
      <c r="BE58" s="3" t="e">
        <f t="shared" ca="1" si="93"/>
        <v>#N/A</v>
      </c>
      <c r="BF58" s="3">
        <f t="shared" ca="1" si="94"/>
        <v>0</v>
      </c>
      <c r="BG58" s="3" t="e">
        <f t="shared" ca="1" si="95"/>
        <v>#N/A</v>
      </c>
      <c r="BI58" s="3" t="e">
        <f t="shared" ca="1" si="96"/>
        <v>#N/A</v>
      </c>
      <c r="BJ58" s="3" t="e">
        <f t="shared" ca="1" si="97"/>
        <v>#N/A</v>
      </c>
      <c r="BK58" s="3">
        <f t="shared" ca="1" si="98"/>
        <v>0</v>
      </c>
      <c r="BL58" s="3" t="e">
        <f t="shared" ca="1" si="99"/>
        <v>#N/A</v>
      </c>
      <c r="BN58" s="3" t="e">
        <f t="shared" ca="1" si="100"/>
        <v>#N/A</v>
      </c>
      <c r="BO58" s="3" t="e">
        <f t="shared" ca="1" si="101"/>
        <v>#N/A</v>
      </c>
      <c r="BP58" s="3">
        <f t="shared" ca="1" si="102"/>
        <v>1.7478152309612984</v>
      </c>
      <c r="BQ58" s="3" t="e">
        <f t="shared" ca="1" si="103"/>
        <v>#N/A</v>
      </c>
      <c r="BS58" s="11" t="e">
        <v>#N/A</v>
      </c>
      <c r="BT58" s="3">
        <v>3.872999906539917</v>
      </c>
      <c r="BU58" s="3">
        <v>4.0049999999999999</v>
      </c>
      <c r="BV58" s="3">
        <v>4.0110000000000001</v>
      </c>
      <c r="BX58" s="3" t="e">
        <f t="shared" ca="1" si="104"/>
        <v>#N/A</v>
      </c>
      <c r="BY58" s="3" t="e">
        <f t="shared" ca="1" si="105"/>
        <v>#N/A</v>
      </c>
      <c r="BZ58" s="3">
        <f t="shared" ca="1" si="106"/>
        <v>0</v>
      </c>
      <c r="CA58" s="3" t="e">
        <f t="shared" ca="1" si="107"/>
        <v>#N/A</v>
      </c>
      <c r="CC58" s="3" t="e">
        <f t="shared" ca="1" si="108"/>
        <v>#N/A</v>
      </c>
      <c r="CD58" s="3" t="e">
        <f t="shared" ca="1" si="109"/>
        <v>#N/A</v>
      </c>
      <c r="CE58" s="3">
        <f t="shared" ca="1" si="110"/>
        <v>0</v>
      </c>
      <c r="CF58" s="3" t="e">
        <f t="shared" ca="1" si="111"/>
        <v>#N/A</v>
      </c>
      <c r="CH58" s="3" t="e">
        <f t="shared" ca="1" si="112"/>
        <v>#N/A</v>
      </c>
      <c r="CI58" s="3" t="e">
        <f t="shared" ca="1" si="113"/>
        <v>#N/A</v>
      </c>
      <c r="CJ58" s="3">
        <f t="shared" ca="1" si="114"/>
        <v>0</v>
      </c>
      <c r="CK58" s="3" t="e">
        <f t="shared" ca="1" si="115"/>
        <v>#N/A</v>
      </c>
      <c r="CM58" s="3" t="e">
        <f t="shared" ca="1" si="116"/>
        <v>#N/A</v>
      </c>
      <c r="CN58" s="3" t="e">
        <f t="shared" ca="1" si="117"/>
        <v>#N/A</v>
      </c>
      <c r="CO58" s="3">
        <f t="shared" ca="1" si="118"/>
        <v>0.24968789013732834</v>
      </c>
      <c r="CP58" s="3" t="e">
        <f t="shared" ca="1" si="119"/>
        <v>#N/A</v>
      </c>
      <c r="CR58" s="11" t="e">
        <v>#N/A</v>
      </c>
      <c r="CS58" s="3">
        <v>4.0019999999999998</v>
      </c>
      <c r="CT58" s="3">
        <v>4.0049999999999999</v>
      </c>
      <c r="CU58" s="3">
        <v>4.0110000000000001</v>
      </c>
    </row>
    <row r="59" spans="1:99" s="3" customFormat="1" x14ac:dyDescent="0.35">
      <c r="A59" s="2" t="s">
        <v>12</v>
      </c>
      <c r="B59" s="2">
        <v>8.5833333333333339</v>
      </c>
      <c r="C59" s="2" t="s">
        <v>168</v>
      </c>
      <c r="D59" s="2" t="s">
        <v>403</v>
      </c>
      <c r="F59" s="3">
        <v>4.0149999999999997</v>
      </c>
      <c r="G59" s="3">
        <v>4.0110000000000001</v>
      </c>
      <c r="H59" s="3">
        <v>4.0119999999999996</v>
      </c>
      <c r="I59" s="3">
        <v>4.0149999999999997</v>
      </c>
      <c r="K59" s="3">
        <f t="shared" ca="1" si="60"/>
        <v>0.99601494396014945</v>
      </c>
      <c r="L59" s="3">
        <f t="shared" ca="1" si="61"/>
        <v>0.9970082273747195</v>
      </c>
      <c r="M59" s="3">
        <f t="shared" ca="1" si="62"/>
        <v>0.99675972083748754</v>
      </c>
      <c r="N59" s="3">
        <f t="shared" ca="1" si="63"/>
        <v>0.99601494396014945</v>
      </c>
      <c r="P59" s="3">
        <f t="shared" ca="1" si="64"/>
        <v>0.92154431202046461</v>
      </c>
      <c r="Q59" s="3">
        <f t="shared" ca="1" si="65"/>
        <v>0.89778109588057764</v>
      </c>
      <c r="R59" s="3">
        <f t="shared" ca="1" si="66"/>
        <v>0.74277166927146066</v>
      </c>
      <c r="S59" s="3">
        <f t="shared" ca="1" si="67"/>
        <v>0.80074709648751241</v>
      </c>
      <c r="U59" s="3">
        <f t="shared" ca="1" si="68"/>
        <v>1.7434620174346203</v>
      </c>
      <c r="V59" s="3">
        <f t="shared" ca="1" si="69"/>
        <v>1.7452006980802792</v>
      </c>
      <c r="W59" s="3">
        <f t="shared" ca="1" si="70"/>
        <v>2.2432701894317053</v>
      </c>
      <c r="X59" s="3">
        <f t="shared" ca="1" si="71"/>
        <v>2.9887920298879207</v>
      </c>
      <c r="Z59" s="3">
        <f t="shared" ca="1" si="72"/>
        <v>0.99601494396014945</v>
      </c>
      <c r="AA59" s="3">
        <f t="shared" ca="1" si="73"/>
        <v>0.9970082273747195</v>
      </c>
      <c r="AB59" s="3">
        <f t="shared" ca="1" si="74"/>
        <v>0.99675972083748754</v>
      </c>
      <c r="AC59" s="3">
        <f t="shared" ca="1" si="75"/>
        <v>0.99601494396014945</v>
      </c>
      <c r="AE59" s="3">
        <f t="shared" ca="1" si="76"/>
        <v>0.92154431202046461</v>
      </c>
      <c r="AF59" s="3">
        <f t="shared" ca="1" si="77"/>
        <v>0.89778109588057764</v>
      </c>
      <c r="AG59" s="3">
        <f t="shared" ca="1" si="78"/>
        <v>0.74277166927146066</v>
      </c>
      <c r="AH59" s="3">
        <f t="shared" ca="1" si="79"/>
        <v>0.80074709648751241</v>
      </c>
      <c r="AJ59" s="3">
        <f t="shared" ca="1" si="80"/>
        <v>1.7434620174346203</v>
      </c>
      <c r="AK59" s="3">
        <f t="shared" ca="1" si="81"/>
        <v>1.7452006980802792</v>
      </c>
      <c r="AL59" s="3">
        <f t="shared" ca="1" si="82"/>
        <v>2.2432701894317053</v>
      </c>
      <c r="AM59" s="3">
        <f t="shared" ca="1" si="83"/>
        <v>2.9887920298879207</v>
      </c>
      <c r="AO59" s="3">
        <f t="shared" ca="1" si="84"/>
        <v>0.24906600249066005</v>
      </c>
      <c r="AP59" s="3">
        <f t="shared" ca="1" si="85"/>
        <v>0.24931438544003989</v>
      </c>
      <c r="AQ59" s="3">
        <f t="shared" ca="1" si="86"/>
        <v>0.24925224327018947</v>
      </c>
      <c r="AR59" s="3">
        <f t="shared" ca="1" si="87"/>
        <v>0.24906600249066005</v>
      </c>
      <c r="AT59" s="3">
        <v>1.0999999940395355E-2</v>
      </c>
      <c r="AU59" s="3">
        <v>1.2000000104308128E-2</v>
      </c>
      <c r="AV59" s="3">
        <v>1.0999999940395355E-2</v>
      </c>
      <c r="AW59" s="3">
        <v>3.0000000260770321E-3</v>
      </c>
      <c r="AY59" s="3">
        <f t="shared" ca="1" si="88"/>
        <v>0.73026151930261518</v>
      </c>
      <c r="AZ59" s="3">
        <f t="shared" ca="1" si="89"/>
        <v>0.77711293941660442</v>
      </c>
      <c r="BA59" s="3">
        <f t="shared" ca="1" si="90"/>
        <v>0.53539381854436685</v>
      </c>
      <c r="BB59" s="3">
        <f t="shared" ca="1" si="91"/>
        <v>0.46077210460772117</v>
      </c>
      <c r="BD59" s="3">
        <f t="shared" ca="1" si="92"/>
        <v>0.68094651696097075</v>
      </c>
      <c r="BE59" s="3">
        <f t="shared" ca="1" si="93"/>
        <v>0.77736224655022024</v>
      </c>
      <c r="BF59" s="3">
        <f t="shared" ca="1" si="94"/>
        <v>0.53938184070919948</v>
      </c>
      <c r="BG59" s="3">
        <f t="shared" ca="1" si="95"/>
        <v>0.41070974259121185</v>
      </c>
      <c r="BI59" s="3">
        <f t="shared" ca="1" si="96"/>
        <v>0.9962640099626402</v>
      </c>
      <c r="BJ59" s="3">
        <f t="shared" ca="1" si="97"/>
        <v>1.4958863126402393</v>
      </c>
      <c r="BK59" s="3">
        <f t="shared" ca="1" si="98"/>
        <v>1.4955134596211368</v>
      </c>
      <c r="BL59" s="3">
        <f t="shared" ca="1" si="99"/>
        <v>1.4943960149439603</v>
      </c>
      <c r="BN59" s="3">
        <f t="shared" ca="1" si="100"/>
        <v>0.9962640099626402</v>
      </c>
      <c r="BO59" s="3">
        <f t="shared" ca="1" si="101"/>
        <v>0.74794315632011965</v>
      </c>
      <c r="BP59" s="3">
        <f t="shared" ca="1" si="102"/>
        <v>1.2462612163509472</v>
      </c>
      <c r="BQ59" s="3">
        <f t="shared" ca="1" si="103"/>
        <v>0.9962640099626402</v>
      </c>
      <c r="BS59" s="3">
        <v>0.36100000143051147</v>
      </c>
      <c r="BT59" s="3">
        <v>0.51099997758865356</v>
      </c>
      <c r="BU59" s="3">
        <v>0.34400001168251038</v>
      </c>
      <c r="BV59" s="3">
        <v>0.18600000441074371</v>
      </c>
      <c r="BX59" s="3">
        <f t="shared" ca="1" si="104"/>
        <v>0</v>
      </c>
      <c r="BY59" s="3">
        <f t="shared" ca="1" si="105"/>
        <v>7.0555971079531279E-2</v>
      </c>
      <c r="BZ59" s="3">
        <f t="shared" ca="1" si="106"/>
        <v>0</v>
      </c>
      <c r="CA59" s="3">
        <f t="shared" ca="1" si="107"/>
        <v>9.9626400996263992E-2</v>
      </c>
      <c r="CC59" s="3">
        <f t="shared" ca="1" si="108"/>
        <v>0</v>
      </c>
      <c r="CD59" s="3">
        <f t="shared" ca="1" si="109"/>
        <v>0</v>
      </c>
      <c r="CE59" s="3">
        <f t="shared" ca="1" si="110"/>
        <v>0</v>
      </c>
      <c r="CF59" s="3">
        <f t="shared" ca="1" si="111"/>
        <v>0.10386053681522052</v>
      </c>
      <c r="CH59" s="3">
        <f t="shared" ca="1" si="112"/>
        <v>0</v>
      </c>
      <c r="CI59" s="3">
        <f t="shared" ca="1" si="113"/>
        <v>0</v>
      </c>
      <c r="CJ59" s="3">
        <f t="shared" ca="1" si="114"/>
        <v>0</v>
      </c>
      <c r="CK59" s="3">
        <f t="shared" ca="1" si="115"/>
        <v>0.24906600249066005</v>
      </c>
      <c r="CM59" s="3">
        <f t="shared" ca="1" si="116"/>
        <v>0</v>
      </c>
      <c r="CN59" s="3">
        <f t="shared" ca="1" si="117"/>
        <v>0.49862877088007979</v>
      </c>
      <c r="CO59" s="3">
        <f t="shared" ca="1" si="118"/>
        <v>0</v>
      </c>
      <c r="CP59" s="3">
        <f t="shared" ca="1" si="119"/>
        <v>0.24906600249066005</v>
      </c>
      <c r="CR59" s="3">
        <v>4.0149999999999997</v>
      </c>
      <c r="CS59" s="3">
        <v>4.0110000000000001</v>
      </c>
      <c r="CT59" s="3">
        <v>4.0119999999999996</v>
      </c>
      <c r="CU59" s="3">
        <v>2.3020000457763672</v>
      </c>
    </row>
    <row r="60" spans="1:99" s="3" customFormat="1" x14ac:dyDescent="0.35">
      <c r="A60" s="2" t="s">
        <v>80</v>
      </c>
      <c r="B60" s="2">
        <v>8.5833333333333339</v>
      </c>
      <c r="C60" s="2" t="s">
        <v>168</v>
      </c>
      <c r="D60" s="2" t="s">
        <v>403</v>
      </c>
      <c r="F60" s="3">
        <v>4.016</v>
      </c>
      <c r="G60" s="3">
        <v>4.016</v>
      </c>
      <c r="H60" s="3">
        <v>4.032</v>
      </c>
      <c r="I60" s="3">
        <v>4.016</v>
      </c>
      <c r="K60" s="3">
        <f t="shared" ca="1" si="60"/>
        <v>0.9957669322709165</v>
      </c>
      <c r="L60" s="3">
        <f t="shared" ca="1" si="61"/>
        <v>0.9957669322709165</v>
      </c>
      <c r="M60" s="3">
        <f t="shared" ca="1" si="62"/>
        <v>0.99603174603174605</v>
      </c>
      <c r="N60" s="3">
        <f t="shared" ca="1" si="63"/>
        <v>0.99551792828685248</v>
      </c>
      <c r="P60" s="3">
        <f t="shared" ca="1" si="64"/>
        <v>0.94646403697723769</v>
      </c>
      <c r="Q60" s="3">
        <f t="shared" ca="1" si="65"/>
        <v>0.9335158703537042</v>
      </c>
      <c r="R60" s="3">
        <f t="shared" ca="1" si="66"/>
        <v>0.963045662097607</v>
      </c>
      <c r="S60" s="3">
        <f t="shared" ca="1" si="67"/>
        <v>0.88371522179656326</v>
      </c>
      <c r="U60" s="3">
        <f t="shared" ca="1" si="68"/>
        <v>3.237051792828685</v>
      </c>
      <c r="V60" s="3">
        <f t="shared" ca="1" si="69"/>
        <v>2.241035856573705</v>
      </c>
      <c r="W60" s="3">
        <f t="shared" ca="1" si="70"/>
        <v>2.2321428571428572</v>
      </c>
      <c r="X60" s="3">
        <f t="shared" ca="1" si="71"/>
        <v>3.7350597609561751</v>
      </c>
      <c r="Z60" s="3">
        <f t="shared" ca="1" si="72"/>
        <v>0.9957669322709165</v>
      </c>
      <c r="AA60" s="3">
        <f t="shared" ca="1" si="73"/>
        <v>0.9957669322709165</v>
      </c>
      <c r="AB60" s="3">
        <f t="shared" ca="1" si="74"/>
        <v>0.99603174603174605</v>
      </c>
      <c r="AC60" s="3">
        <f t="shared" ca="1" si="75"/>
        <v>0.99551792828685248</v>
      </c>
      <c r="AE60" s="3">
        <f t="shared" ca="1" si="76"/>
        <v>0.94646403697723769</v>
      </c>
      <c r="AF60" s="3">
        <f t="shared" ca="1" si="77"/>
        <v>0.9335158703537042</v>
      </c>
      <c r="AG60" s="3">
        <f t="shared" ca="1" si="78"/>
        <v>0.963045662097607</v>
      </c>
      <c r="AH60" s="3">
        <f t="shared" ca="1" si="79"/>
        <v>0.88371522179656326</v>
      </c>
      <c r="AJ60" s="3">
        <f t="shared" ca="1" si="80"/>
        <v>3.237051792828685</v>
      </c>
      <c r="AK60" s="3">
        <f t="shared" ca="1" si="81"/>
        <v>2.241035856573705</v>
      </c>
      <c r="AL60" s="3">
        <f t="shared" ca="1" si="82"/>
        <v>2.2321428571428572</v>
      </c>
      <c r="AM60" s="3">
        <f t="shared" ca="1" si="83"/>
        <v>3.7350597609561751</v>
      </c>
      <c r="AO60" s="3">
        <f t="shared" ca="1" si="84"/>
        <v>0.24900398406374502</v>
      </c>
      <c r="AP60" s="3">
        <f t="shared" ca="1" si="85"/>
        <v>0.24900398406374502</v>
      </c>
      <c r="AQ60" s="3">
        <f t="shared" ca="1" si="86"/>
        <v>0.24801587301587302</v>
      </c>
      <c r="AR60" s="3">
        <f t="shared" ca="1" si="87"/>
        <v>0.24900398406374502</v>
      </c>
      <c r="AT60" s="3">
        <v>9.9999997764825821E-3</v>
      </c>
      <c r="AU60" s="3">
        <v>9.9999997764825821E-3</v>
      </c>
      <c r="AV60" s="3">
        <v>2.0000000949949026E-3</v>
      </c>
      <c r="AW60" s="3">
        <v>4.0000001899898052E-3</v>
      </c>
      <c r="AY60" s="3">
        <f t="shared" ca="1" si="88"/>
        <v>0.43999003984063756</v>
      </c>
      <c r="AZ60" s="3">
        <f t="shared" ca="1" si="89"/>
        <v>0.36105577689243029</v>
      </c>
      <c r="BA60" s="3">
        <f t="shared" ca="1" si="90"/>
        <v>0.42559523809523808</v>
      </c>
      <c r="BB60" s="3">
        <f t="shared" ca="1" si="91"/>
        <v>0.18251992031872513</v>
      </c>
      <c r="BD60" s="3">
        <f t="shared" ca="1" si="92"/>
        <v>0.46887450602899983</v>
      </c>
      <c r="BE60" s="3">
        <f t="shared" ca="1" si="93"/>
        <v>0.34038842733637747</v>
      </c>
      <c r="BF60" s="3">
        <f t="shared" ca="1" si="94"/>
        <v>0.47098214851021547</v>
      </c>
      <c r="BG60" s="3">
        <f t="shared" ca="1" si="95"/>
        <v>0.16982070507993735</v>
      </c>
      <c r="BI60" s="3">
        <f t="shared" ca="1" si="96"/>
        <v>1.2450199203187251</v>
      </c>
      <c r="BJ60" s="3">
        <f t="shared" ca="1" si="97"/>
        <v>0.74701195219123506</v>
      </c>
      <c r="BK60" s="3">
        <f t="shared" ca="1" si="98"/>
        <v>0.74404761904761907</v>
      </c>
      <c r="BL60" s="3">
        <f t="shared" ca="1" si="99"/>
        <v>0.99601593625498008</v>
      </c>
      <c r="BN60" s="3">
        <f t="shared" ca="1" si="100"/>
        <v>0.74701195219123506</v>
      </c>
      <c r="BO60" s="3">
        <f t="shared" ca="1" si="101"/>
        <v>0.49800796812749004</v>
      </c>
      <c r="BP60" s="3">
        <f t="shared" ca="1" si="102"/>
        <v>0.74404761904761907</v>
      </c>
      <c r="BQ60" s="3">
        <f t="shared" ca="1" si="103"/>
        <v>0.49800796812749004</v>
      </c>
      <c r="BS60" s="3">
        <v>0.57599997520446777</v>
      </c>
      <c r="BT60" s="3">
        <v>0.47699999809265137</v>
      </c>
      <c r="BU60" s="3">
        <v>2.0000000949949026E-3</v>
      </c>
      <c r="BV60" s="3">
        <v>0.41999998688697815</v>
      </c>
      <c r="BX60" s="3">
        <f t="shared" ca="1" si="104"/>
        <v>0.11628486055776906</v>
      </c>
      <c r="BY60" s="3">
        <f t="shared" ca="1" si="105"/>
        <v>4.2330677290837518E-3</v>
      </c>
      <c r="BZ60" s="3">
        <f t="shared" ca="1" si="106"/>
        <v>0</v>
      </c>
      <c r="CA60" s="3">
        <f t="shared" ca="1" si="107"/>
        <v>0</v>
      </c>
      <c r="CC60" s="3">
        <f t="shared" ca="1" si="108"/>
        <v>0.10806767351598853</v>
      </c>
      <c r="CD60" s="3">
        <f t="shared" ca="1" si="109"/>
        <v>0</v>
      </c>
      <c r="CE60" s="3">
        <f t="shared" ca="1" si="110"/>
        <v>0</v>
      </c>
      <c r="CF60" s="3">
        <f t="shared" ca="1" si="111"/>
        <v>0</v>
      </c>
      <c r="CH60" s="3">
        <f t="shared" ca="1" si="112"/>
        <v>0.49800796812749004</v>
      </c>
      <c r="CI60" s="3">
        <f t="shared" ca="1" si="113"/>
        <v>0</v>
      </c>
      <c r="CJ60" s="3">
        <f t="shared" ca="1" si="114"/>
        <v>0</v>
      </c>
      <c r="CK60" s="3">
        <f t="shared" ca="1" si="115"/>
        <v>0</v>
      </c>
      <c r="CM60" s="3">
        <f t="shared" ca="1" si="116"/>
        <v>0.49800796812749004</v>
      </c>
      <c r="CN60" s="3">
        <f t="shared" ca="1" si="117"/>
        <v>0.24900398406374502</v>
      </c>
      <c r="CO60" s="3">
        <f t="shared" ca="1" si="118"/>
        <v>0</v>
      </c>
      <c r="CP60" s="3">
        <f t="shared" ca="1" si="119"/>
        <v>0</v>
      </c>
      <c r="CR60" s="3">
        <v>3.5590000152587891</v>
      </c>
      <c r="CS60" s="3">
        <v>4.016</v>
      </c>
      <c r="CT60" s="3">
        <v>4.032</v>
      </c>
      <c r="CU60" s="3">
        <v>4.016</v>
      </c>
    </row>
    <row r="61" spans="1:99" s="3" customFormat="1" x14ac:dyDescent="0.35">
      <c r="A61" s="2" t="s">
        <v>76</v>
      </c>
      <c r="B61" s="2">
        <v>8.6666666666666661</v>
      </c>
      <c r="C61" s="2" t="s">
        <v>167</v>
      </c>
      <c r="D61" s="2" t="s">
        <v>403</v>
      </c>
      <c r="F61" s="3" t="e">
        <v>#N/A</v>
      </c>
      <c r="G61" s="3">
        <v>4.0110000000000001</v>
      </c>
      <c r="H61" s="3">
        <v>3.056</v>
      </c>
      <c r="I61" s="3">
        <v>4.0110000000000001</v>
      </c>
      <c r="K61" s="3" t="e">
        <f t="shared" ca="1" si="60"/>
        <v>#N/A</v>
      </c>
      <c r="L61" s="3">
        <f t="shared" ca="1" si="61"/>
        <v>0.99276988282223888</v>
      </c>
      <c r="M61" s="3">
        <f t="shared" ca="1" si="62"/>
        <v>0.99770942408376961</v>
      </c>
      <c r="N61" s="3">
        <f t="shared" ca="1" si="63"/>
        <v>0.99276988282223888</v>
      </c>
      <c r="P61" s="3" t="e">
        <f t="shared" ca="1" si="64"/>
        <v>#N/A</v>
      </c>
      <c r="Q61" s="3">
        <f t="shared" ca="1" si="65"/>
        <v>0.95163303239554775</v>
      </c>
      <c r="R61" s="3">
        <f t="shared" ca="1" si="66"/>
        <v>0.90543195301744872</v>
      </c>
      <c r="S61" s="3">
        <f t="shared" ca="1" si="67"/>
        <v>0.95512338792540663</v>
      </c>
      <c r="U61" s="3" t="e">
        <f t="shared" ca="1" si="68"/>
        <v>#N/A</v>
      </c>
      <c r="V61" s="3">
        <f t="shared" ca="1" si="69"/>
        <v>2.7424582398404387</v>
      </c>
      <c r="W61" s="3">
        <f t="shared" ca="1" si="70"/>
        <v>2.9450261780104712</v>
      </c>
      <c r="X61" s="3">
        <f t="shared" ca="1" si="71"/>
        <v>2.4931438544003988</v>
      </c>
      <c r="Z61" s="3" t="e">
        <f t="shared" ca="1" si="72"/>
        <v>#N/A</v>
      </c>
      <c r="AA61" s="3">
        <f t="shared" ca="1" si="73"/>
        <v>0.99276988282223888</v>
      </c>
      <c r="AB61" s="3">
        <f t="shared" ca="1" si="74"/>
        <v>0.7634162303664922</v>
      </c>
      <c r="AC61" s="3">
        <f t="shared" ca="1" si="75"/>
        <v>0.99276988282223888</v>
      </c>
      <c r="AE61" s="3" t="e">
        <f t="shared" ca="1" si="76"/>
        <v>#N/A</v>
      </c>
      <c r="AF61" s="3">
        <f t="shared" ca="1" si="77"/>
        <v>0.95163303239554775</v>
      </c>
      <c r="AG61" s="3">
        <f t="shared" ca="1" si="78"/>
        <v>0.67637438479937728</v>
      </c>
      <c r="AH61" s="3">
        <f t="shared" ca="1" si="79"/>
        <v>0.95512338792540663</v>
      </c>
      <c r="AJ61" s="3" t="e">
        <f t="shared" ca="1" si="80"/>
        <v>#N/A</v>
      </c>
      <c r="AK61" s="3">
        <f t="shared" ca="1" si="81"/>
        <v>2.7424582398404387</v>
      </c>
      <c r="AL61" s="3">
        <f t="shared" ca="1" si="82"/>
        <v>2.6178010471204187</v>
      </c>
      <c r="AM61" s="3">
        <f t="shared" ca="1" si="83"/>
        <v>2.4931438544003988</v>
      </c>
      <c r="AO61" s="3" t="e">
        <f t="shared" ca="1" si="84"/>
        <v>#N/A</v>
      </c>
      <c r="AP61" s="3">
        <f t="shared" ca="1" si="85"/>
        <v>0.24931438544003989</v>
      </c>
      <c r="AQ61" s="3">
        <f t="shared" ca="1" si="86"/>
        <v>0.65445026178010468</v>
      </c>
      <c r="AR61" s="3">
        <f t="shared" ca="1" si="87"/>
        <v>0.24931438544003989</v>
      </c>
      <c r="AT61" s="3">
        <v>1.0000000474974513E-3</v>
      </c>
      <c r="AU61" s="3">
        <v>1.6000000759959221E-2</v>
      </c>
      <c r="AV61" s="3">
        <v>7.0000002160668373E-3</v>
      </c>
      <c r="AW61" s="3">
        <v>1.4000000432133675E-2</v>
      </c>
      <c r="AY61" s="3" t="e">
        <f t="shared" ca="1" si="88"/>
        <v>#N/A</v>
      </c>
      <c r="AZ61" s="3">
        <f t="shared" ca="1" si="89"/>
        <v>0.58140114684617306</v>
      </c>
      <c r="BA61" s="3">
        <f t="shared" ca="1" si="90"/>
        <v>0.25065445026178013</v>
      </c>
      <c r="BB61" s="3">
        <f t="shared" ca="1" si="91"/>
        <v>0.36549488905509853</v>
      </c>
      <c r="BD61" s="3" t="e">
        <f t="shared" ca="1" si="92"/>
        <v>#N/A</v>
      </c>
      <c r="BE61" s="3">
        <f t="shared" ca="1" si="93"/>
        <v>0.54450262160528273</v>
      </c>
      <c r="BF61" s="3">
        <f t="shared" ca="1" si="94"/>
        <v>0.19633512534396186</v>
      </c>
      <c r="BG61" s="3">
        <f t="shared" ca="1" si="95"/>
        <v>0.41111943371662679</v>
      </c>
      <c r="BI61" s="3" t="e">
        <f t="shared" ca="1" si="96"/>
        <v>#N/A</v>
      </c>
      <c r="BJ61" s="3">
        <f t="shared" ca="1" si="97"/>
        <v>1.4958863126402393</v>
      </c>
      <c r="BK61" s="3">
        <f t="shared" ca="1" si="98"/>
        <v>0.65445026178010468</v>
      </c>
      <c r="BL61" s="3">
        <f t="shared" ca="1" si="99"/>
        <v>0.99725754176015957</v>
      </c>
      <c r="BN61" s="3" t="e">
        <f t="shared" ca="1" si="100"/>
        <v>#N/A</v>
      </c>
      <c r="BO61" s="3">
        <f t="shared" ca="1" si="101"/>
        <v>0.74794315632011965</v>
      </c>
      <c r="BP61" s="3">
        <f t="shared" ca="1" si="102"/>
        <v>0.65445026178010468</v>
      </c>
      <c r="BQ61" s="3">
        <f t="shared" ca="1" si="103"/>
        <v>0.74794315632011965</v>
      </c>
      <c r="BS61" s="3">
        <v>0.64999997615814209</v>
      </c>
      <c r="BT61" s="3">
        <v>1.1319999694824219</v>
      </c>
      <c r="BU61" s="3">
        <v>2.122999906539917</v>
      </c>
      <c r="BV61" s="3">
        <v>0.52999997138977051</v>
      </c>
      <c r="BX61" s="3" t="e">
        <f t="shared" ca="1" si="104"/>
        <v>#N/A</v>
      </c>
      <c r="BY61" s="3">
        <f t="shared" ca="1" si="105"/>
        <v>4.9862877088007913E-2</v>
      </c>
      <c r="BZ61" s="3">
        <f t="shared" ca="1" si="106"/>
        <v>5.4646596858638825E-2</v>
      </c>
      <c r="CA61" s="3">
        <f t="shared" ca="1" si="107"/>
        <v>2.4931438544003901E-2</v>
      </c>
      <c r="CC61" s="3" t="e">
        <f t="shared" ca="1" si="108"/>
        <v>#N/A</v>
      </c>
      <c r="CD61" s="3">
        <f t="shared" ca="1" si="109"/>
        <v>0</v>
      </c>
      <c r="CE61" s="3">
        <f t="shared" ca="1" si="110"/>
        <v>4.3848188135636415E-2</v>
      </c>
      <c r="CF61" s="3">
        <f t="shared" ca="1" si="111"/>
        <v>0</v>
      </c>
      <c r="CH61" s="3" t="e">
        <f t="shared" ca="1" si="112"/>
        <v>#N/A</v>
      </c>
      <c r="CI61" s="3">
        <f t="shared" ca="1" si="113"/>
        <v>0</v>
      </c>
      <c r="CJ61" s="3">
        <f t="shared" ca="1" si="114"/>
        <v>0.32722513089005234</v>
      </c>
      <c r="CK61" s="3">
        <f t="shared" ca="1" si="115"/>
        <v>0</v>
      </c>
      <c r="CM61" s="3" t="e">
        <f t="shared" ca="1" si="116"/>
        <v>#N/A</v>
      </c>
      <c r="CN61" s="3">
        <f t="shared" ca="1" si="117"/>
        <v>0.24931438544003989</v>
      </c>
      <c r="CO61" s="3">
        <f t="shared" ca="1" si="118"/>
        <v>1.3089005235602094</v>
      </c>
      <c r="CP61" s="3">
        <f t="shared" ca="1" si="119"/>
        <v>0.24931438544003989</v>
      </c>
      <c r="CR61" s="3">
        <v>4.01</v>
      </c>
      <c r="CS61" s="3">
        <v>4.0110000000000001</v>
      </c>
      <c r="CT61" s="3">
        <v>2.9059998989105225</v>
      </c>
      <c r="CU61" s="3">
        <v>4.0110000000000001</v>
      </c>
    </row>
    <row r="62" spans="1:99" s="3" customFormat="1" x14ac:dyDescent="0.35">
      <c r="A62" s="2" t="s">
        <v>26</v>
      </c>
      <c r="B62" s="2">
        <v>8.75</v>
      </c>
      <c r="C62" s="2" t="s">
        <v>167</v>
      </c>
      <c r="D62" s="2" t="s">
        <v>403</v>
      </c>
      <c r="F62" s="3">
        <v>4.0129999999999999</v>
      </c>
      <c r="G62" s="3">
        <v>4.0069999999999997</v>
      </c>
      <c r="H62" s="3">
        <v>4.016</v>
      </c>
      <c r="I62" s="3">
        <v>4.0469999999999997</v>
      </c>
      <c r="K62" s="3">
        <f t="shared" ca="1" si="60"/>
        <v>0.99651133815100923</v>
      </c>
      <c r="L62" s="3">
        <f t="shared" ca="1" si="61"/>
        <v>0.99376091839281255</v>
      </c>
      <c r="M62" s="3">
        <f t="shared" ca="1" si="62"/>
        <v>0.99576693227091628</v>
      </c>
      <c r="N62" s="3">
        <f t="shared" ca="1" si="63"/>
        <v>0.99654064739313064</v>
      </c>
      <c r="P62" s="3">
        <f t="shared" ca="1" si="64"/>
        <v>0.9755793350398051</v>
      </c>
      <c r="Q62" s="3">
        <f t="shared" ca="1" si="65"/>
        <v>0.95582734454085716</v>
      </c>
      <c r="R62" s="3">
        <f t="shared" ca="1" si="66"/>
        <v>0.96638457092690278</v>
      </c>
      <c r="S62" s="3">
        <f t="shared" ca="1" si="67"/>
        <v>0.92265873364179096</v>
      </c>
      <c r="U62" s="3">
        <f t="shared" ca="1" si="68"/>
        <v>1.4951407924246201</v>
      </c>
      <c r="V62" s="3">
        <f t="shared" ca="1" si="69"/>
        <v>2.4956326428749689</v>
      </c>
      <c r="W62" s="3">
        <f t="shared" ca="1" si="70"/>
        <v>1.9920318725099602</v>
      </c>
      <c r="X62" s="3">
        <f t="shared" ca="1" si="71"/>
        <v>1.4825796886582654</v>
      </c>
      <c r="Z62" s="3">
        <f t="shared" ca="1" si="72"/>
        <v>0.99651133815100923</v>
      </c>
      <c r="AA62" s="3">
        <f t="shared" ca="1" si="73"/>
        <v>0.99376091839281255</v>
      </c>
      <c r="AB62" s="3">
        <f t="shared" ca="1" si="74"/>
        <v>0.99576693227091628</v>
      </c>
      <c r="AC62" s="3">
        <f t="shared" ca="1" si="75"/>
        <v>0.98838645910551026</v>
      </c>
      <c r="AE62" s="3">
        <f t="shared" ca="1" si="76"/>
        <v>0.9755793350398051</v>
      </c>
      <c r="AF62" s="3">
        <f t="shared" ca="1" si="77"/>
        <v>0.95582734454085716</v>
      </c>
      <c r="AG62" s="3">
        <f t="shared" ca="1" si="78"/>
        <v>0.96638457092690278</v>
      </c>
      <c r="AH62" s="3">
        <f t="shared" ca="1" si="79"/>
        <v>0.92265873364179096</v>
      </c>
      <c r="AJ62" s="3">
        <f t="shared" ca="1" si="80"/>
        <v>1.4951407924246201</v>
      </c>
      <c r="AK62" s="3">
        <f t="shared" ca="1" si="81"/>
        <v>2.4956326428749689</v>
      </c>
      <c r="AL62" s="3">
        <f t="shared" ca="1" si="82"/>
        <v>1.9920318725099602</v>
      </c>
      <c r="AM62" s="3">
        <f t="shared" ca="1" si="83"/>
        <v>1.4825796886582654</v>
      </c>
      <c r="AO62" s="3">
        <f t="shared" ca="1" si="84"/>
        <v>0.24919013207077001</v>
      </c>
      <c r="AP62" s="3">
        <f t="shared" ca="1" si="85"/>
        <v>0.24956326428749689</v>
      </c>
      <c r="AQ62" s="3">
        <f t="shared" ca="1" si="86"/>
        <v>0.24900398406374502</v>
      </c>
      <c r="AR62" s="3">
        <f t="shared" ca="1" si="87"/>
        <v>0.49419322955275519</v>
      </c>
      <c r="AT62" s="3">
        <v>7.0000002160668373E-3</v>
      </c>
      <c r="AU62" s="3">
        <v>1.0999999940395355E-2</v>
      </c>
      <c r="AV62" s="3">
        <v>1.0999999940395355E-2</v>
      </c>
      <c r="AW62" s="3">
        <v>1.0000000474974513E-3</v>
      </c>
      <c r="AY62" s="3">
        <f t="shared" ca="1" si="88"/>
        <v>0.89683528532270129</v>
      </c>
      <c r="AZ62" s="3">
        <f t="shared" ca="1" si="89"/>
        <v>0.60294484651859248</v>
      </c>
      <c r="BA62" s="3">
        <f t="shared" ca="1" si="90"/>
        <v>0.8174800796812749</v>
      </c>
      <c r="BB62" s="3">
        <f t="shared" ca="1" si="91"/>
        <v>0.41981714850506557</v>
      </c>
      <c r="BD62" s="3">
        <f t="shared" ca="1" si="92"/>
        <v>0.84276099654725445</v>
      </c>
      <c r="BE62" s="3">
        <f t="shared" ca="1" si="93"/>
        <v>0.54854005835494823</v>
      </c>
      <c r="BF62" s="3">
        <f t="shared" ca="1" si="94"/>
        <v>0.750747077033458</v>
      </c>
      <c r="BG62" s="3">
        <f t="shared" ca="1" si="95"/>
        <v>0.37064491480051343</v>
      </c>
      <c r="BI62" s="3">
        <f t="shared" ca="1" si="96"/>
        <v>0.99676052828308004</v>
      </c>
      <c r="BJ62" s="3">
        <f t="shared" ca="1" si="97"/>
        <v>1.4973795857249814</v>
      </c>
      <c r="BK62" s="3">
        <f t="shared" ca="1" si="98"/>
        <v>1.4940239043824701</v>
      </c>
      <c r="BL62" s="3">
        <f t="shared" ca="1" si="99"/>
        <v>0.98838645910551037</v>
      </c>
      <c r="BN62" s="3">
        <f t="shared" ca="1" si="100"/>
        <v>0.49838026414154002</v>
      </c>
      <c r="BO62" s="3">
        <f t="shared" ca="1" si="101"/>
        <v>0.49912652857499379</v>
      </c>
      <c r="BP62" s="3">
        <f t="shared" ca="1" si="102"/>
        <v>0.49800796812749004</v>
      </c>
      <c r="BQ62" s="3">
        <f t="shared" ca="1" si="103"/>
        <v>0.7412898443291327</v>
      </c>
      <c r="BS62" s="3">
        <v>7.0000002160668373E-3</v>
      </c>
      <c r="BT62" s="3">
        <v>0.51099997758865356</v>
      </c>
      <c r="BU62" s="3">
        <v>1.0999999940395355E-2</v>
      </c>
      <c r="BV62" s="3">
        <v>0.43399998545646667</v>
      </c>
      <c r="BX62" s="3">
        <f t="shared" ca="1" si="104"/>
        <v>0</v>
      </c>
      <c r="BY62" s="3">
        <f t="shared" ca="1" si="105"/>
        <v>0</v>
      </c>
      <c r="BZ62" s="3">
        <f t="shared" ca="1" si="106"/>
        <v>0</v>
      </c>
      <c r="CA62" s="3">
        <f t="shared" ca="1" si="107"/>
        <v>0</v>
      </c>
      <c r="CC62" s="3">
        <f t="shared" ca="1" si="108"/>
        <v>0</v>
      </c>
      <c r="CD62" s="3">
        <f t="shared" ca="1" si="109"/>
        <v>0</v>
      </c>
      <c r="CE62" s="3">
        <f t="shared" ca="1" si="110"/>
        <v>0</v>
      </c>
      <c r="CF62" s="3">
        <f t="shared" ca="1" si="111"/>
        <v>0</v>
      </c>
      <c r="CH62" s="3">
        <f t="shared" ca="1" si="112"/>
        <v>0</v>
      </c>
      <c r="CI62" s="3">
        <f t="shared" ca="1" si="113"/>
        <v>0</v>
      </c>
      <c r="CJ62" s="3">
        <f t="shared" ca="1" si="114"/>
        <v>0</v>
      </c>
      <c r="CK62" s="3">
        <f t="shared" ca="1" si="115"/>
        <v>0</v>
      </c>
      <c r="CM62" s="3">
        <f t="shared" ca="1" si="116"/>
        <v>0</v>
      </c>
      <c r="CN62" s="3">
        <f t="shared" ca="1" si="117"/>
        <v>0</v>
      </c>
      <c r="CO62" s="3">
        <f t="shared" ca="1" si="118"/>
        <v>0</v>
      </c>
      <c r="CP62" s="3">
        <f t="shared" ca="1" si="119"/>
        <v>0</v>
      </c>
      <c r="CR62" s="3">
        <v>4.0129999999999999</v>
      </c>
      <c r="CS62" s="3">
        <v>4.0069999999999997</v>
      </c>
      <c r="CT62" s="3">
        <v>4.016</v>
      </c>
      <c r="CU62" s="3">
        <v>4.0469999999999997</v>
      </c>
    </row>
    <row r="63" spans="1:99" s="3" customFormat="1" x14ac:dyDescent="0.35">
      <c r="A63" s="2" t="s">
        <v>36</v>
      </c>
      <c r="B63" s="2">
        <v>8.8333333333333339</v>
      </c>
      <c r="C63" s="2" t="s">
        <v>168</v>
      </c>
      <c r="D63" s="2" t="s">
        <v>403</v>
      </c>
      <c r="F63" s="3">
        <v>4.0149999999999997</v>
      </c>
      <c r="G63" s="3">
        <v>4.016</v>
      </c>
      <c r="H63" s="3" t="e">
        <v>#N/A</v>
      </c>
      <c r="I63" s="3">
        <v>4.0149999999999997</v>
      </c>
      <c r="K63" s="3">
        <f t="shared" ca="1" si="60"/>
        <v>0.99601494396014956</v>
      </c>
      <c r="L63" s="3">
        <f t="shared" ca="1" si="61"/>
        <v>0.970617529880478</v>
      </c>
      <c r="M63" s="3" t="e">
        <f t="shared" ca="1" si="62"/>
        <v>#N/A</v>
      </c>
      <c r="N63" s="3">
        <f t="shared" ca="1" si="63"/>
        <v>0.98779576587795781</v>
      </c>
      <c r="P63" s="3">
        <f t="shared" ca="1" si="64"/>
        <v>0.29439609938511074</v>
      </c>
      <c r="Q63" s="3">
        <f t="shared" ca="1" si="65"/>
        <v>0.14516936830315458</v>
      </c>
      <c r="R63" s="3" t="e">
        <f t="shared" ca="1" si="66"/>
        <v>#N/A</v>
      </c>
      <c r="S63" s="3">
        <f t="shared" ca="1" si="67"/>
        <v>0.48567869446494366</v>
      </c>
      <c r="U63" s="3">
        <f t="shared" ca="1" si="68"/>
        <v>1.9925280199252804</v>
      </c>
      <c r="V63" s="3">
        <f t="shared" ca="1" si="69"/>
        <v>0.99601593625498008</v>
      </c>
      <c r="W63" s="3" t="e">
        <f t="shared" ca="1" si="70"/>
        <v>#N/A</v>
      </c>
      <c r="X63" s="3">
        <f t="shared" ca="1" si="71"/>
        <v>2.4906600249066004</v>
      </c>
      <c r="Z63" s="3">
        <f t="shared" ca="1" si="72"/>
        <v>0.63860523038605244</v>
      </c>
      <c r="AA63" s="3">
        <f t="shared" ca="1" si="73"/>
        <v>0.83441235059760943</v>
      </c>
      <c r="AB63" s="3" t="e">
        <f t="shared" ca="1" si="74"/>
        <v>#N/A</v>
      </c>
      <c r="AC63" s="3">
        <f t="shared" ca="1" si="75"/>
        <v>0.68916562889165645</v>
      </c>
      <c r="AE63" s="3">
        <f t="shared" ca="1" si="76"/>
        <v>0.1907846105202643</v>
      </c>
      <c r="AF63" s="3">
        <f t="shared" ca="1" si="77"/>
        <v>0.14516936830315458</v>
      </c>
      <c r="AG63" s="3" t="e">
        <f t="shared" ca="1" si="78"/>
        <v>#N/A</v>
      </c>
      <c r="AH63" s="3">
        <f t="shared" ca="1" si="79"/>
        <v>0.45230383445435712</v>
      </c>
      <c r="AJ63" s="3">
        <f t="shared" ca="1" si="80"/>
        <v>1.4943960149439603</v>
      </c>
      <c r="AK63" s="3">
        <f t="shared" ca="1" si="81"/>
        <v>0.99601593625498008</v>
      </c>
      <c r="AL63" s="3" t="e">
        <f t="shared" ca="1" si="82"/>
        <v>#N/A</v>
      </c>
      <c r="AM63" s="3">
        <f t="shared" ca="1" si="83"/>
        <v>2.2415940224159403</v>
      </c>
      <c r="AO63" s="3">
        <f t="shared" ca="1" si="84"/>
        <v>3.9850560398505608</v>
      </c>
      <c r="AP63" s="3">
        <f t="shared" ca="1" si="85"/>
        <v>2.4900398406374502</v>
      </c>
      <c r="AQ63" s="3" t="e">
        <f t="shared" ca="1" si="86"/>
        <v>#N/A</v>
      </c>
      <c r="AR63" s="3">
        <f t="shared" ca="1" si="87"/>
        <v>2.7397260273972606</v>
      </c>
      <c r="AT63" s="3">
        <v>0.82599997520446777</v>
      </c>
      <c r="AU63" s="3">
        <v>2.1740000247955322</v>
      </c>
      <c r="AV63" s="11" t="e">
        <v>#N/A</v>
      </c>
      <c r="AW63" s="3">
        <v>5.0999999046325684E-2</v>
      </c>
      <c r="AY63" s="3">
        <f t="shared" ca="1" si="88"/>
        <v>1.2453300124533068E-2</v>
      </c>
      <c r="AZ63" s="3">
        <f t="shared" ca="1" si="89"/>
        <v>4.9551792828685277E-2</v>
      </c>
      <c r="BA63" s="3" t="e">
        <f t="shared" ca="1" si="90"/>
        <v>#N/A</v>
      </c>
      <c r="BB63" s="3">
        <f t="shared" ca="1" si="91"/>
        <v>6.2515566625155589E-2</v>
      </c>
      <c r="BD63" s="3">
        <f t="shared" ca="1" si="92"/>
        <v>0</v>
      </c>
      <c r="BE63" s="3">
        <f t="shared" ca="1" si="93"/>
        <v>4.5567750930786133E-2</v>
      </c>
      <c r="BF63" s="3" t="e">
        <f t="shared" ca="1" si="94"/>
        <v>#N/A</v>
      </c>
      <c r="BG63" s="3">
        <f t="shared" ca="1" si="95"/>
        <v>5.4047294749714821E-2</v>
      </c>
      <c r="BI63" s="3">
        <f t="shared" ca="1" si="96"/>
        <v>0</v>
      </c>
      <c r="BJ63" s="3">
        <f t="shared" ca="1" si="97"/>
        <v>0.24900398406374502</v>
      </c>
      <c r="BK63" s="3" t="e">
        <f t="shared" ca="1" si="98"/>
        <v>#N/A</v>
      </c>
      <c r="BL63" s="3">
        <f t="shared" ca="1" si="99"/>
        <v>0.24906600249066005</v>
      </c>
      <c r="BN63" s="3">
        <f t="shared" ca="1" si="100"/>
        <v>0.4981320049813201</v>
      </c>
      <c r="BO63" s="3">
        <f t="shared" ca="1" si="101"/>
        <v>2.9880478087649402</v>
      </c>
      <c r="BP63" s="3" t="e">
        <f t="shared" ca="1" si="102"/>
        <v>#N/A</v>
      </c>
      <c r="BQ63" s="3">
        <f t="shared" ca="1" si="103"/>
        <v>0.74719800747198017</v>
      </c>
      <c r="BS63" s="3">
        <v>4.0149999999999997</v>
      </c>
      <c r="BT63" s="3">
        <v>2.1740000247955322</v>
      </c>
      <c r="BU63" s="11" t="e">
        <v>#N/A</v>
      </c>
      <c r="BV63" s="3">
        <v>1.8170000314712524</v>
      </c>
      <c r="BX63" s="3">
        <f t="shared" ca="1" si="104"/>
        <v>8.2191780821917887E-3</v>
      </c>
      <c r="BY63" s="3">
        <f t="shared" ca="1" si="105"/>
        <v>3.3117529880478197E-2</v>
      </c>
      <c r="BZ63" s="3" t="e">
        <f t="shared" ca="1" si="106"/>
        <v>#N/A</v>
      </c>
      <c r="CA63" s="3">
        <f t="shared" ca="1" si="107"/>
        <v>2.9140722291407222E-2</v>
      </c>
      <c r="CC63" s="3">
        <f t="shared" ca="1" si="108"/>
        <v>0</v>
      </c>
      <c r="CD63" s="3">
        <f t="shared" ca="1" si="109"/>
        <v>0</v>
      </c>
      <c r="CE63" s="3" t="e">
        <f t="shared" ca="1" si="110"/>
        <v>#N/A</v>
      </c>
      <c r="CF63" s="3">
        <f t="shared" ca="1" si="111"/>
        <v>4.9813152992562074E-2</v>
      </c>
      <c r="CH63" s="3">
        <f t="shared" ca="1" si="112"/>
        <v>0</v>
      </c>
      <c r="CI63" s="3">
        <f t="shared" ca="1" si="113"/>
        <v>0</v>
      </c>
      <c r="CJ63" s="3" t="e">
        <f t="shared" ca="1" si="114"/>
        <v>#N/A</v>
      </c>
      <c r="CK63" s="3">
        <f t="shared" ca="1" si="115"/>
        <v>0.24906600249066005</v>
      </c>
      <c r="CM63" s="3">
        <f t="shared" ca="1" si="116"/>
        <v>2.4906600249066004</v>
      </c>
      <c r="CN63" s="3">
        <f t="shared" ca="1" si="117"/>
        <v>1.4940239043824701</v>
      </c>
      <c r="CO63" s="3" t="e">
        <f t="shared" ca="1" si="118"/>
        <v>#N/A</v>
      </c>
      <c r="CP63" s="3">
        <f t="shared" ca="1" si="119"/>
        <v>2.4906600249066004</v>
      </c>
      <c r="CR63" s="3">
        <v>4.0149999999999997</v>
      </c>
      <c r="CS63" s="3">
        <v>4.016</v>
      </c>
      <c r="CT63" s="11" t="e">
        <v>#N/A</v>
      </c>
      <c r="CU63" s="3">
        <v>2.1500000953674316</v>
      </c>
    </row>
    <row r="64" spans="1:99" s="3" customFormat="1" x14ac:dyDescent="0.35">
      <c r="A64" s="2" t="s">
        <v>84</v>
      </c>
      <c r="B64" s="2">
        <v>9</v>
      </c>
      <c r="C64" s="2" t="s">
        <v>168</v>
      </c>
      <c r="D64" s="2" t="s">
        <v>403</v>
      </c>
      <c r="F64" s="3">
        <v>4.0149999999999997</v>
      </c>
      <c r="G64" s="3">
        <v>4.016</v>
      </c>
      <c r="H64" s="3">
        <v>4.0110000000000001</v>
      </c>
      <c r="I64" s="3">
        <v>4.016</v>
      </c>
      <c r="K64" s="3">
        <f t="shared" ca="1" si="60"/>
        <v>0.96687422166874237</v>
      </c>
      <c r="L64" s="3">
        <f t="shared" ca="1" si="61"/>
        <v>0.98331673306772904</v>
      </c>
      <c r="M64" s="3">
        <f t="shared" ca="1" si="62"/>
        <v>0.99725754176015957</v>
      </c>
      <c r="N64" s="3">
        <f t="shared" ca="1" si="63"/>
        <v>0.9997509960159362</v>
      </c>
      <c r="P64" s="3">
        <f t="shared" ca="1" si="64"/>
        <v>0.94171858521394092</v>
      </c>
      <c r="Q64" s="3">
        <f t="shared" ca="1" si="65"/>
        <v>0.82993028737396835</v>
      </c>
      <c r="R64" s="3">
        <f t="shared" ca="1" si="66"/>
        <v>0.94315637022858689</v>
      </c>
      <c r="S64" s="3">
        <f t="shared" ca="1" si="67"/>
        <v>0.87524898372501492</v>
      </c>
      <c r="U64" s="3">
        <f t="shared" ca="1" si="68"/>
        <v>1.7434620174346203</v>
      </c>
      <c r="V64" s="3">
        <f t="shared" ca="1" si="69"/>
        <v>1.9920318725099602</v>
      </c>
      <c r="W64" s="3">
        <f t="shared" ca="1" si="70"/>
        <v>1.9945150835203191</v>
      </c>
      <c r="X64" s="3">
        <f t="shared" ca="1" si="71"/>
        <v>2.4900398406374502</v>
      </c>
      <c r="Z64" s="3">
        <f t="shared" ca="1" si="72"/>
        <v>0.96687422166874237</v>
      </c>
      <c r="AA64" s="3">
        <f t="shared" ca="1" si="73"/>
        <v>0.98331673306772904</v>
      </c>
      <c r="AB64" s="3">
        <f t="shared" ca="1" si="74"/>
        <v>0.91822488157566684</v>
      </c>
      <c r="AC64" s="3">
        <f t="shared" ca="1" si="75"/>
        <v>0.9997509960159362</v>
      </c>
      <c r="AE64" s="3">
        <f t="shared" ca="1" si="76"/>
        <v>0.94171858521394092</v>
      </c>
      <c r="AF64" s="3">
        <f t="shared" ca="1" si="77"/>
        <v>0.82993028737396835</v>
      </c>
      <c r="AG64" s="3">
        <f t="shared" ca="1" si="78"/>
        <v>0.86836205162451585</v>
      </c>
      <c r="AH64" s="3">
        <f t="shared" ca="1" si="79"/>
        <v>0.87524898372501492</v>
      </c>
      <c r="AJ64" s="3">
        <f t="shared" ca="1" si="80"/>
        <v>1.7434620174346203</v>
      </c>
      <c r="AK64" s="3">
        <f t="shared" ca="1" si="81"/>
        <v>1.9920318725099602</v>
      </c>
      <c r="AL64" s="3">
        <f t="shared" ca="1" si="82"/>
        <v>1.7452006980802792</v>
      </c>
      <c r="AM64" s="3">
        <f t="shared" ca="1" si="83"/>
        <v>2.4900398406374502</v>
      </c>
      <c r="AO64" s="3">
        <f t="shared" ca="1" si="84"/>
        <v>0.24906600249066005</v>
      </c>
      <c r="AP64" s="3">
        <f t="shared" ca="1" si="85"/>
        <v>0.49800796812749004</v>
      </c>
      <c r="AQ64" s="3">
        <f t="shared" ca="1" si="86"/>
        <v>0.49862877088007979</v>
      </c>
      <c r="AR64" s="3">
        <f t="shared" ca="1" si="87"/>
        <v>0.24900398406374502</v>
      </c>
      <c r="AT64" s="3">
        <v>6.0000000521540642E-3</v>
      </c>
      <c r="AU64" s="3">
        <v>0</v>
      </c>
      <c r="AV64" s="3">
        <v>0</v>
      </c>
      <c r="AW64" s="3">
        <v>3.2999999821186066E-2</v>
      </c>
      <c r="AY64" s="3">
        <f t="shared" ca="1" si="88"/>
        <v>0</v>
      </c>
      <c r="AZ64" s="3">
        <f t="shared" ca="1" si="89"/>
        <v>1.6683266932270877E-2</v>
      </c>
      <c r="BA64" s="3">
        <f t="shared" ca="1" si="90"/>
        <v>7.4794315632011957E-2</v>
      </c>
      <c r="BB64" s="3">
        <f t="shared" ca="1" si="91"/>
        <v>1.2450199203187207E-2</v>
      </c>
      <c r="BD64" s="3">
        <f t="shared" ca="1" si="92"/>
        <v>0</v>
      </c>
      <c r="BE64" s="3">
        <f t="shared" ca="1" si="93"/>
        <v>0</v>
      </c>
      <c r="BF64" s="3">
        <f t="shared" ca="1" si="94"/>
        <v>7.4794318604071042E-2</v>
      </c>
      <c r="BG64" s="3">
        <f t="shared" ca="1" si="95"/>
        <v>0</v>
      </c>
      <c r="BI64" s="3">
        <f t="shared" ca="1" si="96"/>
        <v>0</v>
      </c>
      <c r="BJ64" s="3">
        <f t="shared" ca="1" si="97"/>
        <v>0</v>
      </c>
      <c r="BK64" s="3">
        <f t="shared" ca="1" si="98"/>
        <v>0.24931438544003989</v>
      </c>
      <c r="BL64" s="3">
        <f t="shared" ca="1" si="99"/>
        <v>0</v>
      </c>
      <c r="BN64" s="3">
        <f t="shared" ca="1" si="100"/>
        <v>0</v>
      </c>
      <c r="BO64" s="3">
        <f t="shared" ca="1" si="101"/>
        <v>0.49800796812749004</v>
      </c>
      <c r="BP64" s="3">
        <f t="shared" ca="1" si="102"/>
        <v>0.24931438544003989</v>
      </c>
      <c r="BQ64" s="3">
        <f t="shared" ca="1" si="103"/>
        <v>0.24900398406374502</v>
      </c>
      <c r="BS64" s="3">
        <v>4.0149999999999997</v>
      </c>
      <c r="BT64" s="3">
        <v>4.016</v>
      </c>
      <c r="BU64" s="3">
        <v>0.33300000429153442</v>
      </c>
      <c r="BV64" s="3">
        <v>4.016</v>
      </c>
      <c r="BX64" s="3">
        <f t="shared" ca="1" si="104"/>
        <v>0</v>
      </c>
      <c r="BY64" s="3">
        <f t="shared" ca="1" si="105"/>
        <v>0</v>
      </c>
      <c r="BZ64" s="3">
        <f t="shared" ca="1" si="106"/>
        <v>0</v>
      </c>
      <c r="CA64" s="3">
        <f t="shared" ca="1" si="107"/>
        <v>0</v>
      </c>
      <c r="CC64" s="3">
        <f t="shared" ca="1" si="108"/>
        <v>0</v>
      </c>
      <c r="CD64" s="3">
        <f t="shared" ca="1" si="109"/>
        <v>0</v>
      </c>
      <c r="CE64" s="3">
        <f t="shared" ca="1" si="110"/>
        <v>0</v>
      </c>
      <c r="CF64" s="3">
        <f t="shared" ca="1" si="111"/>
        <v>0</v>
      </c>
      <c r="CH64" s="3">
        <f t="shared" ca="1" si="112"/>
        <v>0</v>
      </c>
      <c r="CI64" s="3">
        <f t="shared" ca="1" si="113"/>
        <v>0</v>
      </c>
      <c r="CJ64" s="3">
        <f t="shared" ca="1" si="114"/>
        <v>0</v>
      </c>
      <c r="CK64" s="3">
        <f t="shared" ca="1" si="115"/>
        <v>0</v>
      </c>
      <c r="CM64" s="3">
        <f t="shared" ca="1" si="116"/>
        <v>0</v>
      </c>
      <c r="CN64" s="3">
        <f t="shared" ca="1" si="117"/>
        <v>0.24900398406374502</v>
      </c>
      <c r="CO64" s="3">
        <f t="shared" ca="1" si="118"/>
        <v>0</v>
      </c>
      <c r="CP64" s="3">
        <f t="shared" ca="1" si="119"/>
        <v>0</v>
      </c>
      <c r="CR64" s="3">
        <v>4.0149999999999997</v>
      </c>
      <c r="CS64" s="3">
        <v>4.016</v>
      </c>
      <c r="CT64" s="3">
        <v>4.0110000000000001</v>
      </c>
      <c r="CU64" s="3">
        <v>4.016</v>
      </c>
    </row>
    <row r="65" spans="1:99" s="3" customFormat="1" x14ac:dyDescent="0.35">
      <c r="A65" s="2" t="s">
        <v>56</v>
      </c>
      <c r="B65" s="2">
        <v>9.0833333333333339</v>
      </c>
      <c r="C65" s="2" t="s">
        <v>167</v>
      </c>
      <c r="D65" s="2" t="s">
        <v>403</v>
      </c>
      <c r="F65" s="3" t="e">
        <v>#N/A</v>
      </c>
      <c r="G65" s="3">
        <v>4.0019999999999998</v>
      </c>
      <c r="H65" s="3">
        <v>4.0110000000000001</v>
      </c>
      <c r="I65" s="11" t="e">
        <v>#N/A</v>
      </c>
      <c r="K65" s="3" t="e">
        <f t="shared" ca="1" si="60"/>
        <v>#N/A</v>
      </c>
      <c r="L65" s="3">
        <f t="shared" ca="1" si="61"/>
        <v>0.89505247376311847</v>
      </c>
      <c r="M65" s="3">
        <f t="shared" ca="1" si="62"/>
        <v>0.99301919720767884</v>
      </c>
      <c r="N65" s="3" t="e">
        <f t="shared" ca="1" si="63"/>
        <v>#N/A</v>
      </c>
      <c r="P65" s="3" t="e">
        <f t="shared" ca="1" si="64"/>
        <v>#N/A</v>
      </c>
      <c r="Q65" s="3">
        <f t="shared" ca="1" si="65"/>
        <v>0.83258367520103094</v>
      </c>
      <c r="R65" s="3">
        <f t="shared" ca="1" si="66"/>
        <v>0.90999748651611623</v>
      </c>
      <c r="S65" s="3" t="e">
        <f t="shared" ca="1" si="67"/>
        <v>#N/A</v>
      </c>
      <c r="U65" s="3" t="e">
        <f t="shared" ca="1" si="68"/>
        <v>#N/A</v>
      </c>
      <c r="V65" s="3">
        <f t="shared" ca="1" si="69"/>
        <v>1.4992503748125938</v>
      </c>
      <c r="W65" s="3">
        <f t="shared" ca="1" si="70"/>
        <v>2.4931438544003988</v>
      </c>
      <c r="X65" s="3" t="e">
        <f t="shared" ca="1" si="71"/>
        <v>#N/A</v>
      </c>
      <c r="Z65" s="3" t="e">
        <f t="shared" ca="1" si="72"/>
        <v>#N/A</v>
      </c>
      <c r="AA65" s="3">
        <f t="shared" ca="1" si="73"/>
        <v>0.86181909045477267</v>
      </c>
      <c r="AB65" s="3">
        <f t="shared" ca="1" si="74"/>
        <v>0.99301919720767884</v>
      </c>
      <c r="AC65" s="3" t="e">
        <f t="shared" ca="1" si="75"/>
        <v>#N/A</v>
      </c>
      <c r="AE65" s="3" t="e">
        <f t="shared" ca="1" si="76"/>
        <v>#N/A</v>
      </c>
      <c r="AF65" s="3">
        <f t="shared" ca="1" si="77"/>
        <v>0.83258367520103094</v>
      </c>
      <c r="AG65" s="3">
        <f t="shared" ca="1" si="78"/>
        <v>0.90999748651611623</v>
      </c>
      <c r="AH65" s="3" t="e">
        <f t="shared" ca="1" si="79"/>
        <v>#N/A</v>
      </c>
      <c r="AJ65" s="3" t="e">
        <f t="shared" ca="1" si="80"/>
        <v>#N/A</v>
      </c>
      <c r="AK65" s="3">
        <f t="shared" ca="1" si="81"/>
        <v>1.4992503748125938</v>
      </c>
      <c r="AL65" s="3">
        <f t="shared" ca="1" si="82"/>
        <v>2.4931438544003988</v>
      </c>
      <c r="AM65" s="3" t="e">
        <f t="shared" ca="1" si="83"/>
        <v>#N/A</v>
      </c>
      <c r="AO65" s="3" t="e">
        <f t="shared" ca="1" si="84"/>
        <v>#N/A</v>
      </c>
      <c r="AP65" s="3">
        <f t="shared" ca="1" si="85"/>
        <v>0.49975012493753124</v>
      </c>
      <c r="AQ65" s="3">
        <f t="shared" ca="1" si="86"/>
        <v>0.24931438544003989</v>
      </c>
      <c r="AR65" s="3" t="e">
        <f t="shared" ca="1" si="87"/>
        <v>#N/A</v>
      </c>
      <c r="AT65" s="11" t="e">
        <v>#N/A</v>
      </c>
      <c r="AU65" s="3">
        <v>0.40599998831748962</v>
      </c>
      <c r="AV65" s="3">
        <v>1.6000000759959221E-2</v>
      </c>
      <c r="AW65" s="11" t="e">
        <v>#N/A</v>
      </c>
      <c r="AY65" s="3" t="e">
        <f t="shared" ca="1" si="88"/>
        <v>#N/A</v>
      </c>
      <c r="AZ65" s="3">
        <f t="shared" ca="1" si="89"/>
        <v>0.19165417291354322</v>
      </c>
      <c r="BA65" s="3">
        <f t="shared" ca="1" si="90"/>
        <v>0.2742458239840439</v>
      </c>
      <c r="BB65" s="3" t="e">
        <f t="shared" ca="1" si="91"/>
        <v>#N/A</v>
      </c>
      <c r="BD65" s="3" t="e">
        <f t="shared" ca="1" si="92"/>
        <v>#N/A</v>
      </c>
      <c r="BE65" s="3">
        <f t="shared" ca="1" si="93"/>
        <v>0.16241878464721193</v>
      </c>
      <c r="BF65" s="3">
        <f t="shared" ca="1" si="94"/>
        <v>0.25779105457276424</v>
      </c>
      <c r="BG65" s="3" t="e">
        <f t="shared" ca="1" si="95"/>
        <v>#N/A</v>
      </c>
      <c r="BI65" s="3" t="e">
        <f t="shared" ca="1" si="96"/>
        <v>#N/A</v>
      </c>
      <c r="BJ65" s="3">
        <f t="shared" ca="1" si="97"/>
        <v>0.49975012493753124</v>
      </c>
      <c r="BK65" s="3">
        <f t="shared" ca="1" si="98"/>
        <v>0.74794315632011965</v>
      </c>
      <c r="BL65" s="3" t="e">
        <f t="shared" ca="1" si="99"/>
        <v>#N/A</v>
      </c>
      <c r="BN65" s="3" t="e">
        <f t="shared" ca="1" si="100"/>
        <v>#N/A</v>
      </c>
      <c r="BO65" s="3">
        <f t="shared" ca="1" si="101"/>
        <v>0.49975012493753124</v>
      </c>
      <c r="BP65" s="3">
        <f t="shared" ca="1" si="102"/>
        <v>1.2465719272001994</v>
      </c>
      <c r="BQ65" s="3" t="e">
        <f t="shared" ca="1" si="103"/>
        <v>#N/A</v>
      </c>
      <c r="BS65" s="11" t="e">
        <v>#N/A</v>
      </c>
      <c r="BT65" s="3">
        <v>0.90600001811981201</v>
      </c>
      <c r="BU65" s="3">
        <v>0.33300000429153442</v>
      </c>
      <c r="BV65" s="11" t="e">
        <v>#N/A</v>
      </c>
      <c r="BX65" s="3" t="e">
        <f t="shared" ca="1" si="104"/>
        <v>#N/A</v>
      </c>
      <c r="BY65" s="3">
        <f t="shared" ca="1" si="105"/>
        <v>0.54122938530734632</v>
      </c>
      <c r="BZ65" s="3">
        <f t="shared" ca="1" si="106"/>
        <v>3.7397157816005958E-2</v>
      </c>
      <c r="CA65" s="3" t="e">
        <f t="shared" ca="1" si="107"/>
        <v>#N/A</v>
      </c>
      <c r="CC65" s="3" t="e">
        <f t="shared" ca="1" si="108"/>
        <v>#N/A</v>
      </c>
      <c r="CD65" s="3">
        <f t="shared" ca="1" si="109"/>
        <v>0.5037481042517834</v>
      </c>
      <c r="CE65" s="3">
        <f t="shared" ca="1" si="110"/>
        <v>4.96135332197419E-2</v>
      </c>
      <c r="CF65" s="3" t="e">
        <f t="shared" ca="1" si="111"/>
        <v>#N/A</v>
      </c>
      <c r="CH65" s="3" t="e">
        <f t="shared" ca="1" si="112"/>
        <v>#N/A</v>
      </c>
      <c r="CI65" s="3">
        <f t="shared" ca="1" si="113"/>
        <v>0.24987506246876562</v>
      </c>
      <c r="CJ65" s="3">
        <f t="shared" ca="1" si="114"/>
        <v>0.24931438544003989</v>
      </c>
      <c r="CK65" s="3" t="e">
        <f t="shared" ca="1" si="115"/>
        <v>#N/A</v>
      </c>
      <c r="CM65" s="3" t="e">
        <f t="shared" ca="1" si="116"/>
        <v>#N/A</v>
      </c>
      <c r="CN65" s="3">
        <f t="shared" ca="1" si="117"/>
        <v>0.49975012493753124</v>
      </c>
      <c r="CO65" s="3">
        <f t="shared" ca="1" si="118"/>
        <v>0.24931438544003989</v>
      </c>
      <c r="CP65" s="3" t="e">
        <f t="shared" ca="1" si="119"/>
        <v>#N/A</v>
      </c>
      <c r="CR65" s="11" t="e">
        <v>#N/A</v>
      </c>
      <c r="CS65" s="3">
        <v>1.9220000505447388</v>
      </c>
      <c r="CT65" s="3">
        <v>2.7160000801086426</v>
      </c>
      <c r="CU65" s="11" t="e">
        <v>#N/A</v>
      </c>
    </row>
    <row r="66" spans="1:99" s="3" customFormat="1" x14ac:dyDescent="0.35">
      <c r="A66" s="2" t="s">
        <v>5</v>
      </c>
      <c r="B66" s="2">
        <v>9.1666666666666661</v>
      </c>
      <c r="C66" s="2" t="s">
        <v>167</v>
      </c>
      <c r="D66" s="2" t="s">
        <v>403</v>
      </c>
      <c r="F66" s="3">
        <v>4.0149999999999997</v>
      </c>
      <c r="G66" s="3">
        <v>4.0129999999999999</v>
      </c>
      <c r="H66" s="3">
        <v>4.0149999999999997</v>
      </c>
      <c r="I66" s="3">
        <v>4.0149999999999997</v>
      </c>
      <c r="K66" s="3">
        <f t="shared" ca="1" si="60"/>
        <v>0.99601494396014956</v>
      </c>
      <c r="L66" s="3">
        <f t="shared" ca="1" si="61"/>
        <v>0.99651133815100923</v>
      </c>
      <c r="M66" s="3">
        <f t="shared" ca="1" si="62"/>
        <v>0.992029887920299</v>
      </c>
      <c r="N66" s="3">
        <f t="shared" ca="1" si="63"/>
        <v>0.99601494396014956</v>
      </c>
      <c r="P66" s="3">
        <f t="shared" ca="1" si="64"/>
        <v>0.96313825705242939</v>
      </c>
      <c r="Q66" s="3">
        <f t="shared" ca="1" si="65"/>
        <v>0.88836286157678745</v>
      </c>
      <c r="R66" s="3">
        <f t="shared" ca="1" si="66"/>
        <v>0.95417185954443406</v>
      </c>
      <c r="S66" s="3">
        <f t="shared" ca="1" si="67"/>
        <v>0.81320055592271645</v>
      </c>
      <c r="U66" s="3">
        <f t="shared" ca="1" si="68"/>
        <v>2.2415940224159403</v>
      </c>
      <c r="V66" s="3">
        <f t="shared" ca="1" si="69"/>
        <v>2.7410914527784702</v>
      </c>
      <c r="W66" s="3">
        <f t="shared" ca="1" si="70"/>
        <v>2.4906600249066004</v>
      </c>
      <c r="X66" s="3">
        <f t="shared" ca="1" si="71"/>
        <v>2.7397260273972606</v>
      </c>
      <c r="Z66" s="3">
        <f t="shared" ca="1" si="72"/>
        <v>0.99601494396014956</v>
      </c>
      <c r="AA66" s="3">
        <f t="shared" ca="1" si="73"/>
        <v>0.99651133815100923</v>
      </c>
      <c r="AB66" s="3">
        <f t="shared" ca="1" si="74"/>
        <v>0.992029887920299</v>
      </c>
      <c r="AC66" s="3">
        <f t="shared" ca="1" si="75"/>
        <v>0.99601494396014956</v>
      </c>
      <c r="AE66" s="3">
        <f t="shared" ca="1" si="76"/>
        <v>0.96313825705242939</v>
      </c>
      <c r="AF66" s="3">
        <f t="shared" ca="1" si="77"/>
        <v>0.88836286157678745</v>
      </c>
      <c r="AG66" s="3">
        <f t="shared" ca="1" si="78"/>
        <v>0.95417185954443406</v>
      </c>
      <c r="AH66" s="3">
        <f t="shared" ca="1" si="79"/>
        <v>0.81320055592271645</v>
      </c>
      <c r="AJ66" s="3">
        <f t="shared" ca="1" si="80"/>
        <v>2.2415940224159403</v>
      </c>
      <c r="AK66" s="3">
        <f t="shared" ca="1" si="81"/>
        <v>2.7410914527784702</v>
      </c>
      <c r="AL66" s="3">
        <f t="shared" ca="1" si="82"/>
        <v>2.4906600249066004</v>
      </c>
      <c r="AM66" s="3">
        <f t="shared" ca="1" si="83"/>
        <v>2.7397260273972606</v>
      </c>
      <c r="AO66" s="3">
        <f t="shared" ca="1" si="84"/>
        <v>0.24906600249066005</v>
      </c>
      <c r="AP66" s="3">
        <f t="shared" ca="1" si="85"/>
        <v>0.24919013207077001</v>
      </c>
      <c r="AQ66" s="3">
        <f t="shared" ca="1" si="86"/>
        <v>0.24906600249066005</v>
      </c>
      <c r="AR66" s="3">
        <f t="shared" ca="1" si="87"/>
        <v>0.24906600249066005</v>
      </c>
      <c r="AT66" s="3">
        <v>7.0000002160668373E-3</v>
      </c>
      <c r="AU66" s="3">
        <v>1.0000000474974513E-3</v>
      </c>
      <c r="AV66" s="3">
        <v>1.4999999664723873E-2</v>
      </c>
      <c r="AW66" s="3">
        <v>4.0000001899898052E-3</v>
      </c>
      <c r="AY66" s="3">
        <f t="shared" ca="1" si="88"/>
        <v>0.18281444582814443</v>
      </c>
      <c r="AZ66" s="3">
        <f t="shared" ca="1" si="89"/>
        <v>0.35310241714428109</v>
      </c>
      <c r="BA66" s="3">
        <f t="shared" ca="1" si="90"/>
        <v>0.47721046077210472</v>
      </c>
      <c r="BB66" s="3">
        <f t="shared" ca="1" si="91"/>
        <v>0.40697384806973841</v>
      </c>
      <c r="BD66" s="3">
        <f t="shared" ca="1" si="92"/>
        <v>0.19526777795955522</v>
      </c>
      <c r="BE66" s="3">
        <f t="shared" ca="1" si="93"/>
        <v>0.32818336400080172</v>
      </c>
      <c r="BF66" s="3">
        <f t="shared" ca="1" si="94"/>
        <v>0.45230385324318118</v>
      </c>
      <c r="BG66" s="3">
        <f t="shared" ca="1" si="95"/>
        <v>0.34022420310736595</v>
      </c>
      <c r="BI66" s="3">
        <f t="shared" ca="1" si="96"/>
        <v>0.74719800747198017</v>
      </c>
      <c r="BJ66" s="3">
        <f t="shared" ca="1" si="97"/>
        <v>0.74757039621231003</v>
      </c>
      <c r="BK66" s="3">
        <f t="shared" ca="1" si="98"/>
        <v>0.9962640099626402</v>
      </c>
      <c r="BL66" s="3">
        <f t="shared" ca="1" si="99"/>
        <v>1.2453300124533002</v>
      </c>
      <c r="BN66" s="3">
        <f t="shared" ca="1" si="100"/>
        <v>0.74719800747198017</v>
      </c>
      <c r="BO66" s="3">
        <f t="shared" ca="1" si="101"/>
        <v>0.99676052828308004</v>
      </c>
      <c r="BP66" s="3">
        <f t="shared" ca="1" si="102"/>
        <v>1.4943960149439603</v>
      </c>
      <c r="BQ66" s="3">
        <f t="shared" ca="1" si="103"/>
        <v>0.9962640099626402</v>
      </c>
      <c r="BS66" s="3">
        <v>0.37299999594688416</v>
      </c>
      <c r="BT66" s="3">
        <v>1.0000000474974513E-3</v>
      </c>
      <c r="BU66" s="3">
        <v>1.4999999664723873E-2</v>
      </c>
      <c r="BV66" s="3">
        <v>1.753000020980835</v>
      </c>
      <c r="BX66" s="3">
        <f t="shared" ca="1" si="104"/>
        <v>0</v>
      </c>
      <c r="BY66" s="3">
        <f t="shared" ca="1" si="105"/>
        <v>0</v>
      </c>
      <c r="BZ66" s="3">
        <f t="shared" ca="1" si="106"/>
        <v>0</v>
      </c>
      <c r="CA66" s="3">
        <f t="shared" ca="1" si="107"/>
        <v>9.1407222914072231E-2</v>
      </c>
      <c r="CC66" s="3">
        <f t="shared" ca="1" si="108"/>
        <v>0</v>
      </c>
      <c r="CD66" s="3">
        <f t="shared" ca="1" si="109"/>
        <v>0</v>
      </c>
      <c r="CE66" s="3">
        <f t="shared" ca="1" si="110"/>
        <v>0</v>
      </c>
      <c r="CF66" s="3">
        <f t="shared" ca="1" si="111"/>
        <v>0.12851806536112748</v>
      </c>
      <c r="CH66" s="3">
        <f t="shared" ca="1" si="112"/>
        <v>0</v>
      </c>
      <c r="CI66" s="3">
        <f t="shared" ca="1" si="113"/>
        <v>0</v>
      </c>
      <c r="CJ66" s="3">
        <f t="shared" ca="1" si="114"/>
        <v>0</v>
      </c>
      <c r="CK66" s="3">
        <f t="shared" ca="1" si="115"/>
        <v>0.24906600249066005</v>
      </c>
      <c r="CM66" s="3">
        <f t="shared" ca="1" si="116"/>
        <v>0</v>
      </c>
      <c r="CN66" s="3">
        <f t="shared" ca="1" si="117"/>
        <v>0.24919013207077001</v>
      </c>
      <c r="CO66" s="3">
        <f t="shared" ca="1" si="118"/>
        <v>0</v>
      </c>
      <c r="CP66" s="3">
        <f t="shared" ca="1" si="119"/>
        <v>0.24906600249066005</v>
      </c>
      <c r="CR66" s="3">
        <v>4.0149999999999997</v>
      </c>
      <c r="CS66" s="3">
        <v>4.0129999999999999</v>
      </c>
      <c r="CT66" s="3">
        <v>4.0149999999999997</v>
      </c>
      <c r="CU66" s="3">
        <v>1.0870000123977661</v>
      </c>
    </row>
    <row r="67" spans="1:99" s="3" customFormat="1" x14ac:dyDescent="0.35">
      <c r="A67" s="2" t="s">
        <v>34</v>
      </c>
      <c r="B67" s="2">
        <v>9.25</v>
      </c>
      <c r="C67" s="2" t="s">
        <v>167</v>
      </c>
      <c r="D67" s="2" t="s">
        <v>403</v>
      </c>
      <c r="F67" s="3">
        <v>4.0140000000000002</v>
      </c>
      <c r="G67" s="3">
        <v>4.016</v>
      </c>
      <c r="H67" s="3">
        <v>4.008</v>
      </c>
      <c r="I67" s="3">
        <v>4.01</v>
      </c>
      <c r="K67" s="3">
        <f t="shared" ca="1" si="60"/>
        <v>0.9920279023418036</v>
      </c>
      <c r="L67" s="3">
        <f t="shared" ca="1" si="61"/>
        <v>0.99576693227091639</v>
      </c>
      <c r="M67" s="3">
        <f t="shared" ca="1" si="62"/>
        <v>0.99376247504990023</v>
      </c>
      <c r="N67" s="3">
        <f t="shared" ca="1" si="63"/>
        <v>0.99725685785536167</v>
      </c>
      <c r="P67" s="3">
        <f t="shared" ca="1" si="64"/>
        <v>0.93821631781626946</v>
      </c>
      <c r="Q67" s="3">
        <f t="shared" ca="1" si="65"/>
        <v>0.81299806771562455</v>
      </c>
      <c r="R67" s="3">
        <f t="shared" ca="1" si="66"/>
        <v>0.95583832294804727</v>
      </c>
      <c r="S67" s="3">
        <f t="shared" ca="1" si="67"/>
        <v>0.78528688063942587</v>
      </c>
      <c r="U67" s="3">
        <f t="shared" ca="1" si="68"/>
        <v>2.9895366218236172</v>
      </c>
      <c r="V67" s="3">
        <f t="shared" ca="1" si="69"/>
        <v>1.4940239043824701</v>
      </c>
      <c r="W67" s="3">
        <f t="shared" ca="1" si="70"/>
        <v>2.4950099800399204</v>
      </c>
      <c r="X67" s="3">
        <f t="shared" ca="1" si="71"/>
        <v>1.9950124688279303</v>
      </c>
      <c r="Z67" s="3">
        <f t="shared" ca="1" si="72"/>
        <v>0.9920279023418036</v>
      </c>
      <c r="AA67" s="3">
        <f t="shared" ca="1" si="73"/>
        <v>0.99576693227091639</v>
      </c>
      <c r="AB67" s="3">
        <f t="shared" ca="1" si="74"/>
        <v>0.99376247504990023</v>
      </c>
      <c r="AC67" s="3">
        <f t="shared" ca="1" si="75"/>
        <v>0.83915211970074821</v>
      </c>
      <c r="AE67" s="3">
        <f t="shared" ca="1" si="76"/>
        <v>0.93821631781626946</v>
      </c>
      <c r="AF67" s="3">
        <f t="shared" ca="1" si="77"/>
        <v>0.81299806771562455</v>
      </c>
      <c r="AG67" s="3">
        <f t="shared" ca="1" si="78"/>
        <v>0.95583832294804727</v>
      </c>
      <c r="AH67" s="3">
        <f t="shared" ca="1" si="79"/>
        <v>0.78528688063942587</v>
      </c>
      <c r="AJ67" s="3">
        <f t="shared" ca="1" si="80"/>
        <v>2.9895366218236172</v>
      </c>
      <c r="AK67" s="3">
        <f t="shared" ca="1" si="81"/>
        <v>1.4940239043824701</v>
      </c>
      <c r="AL67" s="3">
        <f t="shared" ca="1" si="82"/>
        <v>2.4950099800399204</v>
      </c>
      <c r="AM67" s="3">
        <f t="shared" ca="1" si="83"/>
        <v>1.9950124688279303</v>
      </c>
      <c r="AO67" s="3">
        <f t="shared" ca="1" si="84"/>
        <v>0.24912805181863476</v>
      </c>
      <c r="AP67" s="3">
        <f t="shared" ca="1" si="85"/>
        <v>0.24900398406374502</v>
      </c>
      <c r="AQ67" s="3">
        <f t="shared" ca="1" si="86"/>
        <v>0.249500998003992</v>
      </c>
      <c r="AR67" s="3">
        <f t="shared" ca="1" si="87"/>
        <v>0.49875311720698257</v>
      </c>
      <c r="AT67" s="3">
        <v>7.0000002160668373E-3</v>
      </c>
      <c r="AU67" s="3">
        <v>1.4999999664723873E-2</v>
      </c>
      <c r="AV67" s="3">
        <v>1.4000000432133675E-2</v>
      </c>
      <c r="AW67" s="3">
        <v>0</v>
      </c>
      <c r="AY67" s="3">
        <f t="shared" ca="1" si="88"/>
        <v>0.42351768809167906</v>
      </c>
      <c r="AZ67" s="3">
        <f t="shared" ca="1" si="89"/>
        <v>0.63047808764940239</v>
      </c>
      <c r="BA67" s="3">
        <f t="shared" ca="1" si="90"/>
        <v>0.64870259481037917</v>
      </c>
      <c r="BB67" s="3">
        <f t="shared" ca="1" si="91"/>
        <v>0.34039900249376553</v>
      </c>
      <c r="BD67" s="3">
        <f t="shared" ca="1" si="92"/>
        <v>0.40682614235718806</v>
      </c>
      <c r="BE67" s="3">
        <f t="shared" ca="1" si="93"/>
        <v>0.55179287831621815</v>
      </c>
      <c r="BF67" s="3">
        <f t="shared" ca="1" si="94"/>
        <v>0.73552893813022835</v>
      </c>
      <c r="BG67" s="3">
        <f t="shared" ca="1" si="95"/>
        <v>0.31995016737769072</v>
      </c>
      <c r="BI67" s="3">
        <f t="shared" ca="1" si="96"/>
        <v>0.99651220727453904</v>
      </c>
      <c r="BJ67" s="3">
        <f t="shared" ca="1" si="97"/>
        <v>0.74701195219123506</v>
      </c>
      <c r="BK67" s="3">
        <f t="shared" ca="1" si="98"/>
        <v>1.7465069860279441</v>
      </c>
      <c r="BL67" s="3">
        <f t="shared" ca="1" si="99"/>
        <v>0.99750623441396513</v>
      </c>
      <c r="BN67" s="3">
        <f t="shared" ca="1" si="100"/>
        <v>0.74738415545590431</v>
      </c>
      <c r="BO67" s="3">
        <f t="shared" ca="1" si="101"/>
        <v>0.99601593625498008</v>
      </c>
      <c r="BP67" s="3">
        <f t="shared" ca="1" si="102"/>
        <v>0.99800399201596801</v>
      </c>
      <c r="BQ67" s="3">
        <f t="shared" ca="1" si="103"/>
        <v>1.4962593516209477</v>
      </c>
      <c r="BS67" s="3">
        <v>0.52300000190734863</v>
      </c>
      <c r="BT67" s="3">
        <v>1.1139999628067017</v>
      </c>
      <c r="BU67" s="3">
        <v>0.36399999260902405</v>
      </c>
      <c r="BV67" s="3">
        <v>0.44999998807907104</v>
      </c>
      <c r="BX67" s="3">
        <f t="shared" ca="1" si="104"/>
        <v>7.0503238664673618E-2</v>
      </c>
      <c r="BY67" s="3">
        <f t="shared" ca="1" si="105"/>
        <v>0</v>
      </c>
      <c r="BZ67" s="3">
        <f t="shared" ca="1" si="106"/>
        <v>0</v>
      </c>
      <c r="CA67" s="3">
        <f t="shared" ca="1" si="107"/>
        <v>0.24912718204488771</v>
      </c>
      <c r="CC67" s="3">
        <f t="shared" ca="1" si="108"/>
        <v>0.12456402590931738</v>
      </c>
      <c r="CD67" s="3">
        <f t="shared" ca="1" si="109"/>
        <v>0</v>
      </c>
      <c r="CE67" s="3">
        <f t="shared" ca="1" si="110"/>
        <v>0</v>
      </c>
      <c r="CF67" s="3">
        <f t="shared" ca="1" si="111"/>
        <v>0.26583543739413978</v>
      </c>
      <c r="CH67" s="3">
        <f t="shared" ca="1" si="112"/>
        <v>0.24912805181863476</v>
      </c>
      <c r="CI67" s="3">
        <f t="shared" ca="1" si="113"/>
        <v>0</v>
      </c>
      <c r="CJ67" s="3">
        <f t="shared" ca="1" si="114"/>
        <v>0</v>
      </c>
      <c r="CK67" s="3">
        <f t="shared" ca="1" si="115"/>
        <v>0.24937655860349128</v>
      </c>
      <c r="CM67" s="3">
        <f t="shared" ca="1" si="116"/>
        <v>0.24912805181863476</v>
      </c>
      <c r="CN67" s="3">
        <f t="shared" ca="1" si="117"/>
        <v>0</v>
      </c>
      <c r="CO67" s="3">
        <f t="shared" ca="1" si="118"/>
        <v>0</v>
      </c>
      <c r="CP67" s="3">
        <f t="shared" ca="1" si="119"/>
        <v>0.49875311720698257</v>
      </c>
      <c r="CR67" s="3">
        <v>1.8559999465942383</v>
      </c>
      <c r="CS67" s="3">
        <v>4.016</v>
      </c>
      <c r="CT67" s="3">
        <v>4.008</v>
      </c>
      <c r="CU67" s="3">
        <v>1.8669999837875366</v>
      </c>
    </row>
    <row r="68" spans="1:99" s="3" customFormat="1" x14ac:dyDescent="0.35">
      <c r="A68" s="2" t="s">
        <v>43</v>
      </c>
      <c r="B68" s="2">
        <v>9.25</v>
      </c>
      <c r="C68" s="2" t="s">
        <v>168</v>
      </c>
      <c r="D68" s="2" t="s">
        <v>403</v>
      </c>
      <c r="F68" s="3">
        <v>4.01</v>
      </c>
      <c r="G68" s="3">
        <v>4.0060000000000002</v>
      </c>
      <c r="H68" s="3">
        <v>4.01</v>
      </c>
      <c r="I68" s="3">
        <v>4.0149999999999997</v>
      </c>
      <c r="K68" s="3">
        <f t="shared" ref="K68:K99" ca="1" si="120">INDIRECT("'Data_Netteyage'!" &amp; LEFT(ADDRESS(1,COLUMN(),4),LEN(ADDRESS(1,COLUMN(),4))-1) &amp; ROW())/F68</f>
        <v>0.95137157107231918</v>
      </c>
      <c r="L68" s="3">
        <f t="shared" ref="L68:L99" ca="1" si="121">INDIRECT("'Data_Netteyage'!" &amp; LEFT(ADDRESS(1,COLUMN(),4),LEN(ADDRESS(1,COLUMN(),4))-1) &amp; ROW())/G68</f>
        <v>0.99400898652021963</v>
      </c>
      <c r="M68" s="3">
        <f t="shared" ref="M68:M99" ca="1" si="122">INDIRECT("'Data_Netteyage'!" &amp; LEFT(ADDRESS(1,COLUMN(),4),LEN(ADDRESS(1,COLUMN(),4))-1) &amp; ROW())/H68</f>
        <v>0.99725685785536167</v>
      </c>
      <c r="N68" s="3">
        <f t="shared" ref="N68:N99" ca="1" si="123">INDIRECT("'Data_Netteyage'!" &amp; LEFT(ADDRESS(1,COLUMN(),4),LEN(ADDRESS(1,COLUMN(),4))-1) &amp; ROW())/I68</f>
        <v>0.9962640099626402</v>
      </c>
      <c r="P68" s="3">
        <f t="shared" ref="P68:P99" ca="1" si="124">INDIRECT("'Data_Netteyage'!" &amp; LEFT(ADDRESS(1,COLUMN(),4),LEN(ADDRESS(1,COLUMN(),4))-1) &amp; ROW())/F68</f>
        <v>0.87231909600725199</v>
      </c>
      <c r="Q68" s="3">
        <f t="shared" ref="Q68:Q99" ca="1" si="125">INDIRECT("'Data_Netteyage'!" &amp; LEFT(ADDRESS(1,COLUMN(),4),LEN(ADDRESS(1,COLUMN(),4))-1) &amp; ROW())/G68</f>
        <v>0.88192714230379221</v>
      </c>
      <c r="R68" s="3">
        <f t="shared" ref="R68:R99" ca="1" si="126">INDIRECT("'Data_Netteyage'!" &amp; LEFT(ADDRESS(1,COLUMN(),4),LEN(ADDRESS(1,COLUMN(),4))-1) &amp; ROW())/H68</f>
        <v>0.90922692667534977</v>
      </c>
      <c r="S68" s="3">
        <f t="shared" ref="S68:S99" ca="1" si="127">INDIRECT("'Data_Netteyage'!" &amp; LEFT(ADDRESS(1,COLUMN(),4),LEN(ADDRESS(1,COLUMN(),4))-1) &amp; ROW())/I68</f>
        <v>0.9633872848222147</v>
      </c>
      <c r="U68" s="3">
        <f t="shared" ref="U68:U99" ca="1" si="128">INDIRECT("'Data_Netteyage'!" &amp; LEFT(ADDRESS(1,COLUMN(),4),LEN(ADDRESS(1,COLUMN(),4))-1) &amp; ROW())/F68</f>
        <v>2.9925187032418954</v>
      </c>
      <c r="V68" s="3">
        <f t="shared" ref="V68:V99" ca="1" si="129">INDIRECT("'Data_Netteyage'!" &amp; LEFT(ADDRESS(1,COLUMN(),4),LEN(ADDRESS(1,COLUMN(),4))-1) &amp; ROW())/G68</f>
        <v>1.7473789316025961</v>
      </c>
      <c r="W68" s="3">
        <f t="shared" ref="W68:W99" ca="1" si="130">INDIRECT("'Data_Netteyage'!" &amp; LEFT(ADDRESS(1,COLUMN(),4),LEN(ADDRESS(1,COLUMN(),4))-1) &amp; ROW())/H68</f>
        <v>3.491271820448878</v>
      </c>
      <c r="X68" s="3">
        <f t="shared" ref="X68:X99" ca="1" si="131">INDIRECT("'Data_Netteyage'!" &amp; LEFT(ADDRESS(1,COLUMN(),4),LEN(ADDRESS(1,COLUMN(),4))-1) &amp; ROW())/I68</f>
        <v>0.74719800747198017</v>
      </c>
      <c r="Z68" s="3">
        <f t="shared" ref="Z68:Z99" ca="1" si="132">INDIRECT("'Data_Netteyage'!" &amp; LEFT(ADDRESS(1,COLUMN(),4),LEN(ADDRESS(1,COLUMN(),4))-1) &amp; ROW())/F68</f>
        <v>0.99301745635910221</v>
      </c>
      <c r="AA68" s="3">
        <f t="shared" ref="AA68:AA99" ca="1" si="133">INDIRECT("'Data_Netteyage'!" &amp; LEFT(ADDRESS(1,COLUMN(),4),LEN(ADDRESS(1,COLUMN(),4))-1) &amp; ROW())/G68</f>
        <v>0.94408387418871687</v>
      </c>
      <c r="AB68" s="3">
        <f t="shared" ref="AB68:AB99" ca="1" si="134">INDIRECT("'Data_Netteyage'!" &amp; LEFT(ADDRESS(1,COLUMN(),4),LEN(ADDRESS(1,COLUMN(),4))-1) &amp; ROW())/H68</f>
        <v>0.99725685785536167</v>
      </c>
      <c r="AC68" s="3">
        <f t="shared" ref="AC68:AC99" ca="1" si="135">INDIRECT("'Data_Netteyage'!" &amp; LEFT(ADDRESS(1,COLUMN(),4),LEN(ADDRESS(1,COLUMN(),4))-1) &amp; ROW())/I68</f>
        <v>0.9962640099626402</v>
      </c>
      <c r="AE68" s="3">
        <f t="shared" ref="AE68:AE99" ca="1" si="136">INDIRECT("'Data_Netteyage'!" &amp; LEFT(ADDRESS(1,COLUMN(),4),LEN(ADDRESS(1,COLUMN(),4))-1) &amp; ROW())/F68</f>
        <v>0.87231909600725199</v>
      </c>
      <c r="AF68" s="3">
        <f t="shared" ref="AF68:AF99" ca="1" si="137">INDIRECT("'Data_Netteyage'!" &amp; LEFT(ADDRESS(1,COLUMN(),4),LEN(ADDRESS(1,COLUMN(),4))-1) &amp; ROW())/G68</f>
        <v>0.88192714230379221</v>
      </c>
      <c r="AG68" s="3">
        <f t="shared" ref="AG68:AG99" ca="1" si="138">INDIRECT("'Data_Netteyage'!" &amp; LEFT(ADDRESS(1,COLUMN(),4),LEN(ADDRESS(1,COLUMN(),4))-1) &amp; ROW())/H68</f>
        <v>0.90922692667534977</v>
      </c>
      <c r="AH68" s="3">
        <f t="shared" ref="AH68:AH99" ca="1" si="139">INDIRECT("'Data_Netteyage'!" &amp; LEFT(ADDRESS(1,COLUMN(),4),LEN(ADDRESS(1,COLUMN(),4))-1) &amp; ROW())/I68</f>
        <v>0.9633872848222147</v>
      </c>
      <c r="AJ68" s="3">
        <f t="shared" ref="AJ68:AJ99" ca="1" si="140">INDIRECT("'Data_Netteyage'!" &amp; LEFT(ADDRESS(1,COLUMN(),4),LEN(ADDRESS(1,COLUMN(),4))-1) &amp; ROW())/F68</f>
        <v>2.9925187032418954</v>
      </c>
      <c r="AK68" s="3">
        <f t="shared" ref="AK68:AK99" ca="1" si="141">INDIRECT("'Data_Netteyage'!" &amp; LEFT(ADDRESS(1,COLUMN(),4),LEN(ADDRESS(1,COLUMN(),4))-1) &amp; ROW())/G68</f>
        <v>1.7473789316025961</v>
      </c>
      <c r="AL68" s="3">
        <f t="shared" ref="AL68:AL99" ca="1" si="142">INDIRECT("'Data_Netteyage'!" &amp; LEFT(ADDRESS(1,COLUMN(),4),LEN(ADDRESS(1,COLUMN(),4))-1) &amp; ROW())/H68</f>
        <v>3.491271820448878</v>
      </c>
      <c r="AM68" s="3">
        <f t="shared" ref="AM68:AM99" ca="1" si="143">INDIRECT("'Data_Netteyage'!" &amp; LEFT(ADDRESS(1,COLUMN(),4),LEN(ADDRESS(1,COLUMN(),4))-1) &amp; ROW())/I68</f>
        <v>0.74719800747198017</v>
      </c>
      <c r="AO68" s="3">
        <f t="shared" ref="AO68:AO99" ca="1" si="144">INDIRECT("'Data_Netteyage'!" &amp; LEFT(ADDRESS(1,COLUMN(),4),LEN(ADDRESS(1,COLUMN(),4))-1) &amp; ROW())/F68</f>
        <v>0.24937655860349128</v>
      </c>
      <c r="AP68" s="3">
        <f t="shared" ref="AP68:AP99" ca="1" si="145">INDIRECT("'Data_Netteyage'!" &amp; LEFT(ADDRESS(1,COLUMN(),4),LEN(ADDRESS(1,COLUMN(),4))-1) &amp; ROW())/G68</f>
        <v>0.49925112331502741</v>
      </c>
      <c r="AQ68" s="3">
        <f t="shared" ref="AQ68:AQ99" ca="1" si="146">INDIRECT("'Data_Netteyage'!" &amp; LEFT(ADDRESS(1,COLUMN(),4),LEN(ADDRESS(1,COLUMN(),4))-1) &amp; ROW())/H68</f>
        <v>0.24937655860349128</v>
      </c>
      <c r="AR68" s="3">
        <f t="shared" ref="AR68:AR99" ca="1" si="147">INDIRECT("'Data_Netteyage'!" &amp; LEFT(ADDRESS(1,COLUMN(),4),LEN(ADDRESS(1,COLUMN(),4))-1) &amp; ROW())/I68</f>
        <v>0.24906600249066005</v>
      </c>
      <c r="AT68" s="3">
        <v>1.9999999552965164E-2</v>
      </c>
      <c r="AU68" s="3">
        <v>9.9999997764825821E-3</v>
      </c>
      <c r="AV68" s="3">
        <v>4.0000001899898052E-3</v>
      </c>
      <c r="AW68" s="3">
        <v>1.0999999940395355E-2</v>
      </c>
      <c r="AY68" s="3">
        <f t="shared" ref="AY68:AY99" ca="1" si="148">INDIRECT("'Data_Netteyage'!" &amp; LEFT(ADDRESS(1,COLUMN(),4),LEN(ADDRESS(1,COLUMN(),4))-1) &amp; ROW())/F68</f>
        <v>0.427930174563591</v>
      </c>
      <c r="AZ68" s="3">
        <f t="shared" ref="AZ68:AZ99" ca="1" si="149">INDIRECT("'Data_Netteyage'!" &amp; LEFT(ADDRESS(1,COLUMN(),4),LEN(ADDRESS(1,COLUMN(),4))-1) &amp; ROW())/G68</f>
        <v>0.84023964053919109</v>
      </c>
      <c r="BA68" s="3">
        <f t="shared" ref="BA68:BA99" ca="1" si="150">INDIRECT("'Data_Netteyage'!" &amp; LEFT(ADDRESS(1,COLUMN(),4),LEN(ADDRESS(1,COLUMN(),4))-1) &amp; ROW())/H68</f>
        <v>0.47356608478803003</v>
      </c>
      <c r="BB68" s="3">
        <f t="shared" ref="BB68:BB99" ca="1" si="151">INDIRECT("'Data_Netteyage'!" &amp; LEFT(ADDRESS(1,COLUMN(),4),LEN(ADDRESS(1,COLUMN(),4))-1) &amp; ROW())/I68</f>
        <v>0.96737235367372365</v>
      </c>
      <c r="BD68" s="3">
        <f t="shared" ref="BD68:BD99" ca="1" si="152">INDIRECT("'Data_Netteyage'!" &amp; LEFT(ADDRESS(1,COLUMN(),4),LEN(ADDRESS(1,COLUMN(),4))-1) &amp; ROW())/F68</f>
        <v>0.39052365723988064</v>
      </c>
      <c r="BE68" s="3">
        <f t="shared" ref="BE68:BE99" ca="1" si="153">INDIRECT("'Data_Netteyage'!" &amp; LEFT(ADDRESS(1,COLUMN(),4),LEN(ADDRESS(1,COLUMN(),4))-1) &amp; ROW())/G68</f>
        <v>0.85696458018650368</v>
      </c>
      <c r="BF68" s="3">
        <f t="shared" ref="BF68:BF99" ca="1" si="154">INDIRECT("'Data_Netteyage'!" &amp; LEFT(ADDRESS(1,COLUMN(),4),LEN(ADDRESS(1,COLUMN(),4))-1) &amp; ROW())/H68</f>
        <v>0.43167085619062706</v>
      </c>
      <c r="BG68" s="3">
        <f t="shared" ref="BG68:BG99" ca="1" si="155">INDIRECT("'Data_Netteyage'!" &amp; LEFT(ADDRESS(1,COLUMN(),4),LEN(ADDRESS(1,COLUMN(),4))-1) &amp; ROW())/I68</f>
        <v>0.9633872848222147</v>
      </c>
      <c r="BI68" s="3">
        <f t="shared" ref="BI68:BI99" ca="1" si="156">INDIRECT("'Data_Netteyage'!" &amp; LEFT(ADDRESS(1,COLUMN(),4),LEN(ADDRESS(1,COLUMN(),4))-1) &amp; ROW())/F68</f>
        <v>0.99750623441396513</v>
      </c>
      <c r="BJ68" s="3">
        <f t="shared" ref="BJ68:BJ99" ca="1" si="157">INDIRECT("'Data_Netteyage'!" &amp; LEFT(ADDRESS(1,COLUMN(),4),LEN(ADDRESS(1,COLUMN(),4))-1) &amp; ROW())/G68</f>
        <v>1.4977533699450822</v>
      </c>
      <c r="BK68" s="3">
        <f t="shared" ref="BK68:BK99" ca="1" si="158">INDIRECT("'Data_Netteyage'!" &amp; LEFT(ADDRESS(1,COLUMN(),4),LEN(ADDRESS(1,COLUMN(),4))-1) &amp; ROW())/H68</f>
        <v>1.4962593516209477</v>
      </c>
      <c r="BL68" s="3">
        <f t="shared" ref="BL68:BL99" ca="1" si="159">INDIRECT("'Data_Netteyage'!" &amp; LEFT(ADDRESS(1,COLUMN(),4),LEN(ADDRESS(1,COLUMN(),4))-1) &amp; ROW())/I68</f>
        <v>0.74719800747198017</v>
      </c>
      <c r="BN68" s="3">
        <f t="shared" ref="BN68:BN99" ca="1" si="160">INDIRECT("'Data_Netteyage'!" &amp; LEFT(ADDRESS(1,COLUMN(),4),LEN(ADDRESS(1,COLUMN(),4))-1) &amp; ROW())/F68</f>
        <v>1.9950124688279303</v>
      </c>
      <c r="BO68" s="3">
        <f t="shared" ref="BO68:BO99" ca="1" si="161">INDIRECT("'Data_Netteyage'!" &amp; LEFT(ADDRESS(1,COLUMN(),4),LEN(ADDRESS(1,COLUMN(),4))-1) &amp; ROW())/G68</f>
        <v>0.99850224663005482</v>
      </c>
      <c r="BP68" s="3">
        <f t="shared" ref="BP68:BP99" ca="1" si="162">INDIRECT("'Data_Netteyage'!" &amp; LEFT(ADDRESS(1,COLUMN(),4),LEN(ADDRESS(1,COLUMN(),4))-1) &amp; ROW())/H68</f>
        <v>0.99750623441396513</v>
      </c>
      <c r="BQ68" s="3">
        <f t="shared" ref="BQ68:BQ99" ca="1" si="163">INDIRECT("'Data_Netteyage'!" &amp; LEFT(ADDRESS(1,COLUMN(),4),LEN(ADDRESS(1,COLUMN(),4))-1) &amp; ROW())/I68</f>
        <v>0.4981320049813201</v>
      </c>
      <c r="BS68" s="3">
        <v>1.1859999895095825</v>
      </c>
      <c r="BT68" s="3">
        <v>9.9999997764825821E-3</v>
      </c>
      <c r="BU68" s="3">
        <v>4.0000001899898052E-3</v>
      </c>
      <c r="BV68" s="3">
        <v>1.0999999940395355E-2</v>
      </c>
      <c r="BX68" s="3">
        <f t="shared" ref="BX68:BX99" ca="1" si="164">INDIRECT("'Data_Netteyage'!" &amp; LEFT(ADDRESS(1,COLUMN(),4),LEN(ADDRESS(1,COLUMN(),4))-1) &amp; ROW())/F68</f>
        <v>2.094763092269326E-2</v>
      </c>
      <c r="BY68" s="3">
        <f t="shared" ref="BY68:BY99" ca="1" si="165">INDIRECT("'Data_Netteyage'!" &amp; LEFT(ADDRESS(1,COLUMN(),4),LEN(ADDRESS(1,COLUMN(),4))-1) &amp; ROW())/G68</f>
        <v>0</v>
      </c>
      <c r="BZ68" s="3">
        <f t="shared" ref="BZ68:BZ99" ca="1" si="166">INDIRECT("'Data_Netteyage'!" &amp; LEFT(ADDRESS(1,COLUMN(),4),LEN(ADDRESS(1,COLUMN(),4))-1) &amp; ROW())/H68</f>
        <v>0.13291770573566095</v>
      </c>
      <c r="CA68" s="3">
        <f t="shared" ref="CA68:CA99" ca="1" si="167">INDIRECT("'Data_Netteyage'!" &amp; LEFT(ADDRESS(1,COLUMN(),4),LEN(ADDRESS(1,COLUMN(),4))-1) &amp; ROW())/I68</f>
        <v>0</v>
      </c>
      <c r="CC68" s="3">
        <f t="shared" ref="CC68:CC99" ca="1" si="168">INDIRECT("'Data_Netteyage'!" &amp; LEFT(ADDRESS(1,COLUMN(),4),LEN(ADDRESS(1,COLUMN(),4))-1) &amp; ROW())/F68</f>
        <v>0</v>
      </c>
      <c r="CD68" s="3">
        <f t="shared" ref="CD68:CD99" ca="1" si="169">INDIRECT("'Data_Netteyage'!" &amp; LEFT(ADDRESS(1,COLUMN(),4),LEN(ADDRESS(1,COLUMN(),4))-1) &amp; ROW())/G68</f>
        <v>0</v>
      </c>
      <c r="CE68" s="3">
        <f t="shared" ref="CE68:CE99" ca="1" si="170">INDIRECT("'Data_Netteyage'!" &amp; LEFT(ADDRESS(1,COLUMN(),4),LEN(ADDRESS(1,COLUMN(),4))-1) &amp; ROW())/H68</f>
        <v>0.15785527645501116</v>
      </c>
      <c r="CF68" s="3">
        <f t="shared" ref="CF68:CF99" ca="1" si="171">INDIRECT("'Data_Netteyage'!" &amp; LEFT(ADDRESS(1,COLUMN(),4),LEN(ADDRESS(1,COLUMN(),4))-1) &amp; ROW())/I68</f>
        <v>0</v>
      </c>
      <c r="CH68" s="3">
        <f t="shared" ref="CH68:CH99" ca="1" si="172">INDIRECT("'Data_Netteyage'!" &amp; LEFT(ADDRESS(1,COLUMN(),4),LEN(ADDRESS(1,COLUMN(),4))-1) &amp; ROW())/F68</f>
        <v>0</v>
      </c>
      <c r="CI68" s="3">
        <f t="shared" ref="CI68:CI99" ca="1" si="173">INDIRECT("'Data_Netteyage'!" &amp; LEFT(ADDRESS(1,COLUMN(),4),LEN(ADDRESS(1,COLUMN(),4))-1) &amp; ROW())/G68</f>
        <v>0</v>
      </c>
      <c r="CJ68" s="3">
        <f t="shared" ref="CJ68:CJ99" ca="1" si="174">INDIRECT("'Data_Netteyage'!" &amp; LEFT(ADDRESS(1,COLUMN(),4),LEN(ADDRESS(1,COLUMN(),4))-1) &amp; ROW())/H68</f>
        <v>0.74812967581047385</v>
      </c>
      <c r="CK68" s="3">
        <f t="shared" ref="CK68:CK99" ca="1" si="175">INDIRECT("'Data_Netteyage'!" &amp; LEFT(ADDRESS(1,COLUMN(),4),LEN(ADDRESS(1,COLUMN(),4))-1) &amp; ROW())/I68</f>
        <v>0</v>
      </c>
      <c r="CM68" s="3">
        <f t="shared" ref="CM68:CM99" ca="1" si="176">INDIRECT("'Data_Netteyage'!" &amp; LEFT(ADDRESS(1,COLUMN(),4),LEN(ADDRESS(1,COLUMN(),4))-1) &amp; ROW())/F68</f>
        <v>0.24937655860349128</v>
      </c>
      <c r="CN68" s="3">
        <f t="shared" ref="CN68:CN99" ca="1" si="177">INDIRECT("'Data_Netteyage'!" &amp; LEFT(ADDRESS(1,COLUMN(),4),LEN(ADDRESS(1,COLUMN(),4))-1) &amp; ROW())/G68</f>
        <v>0</v>
      </c>
      <c r="CO68" s="3">
        <f t="shared" ref="CO68:CO99" ca="1" si="178">INDIRECT("'Data_Netteyage'!" &amp; LEFT(ADDRESS(1,COLUMN(),4),LEN(ADDRESS(1,COLUMN(),4))-1) &amp; ROW())/H68</f>
        <v>0.49875311720698257</v>
      </c>
      <c r="CP68" s="3">
        <f t="shared" ref="CP68:CP99" ca="1" si="179">INDIRECT("'Data_Netteyage'!" &amp; LEFT(ADDRESS(1,COLUMN(),4),LEN(ADDRESS(1,COLUMN(),4))-1) &amp; ROW())/I68</f>
        <v>0</v>
      </c>
      <c r="CR68" s="3">
        <v>4.01</v>
      </c>
      <c r="CS68" s="3">
        <v>4.0060000000000002</v>
      </c>
      <c r="CT68" s="3">
        <v>1.6369999647140503</v>
      </c>
      <c r="CU68" s="3">
        <v>4.0149999999999997</v>
      </c>
    </row>
    <row r="69" spans="1:99" s="3" customFormat="1" x14ac:dyDescent="0.35">
      <c r="A69" s="2" t="s">
        <v>46</v>
      </c>
      <c r="B69" s="2">
        <v>9.4166666666666661</v>
      </c>
      <c r="C69" s="2" t="s">
        <v>168</v>
      </c>
      <c r="D69" s="2" t="s">
        <v>403</v>
      </c>
      <c r="F69" s="3">
        <v>4.0110000000000001</v>
      </c>
      <c r="G69" s="3">
        <v>4.0019999999999998</v>
      </c>
      <c r="H69" s="3">
        <v>4.0049999999999999</v>
      </c>
      <c r="I69" s="3">
        <v>4.0110000000000001</v>
      </c>
      <c r="K69" s="3">
        <f t="shared" ca="1" si="120"/>
        <v>0.99700822737471939</v>
      </c>
      <c r="L69" s="3">
        <f t="shared" ca="1" si="121"/>
        <v>0.99500249875062463</v>
      </c>
      <c r="M69" s="3">
        <f t="shared" ca="1" si="122"/>
        <v>0.99450686641697883</v>
      </c>
      <c r="N69" s="3">
        <f t="shared" ca="1" si="123"/>
        <v>0.88481675392670167</v>
      </c>
      <c r="P69" s="3">
        <f t="shared" ca="1" si="124"/>
        <v>0.89728245785637728</v>
      </c>
      <c r="Q69" s="3">
        <f t="shared" ca="1" si="125"/>
        <v>0.89105453783425614</v>
      </c>
      <c r="R69" s="3">
        <f t="shared" ca="1" si="126"/>
        <v>0.83171037884984866</v>
      </c>
      <c r="S69" s="3">
        <f t="shared" ca="1" si="127"/>
        <v>0.79705801517759522</v>
      </c>
      <c r="U69" s="3">
        <f t="shared" ca="1" si="128"/>
        <v>2.2438294689603588</v>
      </c>
      <c r="V69" s="3">
        <f t="shared" ca="1" si="129"/>
        <v>2.4987506246876565</v>
      </c>
      <c r="W69" s="3">
        <f t="shared" ca="1" si="130"/>
        <v>1.9975031210986267</v>
      </c>
      <c r="X69" s="3">
        <f t="shared" ca="1" si="131"/>
        <v>1.4958863126402393</v>
      </c>
      <c r="Z69" s="3">
        <f t="shared" ca="1" si="132"/>
        <v>0.95113438045375209</v>
      </c>
      <c r="AA69" s="3">
        <f t="shared" ca="1" si="133"/>
        <v>0.97001499250374812</v>
      </c>
      <c r="AB69" s="3">
        <f t="shared" ca="1" si="134"/>
        <v>0.97378277153558068</v>
      </c>
      <c r="AC69" s="3">
        <f t="shared" ca="1" si="135"/>
        <v>0.88481675392670167</v>
      </c>
      <c r="AE69" s="3">
        <f t="shared" ca="1" si="136"/>
        <v>0.89728245785637728</v>
      </c>
      <c r="AF69" s="3">
        <f t="shared" ca="1" si="137"/>
        <v>0.89105453783425614</v>
      </c>
      <c r="AG69" s="3">
        <f t="shared" ca="1" si="138"/>
        <v>0.83171037884984866</v>
      </c>
      <c r="AH69" s="3">
        <f t="shared" ca="1" si="139"/>
        <v>0.79705801517759522</v>
      </c>
      <c r="AJ69" s="3">
        <f t="shared" ca="1" si="140"/>
        <v>2.2438294689603588</v>
      </c>
      <c r="AK69" s="3">
        <f t="shared" ca="1" si="141"/>
        <v>2.4987506246876565</v>
      </c>
      <c r="AL69" s="3">
        <f t="shared" ca="1" si="142"/>
        <v>1.9975031210986267</v>
      </c>
      <c r="AM69" s="3">
        <f t="shared" ca="1" si="143"/>
        <v>1.4958863126402393</v>
      </c>
      <c r="AO69" s="3">
        <f t="shared" ca="1" si="144"/>
        <v>0.74794315632011965</v>
      </c>
      <c r="AP69" s="3">
        <f t="shared" ca="1" si="145"/>
        <v>0.49975012493753124</v>
      </c>
      <c r="AQ69" s="3">
        <f t="shared" ca="1" si="146"/>
        <v>0.49937578027465668</v>
      </c>
      <c r="AR69" s="3">
        <f t="shared" ca="1" si="147"/>
        <v>0.24931438544003989</v>
      </c>
      <c r="AT69" s="3">
        <v>3.0000000260770321E-3</v>
      </c>
      <c r="AU69" s="3">
        <v>1.0999999940395355E-2</v>
      </c>
      <c r="AV69" s="3">
        <v>1.0999999940395355E-2</v>
      </c>
      <c r="AW69" s="3">
        <v>0.40599998831748962</v>
      </c>
      <c r="AY69" s="3">
        <f t="shared" ca="1" si="148"/>
        <v>0.56893542757417093</v>
      </c>
      <c r="AZ69" s="3">
        <f t="shared" ca="1" si="149"/>
        <v>0.63693153423288362</v>
      </c>
      <c r="BA69" s="3">
        <f t="shared" ca="1" si="150"/>
        <v>0.31210986267166052</v>
      </c>
      <c r="BB69" s="3">
        <f t="shared" ca="1" si="151"/>
        <v>0.51084517576664179</v>
      </c>
      <c r="BD69" s="3">
        <f t="shared" ca="1" si="152"/>
        <v>0.53203689936122167</v>
      </c>
      <c r="BE69" s="3">
        <f t="shared" ca="1" si="153"/>
        <v>0.73738137203297105</v>
      </c>
      <c r="BF69" s="3">
        <f t="shared" ca="1" si="154"/>
        <v>0.34531835610798089</v>
      </c>
      <c r="BG69" s="3">
        <f t="shared" ca="1" si="155"/>
        <v>0.53976561267665424</v>
      </c>
      <c r="BI69" s="3">
        <f t="shared" ca="1" si="156"/>
        <v>1.2465719272001994</v>
      </c>
      <c r="BJ69" s="3">
        <f t="shared" ca="1" si="157"/>
        <v>1.7491254372813594</v>
      </c>
      <c r="BK69" s="3">
        <f t="shared" ca="1" si="158"/>
        <v>0.49937578027465668</v>
      </c>
      <c r="BL69" s="3">
        <f t="shared" ca="1" si="159"/>
        <v>0.99725754176015957</v>
      </c>
      <c r="BN69" s="3">
        <f t="shared" ca="1" si="160"/>
        <v>1.2465719272001994</v>
      </c>
      <c r="BO69" s="3">
        <f t="shared" ca="1" si="161"/>
        <v>1.2493753123438283</v>
      </c>
      <c r="BP69" s="3">
        <f t="shared" ca="1" si="162"/>
        <v>1.4981273408239701</v>
      </c>
      <c r="BQ69" s="3">
        <f t="shared" ca="1" si="163"/>
        <v>0.74794315632011965</v>
      </c>
      <c r="BS69" s="3">
        <v>0.28600001335144043</v>
      </c>
      <c r="BT69" s="3">
        <v>1.0999999940395355E-2</v>
      </c>
      <c r="BU69" s="3">
        <v>1.8609999418258667</v>
      </c>
      <c r="BV69" s="3">
        <v>0.40599998831748962</v>
      </c>
      <c r="BX69" s="3">
        <f t="shared" ca="1" si="164"/>
        <v>0</v>
      </c>
      <c r="BY69" s="3">
        <f t="shared" ca="1" si="165"/>
        <v>0</v>
      </c>
      <c r="BZ69" s="3">
        <f t="shared" ca="1" si="166"/>
        <v>9.5630461922596763E-2</v>
      </c>
      <c r="CA69" s="3">
        <f t="shared" ca="1" si="167"/>
        <v>0</v>
      </c>
      <c r="CC69" s="3">
        <f t="shared" ca="1" si="168"/>
        <v>0</v>
      </c>
      <c r="CD69" s="3">
        <f t="shared" ca="1" si="169"/>
        <v>0</v>
      </c>
      <c r="CE69" s="3">
        <f t="shared" ca="1" si="170"/>
        <v>8.7141067943025327E-2</v>
      </c>
      <c r="CF69" s="3">
        <f t="shared" ca="1" si="171"/>
        <v>0</v>
      </c>
      <c r="CH69" s="3">
        <f t="shared" ca="1" si="172"/>
        <v>0</v>
      </c>
      <c r="CI69" s="3">
        <f t="shared" ca="1" si="173"/>
        <v>0</v>
      </c>
      <c r="CJ69" s="3">
        <f t="shared" ca="1" si="174"/>
        <v>0.24968789013732834</v>
      </c>
      <c r="CK69" s="3">
        <f t="shared" ca="1" si="175"/>
        <v>0</v>
      </c>
      <c r="CM69" s="3">
        <f t="shared" ca="1" si="176"/>
        <v>0</v>
      </c>
      <c r="CN69" s="3">
        <f t="shared" ca="1" si="177"/>
        <v>0</v>
      </c>
      <c r="CO69" s="3">
        <f t="shared" ca="1" si="178"/>
        <v>0.49937578027465668</v>
      </c>
      <c r="CP69" s="3">
        <f t="shared" ca="1" si="179"/>
        <v>0</v>
      </c>
      <c r="CR69" s="3">
        <v>4.0110000000000001</v>
      </c>
      <c r="CS69" s="3">
        <v>4.0019999999999998</v>
      </c>
      <c r="CT69" s="3">
        <v>0.77799999713897705</v>
      </c>
      <c r="CU69" s="3">
        <v>4.0110000000000001</v>
      </c>
    </row>
    <row r="70" spans="1:99" s="3" customFormat="1" x14ac:dyDescent="0.35">
      <c r="A70" s="2" t="s">
        <v>8</v>
      </c>
      <c r="B70" s="2">
        <v>9.5</v>
      </c>
      <c r="C70" s="2" t="s">
        <v>168</v>
      </c>
      <c r="D70" s="2" t="s">
        <v>403</v>
      </c>
      <c r="F70" s="3">
        <v>4.032</v>
      </c>
      <c r="G70" s="3">
        <v>4.0149999999999997</v>
      </c>
      <c r="H70" s="11" t="e">
        <v>#N/A</v>
      </c>
      <c r="I70" s="3">
        <v>4.016</v>
      </c>
      <c r="K70" s="3">
        <f t="shared" ca="1" si="120"/>
        <v>0.99578373015873012</v>
      </c>
      <c r="L70" s="3">
        <f t="shared" ca="1" si="121"/>
        <v>0.99601494396014945</v>
      </c>
      <c r="M70" s="3" t="e">
        <f t="shared" ca="1" si="122"/>
        <v>#N/A</v>
      </c>
      <c r="N70" s="3">
        <f t="shared" ca="1" si="123"/>
        <v>0.99178286852589637</v>
      </c>
      <c r="P70" s="3">
        <f t="shared" ca="1" si="124"/>
        <v>0.50843256897115641</v>
      </c>
      <c r="Q70" s="3">
        <f t="shared" ca="1" si="125"/>
        <v>0.73399748282036192</v>
      </c>
      <c r="R70" s="3" t="e">
        <f t="shared" ca="1" si="126"/>
        <v>#N/A</v>
      </c>
      <c r="S70" s="3">
        <f t="shared" ca="1" si="127"/>
        <v>0.32793825484841943</v>
      </c>
      <c r="U70" s="3">
        <f t="shared" ca="1" si="128"/>
        <v>2.9761904761904763</v>
      </c>
      <c r="V70" s="3">
        <f t="shared" ca="1" si="129"/>
        <v>3.4869240348692405</v>
      </c>
      <c r="W70" s="3" t="e">
        <f t="shared" ca="1" si="130"/>
        <v>#N/A</v>
      </c>
      <c r="X70" s="3">
        <f t="shared" ca="1" si="131"/>
        <v>1.9920318725099602</v>
      </c>
      <c r="Z70" s="3">
        <f t="shared" ca="1" si="132"/>
        <v>0.99578373015873012</v>
      </c>
      <c r="AA70" s="3">
        <f t="shared" ca="1" si="133"/>
        <v>0.9628891656288916</v>
      </c>
      <c r="AB70" s="3" t="e">
        <f t="shared" ca="1" si="134"/>
        <v>#N/A</v>
      </c>
      <c r="AC70" s="3">
        <f t="shared" ca="1" si="135"/>
        <v>0.9711155378486056</v>
      </c>
      <c r="AE70" s="3">
        <f t="shared" ca="1" si="136"/>
        <v>0.50843256897115641</v>
      </c>
      <c r="AF70" s="3">
        <f t="shared" ca="1" si="137"/>
        <v>0.73399748282036192</v>
      </c>
      <c r="AG70" s="3" t="e">
        <f t="shared" ca="1" si="138"/>
        <v>#N/A</v>
      </c>
      <c r="AH70" s="3">
        <f t="shared" ca="1" si="139"/>
        <v>0.32793825484841943</v>
      </c>
      <c r="AJ70" s="3">
        <f t="shared" ca="1" si="140"/>
        <v>2.9761904761904763</v>
      </c>
      <c r="AK70" s="3">
        <f t="shared" ca="1" si="141"/>
        <v>3.4869240348692405</v>
      </c>
      <c r="AL70" s="3" t="e">
        <f t="shared" ca="1" si="142"/>
        <v>#N/A</v>
      </c>
      <c r="AM70" s="3">
        <f t="shared" ca="1" si="143"/>
        <v>1.9920318725099602</v>
      </c>
      <c r="AO70" s="3">
        <f t="shared" ca="1" si="144"/>
        <v>0.24801587301587302</v>
      </c>
      <c r="AP70" s="3">
        <f t="shared" ca="1" si="145"/>
        <v>1.2453300124533002</v>
      </c>
      <c r="AQ70" s="3" t="e">
        <f t="shared" ca="1" si="146"/>
        <v>#N/A</v>
      </c>
      <c r="AR70" s="3">
        <f t="shared" ca="1" si="147"/>
        <v>0.74701195219123506</v>
      </c>
      <c r="AT70" s="3">
        <v>1.6000000759959221E-2</v>
      </c>
      <c r="AU70" s="3">
        <v>8.0000003799796104E-3</v>
      </c>
      <c r="AV70" s="11" t="e">
        <v>#N/A</v>
      </c>
      <c r="AW70" s="3">
        <v>0.34099999070167542</v>
      </c>
      <c r="AY70" s="3">
        <f t="shared" ca="1" si="148"/>
        <v>0.20287698412698402</v>
      </c>
      <c r="AZ70" s="3">
        <f t="shared" ca="1" si="149"/>
        <v>0.19900373599003734</v>
      </c>
      <c r="BA70" s="3" t="e">
        <f t="shared" ca="1" si="150"/>
        <v>#N/A</v>
      </c>
      <c r="BB70" s="3">
        <f t="shared" ca="1" si="151"/>
        <v>0.14143426294820724</v>
      </c>
      <c r="BD70" s="3">
        <f t="shared" ca="1" si="152"/>
        <v>0.11979167660077412</v>
      </c>
      <c r="BE70" s="3">
        <f t="shared" ca="1" si="153"/>
        <v>0.19476963009958992</v>
      </c>
      <c r="BF70" s="3" t="e">
        <f t="shared" ca="1" si="154"/>
        <v>#N/A</v>
      </c>
      <c r="BG70" s="3">
        <f t="shared" ca="1" si="155"/>
        <v>0.13296816690984475</v>
      </c>
      <c r="BI70" s="3">
        <f t="shared" ca="1" si="156"/>
        <v>0.49603174603174605</v>
      </c>
      <c r="BJ70" s="3">
        <f t="shared" ca="1" si="157"/>
        <v>0.9962640099626402</v>
      </c>
      <c r="BK70" s="3" t="e">
        <f t="shared" ca="1" si="158"/>
        <v>#N/A</v>
      </c>
      <c r="BL70" s="3">
        <f t="shared" ca="1" si="159"/>
        <v>0.74701195219123506</v>
      </c>
      <c r="BN70" s="3">
        <f t="shared" ca="1" si="160"/>
        <v>4.9603174603174605</v>
      </c>
      <c r="BO70" s="3">
        <f t="shared" ca="1" si="161"/>
        <v>2.7397260273972606</v>
      </c>
      <c r="BP70" s="3" t="e">
        <f t="shared" ca="1" si="162"/>
        <v>#N/A</v>
      </c>
      <c r="BQ70" s="3">
        <f t="shared" ca="1" si="163"/>
        <v>2.9880478087649402</v>
      </c>
      <c r="BS70" s="3">
        <v>1.1150000095367432</v>
      </c>
      <c r="BT70" s="3">
        <v>0.45800000429153442</v>
      </c>
      <c r="BU70" s="11" t="e">
        <v>#N/A</v>
      </c>
      <c r="BV70" s="3">
        <v>2.5739998817443848</v>
      </c>
      <c r="BX70" s="3">
        <f t="shared" ca="1" si="164"/>
        <v>5.7787698412698325E-2</v>
      </c>
      <c r="BY70" s="3">
        <f t="shared" ca="1" si="165"/>
        <v>0</v>
      </c>
      <c r="BZ70" s="3" t="e">
        <f t="shared" ca="1" si="166"/>
        <v>#N/A</v>
      </c>
      <c r="CA70" s="3">
        <f t="shared" ca="1" si="167"/>
        <v>0</v>
      </c>
      <c r="CC70" s="3">
        <f t="shared" ca="1" si="168"/>
        <v>3.7202404605017766E-2</v>
      </c>
      <c r="CD70" s="3">
        <f t="shared" ca="1" si="169"/>
        <v>0</v>
      </c>
      <c r="CE70" s="3" t="e">
        <f t="shared" ca="1" si="170"/>
        <v>#N/A</v>
      </c>
      <c r="CF70" s="3">
        <f t="shared" ca="1" si="171"/>
        <v>0</v>
      </c>
      <c r="CH70" s="3">
        <f t="shared" ca="1" si="172"/>
        <v>0.24801587301587302</v>
      </c>
      <c r="CI70" s="3">
        <f t="shared" ca="1" si="173"/>
        <v>0</v>
      </c>
      <c r="CJ70" s="3" t="e">
        <f t="shared" ca="1" si="174"/>
        <v>#N/A</v>
      </c>
      <c r="CK70" s="3">
        <f t="shared" ca="1" si="175"/>
        <v>0</v>
      </c>
      <c r="CM70" s="3">
        <f t="shared" ca="1" si="176"/>
        <v>0.99206349206349209</v>
      </c>
      <c r="CN70" s="3">
        <f t="shared" ca="1" si="177"/>
        <v>0</v>
      </c>
      <c r="CO70" s="3" t="e">
        <f t="shared" ca="1" si="178"/>
        <v>#N/A</v>
      </c>
      <c r="CP70" s="3">
        <f t="shared" ca="1" si="179"/>
        <v>0</v>
      </c>
      <c r="CR70" s="3">
        <v>2.497999906539917</v>
      </c>
      <c r="CS70" s="3">
        <v>4.0149999999999997</v>
      </c>
      <c r="CT70" s="11" t="e">
        <v>#N/A</v>
      </c>
      <c r="CU70" s="3">
        <v>4.016</v>
      </c>
    </row>
    <row r="71" spans="1:99" s="3" customFormat="1" x14ac:dyDescent="0.35">
      <c r="A71" s="2" t="s">
        <v>32</v>
      </c>
      <c r="B71" s="2">
        <v>9.5</v>
      </c>
      <c r="C71" s="2" t="s">
        <v>167</v>
      </c>
      <c r="D71" s="2" t="s">
        <v>403</v>
      </c>
      <c r="F71" s="3">
        <v>4.0110000000000001</v>
      </c>
      <c r="G71" s="3">
        <v>4.0149999999999997</v>
      </c>
      <c r="H71" s="3">
        <v>4.01</v>
      </c>
      <c r="I71" s="3">
        <v>4.01</v>
      </c>
      <c r="K71" s="3">
        <f t="shared" ca="1" si="120"/>
        <v>0.97631513338319609</v>
      </c>
      <c r="L71" s="3">
        <f t="shared" ca="1" si="121"/>
        <v>0.90460772104607734</v>
      </c>
      <c r="M71" s="3">
        <f t="shared" ca="1" si="122"/>
        <v>0.98054862842892776</v>
      </c>
      <c r="N71" s="3">
        <f t="shared" ca="1" si="123"/>
        <v>0.99750623441396513</v>
      </c>
      <c r="P71" s="3">
        <f t="shared" ca="1" si="124"/>
        <v>0.80603349055770745</v>
      </c>
      <c r="Q71" s="3">
        <f t="shared" ca="1" si="125"/>
        <v>0.70485681258281174</v>
      </c>
      <c r="R71" s="3">
        <f t="shared" ca="1" si="126"/>
        <v>0.90548629661153379</v>
      </c>
      <c r="S71" s="3">
        <f t="shared" ca="1" si="127"/>
        <v>0.91097255393008048</v>
      </c>
      <c r="U71" s="3">
        <f t="shared" ca="1" si="128"/>
        <v>2.4931438544003988</v>
      </c>
      <c r="V71" s="3">
        <f t="shared" ca="1" si="129"/>
        <v>2.7397260273972606</v>
      </c>
      <c r="W71" s="3">
        <f t="shared" ca="1" si="130"/>
        <v>3.2418952618453867</v>
      </c>
      <c r="X71" s="3">
        <f t="shared" ca="1" si="131"/>
        <v>3.2418952618453867</v>
      </c>
      <c r="Z71" s="3">
        <f t="shared" ca="1" si="132"/>
        <v>0.97631513338319609</v>
      </c>
      <c r="AA71" s="3">
        <f t="shared" ca="1" si="133"/>
        <v>0.8672478206724783</v>
      </c>
      <c r="AB71" s="3">
        <f t="shared" ca="1" si="134"/>
        <v>0.98054862842892776</v>
      </c>
      <c r="AC71" s="3">
        <f t="shared" ca="1" si="135"/>
        <v>0.99750623441396513</v>
      </c>
      <c r="AE71" s="3">
        <f t="shared" ca="1" si="136"/>
        <v>0.80603349055770745</v>
      </c>
      <c r="AF71" s="3">
        <f t="shared" ca="1" si="137"/>
        <v>0.70485681258281174</v>
      </c>
      <c r="AG71" s="3">
        <f t="shared" ca="1" si="138"/>
        <v>0.90548629661153379</v>
      </c>
      <c r="AH71" s="3">
        <f t="shared" ca="1" si="139"/>
        <v>0.91097255393008048</v>
      </c>
      <c r="AJ71" s="3">
        <f t="shared" ca="1" si="140"/>
        <v>2.4931438544003988</v>
      </c>
      <c r="AK71" s="3">
        <f t="shared" ca="1" si="141"/>
        <v>2.7397260273972606</v>
      </c>
      <c r="AL71" s="3">
        <f t="shared" ca="1" si="142"/>
        <v>3.2418952618453867</v>
      </c>
      <c r="AM71" s="3">
        <f t="shared" ca="1" si="143"/>
        <v>3.2418952618453867</v>
      </c>
      <c r="AO71" s="3">
        <f t="shared" ca="1" si="144"/>
        <v>0.24931438544003989</v>
      </c>
      <c r="AP71" s="3">
        <f t="shared" ca="1" si="145"/>
        <v>0.4981320049813201</v>
      </c>
      <c r="AQ71" s="3">
        <f t="shared" ca="1" si="146"/>
        <v>0.24937655860349128</v>
      </c>
      <c r="AR71" s="3">
        <f t="shared" ca="1" si="147"/>
        <v>0.24937655860349128</v>
      </c>
      <c r="AT71" s="3">
        <v>9.0999998152256012E-2</v>
      </c>
      <c r="AU71" s="3">
        <v>0.46799999475479126</v>
      </c>
      <c r="AV71" s="3">
        <v>1.0999999940395355E-2</v>
      </c>
      <c r="AW71" s="3">
        <v>8.999999612569809E-3</v>
      </c>
      <c r="AY71" s="3">
        <f t="shared" ca="1" si="148"/>
        <v>0.49015208177511838</v>
      </c>
      <c r="AZ71" s="3">
        <f t="shared" ca="1" si="149"/>
        <v>0.39825653798256549</v>
      </c>
      <c r="BA71" s="3">
        <f t="shared" ca="1" si="150"/>
        <v>0.486284289276808</v>
      </c>
      <c r="BB71" s="3">
        <f t="shared" ca="1" si="151"/>
        <v>0.61920199501246875</v>
      </c>
      <c r="BD71" s="3">
        <f t="shared" ca="1" si="152"/>
        <v>0.47344807465752292</v>
      </c>
      <c r="BE71" s="3">
        <f t="shared" ca="1" si="153"/>
        <v>0.45628893568388113</v>
      </c>
      <c r="BF71" s="3">
        <f t="shared" ca="1" si="154"/>
        <v>0.53167084691827737</v>
      </c>
      <c r="BG71" s="3">
        <f t="shared" ca="1" si="155"/>
        <v>0.60698248799007737</v>
      </c>
      <c r="BI71" s="3">
        <f t="shared" ca="1" si="156"/>
        <v>1.2465719272001994</v>
      </c>
      <c r="BJ71" s="3">
        <f t="shared" ca="1" si="157"/>
        <v>1.7434620174346203</v>
      </c>
      <c r="BK71" s="3">
        <f t="shared" ca="1" si="158"/>
        <v>1.4962593516209477</v>
      </c>
      <c r="BL71" s="3">
        <f t="shared" ca="1" si="159"/>
        <v>2.2443890274314215</v>
      </c>
      <c r="BN71" s="3">
        <f t="shared" ca="1" si="160"/>
        <v>0.99725754176015957</v>
      </c>
      <c r="BO71" s="3">
        <f t="shared" ca="1" si="161"/>
        <v>1.2453300124533002</v>
      </c>
      <c r="BP71" s="3">
        <f t="shared" ca="1" si="162"/>
        <v>1.2468827930174564</v>
      </c>
      <c r="BQ71" s="3">
        <f t="shared" ca="1" si="163"/>
        <v>0.99750623441396513</v>
      </c>
      <c r="BS71" s="3">
        <v>0.42500001192092896</v>
      </c>
      <c r="BT71" s="3">
        <v>0.46799999475479126</v>
      </c>
      <c r="BU71" s="3">
        <v>1.0999999940395355E-2</v>
      </c>
      <c r="BV71" s="3">
        <v>0.55900001525878906</v>
      </c>
      <c r="BX71" s="3">
        <f t="shared" ca="1" si="164"/>
        <v>8.2273747195213097E-3</v>
      </c>
      <c r="BY71" s="3">
        <f t="shared" ca="1" si="165"/>
        <v>0</v>
      </c>
      <c r="BZ71" s="3">
        <f t="shared" ca="1" si="166"/>
        <v>3.3167082294264343E-2</v>
      </c>
      <c r="CA71" s="3">
        <f t="shared" ca="1" si="167"/>
        <v>0</v>
      </c>
      <c r="CC71" s="3">
        <f t="shared" ca="1" si="168"/>
        <v>0</v>
      </c>
      <c r="CD71" s="3">
        <f t="shared" ca="1" si="169"/>
        <v>0</v>
      </c>
      <c r="CE71" s="3">
        <f t="shared" ca="1" si="170"/>
        <v>4.5635932104248655E-2</v>
      </c>
      <c r="CF71" s="3">
        <f t="shared" ca="1" si="171"/>
        <v>0</v>
      </c>
      <c r="CH71" s="3">
        <f t="shared" ca="1" si="172"/>
        <v>0</v>
      </c>
      <c r="CI71" s="3">
        <f t="shared" ca="1" si="173"/>
        <v>0</v>
      </c>
      <c r="CJ71" s="3">
        <f t="shared" ca="1" si="174"/>
        <v>0.24937655860349128</v>
      </c>
      <c r="CK71" s="3">
        <f t="shared" ca="1" si="175"/>
        <v>0</v>
      </c>
      <c r="CM71" s="3">
        <f t="shared" ca="1" si="176"/>
        <v>0.74794315632011965</v>
      </c>
      <c r="CN71" s="3">
        <f t="shared" ca="1" si="177"/>
        <v>0.24906600249066005</v>
      </c>
      <c r="CO71" s="3">
        <f t="shared" ca="1" si="178"/>
        <v>0.49875311720698257</v>
      </c>
      <c r="CP71" s="3">
        <f t="shared" ca="1" si="179"/>
        <v>0</v>
      </c>
      <c r="CR71" s="3">
        <v>4.0110000000000001</v>
      </c>
      <c r="CS71" s="3">
        <v>4.0149999999999997</v>
      </c>
      <c r="CT71" s="3">
        <v>1.6599999666213989</v>
      </c>
      <c r="CU71" s="3">
        <v>4.01</v>
      </c>
    </row>
    <row r="72" spans="1:99" s="3" customFormat="1" x14ac:dyDescent="0.35">
      <c r="A72" s="2" t="s">
        <v>57</v>
      </c>
      <c r="B72" s="2">
        <v>9.5</v>
      </c>
      <c r="C72" s="2" t="s">
        <v>168</v>
      </c>
      <c r="D72" s="2" t="s">
        <v>403</v>
      </c>
      <c r="F72" s="3" t="e">
        <v>#N/A</v>
      </c>
      <c r="G72" s="3">
        <v>4.024</v>
      </c>
      <c r="H72" s="3">
        <v>4.0110000000000001</v>
      </c>
      <c r="I72" s="3">
        <v>4.0129999999999999</v>
      </c>
      <c r="K72" s="3" t="e">
        <f t="shared" ca="1" si="120"/>
        <v>#N/A</v>
      </c>
      <c r="L72" s="3">
        <f t="shared" ca="1" si="121"/>
        <v>0.94408548707753492</v>
      </c>
      <c r="M72" s="3">
        <f t="shared" ca="1" si="122"/>
        <v>0.98878085265519822</v>
      </c>
      <c r="N72" s="3">
        <f t="shared" ca="1" si="123"/>
        <v>0.92175429852977808</v>
      </c>
      <c r="P72" s="3" t="e">
        <f t="shared" ca="1" si="124"/>
        <v>#N/A</v>
      </c>
      <c r="Q72" s="3">
        <f t="shared" ca="1" si="125"/>
        <v>0.77410543681850019</v>
      </c>
      <c r="R72" s="3">
        <f t="shared" ca="1" si="126"/>
        <v>0.83495389667347286</v>
      </c>
      <c r="S72" s="3">
        <f t="shared" ca="1" si="127"/>
        <v>0.7221530626279411</v>
      </c>
      <c r="U72" s="3" t="e">
        <f t="shared" ca="1" si="128"/>
        <v>#N/A</v>
      </c>
      <c r="V72" s="3">
        <f t="shared" ca="1" si="129"/>
        <v>1.7395626242544731</v>
      </c>
      <c r="W72" s="3">
        <f t="shared" ca="1" si="130"/>
        <v>2.7424582398404387</v>
      </c>
      <c r="X72" s="3">
        <f t="shared" ca="1" si="131"/>
        <v>3.4886618489907799</v>
      </c>
      <c r="Z72" s="3" t="e">
        <f t="shared" ca="1" si="132"/>
        <v>#N/A</v>
      </c>
      <c r="AA72" s="3">
        <f t="shared" ca="1" si="133"/>
        <v>0.80318091451292251</v>
      </c>
      <c r="AB72" s="3">
        <f t="shared" ca="1" si="134"/>
        <v>0.83495387683869349</v>
      </c>
      <c r="AC72" s="3">
        <f t="shared" ca="1" si="135"/>
        <v>0.71841515076002982</v>
      </c>
      <c r="AE72" s="3" t="e">
        <f t="shared" ca="1" si="136"/>
        <v>#N/A</v>
      </c>
      <c r="AF72" s="3">
        <f t="shared" ca="1" si="137"/>
        <v>0.74502988672161674</v>
      </c>
      <c r="AG72" s="3">
        <f t="shared" ca="1" si="138"/>
        <v>0.76838693277582026</v>
      </c>
      <c r="AH72" s="3">
        <f t="shared" ca="1" si="139"/>
        <v>0.56890112902795531</v>
      </c>
      <c r="AJ72" s="3" t="e">
        <f t="shared" ca="1" si="140"/>
        <v>#N/A</v>
      </c>
      <c r="AK72" s="3">
        <f t="shared" ca="1" si="141"/>
        <v>1.4910536779324055</v>
      </c>
      <c r="AL72" s="3">
        <f t="shared" ca="1" si="142"/>
        <v>2.2438294689603588</v>
      </c>
      <c r="AM72" s="3">
        <f t="shared" ca="1" si="143"/>
        <v>2.7410914527784702</v>
      </c>
      <c r="AO72" s="3" t="e">
        <f t="shared" ca="1" si="144"/>
        <v>#N/A</v>
      </c>
      <c r="AP72" s="3">
        <f t="shared" ca="1" si="145"/>
        <v>0.74552683896620275</v>
      </c>
      <c r="AQ72" s="3">
        <f t="shared" ca="1" si="146"/>
        <v>0.74794315632011965</v>
      </c>
      <c r="AR72" s="3">
        <f t="shared" ca="1" si="147"/>
        <v>0.49838026414154002</v>
      </c>
      <c r="AT72" s="3">
        <v>0.40299999713897705</v>
      </c>
      <c r="AU72" s="3">
        <v>0.35100001096725464</v>
      </c>
      <c r="AV72" s="3">
        <v>0.24799999594688416</v>
      </c>
      <c r="AW72" s="3">
        <v>0.30500000715255737</v>
      </c>
      <c r="AY72" s="3" t="e">
        <f t="shared" ca="1" si="148"/>
        <v>#N/A</v>
      </c>
      <c r="AZ72" s="3">
        <f t="shared" ca="1" si="149"/>
        <v>5.7902584493041774E-2</v>
      </c>
      <c r="BA72" s="3">
        <f t="shared" ca="1" si="150"/>
        <v>3.9890301670406419E-3</v>
      </c>
      <c r="BB72" s="3">
        <f t="shared" ca="1" si="151"/>
        <v>0.30725143284325945</v>
      </c>
      <c r="BD72" s="3" t="e">
        <f t="shared" ca="1" si="152"/>
        <v>#N/A</v>
      </c>
      <c r="BE72" s="3">
        <f t="shared" ca="1" si="153"/>
        <v>0</v>
      </c>
      <c r="BF72" s="3">
        <f t="shared" ca="1" si="154"/>
        <v>0</v>
      </c>
      <c r="BG72" s="3">
        <f t="shared" ca="1" si="155"/>
        <v>0.30725139826573311</v>
      </c>
      <c r="BI72" s="3" t="e">
        <f t="shared" ca="1" si="156"/>
        <v>#N/A</v>
      </c>
      <c r="BJ72" s="3">
        <f t="shared" ca="1" si="157"/>
        <v>0</v>
      </c>
      <c r="BK72" s="3">
        <f t="shared" ca="1" si="158"/>
        <v>0</v>
      </c>
      <c r="BL72" s="3">
        <f t="shared" ca="1" si="159"/>
        <v>1.4951407924246201</v>
      </c>
      <c r="BN72" s="3" t="e">
        <f t="shared" ca="1" si="160"/>
        <v>#N/A</v>
      </c>
      <c r="BO72" s="3">
        <f t="shared" ca="1" si="161"/>
        <v>0.2485089463220676</v>
      </c>
      <c r="BP72" s="3">
        <f t="shared" ca="1" si="162"/>
        <v>0.24931438544003989</v>
      </c>
      <c r="BQ72" s="3">
        <f t="shared" ca="1" si="163"/>
        <v>0.74757039621231003</v>
      </c>
      <c r="BS72" s="3">
        <v>4.0209999999999999</v>
      </c>
      <c r="BT72" s="3">
        <v>4.024</v>
      </c>
      <c r="BU72" s="3">
        <v>4.0110000000000001</v>
      </c>
      <c r="BV72" s="3">
        <v>0.58799999952316284</v>
      </c>
      <c r="BX72" s="3" t="e">
        <f t="shared" ca="1" si="164"/>
        <v>#N/A</v>
      </c>
      <c r="BY72" s="3">
        <f t="shared" ca="1" si="165"/>
        <v>0</v>
      </c>
      <c r="BZ72" s="3">
        <f t="shared" ca="1" si="166"/>
        <v>0</v>
      </c>
      <c r="CA72" s="3">
        <f t="shared" ca="1" si="167"/>
        <v>0</v>
      </c>
      <c r="CC72" s="3" t="e">
        <f t="shared" ca="1" si="168"/>
        <v>#N/A</v>
      </c>
      <c r="CD72" s="3">
        <f t="shared" ca="1" si="169"/>
        <v>0</v>
      </c>
      <c r="CE72" s="3">
        <f t="shared" ca="1" si="170"/>
        <v>0</v>
      </c>
      <c r="CF72" s="3">
        <f t="shared" ca="1" si="171"/>
        <v>0</v>
      </c>
      <c r="CH72" s="3" t="e">
        <f t="shared" ca="1" si="172"/>
        <v>#N/A</v>
      </c>
      <c r="CI72" s="3">
        <f t="shared" ca="1" si="173"/>
        <v>0</v>
      </c>
      <c r="CJ72" s="3">
        <f t="shared" ca="1" si="174"/>
        <v>0</v>
      </c>
      <c r="CK72" s="3">
        <f t="shared" ca="1" si="175"/>
        <v>0</v>
      </c>
      <c r="CM72" s="3" t="e">
        <f t="shared" ca="1" si="176"/>
        <v>#N/A</v>
      </c>
      <c r="CN72" s="3">
        <f t="shared" ca="1" si="177"/>
        <v>0</v>
      </c>
      <c r="CO72" s="3">
        <f t="shared" ca="1" si="178"/>
        <v>0</v>
      </c>
      <c r="CP72" s="3">
        <f t="shared" ca="1" si="179"/>
        <v>0</v>
      </c>
      <c r="CR72" s="3">
        <v>4.0209999999999999</v>
      </c>
      <c r="CS72" s="3">
        <v>4.024</v>
      </c>
      <c r="CT72" s="3">
        <v>4.0110000000000001</v>
      </c>
      <c r="CU72" s="3">
        <v>4.0129999999999999</v>
      </c>
    </row>
    <row r="73" spans="1:99" s="3" customFormat="1" x14ac:dyDescent="0.35">
      <c r="A73" s="2" t="s">
        <v>82</v>
      </c>
      <c r="B73" s="2">
        <v>9.5</v>
      </c>
      <c r="C73" s="2" t="s">
        <v>167</v>
      </c>
      <c r="D73" s="2" t="s">
        <v>403</v>
      </c>
      <c r="F73" s="3">
        <v>4.016</v>
      </c>
      <c r="G73" s="3">
        <v>4.0060000000000002</v>
      </c>
      <c r="H73" s="3" t="e">
        <v>#N/A</v>
      </c>
      <c r="I73" s="3">
        <v>4.016</v>
      </c>
      <c r="K73" s="3">
        <f t="shared" ca="1" si="120"/>
        <v>0.92953187250996006</v>
      </c>
      <c r="L73" s="3">
        <f t="shared" ca="1" si="121"/>
        <v>0.83599600599101354</v>
      </c>
      <c r="M73" s="3" t="e">
        <f t="shared" ca="1" si="122"/>
        <v>#N/A</v>
      </c>
      <c r="N73" s="3">
        <f t="shared" ca="1" si="123"/>
        <v>0.99576693227091639</v>
      </c>
      <c r="P73" s="3">
        <f t="shared" ca="1" si="124"/>
        <v>0.45667328979389599</v>
      </c>
      <c r="Q73" s="3">
        <f t="shared" ca="1" si="125"/>
        <v>0.33699455092132419</v>
      </c>
      <c r="R73" s="3" t="e">
        <f t="shared" ca="1" si="126"/>
        <v>#N/A</v>
      </c>
      <c r="S73" s="3">
        <f t="shared" ca="1" si="127"/>
        <v>0.88819723580481547</v>
      </c>
      <c r="U73" s="3">
        <f t="shared" ca="1" si="128"/>
        <v>2.4900398406374502</v>
      </c>
      <c r="V73" s="3">
        <f t="shared" ca="1" si="129"/>
        <v>0.99850224663005482</v>
      </c>
      <c r="W73" s="3" t="e">
        <f t="shared" ca="1" si="130"/>
        <v>#N/A</v>
      </c>
      <c r="X73" s="3">
        <f t="shared" ca="1" si="131"/>
        <v>2.241035856573705</v>
      </c>
      <c r="Z73" s="3">
        <f t="shared" ca="1" si="132"/>
        <v>0.70941235059760965</v>
      </c>
      <c r="AA73" s="3">
        <f t="shared" ca="1" si="133"/>
        <v>0.82750873689465798</v>
      </c>
      <c r="AB73" s="3" t="e">
        <f t="shared" ca="1" si="134"/>
        <v>#N/A</v>
      </c>
      <c r="AC73" s="3">
        <f t="shared" ca="1" si="135"/>
        <v>0.85458167330677304</v>
      </c>
      <c r="AE73" s="3">
        <f t="shared" ca="1" si="136"/>
        <v>0.42753982769540583</v>
      </c>
      <c r="AF73" s="3">
        <f t="shared" ca="1" si="137"/>
        <v>0.33699455092132419</v>
      </c>
      <c r="AG73" s="3" t="e">
        <f t="shared" ca="1" si="138"/>
        <v>#N/A</v>
      </c>
      <c r="AH73" s="3">
        <f t="shared" ca="1" si="139"/>
        <v>0.77614543110269507</v>
      </c>
      <c r="AJ73" s="3">
        <f t="shared" ca="1" si="140"/>
        <v>2.241035856573705</v>
      </c>
      <c r="AK73" s="3">
        <f t="shared" ca="1" si="141"/>
        <v>0.99850224663005482</v>
      </c>
      <c r="AL73" s="3" t="e">
        <f t="shared" ca="1" si="142"/>
        <v>#N/A</v>
      </c>
      <c r="AM73" s="3">
        <f t="shared" ca="1" si="143"/>
        <v>1.9920318725099602</v>
      </c>
      <c r="AO73" s="3">
        <f t="shared" ca="1" si="144"/>
        <v>0.99601593625498008</v>
      </c>
      <c r="AP73" s="3">
        <f t="shared" ca="1" si="145"/>
        <v>0.74887668497254112</v>
      </c>
      <c r="AQ73" s="3" t="e">
        <f t="shared" ca="1" si="146"/>
        <v>#N/A</v>
      </c>
      <c r="AR73" s="3">
        <f t="shared" ca="1" si="147"/>
        <v>0.74701195219123506</v>
      </c>
      <c r="AT73" s="3">
        <v>0.30099999904632568</v>
      </c>
      <c r="AU73" s="3">
        <v>1.4000000432133675E-2</v>
      </c>
      <c r="AV73" s="3">
        <v>1.3839999437332153</v>
      </c>
      <c r="AW73" s="3">
        <v>4.0000001899898052E-3</v>
      </c>
      <c r="AY73" s="3">
        <f t="shared" ca="1" si="148"/>
        <v>0</v>
      </c>
      <c r="AZ73" s="3">
        <f t="shared" ca="1" si="149"/>
        <v>2.4712930604093797E-2</v>
      </c>
      <c r="BA73" s="3" t="e">
        <f t="shared" ca="1" si="150"/>
        <v>#N/A</v>
      </c>
      <c r="BB73" s="3">
        <f t="shared" ca="1" si="151"/>
        <v>0</v>
      </c>
      <c r="BD73" s="3">
        <f t="shared" ca="1" si="152"/>
        <v>0</v>
      </c>
      <c r="BE73" s="3">
        <f t="shared" ca="1" si="153"/>
        <v>0</v>
      </c>
      <c r="BF73" s="3" t="e">
        <f t="shared" ca="1" si="154"/>
        <v>#N/A</v>
      </c>
      <c r="BG73" s="3">
        <f t="shared" ca="1" si="155"/>
        <v>0</v>
      </c>
      <c r="BI73" s="3">
        <f t="shared" ca="1" si="156"/>
        <v>0</v>
      </c>
      <c r="BJ73" s="3">
        <f t="shared" ca="1" si="157"/>
        <v>0</v>
      </c>
      <c r="BK73" s="3" t="e">
        <f t="shared" ca="1" si="158"/>
        <v>#N/A</v>
      </c>
      <c r="BL73" s="3">
        <f t="shared" ca="1" si="159"/>
        <v>0</v>
      </c>
      <c r="BN73" s="3">
        <f t="shared" ca="1" si="160"/>
        <v>0.24900398406374502</v>
      </c>
      <c r="BO73" s="3">
        <f t="shared" ca="1" si="161"/>
        <v>1.4977533699450822</v>
      </c>
      <c r="BP73" s="3" t="e">
        <f t="shared" ca="1" si="162"/>
        <v>#N/A</v>
      </c>
      <c r="BQ73" s="3">
        <f t="shared" ca="1" si="163"/>
        <v>0</v>
      </c>
      <c r="BS73" s="3">
        <v>4.016</v>
      </c>
      <c r="BT73" s="3">
        <v>4.0060000000000002</v>
      </c>
      <c r="BU73" s="3">
        <v>2.7170000076293945</v>
      </c>
      <c r="BV73" s="3">
        <v>4.016</v>
      </c>
      <c r="BX73" s="3">
        <f t="shared" ca="1" si="164"/>
        <v>9.9601593625497878E-2</v>
      </c>
      <c r="BY73" s="3">
        <f t="shared" ca="1" si="165"/>
        <v>0</v>
      </c>
      <c r="BZ73" s="3" t="e">
        <f t="shared" ca="1" si="166"/>
        <v>#N/A</v>
      </c>
      <c r="CA73" s="3">
        <f t="shared" ca="1" si="167"/>
        <v>0</v>
      </c>
      <c r="CC73" s="3">
        <f t="shared" ca="1" si="168"/>
        <v>0.10806773288316461</v>
      </c>
      <c r="CD73" s="3">
        <f t="shared" ca="1" si="169"/>
        <v>0</v>
      </c>
      <c r="CE73" s="3" t="e">
        <f t="shared" ca="1" si="170"/>
        <v>#N/A</v>
      </c>
      <c r="CF73" s="3">
        <f t="shared" ca="1" si="171"/>
        <v>0</v>
      </c>
      <c r="CH73" s="3">
        <f t="shared" ca="1" si="172"/>
        <v>0.74701195219123506</v>
      </c>
      <c r="CI73" s="3">
        <f t="shared" ca="1" si="173"/>
        <v>0</v>
      </c>
      <c r="CJ73" s="3" t="e">
        <f t="shared" ca="1" si="174"/>
        <v>#N/A</v>
      </c>
      <c r="CK73" s="3">
        <f t="shared" ca="1" si="175"/>
        <v>0</v>
      </c>
      <c r="CM73" s="3">
        <f t="shared" ca="1" si="176"/>
        <v>1.7430278884462151</v>
      </c>
      <c r="CN73" s="3">
        <f t="shared" ca="1" si="177"/>
        <v>0</v>
      </c>
      <c r="CO73" s="3" t="e">
        <f t="shared" ca="1" si="178"/>
        <v>#N/A</v>
      </c>
      <c r="CP73" s="3">
        <f t="shared" ca="1" si="179"/>
        <v>0</v>
      </c>
      <c r="CR73" s="3">
        <v>2.8010001182556152</v>
      </c>
      <c r="CS73" s="3">
        <v>4.0060000000000002</v>
      </c>
      <c r="CT73" s="3">
        <v>4.016</v>
      </c>
      <c r="CU73" s="3">
        <v>4.016</v>
      </c>
    </row>
    <row r="74" spans="1:99" s="3" customFormat="1" x14ac:dyDescent="0.35">
      <c r="A74" s="2" t="s">
        <v>89</v>
      </c>
      <c r="B74" s="2">
        <v>9.5</v>
      </c>
      <c r="C74" s="2" t="s">
        <v>167</v>
      </c>
      <c r="D74" s="2" t="s">
        <v>403</v>
      </c>
      <c r="F74" s="3">
        <v>4.0110000000000001</v>
      </c>
      <c r="G74" s="3">
        <v>4.016</v>
      </c>
      <c r="H74" s="3">
        <v>4.01</v>
      </c>
      <c r="I74" s="3">
        <v>4.0110000000000001</v>
      </c>
      <c r="K74" s="3">
        <f t="shared" ca="1" si="120"/>
        <v>0.97207678883071558</v>
      </c>
      <c r="L74" s="3">
        <f t="shared" ca="1" si="121"/>
        <v>0.99576693227091639</v>
      </c>
      <c r="M74" s="3">
        <f t="shared" ca="1" si="122"/>
        <v>0.99301745635910232</v>
      </c>
      <c r="N74" s="3">
        <f t="shared" ca="1" si="123"/>
        <v>0.99700822737471939</v>
      </c>
      <c r="P74" s="3">
        <f t="shared" ca="1" si="124"/>
        <v>0.91323852390459548</v>
      </c>
      <c r="Q74" s="3">
        <f t="shared" ca="1" si="125"/>
        <v>0.94995020579850942</v>
      </c>
      <c r="R74" s="3">
        <f t="shared" ca="1" si="126"/>
        <v>0.90573585250802768</v>
      </c>
      <c r="S74" s="3">
        <f t="shared" ca="1" si="127"/>
        <v>0.87210180725957109</v>
      </c>
      <c r="U74" s="3">
        <f t="shared" ca="1" si="128"/>
        <v>2.2438294689603588</v>
      </c>
      <c r="V74" s="3">
        <f t="shared" ca="1" si="129"/>
        <v>1.7430278884462151</v>
      </c>
      <c r="W74" s="3">
        <f t="shared" ca="1" si="130"/>
        <v>3.2418952618453867</v>
      </c>
      <c r="X74" s="3">
        <f t="shared" ca="1" si="131"/>
        <v>1.9945150835203191</v>
      </c>
      <c r="Z74" s="3">
        <f t="shared" ca="1" si="132"/>
        <v>0.95961106955871356</v>
      </c>
      <c r="AA74" s="3">
        <f t="shared" ca="1" si="133"/>
        <v>0.97933266932270913</v>
      </c>
      <c r="AB74" s="3">
        <f t="shared" ca="1" si="134"/>
        <v>0.99301745635910232</v>
      </c>
      <c r="AC74" s="3">
        <f t="shared" ca="1" si="135"/>
        <v>0.92645225629518801</v>
      </c>
      <c r="AE74" s="3">
        <f t="shared" ca="1" si="136"/>
        <v>0.91323852390459548</v>
      </c>
      <c r="AF74" s="3">
        <f t="shared" ca="1" si="137"/>
        <v>0.94995020579850942</v>
      </c>
      <c r="AG74" s="3">
        <f t="shared" ca="1" si="138"/>
        <v>0.90573585250802768</v>
      </c>
      <c r="AH74" s="3">
        <f t="shared" ca="1" si="139"/>
        <v>0.87210180725957109</v>
      </c>
      <c r="AJ74" s="3">
        <f t="shared" ca="1" si="140"/>
        <v>2.2438294689603588</v>
      </c>
      <c r="AK74" s="3">
        <f t="shared" ca="1" si="141"/>
        <v>1.7430278884462151</v>
      </c>
      <c r="AL74" s="3">
        <f t="shared" ca="1" si="142"/>
        <v>3.2418952618453867</v>
      </c>
      <c r="AM74" s="3">
        <f t="shared" ca="1" si="143"/>
        <v>1.9945150835203191</v>
      </c>
      <c r="AO74" s="3">
        <f t="shared" ca="1" si="144"/>
        <v>0.49862877088007979</v>
      </c>
      <c r="AP74" s="3">
        <f t="shared" ca="1" si="145"/>
        <v>0.49800796812749004</v>
      </c>
      <c r="AQ74" s="3">
        <f t="shared" ca="1" si="146"/>
        <v>0.24937655860349128</v>
      </c>
      <c r="AR74" s="3">
        <f t="shared" ca="1" si="147"/>
        <v>0.49862877088007979</v>
      </c>
      <c r="AT74" s="3">
        <v>0.14300000667572021</v>
      </c>
      <c r="AU74" s="3">
        <v>7.0000002160668373E-3</v>
      </c>
      <c r="AV74" s="3">
        <v>1.2000000104308128E-2</v>
      </c>
      <c r="AW74" s="3">
        <v>4.999999888241291E-3</v>
      </c>
      <c r="AY74" s="3">
        <f t="shared" ca="1" si="148"/>
        <v>0.2909498878085266</v>
      </c>
      <c r="AZ74" s="3">
        <f t="shared" ca="1" si="149"/>
        <v>0.54357569721115528</v>
      </c>
      <c r="BA74" s="3">
        <f t="shared" ca="1" si="150"/>
        <v>0.40723192019950127</v>
      </c>
      <c r="BB74" s="3">
        <f t="shared" ca="1" si="151"/>
        <v>0.47793567688855643</v>
      </c>
      <c r="BD74" s="3">
        <f t="shared" ca="1" si="152"/>
        <v>0.30316629037688242</v>
      </c>
      <c r="BE74" s="3">
        <f t="shared" ca="1" si="153"/>
        <v>0.50199206963003395</v>
      </c>
      <c r="BF74" s="3">
        <f t="shared" ca="1" si="154"/>
        <v>0.34912729501129686</v>
      </c>
      <c r="BG74" s="3">
        <f t="shared" ca="1" si="155"/>
        <v>0.59386688823029454</v>
      </c>
      <c r="BI74" s="3">
        <f t="shared" ca="1" si="156"/>
        <v>0.74794315632011965</v>
      </c>
      <c r="BJ74" s="3">
        <f t="shared" ca="1" si="157"/>
        <v>1.2450199203187251</v>
      </c>
      <c r="BK74" s="3">
        <f t="shared" ca="1" si="158"/>
        <v>1.2468827930174564</v>
      </c>
      <c r="BL74" s="3">
        <f t="shared" ca="1" si="159"/>
        <v>0.99725754176015957</v>
      </c>
      <c r="BN74" s="3">
        <f t="shared" ca="1" si="160"/>
        <v>0.74794315632011965</v>
      </c>
      <c r="BO74" s="3">
        <f t="shared" ca="1" si="161"/>
        <v>0.74701195219123506</v>
      </c>
      <c r="BP74" s="3">
        <f t="shared" ca="1" si="162"/>
        <v>1.2468827930174564</v>
      </c>
      <c r="BQ74" s="3">
        <f t="shared" ca="1" si="163"/>
        <v>0.99725754176015957</v>
      </c>
      <c r="BS74" s="3">
        <v>0.29300001263618469</v>
      </c>
      <c r="BT74" s="3">
        <v>0.87300002574920654</v>
      </c>
      <c r="BU74" s="3">
        <v>0.67799997329711914</v>
      </c>
      <c r="BV74" s="3">
        <v>0.50499999523162842</v>
      </c>
      <c r="BX74" s="3">
        <f t="shared" ca="1" si="164"/>
        <v>0.27798553976564444</v>
      </c>
      <c r="BY74" s="3">
        <f t="shared" ca="1" si="165"/>
        <v>0</v>
      </c>
      <c r="BZ74" s="3">
        <f t="shared" ca="1" si="166"/>
        <v>0</v>
      </c>
      <c r="CA74" s="3">
        <f t="shared" ca="1" si="167"/>
        <v>0</v>
      </c>
      <c r="CC74" s="3">
        <f t="shared" ca="1" si="168"/>
        <v>0.31139365576413824</v>
      </c>
      <c r="CD74" s="3">
        <f t="shared" ca="1" si="169"/>
        <v>0</v>
      </c>
      <c r="CE74" s="3">
        <f t="shared" ca="1" si="170"/>
        <v>0</v>
      </c>
      <c r="CF74" s="3">
        <f t="shared" ca="1" si="171"/>
        <v>0</v>
      </c>
      <c r="CH74" s="3">
        <f t="shared" ca="1" si="172"/>
        <v>0.49862877088007979</v>
      </c>
      <c r="CI74" s="3">
        <f t="shared" ca="1" si="173"/>
        <v>0</v>
      </c>
      <c r="CJ74" s="3">
        <f t="shared" ca="1" si="174"/>
        <v>0</v>
      </c>
      <c r="CK74" s="3">
        <f t="shared" ca="1" si="175"/>
        <v>0</v>
      </c>
      <c r="CM74" s="3">
        <f t="shared" ca="1" si="176"/>
        <v>0.74794315632011965</v>
      </c>
      <c r="CN74" s="3">
        <f t="shared" ca="1" si="177"/>
        <v>0</v>
      </c>
      <c r="CO74" s="3">
        <f t="shared" ca="1" si="178"/>
        <v>0</v>
      </c>
      <c r="CP74" s="3">
        <f t="shared" ca="1" si="179"/>
        <v>0</v>
      </c>
      <c r="CR74" s="3">
        <v>1.9759999513626099</v>
      </c>
      <c r="CS74" s="3">
        <v>4.016</v>
      </c>
      <c r="CT74" s="3">
        <v>4.01</v>
      </c>
      <c r="CU74" s="3">
        <v>4.0110000000000001</v>
      </c>
    </row>
    <row r="75" spans="1:99" s="3" customFormat="1" x14ac:dyDescent="0.35">
      <c r="A75" s="2" t="s">
        <v>20</v>
      </c>
      <c r="B75" s="2">
        <v>9.5833333333333339</v>
      </c>
      <c r="C75" s="2" t="s">
        <v>167</v>
      </c>
      <c r="D75" s="2" t="s">
        <v>403</v>
      </c>
      <c r="F75" s="3">
        <v>4.008</v>
      </c>
      <c r="G75" s="3">
        <v>4.0010000000000003</v>
      </c>
      <c r="H75" s="3" t="e">
        <v>#N/A</v>
      </c>
      <c r="I75" s="3">
        <v>4.016</v>
      </c>
      <c r="K75" s="3">
        <f t="shared" ca="1" si="120"/>
        <v>0.85628742514970058</v>
      </c>
      <c r="L75" s="3">
        <f t="shared" ca="1" si="121"/>
        <v>0.99525118720319916</v>
      </c>
      <c r="M75" s="3" t="e">
        <f t="shared" ca="1" si="122"/>
        <v>#N/A</v>
      </c>
      <c r="N75" s="3">
        <f t="shared" ca="1" si="123"/>
        <v>0.98331673306772904</v>
      </c>
      <c r="P75" s="3">
        <f t="shared" ca="1" si="124"/>
        <v>0.49051895975590704</v>
      </c>
      <c r="Q75" s="3">
        <f t="shared" ca="1" si="125"/>
        <v>0.3294176483744235</v>
      </c>
      <c r="R75" s="3" t="e">
        <f t="shared" ca="1" si="126"/>
        <v>#N/A</v>
      </c>
      <c r="S75" s="3">
        <f t="shared" ca="1" si="127"/>
        <v>0.51942218950322538</v>
      </c>
      <c r="U75" s="3">
        <f t="shared" ca="1" si="128"/>
        <v>2.7445109780439121</v>
      </c>
      <c r="V75" s="3">
        <f t="shared" ca="1" si="129"/>
        <v>2.2494376405898522</v>
      </c>
      <c r="W75" s="3" t="e">
        <f t="shared" ca="1" si="130"/>
        <v>#N/A</v>
      </c>
      <c r="X75" s="3">
        <f t="shared" ca="1" si="131"/>
        <v>2.4900398406374502</v>
      </c>
      <c r="Z75" s="3">
        <f t="shared" ca="1" si="132"/>
        <v>0.79391217564870253</v>
      </c>
      <c r="AA75" s="3">
        <f t="shared" ca="1" si="133"/>
        <v>0.99525118720319916</v>
      </c>
      <c r="AB75" s="3" t="e">
        <f t="shared" ca="1" si="134"/>
        <v>#N/A</v>
      </c>
      <c r="AC75" s="3">
        <f t="shared" ca="1" si="135"/>
        <v>0.86703187250996017</v>
      </c>
      <c r="AE75" s="3">
        <f t="shared" ca="1" si="136"/>
        <v>0.44885233877423758</v>
      </c>
      <c r="AF75" s="3">
        <f t="shared" ca="1" si="137"/>
        <v>0.3294176483744235</v>
      </c>
      <c r="AG75" s="3" t="e">
        <f t="shared" ca="1" si="138"/>
        <v>#N/A</v>
      </c>
      <c r="AH75" s="3">
        <f t="shared" ca="1" si="139"/>
        <v>0.51942218950322538</v>
      </c>
      <c r="AJ75" s="3">
        <f t="shared" ca="1" si="140"/>
        <v>2.4950099800399204</v>
      </c>
      <c r="AK75" s="3">
        <f t="shared" ca="1" si="141"/>
        <v>2.2494376405898522</v>
      </c>
      <c r="AL75" s="3" t="e">
        <f t="shared" ca="1" si="142"/>
        <v>#N/A</v>
      </c>
      <c r="AM75" s="3">
        <f t="shared" ca="1" si="143"/>
        <v>2.4900398406374502</v>
      </c>
      <c r="AO75" s="3">
        <f t="shared" ca="1" si="144"/>
        <v>0.74850299401197606</v>
      </c>
      <c r="AP75" s="3">
        <f t="shared" ca="1" si="145"/>
        <v>0.2499375156210947</v>
      </c>
      <c r="AQ75" s="3" t="e">
        <f t="shared" ca="1" si="146"/>
        <v>#N/A</v>
      </c>
      <c r="AR75" s="3">
        <f t="shared" ca="1" si="147"/>
        <v>0.74701195219123506</v>
      </c>
      <c r="AT75" s="3">
        <v>0.460999995470047</v>
      </c>
      <c r="AU75" s="3">
        <v>1.7999999225139618E-2</v>
      </c>
      <c r="AV75" s="11" t="e">
        <v>#N/A</v>
      </c>
      <c r="AW75" s="3">
        <v>1.2000000104308128E-2</v>
      </c>
      <c r="AY75" s="3">
        <f t="shared" ca="1" si="148"/>
        <v>7.5099800399201666E-2</v>
      </c>
      <c r="AZ75" s="3">
        <f t="shared" ca="1" si="149"/>
        <v>6.2484378905273731E-2</v>
      </c>
      <c r="BA75" s="3" t="e">
        <f t="shared" ca="1" si="150"/>
        <v>#N/A</v>
      </c>
      <c r="BB75" s="3">
        <f t="shared" ca="1" si="151"/>
        <v>9.5368525896414369E-2</v>
      </c>
      <c r="BD75" s="3">
        <f t="shared" ca="1" si="152"/>
        <v>7.0608780531588186E-2</v>
      </c>
      <c r="BE75" s="3">
        <f t="shared" ca="1" si="153"/>
        <v>2.4993787315957874E-2</v>
      </c>
      <c r="BF75" s="3" t="e">
        <f t="shared" ca="1" si="154"/>
        <v>#N/A</v>
      </c>
      <c r="BG75" s="3">
        <f t="shared" ca="1" si="155"/>
        <v>3.7350561989256112E-2</v>
      </c>
      <c r="BI75" s="3">
        <f t="shared" ca="1" si="156"/>
        <v>0.49900199600798401</v>
      </c>
      <c r="BJ75" s="3">
        <f t="shared" ca="1" si="157"/>
        <v>0.2499375156210947</v>
      </c>
      <c r="BK75" s="3" t="e">
        <f t="shared" ca="1" si="158"/>
        <v>#N/A</v>
      </c>
      <c r="BL75" s="3">
        <f t="shared" ca="1" si="159"/>
        <v>0.24900398406374502</v>
      </c>
      <c r="BN75" s="3">
        <f t="shared" ca="1" si="160"/>
        <v>1.7465069860279441</v>
      </c>
      <c r="BO75" s="3">
        <f t="shared" ca="1" si="161"/>
        <v>2.2494376405898522</v>
      </c>
      <c r="BP75" s="3" t="e">
        <f t="shared" ca="1" si="162"/>
        <v>#N/A</v>
      </c>
      <c r="BQ75" s="3">
        <f t="shared" ca="1" si="163"/>
        <v>1.9920318725099602</v>
      </c>
      <c r="BS75" s="3">
        <v>1.593999981880188</v>
      </c>
      <c r="BT75" s="3">
        <v>2.0169999599456787</v>
      </c>
      <c r="BU75" s="11" t="e">
        <v>#N/A</v>
      </c>
      <c r="BV75" s="3">
        <v>2.0950000286102295</v>
      </c>
      <c r="BX75" s="3">
        <f t="shared" ca="1" si="164"/>
        <v>6.6367265469061881E-2</v>
      </c>
      <c r="BY75" s="3">
        <f t="shared" ca="1" si="165"/>
        <v>0.10847288177955529</v>
      </c>
      <c r="BZ75" s="3" t="e">
        <f t="shared" ca="1" si="166"/>
        <v>#N/A</v>
      </c>
      <c r="CA75" s="3">
        <f t="shared" ca="1" si="167"/>
        <v>0.22011952191235068</v>
      </c>
      <c r="CC75" s="3">
        <f t="shared" ca="1" si="168"/>
        <v>7.0608780531588186E-2</v>
      </c>
      <c r="CD75" s="3">
        <f t="shared" ca="1" si="169"/>
        <v>6.2484377043094071E-2</v>
      </c>
      <c r="CE75" s="3" t="e">
        <f t="shared" ca="1" si="170"/>
        <v>#N/A</v>
      </c>
      <c r="CF75" s="3">
        <f t="shared" ca="1" si="171"/>
        <v>0.23680272933273794</v>
      </c>
      <c r="CH75" s="3">
        <f t="shared" ca="1" si="172"/>
        <v>0.249500998003992</v>
      </c>
      <c r="CI75" s="3">
        <f t="shared" ca="1" si="173"/>
        <v>0.4998750312421894</v>
      </c>
      <c r="CJ75" s="3" t="e">
        <f t="shared" ca="1" si="174"/>
        <v>#N/A</v>
      </c>
      <c r="CK75" s="3">
        <f t="shared" ca="1" si="175"/>
        <v>0.99601593625498008</v>
      </c>
      <c r="CM75" s="3">
        <f t="shared" ca="1" si="176"/>
        <v>0.74850299401197606</v>
      </c>
      <c r="CN75" s="3">
        <f t="shared" ca="1" si="177"/>
        <v>2.9992501874531365</v>
      </c>
      <c r="CO75" s="3" t="e">
        <f t="shared" ca="1" si="178"/>
        <v>#N/A</v>
      </c>
      <c r="CP75" s="3">
        <f t="shared" ca="1" si="179"/>
        <v>1.9920318725099602</v>
      </c>
      <c r="CR75" s="3">
        <v>0.77799999713897705</v>
      </c>
      <c r="CS75" s="3">
        <v>1.7999999225139618E-2</v>
      </c>
      <c r="CT75" s="11" t="e">
        <v>#N/A</v>
      </c>
      <c r="CU75" s="3">
        <v>1.2000000104308128E-2</v>
      </c>
    </row>
    <row r="76" spans="1:99" s="3" customFormat="1" x14ac:dyDescent="0.35">
      <c r="A76" s="2" t="s">
        <v>58</v>
      </c>
      <c r="B76" s="2">
        <v>9.5833333333333339</v>
      </c>
      <c r="C76" s="2" t="s">
        <v>168</v>
      </c>
      <c r="D76" s="2" t="s">
        <v>403</v>
      </c>
      <c r="F76" s="3">
        <v>4.0090000000000003</v>
      </c>
      <c r="G76" s="3">
        <v>4.0019999999999998</v>
      </c>
      <c r="H76" s="3">
        <v>4.0110000000000001</v>
      </c>
      <c r="I76" s="3">
        <v>4.0199999999999996</v>
      </c>
      <c r="K76" s="3">
        <f t="shared" ca="1" si="120"/>
        <v>0.99750561237216251</v>
      </c>
      <c r="L76" s="3">
        <f t="shared" ca="1" si="121"/>
        <v>0.99925037481259393</v>
      </c>
      <c r="M76" s="3">
        <f t="shared" ca="1" si="122"/>
        <v>0.9970082273747195</v>
      </c>
      <c r="N76" s="3">
        <f t="shared" ca="1" si="123"/>
        <v>0.99477611940298516</v>
      </c>
      <c r="P76" s="3">
        <f t="shared" ca="1" si="124"/>
        <v>0.79820406766983298</v>
      </c>
      <c r="Q76" s="3">
        <f t="shared" ca="1" si="125"/>
        <v>0.97451273121287874</v>
      </c>
      <c r="R76" s="3">
        <f t="shared" ca="1" si="126"/>
        <v>0.97182751950169111</v>
      </c>
      <c r="S76" s="3">
        <f t="shared" ca="1" si="127"/>
        <v>0.90796015461656598</v>
      </c>
      <c r="U76" s="3">
        <f t="shared" ca="1" si="128"/>
        <v>1.4966325767024193</v>
      </c>
      <c r="V76" s="3">
        <f t="shared" ca="1" si="129"/>
        <v>0.99950024987506247</v>
      </c>
      <c r="W76" s="3">
        <f t="shared" ca="1" si="130"/>
        <v>1.7452006980802792</v>
      </c>
      <c r="X76" s="3">
        <f t="shared" ca="1" si="131"/>
        <v>2.4875621890547266</v>
      </c>
      <c r="Z76" s="3">
        <f t="shared" ca="1" si="132"/>
        <v>0.99750561237216251</v>
      </c>
      <c r="AA76" s="3">
        <f t="shared" ca="1" si="133"/>
        <v>0.99925037481259393</v>
      </c>
      <c r="AB76" s="3">
        <f t="shared" ca="1" si="134"/>
        <v>0.9970082273747195</v>
      </c>
      <c r="AC76" s="3">
        <f t="shared" ca="1" si="135"/>
        <v>0.92437810945273646</v>
      </c>
      <c r="AE76" s="3">
        <f t="shared" ca="1" si="136"/>
        <v>0.79820406766983298</v>
      </c>
      <c r="AF76" s="3">
        <f t="shared" ca="1" si="137"/>
        <v>0.97451273121287874</v>
      </c>
      <c r="AG76" s="3">
        <f t="shared" ca="1" si="138"/>
        <v>0.97182751950169111</v>
      </c>
      <c r="AH76" s="3">
        <f t="shared" ca="1" si="139"/>
        <v>0.8539800546062527</v>
      </c>
      <c r="AJ76" s="3">
        <f t="shared" ca="1" si="140"/>
        <v>1.4966325767024193</v>
      </c>
      <c r="AK76" s="3">
        <f t="shared" ca="1" si="141"/>
        <v>0.99950024987506247</v>
      </c>
      <c r="AL76" s="3">
        <f t="shared" ca="1" si="142"/>
        <v>1.7452006980802792</v>
      </c>
      <c r="AM76" s="3">
        <f t="shared" ca="1" si="143"/>
        <v>2.238805970149254</v>
      </c>
      <c r="AO76" s="3">
        <f t="shared" ca="1" si="144"/>
        <v>0.24943876278373658</v>
      </c>
      <c r="AP76" s="3">
        <f t="shared" ca="1" si="145"/>
        <v>0.24987506246876562</v>
      </c>
      <c r="AQ76" s="3">
        <f t="shared" ca="1" si="146"/>
        <v>0.24931438544003989</v>
      </c>
      <c r="AR76" s="3">
        <f t="shared" ca="1" si="147"/>
        <v>0.49751243781094534</v>
      </c>
      <c r="AT76" s="3">
        <v>0.17100000381469727</v>
      </c>
      <c r="AU76" s="3">
        <v>2.0000000949949026E-3</v>
      </c>
      <c r="AV76" s="3">
        <v>0</v>
      </c>
      <c r="AW76" s="3">
        <v>0.31200000643730164</v>
      </c>
      <c r="AY76" s="3">
        <f t="shared" ca="1" si="148"/>
        <v>0.24170616113744053</v>
      </c>
      <c r="AZ76" s="3">
        <f t="shared" ca="1" si="149"/>
        <v>0.23738130934532739</v>
      </c>
      <c r="BA76" s="3">
        <f t="shared" ca="1" si="150"/>
        <v>0.46522064323111451</v>
      </c>
      <c r="BB76" s="3">
        <f t="shared" ca="1" si="151"/>
        <v>0.31915422885572148</v>
      </c>
      <c r="BD76" s="3">
        <f t="shared" ca="1" si="152"/>
        <v>0.14143181608394662</v>
      </c>
      <c r="BE76" s="3">
        <f t="shared" ca="1" si="153"/>
        <v>0.40804595127515592</v>
      </c>
      <c r="BF76" s="3">
        <f t="shared" ca="1" si="154"/>
        <v>0.44028924249170187</v>
      </c>
      <c r="BG76" s="3">
        <f t="shared" ca="1" si="155"/>
        <v>0.46417908140675945</v>
      </c>
      <c r="BI76" s="3">
        <f t="shared" ca="1" si="156"/>
        <v>0.24943876278373658</v>
      </c>
      <c r="BJ76" s="3">
        <f t="shared" ca="1" si="157"/>
        <v>0.24987506246876562</v>
      </c>
      <c r="BK76" s="3">
        <f t="shared" ca="1" si="158"/>
        <v>0.49862877088007979</v>
      </c>
      <c r="BL76" s="3">
        <f t="shared" ca="1" si="159"/>
        <v>0.74626865671641796</v>
      </c>
      <c r="BN76" s="3">
        <f t="shared" ca="1" si="160"/>
        <v>2.2449488650536291</v>
      </c>
      <c r="BO76" s="3">
        <f t="shared" ca="1" si="161"/>
        <v>0.24987506246876562</v>
      </c>
      <c r="BP76" s="3">
        <f t="shared" ca="1" si="162"/>
        <v>0.74794315632011965</v>
      </c>
      <c r="BQ76" s="3">
        <f t="shared" ca="1" si="163"/>
        <v>0.99502487562189068</v>
      </c>
      <c r="BS76" s="3">
        <v>3.437000036239624</v>
      </c>
      <c r="BT76" s="3">
        <v>2.1010000705718994</v>
      </c>
      <c r="BU76" s="3">
        <v>1.715999960899353</v>
      </c>
      <c r="BV76" s="3">
        <v>0.31200000643730164</v>
      </c>
      <c r="BX76" s="3">
        <f t="shared" ca="1" si="164"/>
        <v>3.7415814417560492E-2</v>
      </c>
      <c r="BY76" s="3">
        <f t="shared" ca="1" si="165"/>
        <v>0</v>
      </c>
      <c r="BZ76" s="3">
        <f t="shared" ca="1" si="166"/>
        <v>2.8920468711044651E-2</v>
      </c>
      <c r="CA76" s="3">
        <f t="shared" ca="1" si="167"/>
        <v>0</v>
      </c>
      <c r="CC76" s="3">
        <f t="shared" ca="1" si="168"/>
        <v>0</v>
      </c>
      <c r="CD76" s="3">
        <f t="shared" ca="1" si="169"/>
        <v>0</v>
      </c>
      <c r="CE76" s="3">
        <f t="shared" ca="1" si="170"/>
        <v>0</v>
      </c>
      <c r="CF76" s="3">
        <f t="shared" ca="1" si="171"/>
        <v>0</v>
      </c>
      <c r="CH76" s="3">
        <f t="shared" ca="1" si="172"/>
        <v>0</v>
      </c>
      <c r="CI76" s="3">
        <f t="shared" ca="1" si="173"/>
        <v>0</v>
      </c>
      <c r="CJ76" s="3">
        <f t="shared" ca="1" si="174"/>
        <v>0</v>
      </c>
      <c r="CK76" s="3">
        <f t="shared" ca="1" si="175"/>
        <v>0</v>
      </c>
      <c r="CM76" s="3">
        <f t="shared" ca="1" si="176"/>
        <v>1.746071339486156</v>
      </c>
      <c r="CN76" s="3">
        <f t="shared" ca="1" si="177"/>
        <v>0</v>
      </c>
      <c r="CO76" s="3">
        <f t="shared" ca="1" si="178"/>
        <v>0.24931438544003989</v>
      </c>
      <c r="CP76" s="3">
        <f t="shared" ca="1" si="179"/>
        <v>0</v>
      </c>
      <c r="CR76" s="3">
        <v>4.0090000000000003</v>
      </c>
      <c r="CS76" s="3">
        <v>4.0019999999999998</v>
      </c>
      <c r="CT76" s="3">
        <v>4.0110000000000001</v>
      </c>
      <c r="CU76" s="3">
        <v>4.0199999999999996</v>
      </c>
    </row>
    <row r="77" spans="1:99" s="3" customFormat="1" x14ac:dyDescent="0.35">
      <c r="A77" s="2" t="s">
        <v>41</v>
      </c>
      <c r="B77" s="2">
        <v>9.6666666666666661</v>
      </c>
      <c r="C77" s="2" t="s">
        <v>167</v>
      </c>
      <c r="D77" s="2" t="s">
        <v>403</v>
      </c>
      <c r="F77" s="3">
        <v>4.01</v>
      </c>
      <c r="G77" s="3">
        <v>4.0149999999999997</v>
      </c>
      <c r="H77" s="3">
        <v>4.0140000000000002</v>
      </c>
      <c r="I77" s="3" t="e">
        <v>#N/A</v>
      </c>
      <c r="K77" s="3">
        <f t="shared" ca="1" si="120"/>
        <v>0.94314214463840407</v>
      </c>
      <c r="L77" s="3">
        <f t="shared" ca="1" si="121"/>
        <v>0.99601494396014956</v>
      </c>
      <c r="M77" s="3">
        <f t="shared" ca="1" si="122"/>
        <v>0.99626307922272028</v>
      </c>
      <c r="N77" s="3" t="e">
        <f t="shared" ca="1" si="123"/>
        <v>#N/A</v>
      </c>
      <c r="P77" s="3">
        <f t="shared" ca="1" si="124"/>
        <v>0.93940158474475077</v>
      </c>
      <c r="Q77" s="3">
        <f t="shared" ca="1" si="125"/>
        <v>0.81369850139689182</v>
      </c>
      <c r="R77" s="3">
        <f t="shared" ca="1" si="126"/>
        <v>0.80991535044753638</v>
      </c>
      <c r="S77" s="3" t="e">
        <f t="shared" ca="1" si="127"/>
        <v>#N/A</v>
      </c>
      <c r="U77" s="3">
        <f t="shared" ca="1" si="128"/>
        <v>2.2443890274314215</v>
      </c>
      <c r="V77" s="3">
        <f t="shared" ca="1" si="129"/>
        <v>3.2378580323785804</v>
      </c>
      <c r="W77" s="3">
        <f t="shared" ca="1" si="130"/>
        <v>3.4877927254608867</v>
      </c>
      <c r="X77" s="3" t="e">
        <f t="shared" ca="1" si="131"/>
        <v>#N/A</v>
      </c>
      <c r="Z77" s="3">
        <f t="shared" ca="1" si="132"/>
        <v>0.9306733167082295</v>
      </c>
      <c r="AA77" s="3">
        <f t="shared" ca="1" si="133"/>
        <v>0.99601494396014956</v>
      </c>
      <c r="AB77" s="3">
        <f t="shared" ca="1" si="134"/>
        <v>0.9090682610861982</v>
      </c>
      <c r="AC77" s="3" t="e">
        <f t="shared" ca="1" si="135"/>
        <v>#N/A</v>
      </c>
      <c r="AE77" s="3">
        <f t="shared" ca="1" si="136"/>
        <v>0.93940158474475077</v>
      </c>
      <c r="AF77" s="3">
        <f t="shared" ca="1" si="137"/>
        <v>0.81369850139689182</v>
      </c>
      <c r="AG77" s="3">
        <f t="shared" ca="1" si="138"/>
        <v>0.7311908846538222</v>
      </c>
      <c r="AH77" s="3" t="e">
        <f t="shared" ca="1" si="139"/>
        <v>#N/A</v>
      </c>
      <c r="AJ77" s="3">
        <f t="shared" ca="1" si="140"/>
        <v>2.2443890274314215</v>
      </c>
      <c r="AK77" s="3">
        <f t="shared" ca="1" si="141"/>
        <v>3.2378580323785804</v>
      </c>
      <c r="AL77" s="3">
        <f t="shared" ca="1" si="142"/>
        <v>3.2386646736422517</v>
      </c>
      <c r="AM77" s="3" t="e">
        <f t="shared" ca="1" si="143"/>
        <v>#N/A</v>
      </c>
      <c r="AO77" s="3">
        <f t="shared" ca="1" si="144"/>
        <v>0.49875311720698257</v>
      </c>
      <c r="AP77" s="3">
        <f t="shared" ca="1" si="145"/>
        <v>0.24906600249066005</v>
      </c>
      <c r="AQ77" s="3">
        <f t="shared" ca="1" si="146"/>
        <v>0.24912805181863476</v>
      </c>
      <c r="AR77" s="3" t="e">
        <f t="shared" ca="1" si="147"/>
        <v>#N/A</v>
      </c>
      <c r="AT77" s="3">
        <v>1.0999999940395355E-2</v>
      </c>
      <c r="AU77" s="3">
        <v>0.29800000786781311</v>
      </c>
      <c r="AV77" s="3">
        <v>0.36899998784065247</v>
      </c>
      <c r="AW77" s="3">
        <v>6.0000000521540642E-3</v>
      </c>
      <c r="AY77" s="3">
        <f t="shared" ca="1" si="148"/>
        <v>2.4688279301745632E-2</v>
      </c>
      <c r="AZ77" s="3">
        <f t="shared" ca="1" si="149"/>
        <v>0.18679950186799493</v>
      </c>
      <c r="BA77" s="3">
        <f t="shared" ca="1" si="150"/>
        <v>0.133034379671151</v>
      </c>
      <c r="BB77" s="3" t="e">
        <f t="shared" ca="1" si="151"/>
        <v>#N/A</v>
      </c>
      <c r="BD77" s="3">
        <f t="shared" ca="1" si="152"/>
        <v>0</v>
      </c>
      <c r="BE77" s="3">
        <f t="shared" ca="1" si="153"/>
        <v>0.21594020527593821</v>
      </c>
      <c r="BF77" s="3">
        <f t="shared" ca="1" si="154"/>
        <v>0.13702042404549242</v>
      </c>
      <c r="BG77" s="3" t="e">
        <f t="shared" ca="1" si="155"/>
        <v>#N/A</v>
      </c>
      <c r="BI77" s="3">
        <f t="shared" ca="1" si="156"/>
        <v>0</v>
      </c>
      <c r="BJ77" s="3">
        <f t="shared" ca="1" si="157"/>
        <v>0.9962640099626402</v>
      </c>
      <c r="BK77" s="3">
        <f t="shared" ca="1" si="158"/>
        <v>0.49825610363726952</v>
      </c>
      <c r="BL77" s="3" t="e">
        <f t="shared" ca="1" si="159"/>
        <v>#N/A</v>
      </c>
      <c r="BN77" s="3">
        <f t="shared" ca="1" si="160"/>
        <v>0.49875311720698257</v>
      </c>
      <c r="BO77" s="3">
        <f t="shared" ca="1" si="161"/>
        <v>1.2453300124533002</v>
      </c>
      <c r="BP77" s="3">
        <f t="shared" ca="1" si="162"/>
        <v>0.74738415545590431</v>
      </c>
      <c r="BQ77" s="3" t="e">
        <f t="shared" ca="1" si="163"/>
        <v>#N/A</v>
      </c>
      <c r="BS77" s="3">
        <v>4.01</v>
      </c>
      <c r="BT77" s="3">
        <v>0.48199999332427979</v>
      </c>
      <c r="BU77" s="3">
        <v>0.36899998784065247</v>
      </c>
      <c r="BV77" s="3">
        <v>4.0110000000000001</v>
      </c>
      <c r="BX77" s="3">
        <f t="shared" ca="1" si="164"/>
        <v>0.33241895261845383</v>
      </c>
      <c r="BY77" s="3">
        <f t="shared" ca="1" si="165"/>
        <v>2.0921544209215374E-2</v>
      </c>
      <c r="BZ77" s="3">
        <f t="shared" ca="1" si="166"/>
        <v>0.15819631290483308</v>
      </c>
      <c r="CA77" s="3" t="e">
        <f t="shared" ca="1" si="167"/>
        <v>#N/A</v>
      </c>
      <c r="CC77" s="3">
        <f t="shared" ca="1" si="168"/>
        <v>0.2369076831085129</v>
      </c>
      <c r="CD77" s="3">
        <f t="shared" ca="1" si="169"/>
        <v>0</v>
      </c>
      <c r="CE77" s="3">
        <f t="shared" ca="1" si="170"/>
        <v>0.1576980905385533</v>
      </c>
      <c r="CF77" s="3" t="e">
        <f t="shared" ca="1" si="171"/>
        <v>#N/A</v>
      </c>
      <c r="CH77" s="3">
        <f t="shared" ca="1" si="172"/>
        <v>0.74812967581047385</v>
      </c>
      <c r="CI77" s="3">
        <f t="shared" ca="1" si="173"/>
        <v>0</v>
      </c>
      <c r="CJ77" s="3">
        <f t="shared" ca="1" si="174"/>
        <v>0.49825610363726952</v>
      </c>
      <c r="CK77" s="3" t="e">
        <f t="shared" ca="1" si="175"/>
        <v>#N/A</v>
      </c>
      <c r="CM77" s="3">
        <f t="shared" ca="1" si="176"/>
        <v>0.74812967581047385</v>
      </c>
      <c r="CN77" s="3">
        <f t="shared" ca="1" si="177"/>
        <v>0.4981320049813201</v>
      </c>
      <c r="CO77" s="3">
        <f t="shared" ca="1" si="178"/>
        <v>0.99651220727453904</v>
      </c>
      <c r="CP77" s="3" t="e">
        <f t="shared" ca="1" si="179"/>
        <v>#N/A</v>
      </c>
      <c r="CR77" s="3">
        <v>2.8610000610351563</v>
      </c>
      <c r="CS77" s="3">
        <v>4.0149999999999997</v>
      </c>
      <c r="CT77" s="3">
        <v>1.5360000133514404</v>
      </c>
      <c r="CU77" s="3">
        <v>6.0000000521540642E-3</v>
      </c>
    </row>
    <row r="78" spans="1:99" s="3" customFormat="1" x14ac:dyDescent="0.35">
      <c r="A78" s="2" t="s">
        <v>52</v>
      </c>
      <c r="B78" s="2">
        <v>9.6666666666666661</v>
      </c>
      <c r="C78" s="2" t="s">
        <v>168</v>
      </c>
      <c r="D78" s="2" t="s">
        <v>403</v>
      </c>
      <c r="F78" s="3">
        <v>4.01</v>
      </c>
      <c r="G78" s="3">
        <v>4.016</v>
      </c>
      <c r="H78" s="3">
        <v>4.016</v>
      </c>
      <c r="I78" s="3">
        <v>4.0149999999999997</v>
      </c>
      <c r="K78" s="3">
        <f t="shared" ca="1" si="120"/>
        <v>0.99326683291770579</v>
      </c>
      <c r="L78" s="3">
        <f t="shared" ca="1" si="121"/>
        <v>0.99576693227091639</v>
      </c>
      <c r="M78" s="3">
        <f t="shared" ca="1" si="122"/>
        <v>0.99601593625498008</v>
      </c>
      <c r="N78" s="3">
        <f t="shared" ca="1" si="123"/>
        <v>0.99601494396014956</v>
      </c>
      <c r="P78" s="3">
        <f t="shared" ca="1" si="124"/>
        <v>0.96433913971569185</v>
      </c>
      <c r="Q78" s="3">
        <f t="shared" ca="1" si="125"/>
        <v>0.97933266241385408</v>
      </c>
      <c r="R78" s="3">
        <f t="shared" ca="1" si="126"/>
        <v>0.95069723584563048</v>
      </c>
      <c r="S78" s="3">
        <f t="shared" ca="1" si="127"/>
        <v>0.84209212775842046</v>
      </c>
      <c r="U78" s="3">
        <f t="shared" ca="1" si="128"/>
        <v>1.4962593516209477</v>
      </c>
      <c r="V78" s="3">
        <f t="shared" ca="1" si="129"/>
        <v>1.2450199203187251</v>
      </c>
      <c r="W78" s="3">
        <f t="shared" ca="1" si="130"/>
        <v>2.9880478087649402</v>
      </c>
      <c r="X78" s="3">
        <f t="shared" ca="1" si="131"/>
        <v>2.9887920298879207</v>
      </c>
      <c r="Z78" s="3">
        <f t="shared" ca="1" si="132"/>
        <v>0.99326683291770579</v>
      </c>
      <c r="AA78" s="3">
        <f t="shared" ca="1" si="133"/>
        <v>0.99576693227091639</v>
      </c>
      <c r="AB78" s="3">
        <f t="shared" ca="1" si="134"/>
        <v>0.99601593625498008</v>
      </c>
      <c r="AC78" s="3">
        <f t="shared" ca="1" si="135"/>
        <v>0.99601494396014956</v>
      </c>
      <c r="AE78" s="3">
        <f t="shared" ca="1" si="136"/>
        <v>0.96433913971569185</v>
      </c>
      <c r="AF78" s="3">
        <f t="shared" ca="1" si="137"/>
        <v>0.97933266241385408</v>
      </c>
      <c r="AG78" s="3">
        <f t="shared" ca="1" si="138"/>
        <v>0.95069723584563048</v>
      </c>
      <c r="AH78" s="3">
        <f t="shared" ca="1" si="139"/>
        <v>0.84209212775842046</v>
      </c>
      <c r="AJ78" s="3">
        <f t="shared" ca="1" si="140"/>
        <v>1.4962593516209477</v>
      </c>
      <c r="AK78" s="3">
        <f t="shared" ca="1" si="141"/>
        <v>1.2450199203187251</v>
      </c>
      <c r="AL78" s="3">
        <f t="shared" ca="1" si="142"/>
        <v>2.9880478087649402</v>
      </c>
      <c r="AM78" s="3">
        <f t="shared" ca="1" si="143"/>
        <v>2.9887920298879207</v>
      </c>
      <c r="AO78" s="3">
        <f t="shared" ca="1" si="144"/>
        <v>0.24937655860349128</v>
      </c>
      <c r="AP78" s="3">
        <f t="shared" ca="1" si="145"/>
        <v>0.24900398406374502</v>
      </c>
      <c r="AQ78" s="3">
        <f t="shared" ca="1" si="146"/>
        <v>0.24900398406374502</v>
      </c>
      <c r="AR78" s="3">
        <f t="shared" ca="1" si="147"/>
        <v>0.24906600249066005</v>
      </c>
      <c r="AT78" s="3">
        <v>1.3000000268220901E-2</v>
      </c>
      <c r="AU78" s="3">
        <v>8.999999612569809E-3</v>
      </c>
      <c r="AV78" s="3">
        <v>3.0000000260770321E-3</v>
      </c>
      <c r="AW78" s="3">
        <v>0.26399999856948853</v>
      </c>
      <c r="AY78" s="3">
        <f t="shared" ca="1" si="148"/>
        <v>0.86034912718204493</v>
      </c>
      <c r="AZ78" s="3">
        <f t="shared" ca="1" si="149"/>
        <v>0.78834661354581681</v>
      </c>
      <c r="BA78" s="3">
        <f t="shared" ca="1" si="150"/>
        <v>0.56847609561752999</v>
      </c>
      <c r="BB78" s="3">
        <f t="shared" ca="1" si="151"/>
        <v>0.59750933997509348</v>
      </c>
      <c r="BD78" s="3">
        <f t="shared" ca="1" si="152"/>
        <v>0.86433911914391415</v>
      </c>
      <c r="BE78" s="3">
        <f t="shared" ca="1" si="153"/>
        <v>0.73032869226429087</v>
      </c>
      <c r="BF78" s="3">
        <f t="shared" ca="1" si="154"/>
        <v>0.630976110571565</v>
      </c>
      <c r="BG78" s="3">
        <f t="shared" ca="1" si="155"/>
        <v>0.60149437166833941</v>
      </c>
      <c r="BI78" s="3">
        <f t="shared" ca="1" si="156"/>
        <v>0.99750623441396513</v>
      </c>
      <c r="BJ78" s="3">
        <f t="shared" ca="1" si="157"/>
        <v>0.74701195219123506</v>
      </c>
      <c r="BK78" s="3">
        <f t="shared" ca="1" si="158"/>
        <v>1.7430278884462151</v>
      </c>
      <c r="BL78" s="3">
        <f t="shared" ca="1" si="159"/>
        <v>1.7434620174346203</v>
      </c>
      <c r="BN78" s="3">
        <f t="shared" ca="1" si="160"/>
        <v>0.49875311720698257</v>
      </c>
      <c r="BO78" s="3">
        <f t="shared" ca="1" si="161"/>
        <v>0.49800796812749004</v>
      </c>
      <c r="BP78" s="3">
        <f t="shared" ca="1" si="162"/>
        <v>0.99601593625498008</v>
      </c>
      <c r="BQ78" s="3">
        <f t="shared" ca="1" si="163"/>
        <v>0.4981320049813201</v>
      </c>
      <c r="BS78" s="3">
        <v>1.3000000268220901E-2</v>
      </c>
      <c r="BT78" s="3">
        <v>0.57499998807907104</v>
      </c>
      <c r="BU78" s="3">
        <v>3.0000000260770321E-3</v>
      </c>
      <c r="BV78" s="3">
        <v>0.48100000619888306</v>
      </c>
      <c r="BX78" s="3">
        <f t="shared" ca="1" si="164"/>
        <v>0</v>
      </c>
      <c r="BY78" s="3">
        <f t="shared" ca="1" si="165"/>
        <v>0</v>
      </c>
      <c r="BZ78" s="3">
        <f t="shared" ca="1" si="166"/>
        <v>0</v>
      </c>
      <c r="CA78" s="3">
        <f t="shared" ca="1" si="167"/>
        <v>0</v>
      </c>
      <c r="CC78" s="3">
        <f t="shared" ca="1" si="168"/>
        <v>0</v>
      </c>
      <c r="CD78" s="3">
        <f t="shared" ca="1" si="169"/>
        <v>0</v>
      </c>
      <c r="CE78" s="3">
        <f t="shared" ca="1" si="170"/>
        <v>0</v>
      </c>
      <c r="CF78" s="3">
        <f t="shared" ca="1" si="171"/>
        <v>0</v>
      </c>
      <c r="CH78" s="3">
        <f t="shared" ca="1" si="172"/>
        <v>0</v>
      </c>
      <c r="CI78" s="3">
        <f t="shared" ca="1" si="173"/>
        <v>0</v>
      </c>
      <c r="CJ78" s="3">
        <f t="shared" ca="1" si="174"/>
        <v>0</v>
      </c>
      <c r="CK78" s="3">
        <f t="shared" ca="1" si="175"/>
        <v>0</v>
      </c>
      <c r="CM78" s="3">
        <f t="shared" ca="1" si="176"/>
        <v>0</v>
      </c>
      <c r="CN78" s="3">
        <f t="shared" ca="1" si="177"/>
        <v>0</v>
      </c>
      <c r="CO78" s="3">
        <f t="shared" ca="1" si="178"/>
        <v>0</v>
      </c>
      <c r="CP78" s="3">
        <f t="shared" ca="1" si="179"/>
        <v>0</v>
      </c>
      <c r="CR78" s="3">
        <v>4.01</v>
      </c>
      <c r="CS78" s="3">
        <v>4.016</v>
      </c>
      <c r="CT78" s="3">
        <v>4.016</v>
      </c>
      <c r="CU78" s="3">
        <v>4.0149999999999997</v>
      </c>
    </row>
    <row r="79" spans="1:99" s="3" customFormat="1" x14ac:dyDescent="0.35">
      <c r="A79" s="2" t="s">
        <v>61</v>
      </c>
      <c r="B79" s="2">
        <v>9.8333333333333339</v>
      </c>
      <c r="C79" s="2" t="s">
        <v>168</v>
      </c>
      <c r="D79" s="2" t="s">
        <v>403</v>
      </c>
      <c r="F79" s="3">
        <v>4.0090000000000003</v>
      </c>
      <c r="G79" s="3">
        <v>4.0149999999999997</v>
      </c>
      <c r="H79" s="3">
        <v>4.0060000000000002</v>
      </c>
      <c r="I79" s="3">
        <v>4.0110000000000001</v>
      </c>
      <c r="K79" s="3">
        <f t="shared" ca="1" si="120"/>
        <v>0.99351459216762283</v>
      </c>
      <c r="L79" s="3">
        <f t="shared" ca="1" si="121"/>
        <v>0.99601494396014956</v>
      </c>
      <c r="M79" s="3">
        <f t="shared" ca="1" si="122"/>
        <v>0.99825262106839752</v>
      </c>
      <c r="N79" s="3">
        <f t="shared" ca="1" si="123"/>
        <v>0.94714535028671154</v>
      </c>
      <c r="P79" s="3">
        <f t="shared" ca="1" si="124"/>
        <v>0.89324021516342234</v>
      </c>
      <c r="Q79" s="3">
        <f t="shared" ca="1" si="125"/>
        <v>0.91307613659988762</v>
      </c>
      <c r="R79" s="3">
        <f t="shared" ca="1" si="126"/>
        <v>0.87343981468383292</v>
      </c>
      <c r="S79" s="3">
        <f t="shared" ca="1" si="127"/>
        <v>0.83470453766628083</v>
      </c>
      <c r="U79" s="3">
        <f t="shared" ca="1" si="128"/>
        <v>1.9955101022698927</v>
      </c>
      <c r="V79" s="3">
        <f t="shared" ca="1" si="129"/>
        <v>3.4869240348692405</v>
      </c>
      <c r="W79" s="3">
        <f t="shared" ca="1" si="130"/>
        <v>3.4947578632051921</v>
      </c>
      <c r="X79" s="3">
        <f t="shared" ca="1" si="131"/>
        <v>2.2438294689603588</v>
      </c>
      <c r="Z79" s="3">
        <f t="shared" ca="1" si="132"/>
        <v>0.99351459216762283</v>
      </c>
      <c r="AA79" s="3">
        <f t="shared" ca="1" si="133"/>
        <v>0.99601494396014956</v>
      </c>
      <c r="AB79" s="3">
        <f t="shared" ca="1" si="134"/>
        <v>0.99825262106839752</v>
      </c>
      <c r="AC79" s="3">
        <f t="shared" ca="1" si="135"/>
        <v>0.9222139117427075</v>
      </c>
      <c r="AE79" s="3">
        <f t="shared" ca="1" si="136"/>
        <v>0.89324021516342234</v>
      </c>
      <c r="AF79" s="3">
        <f t="shared" ca="1" si="137"/>
        <v>0.91307613659988762</v>
      </c>
      <c r="AG79" s="3">
        <f t="shared" ca="1" si="138"/>
        <v>0.87343981468383292</v>
      </c>
      <c r="AH79" s="3">
        <f t="shared" ca="1" si="139"/>
        <v>0.83470453766628083</v>
      </c>
      <c r="AJ79" s="3">
        <f t="shared" ca="1" si="140"/>
        <v>1.9955101022698927</v>
      </c>
      <c r="AK79" s="3">
        <f t="shared" ca="1" si="141"/>
        <v>3.4869240348692405</v>
      </c>
      <c r="AL79" s="3">
        <f t="shared" ca="1" si="142"/>
        <v>3.4947578632051921</v>
      </c>
      <c r="AM79" s="3">
        <f t="shared" ca="1" si="143"/>
        <v>2.2438294689603588</v>
      </c>
      <c r="AO79" s="3">
        <f t="shared" ca="1" si="144"/>
        <v>0.24943876278373658</v>
      </c>
      <c r="AP79" s="3">
        <f t="shared" ca="1" si="145"/>
        <v>0.24906600249066005</v>
      </c>
      <c r="AQ79" s="3">
        <f t="shared" ca="1" si="146"/>
        <v>0.24962556165751371</v>
      </c>
      <c r="AR79" s="3">
        <f t="shared" ca="1" si="147"/>
        <v>0.49862877088007979</v>
      </c>
      <c r="AT79" s="3">
        <v>6.3000001013278961E-2</v>
      </c>
      <c r="AU79" s="3">
        <v>1.2000000104308128E-2</v>
      </c>
      <c r="AV79" s="3">
        <v>2.0000000949949026E-3</v>
      </c>
      <c r="AW79" s="3">
        <v>0.35899999737739563</v>
      </c>
      <c r="AY79" s="3">
        <f t="shared" ca="1" si="148"/>
        <v>0.46121227238712881</v>
      </c>
      <c r="AZ79" s="3">
        <f t="shared" ca="1" si="149"/>
        <v>0.39053549190535497</v>
      </c>
      <c r="BA79" s="3">
        <f t="shared" ca="1" si="150"/>
        <v>0.58237643534697958</v>
      </c>
      <c r="BB79" s="3">
        <f t="shared" ca="1" si="151"/>
        <v>0.3737222637746197</v>
      </c>
      <c r="BD79" s="3">
        <f t="shared" ca="1" si="152"/>
        <v>0.4195560092312286</v>
      </c>
      <c r="BE79" s="3">
        <f t="shared" ca="1" si="153"/>
        <v>0.46077217735062503</v>
      </c>
      <c r="BF79" s="3">
        <f t="shared" ca="1" si="154"/>
        <v>0.51997006832214221</v>
      </c>
      <c r="BG79" s="3">
        <f t="shared" ca="1" si="155"/>
        <v>0.36549490159718778</v>
      </c>
      <c r="BI79" s="3">
        <f t="shared" ca="1" si="156"/>
        <v>0.74831628835120967</v>
      </c>
      <c r="BJ79" s="3">
        <f t="shared" ca="1" si="157"/>
        <v>1.7434620174346203</v>
      </c>
      <c r="BK79" s="3">
        <f t="shared" ca="1" si="158"/>
        <v>1.9970044932601096</v>
      </c>
      <c r="BL79" s="3">
        <f t="shared" ca="1" si="159"/>
        <v>1.2465719272001994</v>
      </c>
      <c r="BN79" s="3">
        <f t="shared" ca="1" si="160"/>
        <v>0.99775505113494634</v>
      </c>
      <c r="BO79" s="3">
        <f t="shared" ca="1" si="161"/>
        <v>1.2453300124533002</v>
      </c>
      <c r="BP79" s="3">
        <f t="shared" ca="1" si="162"/>
        <v>1.4977533699450822</v>
      </c>
      <c r="BQ79" s="3">
        <f t="shared" ca="1" si="163"/>
        <v>0.49862877088007979</v>
      </c>
      <c r="BS79" s="3">
        <v>0.71299999952316284</v>
      </c>
      <c r="BT79" s="3">
        <v>0.39500001072883606</v>
      </c>
      <c r="BU79" s="3">
        <v>0.45199999213218689</v>
      </c>
      <c r="BV79" s="3">
        <v>0.35899999737739563</v>
      </c>
      <c r="BX79" s="3">
        <f t="shared" ca="1" si="164"/>
        <v>4.589673235220746E-2</v>
      </c>
      <c r="BY79" s="3">
        <f t="shared" ca="1" si="165"/>
        <v>0</v>
      </c>
      <c r="BZ79" s="3">
        <f t="shared" ca="1" si="166"/>
        <v>1.2481278082875642E-2</v>
      </c>
      <c r="CA79" s="3">
        <f t="shared" ca="1" si="167"/>
        <v>0.11618050361505852</v>
      </c>
      <c r="CC79" s="3">
        <f t="shared" ca="1" si="168"/>
        <v>0</v>
      </c>
      <c r="CD79" s="3">
        <f t="shared" ca="1" si="169"/>
        <v>0</v>
      </c>
      <c r="CE79" s="3">
        <f t="shared" ca="1" si="170"/>
        <v>7.4887656594179772E-2</v>
      </c>
      <c r="CF79" s="3">
        <f t="shared" ca="1" si="171"/>
        <v>0.11194218902093339</v>
      </c>
      <c r="CH79" s="3">
        <f t="shared" ca="1" si="172"/>
        <v>0</v>
      </c>
      <c r="CI79" s="3">
        <f t="shared" ca="1" si="173"/>
        <v>0</v>
      </c>
      <c r="CJ79" s="3">
        <f t="shared" ca="1" si="174"/>
        <v>0.24962556165751371</v>
      </c>
      <c r="CK79" s="3">
        <f t="shared" ca="1" si="175"/>
        <v>0.24931438544003989</v>
      </c>
      <c r="CM79" s="3">
        <f t="shared" ca="1" si="176"/>
        <v>0.24943876278373658</v>
      </c>
      <c r="CN79" s="3">
        <f t="shared" ca="1" si="177"/>
        <v>0.24906600249066005</v>
      </c>
      <c r="CO79" s="3">
        <f t="shared" ca="1" si="178"/>
        <v>0.74887668497254112</v>
      </c>
      <c r="CP79" s="3">
        <f t="shared" ca="1" si="179"/>
        <v>0.24931438544003989</v>
      </c>
      <c r="CR79" s="3">
        <v>4.0090000000000003</v>
      </c>
      <c r="CS79" s="3">
        <v>4.0149999999999997</v>
      </c>
      <c r="CT79" s="3">
        <v>3.6840000152587891</v>
      </c>
      <c r="CU79" s="3">
        <v>1.6089999675750732</v>
      </c>
    </row>
    <row r="80" spans="1:99" s="3" customFormat="1" x14ac:dyDescent="0.35">
      <c r="A80" s="2" t="s">
        <v>62</v>
      </c>
      <c r="B80" s="2">
        <v>9.8333333333333339</v>
      </c>
      <c r="C80" s="2" t="s">
        <v>167</v>
      </c>
      <c r="D80" s="2" t="s">
        <v>403</v>
      </c>
      <c r="F80" s="3">
        <v>4.0090000000000003</v>
      </c>
      <c r="G80" s="3">
        <v>4.0110000000000001</v>
      </c>
      <c r="H80" s="3">
        <v>4.016</v>
      </c>
      <c r="I80" s="3">
        <v>4.0010000000000003</v>
      </c>
      <c r="K80" s="3">
        <f t="shared" ca="1" si="120"/>
        <v>0.98902469443751562</v>
      </c>
      <c r="L80" s="3">
        <f t="shared" ca="1" si="121"/>
        <v>0.99700822737471939</v>
      </c>
      <c r="M80" s="3">
        <f t="shared" ca="1" si="122"/>
        <v>0.9957669322709165</v>
      </c>
      <c r="N80" s="3">
        <f t="shared" ca="1" si="123"/>
        <v>0.99550112471882024</v>
      </c>
      <c r="P80" s="3">
        <f t="shared" ca="1" si="124"/>
        <v>0.8271389679663137</v>
      </c>
      <c r="Q80" s="3">
        <f t="shared" ca="1" si="125"/>
        <v>0.86362509656445818</v>
      </c>
      <c r="R80" s="3">
        <f t="shared" ca="1" si="126"/>
        <v>0.93426295762289824</v>
      </c>
      <c r="S80" s="3">
        <f t="shared" ca="1" si="127"/>
        <v>0.8922768244647854</v>
      </c>
      <c r="U80" s="3">
        <f t="shared" ca="1" si="128"/>
        <v>2.2449488650536291</v>
      </c>
      <c r="V80" s="3">
        <f t="shared" ca="1" si="129"/>
        <v>1.7452006980802792</v>
      </c>
      <c r="W80" s="3">
        <f t="shared" ca="1" si="130"/>
        <v>3.237051792828685</v>
      </c>
      <c r="X80" s="3">
        <f t="shared" ca="1" si="131"/>
        <v>2.499375156210947</v>
      </c>
      <c r="Z80" s="3">
        <f t="shared" ca="1" si="132"/>
        <v>0.98902469443751562</v>
      </c>
      <c r="AA80" s="3">
        <f t="shared" ca="1" si="133"/>
        <v>0.99700822737471939</v>
      </c>
      <c r="AB80" s="3">
        <f t="shared" ca="1" si="134"/>
        <v>0.9957669322709165</v>
      </c>
      <c r="AC80" s="3">
        <f t="shared" ca="1" si="135"/>
        <v>0.99550112471882024</v>
      </c>
      <c r="AE80" s="3">
        <f t="shared" ca="1" si="136"/>
        <v>0.8271389679663137</v>
      </c>
      <c r="AF80" s="3">
        <f t="shared" ca="1" si="137"/>
        <v>0.86362509656445818</v>
      </c>
      <c r="AG80" s="3">
        <f t="shared" ca="1" si="138"/>
        <v>0.93426295762289824</v>
      </c>
      <c r="AH80" s="3">
        <f t="shared" ca="1" si="139"/>
        <v>0.8922768244647854</v>
      </c>
      <c r="AJ80" s="3">
        <f t="shared" ca="1" si="140"/>
        <v>2.2449488650536291</v>
      </c>
      <c r="AK80" s="3">
        <f t="shared" ca="1" si="141"/>
        <v>1.7452006980802792</v>
      </c>
      <c r="AL80" s="3">
        <f t="shared" ca="1" si="142"/>
        <v>3.237051792828685</v>
      </c>
      <c r="AM80" s="3">
        <f t="shared" ca="1" si="143"/>
        <v>2.499375156210947</v>
      </c>
      <c r="AO80" s="3">
        <f t="shared" ca="1" si="144"/>
        <v>0.24943876278373658</v>
      </c>
      <c r="AP80" s="3">
        <f t="shared" ca="1" si="145"/>
        <v>0.24931438544003989</v>
      </c>
      <c r="AQ80" s="3">
        <f t="shared" ca="1" si="146"/>
        <v>0.24900398406374502</v>
      </c>
      <c r="AR80" s="3">
        <f t="shared" ca="1" si="147"/>
        <v>0.2499375156210947</v>
      </c>
      <c r="AT80" s="3">
        <v>3.7999998778104782E-2</v>
      </c>
      <c r="AU80" s="3">
        <v>1.0999999940395355E-2</v>
      </c>
      <c r="AV80" s="3">
        <v>2.0000000949949026E-3</v>
      </c>
      <c r="AW80" s="3">
        <v>7.0000002160668373E-3</v>
      </c>
      <c r="AY80" s="3">
        <f t="shared" ca="1" si="148"/>
        <v>0.7151409329009728</v>
      </c>
      <c r="AZ80" s="3">
        <f t="shared" ca="1" si="149"/>
        <v>0.40314136125654448</v>
      </c>
      <c r="BA80" s="3">
        <f t="shared" ca="1" si="150"/>
        <v>0.21987051792828682</v>
      </c>
      <c r="BB80" s="3">
        <f t="shared" ca="1" si="151"/>
        <v>0.28342914271432146</v>
      </c>
      <c r="BD80" s="3">
        <f t="shared" ca="1" si="152"/>
        <v>0.71913193206027071</v>
      </c>
      <c r="BE80" s="3">
        <f t="shared" ca="1" si="153"/>
        <v>0.45674394354562275</v>
      </c>
      <c r="BF80" s="3">
        <f t="shared" ca="1" si="154"/>
        <v>0.24501991224478914</v>
      </c>
      <c r="BG80" s="3">
        <f t="shared" ca="1" si="155"/>
        <v>0.30467384935944891</v>
      </c>
      <c r="BI80" s="3">
        <f t="shared" ca="1" si="156"/>
        <v>1.4966325767024193</v>
      </c>
      <c r="BJ80" s="3">
        <f t="shared" ca="1" si="157"/>
        <v>0.74794315632011965</v>
      </c>
      <c r="BK80" s="3">
        <f t="shared" ca="1" si="158"/>
        <v>0.74701195219123506</v>
      </c>
      <c r="BL80" s="3">
        <f t="shared" ca="1" si="159"/>
        <v>0.74981254686328414</v>
      </c>
      <c r="BN80" s="3">
        <f t="shared" ca="1" si="160"/>
        <v>0.74831628835120967</v>
      </c>
      <c r="BO80" s="3">
        <f t="shared" ca="1" si="161"/>
        <v>0.49862877088007979</v>
      </c>
      <c r="BP80" s="3">
        <f t="shared" ca="1" si="162"/>
        <v>0.24900398406374502</v>
      </c>
      <c r="BQ80" s="3">
        <f t="shared" ca="1" si="163"/>
        <v>0.74981254686328414</v>
      </c>
      <c r="BS80" s="3">
        <v>3.7999998778104782E-2</v>
      </c>
      <c r="BT80" s="3">
        <v>0.41100001335144043</v>
      </c>
      <c r="BU80" s="3">
        <v>0.43500000238418579</v>
      </c>
      <c r="BV80" s="3">
        <v>0.37299999594688416</v>
      </c>
      <c r="BX80" s="3">
        <f t="shared" ca="1" si="164"/>
        <v>6.6600149663257641E-2</v>
      </c>
      <c r="BY80" s="3">
        <f t="shared" ca="1" si="165"/>
        <v>0.11618050361505863</v>
      </c>
      <c r="BZ80" s="3">
        <f t="shared" ca="1" si="166"/>
        <v>7.4701195219123578E-2</v>
      </c>
      <c r="CA80" s="3">
        <f t="shared" ca="1" si="167"/>
        <v>0.1289677580604848</v>
      </c>
      <c r="CC80" s="3">
        <f t="shared" ca="1" si="168"/>
        <v>4.988776445091439E-2</v>
      </c>
      <c r="CD80" s="3">
        <f t="shared" ca="1" si="169"/>
        <v>0.13687360378846478</v>
      </c>
      <c r="CE80" s="3">
        <f t="shared" ca="1" si="170"/>
        <v>6.6484113138510409E-2</v>
      </c>
      <c r="CF80" s="3">
        <f t="shared" ca="1" si="171"/>
        <v>0.1164708427118379</v>
      </c>
      <c r="CH80" s="3">
        <f t="shared" ca="1" si="172"/>
        <v>0.24943876278373658</v>
      </c>
      <c r="CI80" s="3">
        <f t="shared" ca="1" si="173"/>
        <v>0.24931438544003989</v>
      </c>
      <c r="CJ80" s="3">
        <f t="shared" ca="1" si="174"/>
        <v>0.49800796812749004</v>
      </c>
      <c r="CK80" s="3">
        <f t="shared" ca="1" si="175"/>
        <v>0.2499375156210947</v>
      </c>
      <c r="CM80" s="3">
        <f t="shared" ca="1" si="176"/>
        <v>0.24943876278373658</v>
      </c>
      <c r="CN80" s="3">
        <f t="shared" ca="1" si="177"/>
        <v>0.49862877088007979</v>
      </c>
      <c r="CO80" s="3">
        <f t="shared" ca="1" si="178"/>
        <v>0.74701195219123506</v>
      </c>
      <c r="CP80" s="3">
        <f t="shared" ca="1" si="179"/>
        <v>0.74981254686328414</v>
      </c>
      <c r="CR80" s="3">
        <v>1.1710000038146973</v>
      </c>
      <c r="CS80" s="3">
        <v>2.9769999980926514</v>
      </c>
      <c r="CT80" s="3">
        <v>2.5179998874664307</v>
      </c>
      <c r="CU80" s="3">
        <v>2.6070001125335693</v>
      </c>
    </row>
    <row r="81" spans="1:99" s="3" customFormat="1" x14ac:dyDescent="0.35">
      <c r="A81" s="2" t="s">
        <v>2</v>
      </c>
      <c r="B81" s="2">
        <v>10.083333333333334</v>
      </c>
      <c r="C81" s="2" t="s">
        <v>167</v>
      </c>
      <c r="D81" s="2" t="s">
        <v>403</v>
      </c>
      <c r="F81" s="3">
        <v>4.0149999999999997</v>
      </c>
      <c r="G81" s="3">
        <v>4.016</v>
      </c>
      <c r="H81" s="3">
        <v>4.016</v>
      </c>
      <c r="I81" s="3">
        <v>4.016</v>
      </c>
      <c r="K81" s="3">
        <f t="shared" ca="1" si="120"/>
        <v>0.99626400996264008</v>
      </c>
      <c r="L81" s="3">
        <f t="shared" ca="1" si="121"/>
        <v>0.99601593625498008</v>
      </c>
      <c r="M81" s="3">
        <f t="shared" ca="1" si="122"/>
        <v>0.93376494023904366</v>
      </c>
      <c r="N81" s="3">
        <f t="shared" ca="1" si="123"/>
        <v>0.8219621513944223</v>
      </c>
      <c r="P81" s="3">
        <f t="shared" ca="1" si="124"/>
        <v>0.54794529158329763</v>
      </c>
      <c r="Q81" s="3">
        <f t="shared" ca="1" si="125"/>
        <v>0.63072714539044406</v>
      </c>
      <c r="R81" s="3">
        <f t="shared" ca="1" si="126"/>
        <v>0.90413361572590012</v>
      </c>
      <c r="S81" s="3">
        <f t="shared" ca="1" si="127"/>
        <v>0.61852575128571508</v>
      </c>
      <c r="U81" s="3">
        <f t="shared" ca="1" si="128"/>
        <v>2.7397260273972606</v>
      </c>
      <c r="V81" s="3">
        <f t="shared" ca="1" si="129"/>
        <v>3.7350597609561751</v>
      </c>
      <c r="W81" s="3">
        <f t="shared" ca="1" si="130"/>
        <v>2.9880478087649402</v>
      </c>
      <c r="X81" s="3">
        <f t="shared" ca="1" si="131"/>
        <v>1.9920318725099602</v>
      </c>
      <c r="Z81" s="3">
        <f t="shared" ca="1" si="132"/>
        <v>0.21195516811955153</v>
      </c>
      <c r="AA81" s="3">
        <f t="shared" ca="1" si="133"/>
        <v>0.34810756972111551</v>
      </c>
      <c r="AB81" s="3">
        <f t="shared" ca="1" si="134"/>
        <v>0.20742031872509958</v>
      </c>
      <c r="AC81" s="3">
        <f t="shared" ca="1" si="135"/>
        <v>0.2739043824701195</v>
      </c>
      <c r="AE81" s="3">
        <f t="shared" ca="1" si="136"/>
        <v>0.20772114785789406</v>
      </c>
      <c r="AF81" s="3">
        <f t="shared" ca="1" si="137"/>
        <v>0.34437255110161236</v>
      </c>
      <c r="AG81" s="3">
        <f t="shared" ca="1" si="138"/>
        <v>0.24900401931300581</v>
      </c>
      <c r="AH81" s="3">
        <f t="shared" ca="1" si="139"/>
        <v>0.15786851188576079</v>
      </c>
      <c r="AJ81" s="3">
        <f t="shared" ca="1" si="140"/>
        <v>0.74719800747198017</v>
      </c>
      <c r="AK81" s="3">
        <f t="shared" ca="1" si="141"/>
        <v>1.9920318725099602</v>
      </c>
      <c r="AL81" s="3">
        <f t="shared" ca="1" si="142"/>
        <v>0.99601593625498008</v>
      </c>
      <c r="AM81" s="3">
        <f t="shared" ca="1" si="143"/>
        <v>0.49800796812749004</v>
      </c>
      <c r="AO81" s="3">
        <f t="shared" ca="1" si="144"/>
        <v>2.2415940224159403</v>
      </c>
      <c r="AP81" s="3">
        <f t="shared" ca="1" si="145"/>
        <v>2.739043824701195</v>
      </c>
      <c r="AQ81" s="3">
        <f t="shared" ca="1" si="146"/>
        <v>0.99601593625498008</v>
      </c>
      <c r="AR81" s="3">
        <f t="shared" ca="1" si="147"/>
        <v>1.4940239043824701</v>
      </c>
      <c r="AT81" s="3">
        <v>0.87099999189376831</v>
      </c>
      <c r="AU81" s="3">
        <v>0.36700001358985901</v>
      </c>
      <c r="AV81" s="3">
        <v>0.12099999934434891</v>
      </c>
      <c r="AW81" s="3">
        <v>1.0249999761581421</v>
      </c>
      <c r="AY81" s="3">
        <f t="shared" ca="1" si="148"/>
        <v>0</v>
      </c>
      <c r="AZ81" s="3">
        <f t="shared" ca="1" si="149"/>
        <v>0</v>
      </c>
      <c r="BA81" s="3">
        <f t="shared" ca="1" si="150"/>
        <v>0</v>
      </c>
      <c r="BB81" s="3">
        <f t="shared" ca="1" si="151"/>
        <v>0</v>
      </c>
      <c r="BD81" s="3">
        <f t="shared" ca="1" si="152"/>
        <v>0</v>
      </c>
      <c r="BE81" s="3">
        <f t="shared" ca="1" si="153"/>
        <v>0</v>
      </c>
      <c r="BF81" s="3">
        <f t="shared" ca="1" si="154"/>
        <v>0</v>
      </c>
      <c r="BG81" s="3">
        <f t="shared" ca="1" si="155"/>
        <v>0</v>
      </c>
      <c r="BI81" s="3">
        <f t="shared" ca="1" si="156"/>
        <v>0</v>
      </c>
      <c r="BJ81" s="3">
        <f t="shared" ca="1" si="157"/>
        <v>0</v>
      </c>
      <c r="BK81" s="3">
        <f t="shared" ca="1" si="158"/>
        <v>0</v>
      </c>
      <c r="BL81" s="3">
        <f t="shared" ca="1" si="159"/>
        <v>0</v>
      </c>
      <c r="BN81" s="3">
        <f t="shared" ca="1" si="160"/>
        <v>0</v>
      </c>
      <c r="BO81" s="3">
        <f t="shared" ca="1" si="161"/>
        <v>0</v>
      </c>
      <c r="BP81" s="3">
        <f t="shared" ca="1" si="162"/>
        <v>0</v>
      </c>
      <c r="BQ81" s="3">
        <f t="shared" ca="1" si="163"/>
        <v>0</v>
      </c>
      <c r="BS81" s="3">
        <v>4.0149999999999997</v>
      </c>
      <c r="BT81" s="3">
        <v>4.016</v>
      </c>
      <c r="BU81" s="3">
        <v>4.016</v>
      </c>
      <c r="BV81" s="3">
        <v>4.016</v>
      </c>
      <c r="BX81" s="3">
        <f t="shared" ca="1" si="164"/>
        <v>4.58281444582814E-2</v>
      </c>
      <c r="BY81" s="3">
        <f t="shared" ca="1" si="165"/>
        <v>8.6653386454183232E-2</v>
      </c>
      <c r="BZ81" s="3">
        <f t="shared" ca="1" si="166"/>
        <v>0.14965139442231071</v>
      </c>
      <c r="CA81" s="3">
        <f t="shared" ca="1" si="167"/>
        <v>9.1384462151394424E-2</v>
      </c>
      <c r="CC81" s="3">
        <f t="shared" ca="1" si="168"/>
        <v>4.9813271756486907E-2</v>
      </c>
      <c r="CD81" s="3">
        <f t="shared" ca="1" si="169"/>
        <v>0.1162848921411066</v>
      </c>
      <c r="CE81" s="3">
        <f t="shared" ca="1" si="170"/>
        <v>0.13271912160622645</v>
      </c>
      <c r="CF81" s="3">
        <f t="shared" ca="1" si="171"/>
        <v>9.1384458114426442E-2</v>
      </c>
      <c r="CH81" s="3">
        <f t="shared" ca="1" si="172"/>
        <v>0.24906600249066005</v>
      </c>
      <c r="CI81" s="3">
        <f t="shared" ca="1" si="173"/>
        <v>0.74701195219123506</v>
      </c>
      <c r="CJ81" s="3">
        <f t="shared" ca="1" si="174"/>
        <v>0.49800796812749004</v>
      </c>
      <c r="CK81" s="3">
        <f t="shared" ca="1" si="175"/>
        <v>0.24900398406374502</v>
      </c>
      <c r="CM81" s="3">
        <f t="shared" ca="1" si="176"/>
        <v>0.74719800747198017</v>
      </c>
      <c r="CN81" s="3">
        <f t="shared" ca="1" si="177"/>
        <v>0.99601593625498008</v>
      </c>
      <c r="CO81" s="3">
        <f t="shared" ca="1" si="178"/>
        <v>0.74701195219123506</v>
      </c>
      <c r="CP81" s="3">
        <f t="shared" ca="1" si="179"/>
        <v>0.24900398406374502</v>
      </c>
      <c r="CR81" s="3">
        <v>3.8039999008178711</v>
      </c>
      <c r="CS81" s="3">
        <v>1.6829999685287476</v>
      </c>
      <c r="CT81" s="3">
        <v>1.3209999799728394</v>
      </c>
      <c r="CU81" s="3">
        <v>1.0249999761581421</v>
      </c>
    </row>
    <row r="82" spans="1:99" s="3" customFormat="1" x14ac:dyDescent="0.35">
      <c r="A82" s="2" t="s">
        <v>22</v>
      </c>
      <c r="B82" s="2">
        <v>10.083333333333334</v>
      </c>
      <c r="C82" s="2" t="s">
        <v>167</v>
      </c>
      <c r="D82" s="2" t="s">
        <v>403</v>
      </c>
      <c r="F82" s="3">
        <v>4.016</v>
      </c>
      <c r="G82" s="3">
        <v>4.0090000000000003</v>
      </c>
      <c r="H82" s="3">
        <v>4.016</v>
      </c>
      <c r="I82" s="3">
        <v>4.0149999999999997</v>
      </c>
      <c r="K82" s="3">
        <f t="shared" ca="1" si="120"/>
        <v>0.99576693227091628</v>
      </c>
      <c r="L82" s="3">
        <f t="shared" ca="1" si="121"/>
        <v>0.99750561237216251</v>
      </c>
      <c r="M82" s="3">
        <f t="shared" ca="1" si="122"/>
        <v>0.9957669322709165</v>
      </c>
      <c r="N82" s="3">
        <f t="shared" ca="1" si="123"/>
        <v>0.99601494396014956</v>
      </c>
      <c r="P82" s="3">
        <f t="shared" ca="1" si="124"/>
        <v>0.96240039115708576</v>
      </c>
      <c r="Q82" s="3">
        <f t="shared" ca="1" si="125"/>
        <v>0.9553505207188232</v>
      </c>
      <c r="R82" s="3">
        <f t="shared" ca="1" si="126"/>
        <v>0.93749998669804213</v>
      </c>
      <c r="S82" s="3">
        <f t="shared" ca="1" si="127"/>
        <v>0.96264008715618898</v>
      </c>
      <c r="U82" s="3">
        <f t="shared" ca="1" si="128"/>
        <v>1.4940239043824701</v>
      </c>
      <c r="V82" s="3">
        <f t="shared" ca="1" si="129"/>
        <v>2.7438263906211025</v>
      </c>
      <c r="W82" s="3">
        <f t="shared" ca="1" si="130"/>
        <v>2.241035856573705</v>
      </c>
      <c r="X82" s="3">
        <f t="shared" ca="1" si="131"/>
        <v>1.7434620174346203</v>
      </c>
      <c r="Z82" s="3">
        <f t="shared" ca="1" si="132"/>
        <v>0.99576693227091628</v>
      </c>
      <c r="AA82" s="3">
        <f t="shared" ca="1" si="133"/>
        <v>0.99750561237216251</v>
      </c>
      <c r="AB82" s="3">
        <f t="shared" ca="1" si="134"/>
        <v>0.9957669322709165</v>
      </c>
      <c r="AC82" s="3">
        <f t="shared" ca="1" si="135"/>
        <v>0.99601494396014956</v>
      </c>
      <c r="AE82" s="3">
        <f t="shared" ca="1" si="136"/>
        <v>0.96240039115708576</v>
      </c>
      <c r="AF82" s="3">
        <f t="shared" ca="1" si="137"/>
        <v>0.9553505207188232</v>
      </c>
      <c r="AG82" s="3">
        <f t="shared" ca="1" si="138"/>
        <v>0.93749998669804213</v>
      </c>
      <c r="AH82" s="3">
        <f t="shared" ca="1" si="139"/>
        <v>0.96264008715618898</v>
      </c>
      <c r="AJ82" s="3">
        <f t="shared" ca="1" si="140"/>
        <v>1.4940239043824701</v>
      </c>
      <c r="AK82" s="3">
        <f t="shared" ca="1" si="141"/>
        <v>2.7438263906211025</v>
      </c>
      <c r="AL82" s="3">
        <f t="shared" ca="1" si="142"/>
        <v>2.241035856573705</v>
      </c>
      <c r="AM82" s="3">
        <f t="shared" ca="1" si="143"/>
        <v>1.7434620174346203</v>
      </c>
      <c r="AO82" s="3">
        <f t="shared" ca="1" si="144"/>
        <v>0.24900398406374502</v>
      </c>
      <c r="AP82" s="3">
        <f t="shared" ca="1" si="145"/>
        <v>0.24943876278373658</v>
      </c>
      <c r="AQ82" s="3">
        <f t="shared" ca="1" si="146"/>
        <v>0.24900398406374502</v>
      </c>
      <c r="AR82" s="3">
        <f t="shared" ca="1" si="147"/>
        <v>0.24906600249066005</v>
      </c>
      <c r="AT82" s="3">
        <v>3.0000000260770321E-3</v>
      </c>
      <c r="AU82" s="3">
        <v>8.0000003799796104E-3</v>
      </c>
      <c r="AV82" s="3">
        <v>9.9999997764825821E-3</v>
      </c>
      <c r="AW82" s="3">
        <v>0</v>
      </c>
      <c r="AY82" s="3">
        <f t="shared" ca="1" si="148"/>
        <v>0.62226095617529875</v>
      </c>
      <c r="AZ82" s="3">
        <f t="shared" ca="1" si="149"/>
        <v>0.40708406086305815</v>
      </c>
      <c r="BA82" s="3">
        <f t="shared" ca="1" si="150"/>
        <v>0.48530876494023911</v>
      </c>
      <c r="BB82" s="3">
        <f t="shared" ca="1" si="151"/>
        <v>0.3195516811955168</v>
      </c>
      <c r="BD82" s="3">
        <f t="shared" ca="1" si="152"/>
        <v>0.64716137856601241</v>
      </c>
      <c r="BE82" s="3">
        <f t="shared" ca="1" si="153"/>
        <v>0.49388874020175638</v>
      </c>
      <c r="BF82" s="3">
        <f t="shared" ca="1" si="154"/>
        <v>0.50597610202547449</v>
      </c>
      <c r="BG82" s="3">
        <f t="shared" ca="1" si="155"/>
        <v>0.31930260165393876</v>
      </c>
      <c r="BI82" s="3">
        <f t="shared" ca="1" si="156"/>
        <v>0.74701195219123506</v>
      </c>
      <c r="BJ82" s="3">
        <f t="shared" ca="1" si="157"/>
        <v>1.2471938139186829</v>
      </c>
      <c r="BK82" s="3">
        <f t="shared" ca="1" si="158"/>
        <v>0.99601593625498008</v>
      </c>
      <c r="BL82" s="3">
        <f t="shared" ca="1" si="159"/>
        <v>0.4981320049813201</v>
      </c>
      <c r="BN82" s="3">
        <f t="shared" ca="1" si="160"/>
        <v>0.24900398406374502</v>
      </c>
      <c r="BO82" s="3">
        <f t="shared" ca="1" si="161"/>
        <v>0.99775505113494634</v>
      </c>
      <c r="BP82" s="3">
        <f t="shared" ca="1" si="162"/>
        <v>0.49800796812749004</v>
      </c>
      <c r="BQ82" s="3">
        <f t="shared" ca="1" si="163"/>
        <v>0.24906600249066005</v>
      </c>
      <c r="BS82" s="3">
        <v>1.1529999971389771</v>
      </c>
      <c r="BT82" s="3">
        <v>0.70800000429153442</v>
      </c>
      <c r="BU82" s="3">
        <v>9.9999997764825821E-3</v>
      </c>
      <c r="BV82" s="3">
        <v>1.8999999761581421</v>
      </c>
      <c r="BX82" s="3">
        <f t="shared" ca="1" si="164"/>
        <v>9.1384462151394341E-2</v>
      </c>
      <c r="BY82" s="3">
        <f t="shared" ca="1" si="165"/>
        <v>0.14567223746570204</v>
      </c>
      <c r="BZ82" s="3">
        <f t="shared" ca="1" si="166"/>
        <v>0.16210159362549806</v>
      </c>
      <c r="CA82" s="3">
        <f t="shared" ca="1" si="167"/>
        <v>0.28219178082191781</v>
      </c>
      <c r="CC82" s="3">
        <f t="shared" ca="1" si="168"/>
        <v>8.7151400359028366E-2</v>
      </c>
      <c r="CD82" s="3">
        <f t="shared" ca="1" si="169"/>
        <v>3.3424809913321245E-2</v>
      </c>
      <c r="CE82" s="3">
        <f t="shared" ca="1" si="170"/>
        <v>0.14093625118058042</v>
      </c>
      <c r="CF82" s="3">
        <f t="shared" ca="1" si="171"/>
        <v>0.23237858733085739</v>
      </c>
      <c r="CH82" s="3">
        <f t="shared" ca="1" si="172"/>
        <v>0.24900398406374502</v>
      </c>
      <c r="CI82" s="3">
        <f t="shared" ca="1" si="173"/>
        <v>0.24943876278373658</v>
      </c>
      <c r="CJ82" s="3">
        <f t="shared" ca="1" si="174"/>
        <v>0.24900398406374502</v>
      </c>
      <c r="CK82" s="3">
        <f t="shared" ca="1" si="175"/>
        <v>0.24906600249066005</v>
      </c>
      <c r="CM82" s="3">
        <f t="shared" ca="1" si="176"/>
        <v>0.49800796812749004</v>
      </c>
      <c r="CN82" s="3">
        <f t="shared" ca="1" si="177"/>
        <v>0.49887752556747317</v>
      </c>
      <c r="CO82" s="3">
        <f t="shared" ca="1" si="178"/>
        <v>0.49800796812749004</v>
      </c>
      <c r="CP82" s="3">
        <f t="shared" ca="1" si="179"/>
        <v>0.74719800747198017</v>
      </c>
      <c r="CR82" s="3">
        <v>0.78600001335144043</v>
      </c>
      <c r="CS82" s="3">
        <v>3.872999906539917</v>
      </c>
      <c r="CT82" s="3">
        <v>3.3429999351501465</v>
      </c>
      <c r="CU82" s="3">
        <v>0.80000001192092896</v>
      </c>
    </row>
    <row r="83" spans="1:99" s="3" customFormat="1" x14ac:dyDescent="0.35">
      <c r="A83" s="2" t="s">
        <v>65</v>
      </c>
      <c r="B83" s="2">
        <v>10.166666666666666</v>
      </c>
      <c r="C83" s="2" t="s">
        <v>168</v>
      </c>
      <c r="D83" s="2" t="s">
        <v>403</v>
      </c>
      <c r="F83" s="3">
        <v>4.0149999999999997</v>
      </c>
      <c r="G83" s="3">
        <v>4.016</v>
      </c>
      <c r="H83" s="3">
        <v>4.016</v>
      </c>
      <c r="I83" s="3">
        <v>4.016</v>
      </c>
      <c r="K83" s="3">
        <f t="shared" ca="1" si="120"/>
        <v>0.94221668742216702</v>
      </c>
      <c r="L83" s="3">
        <f t="shared" ca="1" si="121"/>
        <v>0.99601593625498008</v>
      </c>
      <c r="M83" s="3">
        <f t="shared" ca="1" si="122"/>
        <v>0.99601593625498008</v>
      </c>
      <c r="N83" s="3">
        <f t="shared" ca="1" si="123"/>
        <v>0.99551792828685248</v>
      </c>
      <c r="P83" s="3">
        <f t="shared" ca="1" si="124"/>
        <v>0.77110817783499419</v>
      </c>
      <c r="Q83" s="3">
        <f t="shared" ca="1" si="125"/>
        <v>0.82594618911806683</v>
      </c>
      <c r="R83" s="3">
        <f t="shared" ca="1" si="126"/>
        <v>0.8217131633652871</v>
      </c>
      <c r="S83" s="3">
        <f t="shared" ca="1" si="127"/>
        <v>0.86653393468786166</v>
      </c>
      <c r="U83" s="3">
        <f t="shared" ca="1" si="128"/>
        <v>3.4869240348692405</v>
      </c>
      <c r="V83" s="3">
        <f t="shared" ca="1" si="129"/>
        <v>2.241035856573705</v>
      </c>
      <c r="W83" s="3">
        <f t="shared" ca="1" si="130"/>
        <v>3.7350597609561751</v>
      </c>
      <c r="X83" s="3">
        <f t="shared" ca="1" si="131"/>
        <v>2.9880478087649402</v>
      </c>
      <c r="Z83" s="3">
        <f t="shared" ca="1" si="132"/>
        <v>0.9962640099626402</v>
      </c>
      <c r="AA83" s="3">
        <f t="shared" ca="1" si="133"/>
        <v>0.99601593625498008</v>
      </c>
      <c r="AB83" s="3">
        <f t="shared" ca="1" si="134"/>
        <v>0.9711155378486056</v>
      </c>
      <c r="AC83" s="3">
        <f t="shared" ca="1" si="135"/>
        <v>0.95816733067729076</v>
      </c>
      <c r="AE83" s="3">
        <f t="shared" ca="1" si="136"/>
        <v>0.77110817783499419</v>
      </c>
      <c r="AF83" s="3">
        <f t="shared" ca="1" si="137"/>
        <v>0.82594618911806683</v>
      </c>
      <c r="AG83" s="3">
        <f t="shared" ca="1" si="138"/>
        <v>0.8217131633652871</v>
      </c>
      <c r="AH83" s="3">
        <f t="shared" ca="1" si="139"/>
        <v>0.86653393468786166</v>
      </c>
      <c r="AJ83" s="3">
        <f t="shared" ca="1" si="140"/>
        <v>3.4869240348692405</v>
      </c>
      <c r="AK83" s="3">
        <f t="shared" ca="1" si="141"/>
        <v>2.241035856573705</v>
      </c>
      <c r="AL83" s="3">
        <f t="shared" ca="1" si="142"/>
        <v>3.7350597609561751</v>
      </c>
      <c r="AM83" s="3">
        <f t="shared" ca="1" si="143"/>
        <v>2.9880478087649402</v>
      </c>
      <c r="AO83" s="3">
        <f t="shared" ca="1" si="144"/>
        <v>0.24906600249066005</v>
      </c>
      <c r="AP83" s="3">
        <f t="shared" ca="1" si="145"/>
        <v>0.24900398406374502</v>
      </c>
      <c r="AQ83" s="3">
        <f t="shared" ca="1" si="146"/>
        <v>0.24900398406374502</v>
      </c>
      <c r="AR83" s="3">
        <f t="shared" ca="1" si="147"/>
        <v>1.2450199203187251</v>
      </c>
      <c r="AT83" s="3">
        <v>8.999999612569809E-3</v>
      </c>
      <c r="AU83" s="3">
        <v>1.4000000432133675E-2</v>
      </c>
      <c r="AV83" s="3">
        <v>0.10499999672174454</v>
      </c>
      <c r="AW83" s="3">
        <v>1.2000000104308128E-2</v>
      </c>
      <c r="AY83" s="3">
        <f t="shared" ca="1" si="148"/>
        <v>0.30311332503113303</v>
      </c>
      <c r="AZ83" s="3">
        <f t="shared" ca="1" si="149"/>
        <v>0.58491035856573703</v>
      </c>
      <c r="BA83" s="3">
        <f t="shared" ca="1" si="150"/>
        <v>0.34810756972111551</v>
      </c>
      <c r="BB83" s="3">
        <f t="shared" ca="1" si="151"/>
        <v>0.2320717131474104</v>
      </c>
      <c r="BD83" s="3">
        <f t="shared" ca="1" si="152"/>
        <v>0.33150686421994108</v>
      </c>
      <c r="BE83" s="3">
        <f t="shared" ca="1" si="153"/>
        <v>0.60607566390616963</v>
      </c>
      <c r="BF83" s="3">
        <f t="shared" ca="1" si="154"/>
        <v>0.39043827390528296</v>
      </c>
      <c r="BG83" s="3">
        <f t="shared" ca="1" si="155"/>
        <v>0.2487549907064058</v>
      </c>
      <c r="BI83" s="3">
        <f t="shared" ca="1" si="156"/>
        <v>1.2453300124533002</v>
      </c>
      <c r="BJ83" s="3">
        <f t="shared" ca="1" si="157"/>
        <v>1.4940239043824701</v>
      </c>
      <c r="BK83" s="3">
        <f t="shared" ca="1" si="158"/>
        <v>1.7430278884462151</v>
      </c>
      <c r="BL83" s="3">
        <f t="shared" ca="1" si="159"/>
        <v>0.99601593625498008</v>
      </c>
      <c r="BN83" s="3">
        <f t="shared" ca="1" si="160"/>
        <v>2.9887920298879207</v>
      </c>
      <c r="BO83" s="3">
        <f t="shared" ca="1" si="161"/>
        <v>2.4900398406374502</v>
      </c>
      <c r="BP83" s="3">
        <f t="shared" ca="1" si="162"/>
        <v>2.4900398406374502</v>
      </c>
      <c r="BQ83" s="3">
        <f t="shared" ca="1" si="163"/>
        <v>3.237051792828685</v>
      </c>
      <c r="BS83" s="3">
        <v>0.49300000071525574</v>
      </c>
      <c r="BT83" s="3">
        <v>0.49799999594688416</v>
      </c>
      <c r="BU83" s="3">
        <v>0.4050000011920929</v>
      </c>
      <c r="BV83" s="3">
        <v>0.460999995470047</v>
      </c>
      <c r="BX83" s="3">
        <f t="shared" ca="1" si="164"/>
        <v>8.3188044831880581E-2</v>
      </c>
      <c r="BY83" s="3">
        <f t="shared" ca="1" si="165"/>
        <v>3.9840637450199237E-3</v>
      </c>
      <c r="BZ83" s="3">
        <f t="shared" ca="1" si="166"/>
        <v>0</v>
      </c>
      <c r="CA83" s="3">
        <f t="shared" ca="1" si="167"/>
        <v>0</v>
      </c>
      <c r="CC83" s="3">
        <f t="shared" ca="1" si="168"/>
        <v>0.12453300124533002</v>
      </c>
      <c r="CD83" s="3">
        <f t="shared" ca="1" si="169"/>
        <v>0</v>
      </c>
      <c r="CE83" s="3">
        <f t="shared" ca="1" si="170"/>
        <v>0</v>
      </c>
      <c r="CF83" s="3">
        <f t="shared" ca="1" si="171"/>
        <v>0</v>
      </c>
      <c r="CH83" s="3">
        <f t="shared" ca="1" si="172"/>
        <v>0.4981320049813201</v>
      </c>
      <c r="CI83" s="3">
        <f t="shared" ca="1" si="173"/>
        <v>0</v>
      </c>
      <c r="CJ83" s="3">
        <f t="shared" ca="1" si="174"/>
        <v>0</v>
      </c>
      <c r="CK83" s="3">
        <f t="shared" ca="1" si="175"/>
        <v>0</v>
      </c>
      <c r="CM83" s="3">
        <f t="shared" ca="1" si="176"/>
        <v>1.4943960149439603</v>
      </c>
      <c r="CN83" s="3">
        <f t="shared" ca="1" si="177"/>
        <v>0.24900398406374502</v>
      </c>
      <c r="CO83" s="3">
        <f t="shared" ca="1" si="178"/>
        <v>0</v>
      </c>
      <c r="CP83" s="3">
        <f t="shared" ca="1" si="179"/>
        <v>0</v>
      </c>
      <c r="CR83" s="3">
        <v>2.0590000152587891</v>
      </c>
      <c r="CS83" s="3">
        <v>4.016</v>
      </c>
      <c r="CT83" s="3">
        <v>4.016</v>
      </c>
      <c r="CU83" s="3">
        <v>4.016</v>
      </c>
    </row>
    <row r="84" spans="1:99" s="3" customFormat="1" x14ac:dyDescent="0.35">
      <c r="A84" s="2" t="s">
        <v>10</v>
      </c>
      <c r="B84" s="2">
        <v>10.5</v>
      </c>
      <c r="C84" s="2" t="s">
        <v>168</v>
      </c>
      <c r="D84" s="2" t="s">
        <v>403</v>
      </c>
      <c r="F84" s="3">
        <v>4.0039999999999996</v>
      </c>
      <c r="G84" s="3">
        <v>4.01</v>
      </c>
      <c r="H84" s="3">
        <v>4.0259999999999998</v>
      </c>
      <c r="I84" s="3">
        <v>4.01</v>
      </c>
      <c r="K84" s="3">
        <f t="shared" ca="1" si="120"/>
        <v>0.99450549450549464</v>
      </c>
      <c r="L84" s="3">
        <f t="shared" ca="1" si="121"/>
        <v>0.99326683291770579</v>
      </c>
      <c r="M84" s="3">
        <f t="shared" ca="1" si="122"/>
        <v>0.99751614505712871</v>
      </c>
      <c r="N84" s="3">
        <f t="shared" ca="1" si="123"/>
        <v>0.99301745635910232</v>
      </c>
      <c r="P84" s="3">
        <f t="shared" ca="1" si="124"/>
        <v>0.96553439306063615</v>
      </c>
      <c r="Q84" s="3">
        <f t="shared" ca="1" si="125"/>
        <v>0.98503738516323891</v>
      </c>
      <c r="R84" s="3">
        <f t="shared" ca="1" si="126"/>
        <v>0.86040732865321268</v>
      </c>
      <c r="S84" s="3">
        <f t="shared" ca="1" si="127"/>
        <v>0.79800503936937628</v>
      </c>
      <c r="U84" s="3">
        <f t="shared" ca="1" si="128"/>
        <v>1.9980019980019983</v>
      </c>
      <c r="V84" s="3">
        <f t="shared" ca="1" si="129"/>
        <v>0.74812967581047385</v>
      </c>
      <c r="W84" s="3">
        <f t="shared" ca="1" si="130"/>
        <v>3.4773969200198711</v>
      </c>
      <c r="X84" s="3">
        <f t="shared" ca="1" si="131"/>
        <v>2.9925187032418954</v>
      </c>
      <c r="Z84" s="3">
        <f t="shared" ca="1" si="132"/>
        <v>0.99450549450549464</v>
      </c>
      <c r="AA84" s="3">
        <f t="shared" ca="1" si="133"/>
        <v>0.99326683291770579</v>
      </c>
      <c r="AB84" s="3">
        <f t="shared" ca="1" si="134"/>
        <v>0.99751614505712871</v>
      </c>
      <c r="AC84" s="3">
        <f t="shared" ca="1" si="135"/>
        <v>0.68553615960099756</v>
      </c>
      <c r="AE84" s="3">
        <f t="shared" ca="1" si="136"/>
        <v>0.96553439306063615</v>
      </c>
      <c r="AF84" s="3">
        <f t="shared" ca="1" si="137"/>
        <v>0.98503738516323891</v>
      </c>
      <c r="AG84" s="3">
        <f t="shared" ca="1" si="138"/>
        <v>0.86040732865321268</v>
      </c>
      <c r="AH84" s="3">
        <f t="shared" ca="1" si="139"/>
        <v>0.58204492558713572</v>
      </c>
      <c r="AJ84" s="3">
        <f t="shared" ca="1" si="140"/>
        <v>1.9980019980019983</v>
      </c>
      <c r="AK84" s="3">
        <f t="shared" ca="1" si="141"/>
        <v>0.74812967581047385</v>
      </c>
      <c r="AL84" s="3">
        <f t="shared" ca="1" si="142"/>
        <v>3.4773969200198711</v>
      </c>
      <c r="AM84" s="3">
        <f t="shared" ca="1" si="143"/>
        <v>2.2443890274314215</v>
      </c>
      <c r="AO84" s="3">
        <f t="shared" ca="1" si="144"/>
        <v>0.24975024975024979</v>
      </c>
      <c r="AP84" s="3">
        <f t="shared" ca="1" si="145"/>
        <v>0.24937655860349128</v>
      </c>
      <c r="AQ84" s="3">
        <f t="shared" ca="1" si="146"/>
        <v>0.24838549428713363</v>
      </c>
      <c r="AR84" s="3">
        <f t="shared" ca="1" si="147"/>
        <v>1.2468827930174564</v>
      </c>
      <c r="AT84" s="3">
        <v>1.3000000268220901E-2</v>
      </c>
      <c r="AU84" s="3">
        <v>1.4999999664723873E-2</v>
      </c>
      <c r="AV84" s="3">
        <v>4.0000001899898052E-3</v>
      </c>
      <c r="AW84" s="3">
        <v>1.3000000268220901E-2</v>
      </c>
      <c r="AY84" s="3">
        <f t="shared" ca="1" si="148"/>
        <v>0.79495504495504499</v>
      </c>
      <c r="AZ84" s="3">
        <f t="shared" ca="1" si="149"/>
        <v>0.99326683291770579</v>
      </c>
      <c r="BA84" s="3">
        <f t="shared" ca="1" si="150"/>
        <v>0.29806259314456029</v>
      </c>
      <c r="BB84" s="3">
        <f t="shared" ca="1" si="151"/>
        <v>0.399002493765586</v>
      </c>
      <c r="BD84" s="3">
        <f t="shared" ca="1" si="152"/>
        <v>0.80319675621571962</v>
      </c>
      <c r="BE84" s="3">
        <f t="shared" ca="1" si="153"/>
        <v>0.98503738516323891</v>
      </c>
      <c r="BF84" s="3">
        <f t="shared" ca="1" si="154"/>
        <v>0.30601088288880912</v>
      </c>
      <c r="BG84" s="3">
        <f t="shared" ca="1" si="155"/>
        <v>0.41571075184981426</v>
      </c>
      <c r="BI84" s="3">
        <f t="shared" ca="1" si="156"/>
        <v>1.4985014985014986</v>
      </c>
      <c r="BJ84" s="3">
        <f t="shared" ca="1" si="157"/>
        <v>0.74812967581047385</v>
      </c>
      <c r="BK84" s="3">
        <f t="shared" ca="1" si="158"/>
        <v>0.99354197714853454</v>
      </c>
      <c r="BL84" s="3">
        <f t="shared" ca="1" si="159"/>
        <v>1.4962593516209477</v>
      </c>
      <c r="BN84" s="3">
        <f t="shared" ca="1" si="160"/>
        <v>0.49950049950049957</v>
      </c>
      <c r="BO84" s="3">
        <f t="shared" ca="1" si="161"/>
        <v>0.24937655860349128</v>
      </c>
      <c r="BP84" s="3">
        <f t="shared" ca="1" si="162"/>
        <v>0.99354197714853454</v>
      </c>
      <c r="BQ84" s="3">
        <f t="shared" ca="1" si="163"/>
        <v>1.745635910224439</v>
      </c>
      <c r="BS84" s="3">
        <v>0.36300000548362732</v>
      </c>
      <c r="BT84" s="3">
        <v>1.4999999664723873E-2</v>
      </c>
      <c r="BU84" s="3">
        <v>0.37099999189376831</v>
      </c>
      <c r="BV84" s="3">
        <v>0.37900000810623169</v>
      </c>
      <c r="BX84" s="3">
        <f t="shared" ca="1" si="164"/>
        <v>4.1458541458541456E-2</v>
      </c>
      <c r="BY84" s="3">
        <f t="shared" ca="1" si="165"/>
        <v>0</v>
      </c>
      <c r="BZ84" s="3">
        <f t="shared" ca="1" si="166"/>
        <v>0.10357675111773468</v>
      </c>
      <c r="CA84" s="3">
        <f t="shared" ca="1" si="167"/>
        <v>8.2294264339152125E-3</v>
      </c>
      <c r="CC84" s="3">
        <f t="shared" ca="1" si="168"/>
        <v>0</v>
      </c>
      <c r="CD84" s="3">
        <f t="shared" ca="1" si="169"/>
        <v>0</v>
      </c>
      <c r="CE84" s="3">
        <f t="shared" ca="1" si="170"/>
        <v>0.11177348427315346</v>
      </c>
      <c r="CF84" s="3">
        <f t="shared" ca="1" si="171"/>
        <v>0</v>
      </c>
      <c r="CH84" s="3">
        <f t="shared" ca="1" si="172"/>
        <v>0</v>
      </c>
      <c r="CI84" s="3">
        <f t="shared" ca="1" si="173"/>
        <v>0</v>
      </c>
      <c r="CJ84" s="3">
        <f t="shared" ca="1" si="174"/>
        <v>0.24838549428713363</v>
      </c>
      <c r="CK84" s="3">
        <f t="shared" ca="1" si="175"/>
        <v>0</v>
      </c>
      <c r="CM84" s="3">
        <f t="shared" ca="1" si="176"/>
        <v>0.24975024975024979</v>
      </c>
      <c r="CN84" s="3">
        <f t="shared" ca="1" si="177"/>
        <v>0</v>
      </c>
      <c r="CO84" s="3">
        <f t="shared" ca="1" si="178"/>
        <v>0.24838549428713363</v>
      </c>
      <c r="CP84" s="3">
        <f t="shared" ca="1" si="179"/>
        <v>0.24937655860349128</v>
      </c>
      <c r="CR84" s="3">
        <v>4.0039999999999996</v>
      </c>
      <c r="CS84" s="3">
        <v>4.01</v>
      </c>
      <c r="CT84" s="3">
        <v>2.4539999961853027</v>
      </c>
      <c r="CU84" s="3">
        <v>4.01</v>
      </c>
    </row>
    <row r="85" spans="1:99" s="3" customFormat="1" x14ac:dyDescent="0.35">
      <c r="A85" s="2" t="s">
        <v>79</v>
      </c>
      <c r="B85" s="2">
        <v>10.5</v>
      </c>
      <c r="C85" s="2" t="s">
        <v>168</v>
      </c>
      <c r="D85" s="2" t="s">
        <v>403</v>
      </c>
      <c r="F85" s="3">
        <v>4.01</v>
      </c>
      <c r="G85" s="3">
        <v>4.01</v>
      </c>
      <c r="H85" s="3">
        <v>4.0010000000000003</v>
      </c>
      <c r="I85" s="3">
        <v>4.0090000000000003</v>
      </c>
      <c r="K85" s="3">
        <f t="shared" ca="1" si="120"/>
        <v>0.99725685785536156</v>
      </c>
      <c r="L85" s="3">
        <f t="shared" ca="1" si="121"/>
        <v>0.99725685785536167</v>
      </c>
      <c r="M85" s="3">
        <f t="shared" ca="1" si="122"/>
        <v>0.99550112471882024</v>
      </c>
      <c r="N85" s="3">
        <f t="shared" ca="1" si="123"/>
        <v>0.95609877775006225</v>
      </c>
      <c r="P85" s="3">
        <f t="shared" ca="1" si="124"/>
        <v>0.58154624821780776</v>
      </c>
      <c r="Q85" s="3">
        <f t="shared" ca="1" si="125"/>
        <v>0.77306727072841808</v>
      </c>
      <c r="R85" s="3">
        <f t="shared" ca="1" si="126"/>
        <v>0.77480628302749599</v>
      </c>
      <c r="S85" s="3">
        <f t="shared" ca="1" si="127"/>
        <v>0.68570717232546674</v>
      </c>
      <c r="U85" s="3">
        <f t="shared" ca="1" si="128"/>
        <v>2.7431421446384041</v>
      </c>
      <c r="V85" s="3">
        <f t="shared" ca="1" si="129"/>
        <v>2.7431421446384041</v>
      </c>
      <c r="W85" s="3">
        <f t="shared" ca="1" si="130"/>
        <v>1.9995001249687576</v>
      </c>
      <c r="X85" s="3">
        <f t="shared" ca="1" si="131"/>
        <v>3.492142678972312</v>
      </c>
      <c r="Z85" s="3">
        <f t="shared" ca="1" si="132"/>
        <v>0.7690773067331671</v>
      </c>
      <c r="AA85" s="3">
        <f t="shared" ca="1" si="133"/>
        <v>0.96807980049875308</v>
      </c>
      <c r="AB85" s="3">
        <f t="shared" ca="1" si="134"/>
        <v>0.75381154711322162</v>
      </c>
      <c r="AC85" s="3">
        <f t="shared" ca="1" si="135"/>
        <v>0.91868296333250177</v>
      </c>
      <c r="AE85" s="3">
        <f t="shared" ca="1" si="136"/>
        <v>0.5027432542786634</v>
      </c>
      <c r="AF85" s="3">
        <f t="shared" ca="1" si="137"/>
        <v>0.77306727072841808</v>
      </c>
      <c r="AG85" s="3">
        <f t="shared" ca="1" si="138"/>
        <v>0.6248437741552999</v>
      </c>
      <c r="AH85" s="3">
        <f t="shared" ca="1" si="139"/>
        <v>0.68570717232546674</v>
      </c>
      <c r="AJ85" s="3">
        <f t="shared" ca="1" si="140"/>
        <v>2.4937655860349128</v>
      </c>
      <c r="AK85" s="3">
        <f t="shared" ca="1" si="141"/>
        <v>2.7431421446384041</v>
      </c>
      <c r="AL85" s="3">
        <f t="shared" ca="1" si="142"/>
        <v>1.4996250937265683</v>
      </c>
      <c r="AM85" s="3">
        <f t="shared" ca="1" si="143"/>
        <v>3.492142678972312</v>
      </c>
      <c r="AO85" s="3">
        <f t="shared" ca="1" si="144"/>
        <v>1.9950124688279303</v>
      </c>
      <c r="AP85" s="3">
        <f t="shared" ca="1" si="145"/>
        <v>0.74812967581047385</v>
      </c>
      <c r="AQ85" s="3">
        <f t="shared" ca="1" si="146"/>
        <v>0.99975006248437881</v>
      </c>
      <c r="AR85" s="3">
        <f t="shared" ca="1" si="147"/>
        <v>1.2471938139186829</v>
      </c>
      <c r="AT85" s="3">
        <v>0.50300002098083496</v>
      </c>
      <c r="AU85" s="3">
        <v>0.22499999403953552</v>
      </c>
      <c r="AV85" s="3">
        <v>0.75199997425079346</v>
      </c>
      <c r="AW85" s="3">
        <v>1.3000000268220901E-2</v>
      </c>
      <c r="AY85" s="3">
        <f t="shared" ca="1" si="148"/>
        <v>0.22892768079800524</v>
      </c>
      <c r="AZ85" s="3">
        <f t="shared" ca="1" si="149"/>
        <v>0.20773067331670825</v>
      </c>
      <c r="BA85" s="3">
        <f t="shared" ca="1" si="150"/>
        <v>0.33316670832291922</v>
      </c>
      <c r="BB85" s="3">
        <f t="shared" ca="1" si="151"/>
        <v>0.3492142678972312</v>
      </c>
      <c r="BD85" s="3">
        <f t="shared" ca="1" si="152"/>
        <v>0.29501250557174113</v>
      </c>
      <c r="BE85" s="3">
        <f t="shared" ca="1" si="153"/>
        <v>0.17032415938199014</v>
      </c>
      <c r="BF85" s="3">
        <f t="shared" ca="1" si="154"/>
        <v>0.41239689481583153</v>
      </c>
      <c r="BG85" s="3">
        <f t="shared" ca="1" si="155"/>
        <v>0.34921427217169748</v>
      </c>
      <c r="BI85" s="3">
        <f t="shared" ca="1" si="156"/>
        <v>1.2468827930174564</v>
      </c>
      <c r="BJ85" s="3">
        <f t="shared" ca="1" si="157"/>
        <v>0.49875311720698257</v>
      </c>
      <c r="BK85" s="3">
        <f t="shared" ca="1" si="158"/>
        <v>0.74981254686328414</v>
      </c>
      <c r="BL85" s="3">
        <f t="shared" ca="1" si="159"/>
        <v>1.4966325767024193</v>
      </c>
      <c r="BN85" s="3">
        <f t="shared" ca="1" si="160"/>
        <v>4.2394014962593518</v>
      </c>
      <c r="BO85" s="3">
        <f t="shared" ca="1" si="161"/>
        <v>0.74812967581047385</v>
      </c>
      <c r="BP85" s="3">
        <f t="shared" ca="1" si="162"/>
        <v>0.99975006248437881</v>
      </c>
      <c r="BQ85" s="3">
        <f t="shared" ca="1" si="163"/>
        <v>1.746071339486156</v>
      </c>
      <c r="BS85" s="3">
        <v>0.50300002098083496</v>
      </c>
      <c r="BT85" s="3">
        <v>0.22499999403953552</v>
      </c>
      <c r="BU85" s="3">
        <v>1.1189999580383301</v>
      </c>
      <c r="BV85" s="3">
        <v>1.3000000268220901E-2</v>
      </c>
      <c r="BX85" s="3">
        <f t="shared" ca="1" si="164"/>
        <v>0</v>
      </c>
      <c r="BY85" s="3">
        <f t="shared" ca="1" si="165"/>
        <v>0</v>
      </c>
      <c r="BZ85" s="3">
        <f t="shared" ca="1" si="166"/>
        <v>0</v>
      </c>
      <c r="CA85" s="3">
        <f t="shared" ca="1" si="167"/>
        <v>0</v>
      </c>
      <c r="CC85" s="3">
        <f t="shared" ca="1" si="168"/>
        <v>0</v>
      </c>
      <c r="CD85" s="3">
        <f t="shared" ca="1" si="169"/>
        <v>0</v>
      </c>
      <c r="CE85" s="3">
        <f t="shared" ca="1" si="170"/>
        <v>0</v>
      </c>
      <c r="CF85" s="3">
        <f t="shared" ca="1" si="171"/>
        <v>0</v>
      </c>
      <c r="CH85" s="3">
        <f t="shared" ca="1" si="172"/>
        <v>0</v>
      </c>
      <c r="CI85" s="3">
        <f t="shared" ca="1" si="173"/>
        <v>0</v>
      </c>
      <c r="CJ85" s="3">
        <f t="shared" ca="1" si="174"/>
        <v>0</v>
      </c>
      <c r="CK85" s="3">
        <f t="shared" ca="1" si="175"/>
        <v>0</v>
      </c>
      <c r="CM85" s="3">
        <f t="shared" ca="1" si="176"/>
        <v>0</v>
      </c>
      <c r="CN85" s="3">
        <f t="shared" ca="1" si="177"/>
        <v>0</v>
      </c>
      <c r="CO85" s="3">
        <f t="shared" ca="1" si="178"/>
        <v>0.2499375156210947</v>
      </c>
      <c r="CP85" s="3">
        <f t="shared" ca="1" si="179"/>
        <v>0</v>
      </c>
      <c r="CR85" s="3">
        <v>4.01</v>
      </c>
      <c r="CS85" s="3">
        <v>4.01</v>
      </c>
      <c r="CT85" s="3">
        <v>4.0010000000000003</v>
      </c>
      <c r="CU85" s="3">
        <v>4.0090000000000003</v>
      </c>
    </row>
    <row r="86" spans="1:99" s="3" customFormat="1" x14ac:dyDescent="0.35">
      <c r="A86" s="2" t="s">
        <v>91</v>
      </c>
      <c r="B86" s="2">
        <v>10.75</v>
      </c>
      <c r="C86" s="2" t="s">
        <v>168</v>
      </c>
      <c r="D86" s="2" t="s">
        <v>403</v>
      </c>
      <c r="F86" s="3">
        <v>4.0149999999999997</v>
      </c>
      <c r="G86" s="3">
        <v>4.016</v>
      </c>
      <c r="H86" s="3">
        <v>4.016</v>
      </c>
      <c r="I86" s="3">
        <v>4.0469999999999997</v>
      </c>
      <c r="K86" s="3">
        <f t="shared" ca="1" si="120"/>
        <v>0.99601494396014956</v>
      </c>
      <c r="L86" s="3">
        <f t="shared" ca="1" si="121"/>
        <v>0.99576693227091628</v>
      </c>
      <c r="M86" s="3">
        <f t="shared" ca="1" si="122"/>
        <v>0.99576693227091628</v>
      </c>
      <c r="N86" s="3">
        <f t="shared" ca="1" si="123"/>
        <v>0.99234000494193242</v>
      </c>
      <c r="P86" s="3">
        <f t="shared" ca="1" si="124"/>
        <v>0.98804484862616182</v>
      </c>
      <c r="Q86" s="3">
        <f t="shared" ca="1" si="125"/>
        <v>0.93750005232660005</v>
      </c>
      <c r="R86" s="3">
        <f t="shared" ca="1" si="126"/>
        <v>0.87998017383019522</v>
      </c>
      <c r="S86" s="3">
        <f t="shared" ca="1" si="127"/>
        <v>0.75735120424480251</v>
      </c>
      <c r="U86" s="3">
        <f t="shared" ca="1" si="128"/>
        <v>0.74719800747198017</v>
      </c>
      <c r="V86" s="3">
        <f t="shared" ca="1" si="129"/>
        <v>2.739043824701195</v>
      </c>
      <c r="W86" s="3">
        <f t="shared" ca="1" si="130"/>
        <v>2.739043824701195</v>
      </c>
      <c r="X86" s="3">
        <f t="shared" ca="1" si="131"/>
        <v>2.9651593773165308</v>
      </c>
      <c r="Z86" s="3">
        <f t="shared" ca="1" si="132"/>
        <v>0.99601494396014956</v>
      </c>
      <c r="AA86" s="3">
        <f t="shared" ca="1" si="133"/>
        <v>0.98331673306772904</v>
      </c>
      <c r="AB86" s="3">
        <f t="shared" ca="1" si="134"/>
        <v>0.99576693227091628</v>
      </c>
      <c r="AC86" s="3">
        <f t="shared" ca="1" si="135"/>
        <v>0.90165554731900177</v>
      </c>
      <c r="AE86" s="3">
        <f t="shared" ca="1" si="136"/>
        <v>0.98804484862616182</v>
      </c>
      <c r="AF86" s="3">
        <f t="shared" ca="1" si="137"/>
        <v>0.93750005232660005</v>
      </c>
      <c r="AG86" s="3">
        <f t="shared" ca="1" si="138"/>
        <v>0.87998017383019522</v>
      </c>
      <c r="AH86" s="3">
        <f t="shared" ca="1" si="139"/>
        <v>0.75735120424480251</v>
      </c>
      <c r="AJ86" s="3">
        <f t="shared" ca="1" si="140"/>
        <v>0.74719800747198017</v>
      </c>
      <c r="AK86" s="3">
        <f t="shared" ca="1" si="141"/>
        <v>2.739043824701195</v>
      </c>
      <c r="AL86" s="3">
        <f t="shared" ca="1" si="142"/>
        <v>2.739043824701195</v>
      </c>
      <c r="AM86" s="3">
        <f t="shared" ca="1" si="143"/>
        <v>2.9651593773165308</v>
      </c>
      <c r="AO86" s="3">
        <f t="shared" ca="1" si="144"/>
        <v>0.24906600249066005</v>
      </c>
      <c r="AP86" s="3">
        <f t="shared" ca="1" si="145"/>
        <v>0.49800796812749004</v>
      </c>
      <c r="AQ86" s="3">
        <f t="shared" ca="1" si="146"/>
        <v>0.24900398406374502</v>
      </c>
      <c r="AR86" s="3">
        <f t="shared" ca="1" si="147"/>
        <v>0.49419322955275519</v>
      </c>
      <c r="AT86" s="3">
        <v>0</v>
      </c>
      <c r="AU86" s="3">
        <v>8.0000003799796104E-3</v>
      </c>
      <c r="AV86" s="3">
        <v>1.3000000268220901E-2</v>
      </c>
      <c r="AW86" s="3">
        <v>1.4000000432133675E-2</v>
      </c>
      <c r="AY86" s="3">
        <f t="shared" ca="1" si="148"/>
        <v>0</v>
      </c>
      <c r="AZ86" s="3">
        <f t="shared" ca="1" si="149"/>
        <v>0.10358565737051791</v>
      </c>
      <c r="BA86" s="3">
        <f t="shared" ca="1" si="150"/>
        <v>0.23232071713147406</v>
      </c>
      <c r="BB86" s="3">
        <f t="shared" ca="1" si="151"/>
        <v>0.16481344205584392</v>
      </c>
      <c r="BD86" s="3">
        <f t="shared" ca="1" si="152"/>
        <v>0</v>
      </c>
      <c r="BE86" s="3">
        <f t="shared" ca="1" si="153"/>
        <v>0.14516930893597849</v>
      </c>
      <c r="BF86" s="3">
        <f t="shared" ca="1" si="154"/>
        <v>0.26967133065143906</v>
      </c>
      <c r="BG86" s="3">
        <f t="shared" ca="1" si="155"/>
        <v>0.18927607384321865</v>
      </c>
      <c r="BI86" s="3">
        <f t="shared" ca="1" si="156"/>
        <v>0</v>
      </c>
      <c r="BJ86" s="3">
        <f t="shared" ca="1" si="157"/>
        <v>0.49800796812749004</v>
      </c>
      <c r="BK86" s="3">
        <f t="shared" ca="1" si="158"/>
        <v>0.49800796812749004</v>
      </c>
      <c r="BL86" s="3">
        <f t="shared" ca="1" si="159"/>
        <v>0.7412898443291327</v>
      </c>
      <c r="BN86" s="3">
        <f t="shared" ca="1" si="160"/>
        <v>0</v>
      </c>
      <c r="BO86" s="3">
        <f t="shared" ca="1" si="161"/>
        <v>0.74701195219123506</v>
      </c>
      <c r="BP86" s="3">
        <f t="shared" ca="1" si="162"/>
        <v>1.2450199203187251</v>
      </c>
      <c r="BQ86" s="3">
        <f t="shared" ca="1" si="163"/>
        <v>0.24709661477637759</v>
      </c>
      <c r="BS86" s="3">
        <v>4.0149999999999997</v>
      </c>
      <c r="BT86" s="3">
        <v>1.1749999523162842</v>
      </c>
      <c r="BU86" s="3">
        <v>1.5959999561309814</v>
      </c>
      <c r="BV86" s="3">
        <v>3.2300000190734863</v>
      </c>
      <c r="BX86" s="3">
        <f t="shared" ca="1" si="164"/>
        <v>0.14919053549190536</v>
      </c>
      <c r="BY86" s="3">
        <f t="shared" ca="1" si="165"/>
        <v>0.27813745019920305</v>
      </c>
      <c r="BZ86" s="3">
        <f t="shared" ca="1" si="166"/>
        <v>0.13271912350597609</v>
      </c>
      <c r="CA86" s="3">
        <f t="shared" ca="1" si="167"/>
        <v>0.12750185322461083</v>
      </c>
      <c r="CC86" s="3">
        <f t="shared" ca="1" si="168"/>
        <v>0.15765878361456126</v>
      </c>
      <c r="CD86" s="3">
        <f t="shared" ca="1" si="169"/>
        <v>0.25298808208774343</v>
      </c>
      <c r="CE86" s="3">
        <f t="shared" ca="1" si="170"/>
        <v>4.158366427003625E-2</v>
      </c>
      <c r="CF86" s="3">
        <f t="shared" ca="1" si="171"/>
        <v>0.16036572191180318</v>
      </c>
      <c r="CH86" s="3">
        <f t="shared" ca="1" si="172"/>
        <v>0.24906600249066005</v>
      </c>
      <c r="CI86" s="3">
        <f t="shared" ca="1" si="173"/>
        <v>0.74701195219123506</v>
      </c>
      <c r="CJ86" s="3">
        <f t="shared" ca="1" si="174"/>
        <v>0.24900398406374502</v>
      </c>
      <c r="CK86" s="3">
        <f t="shared" ca="1" si="175"/>
        <v>0.49419322955275519</v>
      </c>
      <c r="CM86" s="3">
        <f t="shared" ca="1" si="176"/>
        <v>0.24906600249066005</v>
      </c>
      <c r="CN86" s="3">
        <f t="shared" ca="1" si="177"/>
        <v>0.99601593625498008</v>
      </c>
      <c r="CO86" s="3">
        <f t="shared" ca="1" si="178"/>
        <v>0.74701195219123506</v>
      </c>
      <c r="CP86" s="3">
        <f t="shared" ca="1" si="179"/>
        <v>0.7412898443291327</v>
      </c>
      <c r="CR86" s="3">
        <v>0</v>
      </c>
      <c r="CS86" s="3">
        <v>8.0000003799796104E-3</v>
      </c>
      <c r="CT86" s="3">
        <v>0.81199997663497925</v>
      </c>
      <c r="CU86" s="3">
        <v>1.4000000432133675E-2</v>
      </c>
    </row>
    <row r="87" spans="1:99" s="3" customFormat="1" x14ac:dyDescent="0.35">
      <c r="A87" s="2" t="s">
        <v>44</v>
      </c>
      <c r="B87" s="2">
        <v>10.916666666666666</v>
      </c>
      <c r="C87" s="2" t="s">
        <v>167</v>
      </c>
      <c r="D87" s="2" t="s">
        <v>403</v>
      </c>
      <c r="F87" s="3">
        <v>4.0149999999999997</v>
      </c>
      <c r="G87" s="3">
        <v>4.0149999999999997</v>
      </c>
      <c r="H87" s="3">
        <v>4.016</v>
      </c>
      <c r="I87" s="3">
        <v>4.016</v>
      </c>
      <c r="K87" s="3">
        <f t="shared" ca="1" si="120"/>
        <v>0.99601494396014967</v>
      </c>
      <c r="L87" s="3">
        <f t="shared" ca="1" si="121"/>
        <v>0.99626400996264008</v>
      </c>
      <c r="M87" s="3">
        <f t="shared" ca="1" si="122"/>
        <v>0.99576693227091628</v>
      </c>
      <c r="N87" s="3">
        <f t="shared" ca="1" si="123"/>
        <v>0.99576693227091639</v>
      </c>
      <c r="P87" s="3">
        <f t="shared" ca="1" si="124"/>
        <v>0.8754669937999876</v>
      </c>
      <c r="Q87" s="3">
        <f t="shared" ca="1" si="125"/>
        <v>0.97135743323439838</v>
      </c>
      <c r="R87" s="3">
        <f t="shared" ca="1" si="126"/>
        <v>0.85084664123318343</v>
      </c>
      <c r="S87" s="3">
        <f t="shared" ca="1" si="127"/>
        <v>0.87923296185514599</v>
      </c>
      <c r="U87" s="3">
        <f t="shared" ca="1" si="128"/>
        <v>2.9887920298879207</v>
      </c>
      <c r="V87" s="3">
        <f t="shared" ca="1" si="129"/>
        <v>1.7434620174346203</v>
      </c>
      <c r="W87" s="3">
        <f t="shared" ca="1" si="130"/>
        <v>2.739043824701195</v>
      </c>
      <c r="X87" s="3">
        <f t="shared" ca="1" si="131"/>
        <v>2.4900398406374502</v>
      </c>
      <c r="Z87" s="3">
        <f t="shared" ca="1" si="132"/>
        <v>0.99601494396014967</v>
      </c>
      <c r="AA87" s="3">
        <f t="shared" ca="1" si="133"/>
        <v>0.99626400996264008</v>
      </c>
      <c r="AB87" s="3">
        <f t="shared" ca="1" si="134"/>
        <v>0.93774900398406369</v>
      </c>
      <c r="AC87" s="3">
        <f t="shared" ca="1" si="135"/>
        <v>0.99576693227091639</v>
      </c>
      <c r="AE87" s="3">
        <f t="shared" ca="1" si="136"/>
        <v>0.8754669937999876</v>
      </c>
      <c r="AF87" s="3">
        <f t="shared" ca="1" si="137"/>
        <v>0.97135743323439838</v>
      </c>
      <c r="AG87" s="3">
        <f t="shared" ca="1" si="138"/>
        <v>0.80527891349270053</v>
      </c>
      <c r="AH87" s="3">
        <f t="shared" ca="1" si="139"/>
        <v>0.87923296185514599</v>
      </c>
      <c r="AJ87" s="3">
        <f t="shared" ca="1" si="140"/>
        <v>2.9887920298879207</v>
      </c>
      <c r="AK87" s="3">
        <f t="shared" ca="1" si="141"/>
        <v>1.7434620174346203</v>
      </c>
      <c r="AL87" s="3">
        <f t="shared" ca="1" si="142"/>
        <v>2.4900398406374502</v>
      </c>
      <c r="AM87" s="3">
        <f t="shared" ca="1" si="143"/>
        <v>2.4900398406374502</v>
      </c>
      <c r="AO87" s="3">
        <f t="shared" ca="1" si="144"/>
        <v>0.24906600249066005</v>
      </c>
      <c r="AP87" s="3">
        <f t="shared" ca="1" si="145"/>
        <v>0.24906600249066005</v>
      </c>
      <c r="AQ87" s="3">
        <f t="shared" ca="1" si="146"/>
        <v>0.49800796812749004</v>
      </c>
      <c r="AR87" s="3">
        <f t="shared" ca="1" si="147"/>
        <v>0.24900398406374502</v>
      </c>
      <c r="AT87" s="3">
        <v>2.7000000700354576E-2</v>
      </c>
      <c r="AU87" s="3">
        <v>7.0000002160668373E-3</v>
      </c>
      <c r="AV87" s="3">
        <v>0.2800000011920929</v>
      </c>
      <c r="AW87" s="3">
        <v>8.999999612569809E-3</v>
      </c>
      <c r="AY87" s="3">
        <f t="shared" ca="1" si="148"/>
        <v>4.9813200498131961E-2</v>
      </c>
      <c r="AZ87" s="3">
        <f t="shared" ca="1" si="149"/>
        <v>0.21992528019925281</v>
      </c>
      <c r="BA87" s="3">
        <f t="shared" ca="1" si="150"/>
        <v>0.26543824701195212</v>
      </c>
      <c r="BB87" s="3">
        <f t="shared" ca="1" si="151"/>
        <v>0.21987051792828682</v>
      </c>
      <c r="BD87" s="3">
        <f t="shared" ca="1" si="152"/>
        <v>3.3125777266093837E-2</v>
      </c>
      <c r="BE87" s="3">
        <f t="shared" ca="1" si="153"/>
        <v>0.28219179970538188</v>
      </c>
      <c r="BF87" s="3">
        <f t="shared" ca="1" si="154"/>
        <v>0.20766930573015099</v>
      </c>
      <c r="BG87" s="3">
        <f t="shared" ca="1" si="155"/>
        <v>0.14516933119866954</v>
      </c>
      <c r="BI87" s="3">
        <f t="shared" ca="1" si="156"/>
        <v>0.24906600249066005</v>
      </c>
      <c r="BJ87" s="3">
        <f t="shared" ca="1" si="157"/>
        <v>0.4981320049813201</v>
      </c>
      <c r="BK87" s="3">
        <f t="shared" ca="1" si="158"/>
        <v>0.74701195219123506</v>
      </c>
      <c r="BL87" s="3">
        <f t="shared" ca="1" si="159"/>
        <v>0.24900398406374502</v>
      </c>
      <c r="BN87" s="3">
        <f t="shared" ca="1" si="160"/>
        <v>0.4981320049813201</v>
      </c>
      <c r="BO87" s="3">
        <f t="shared" ca="1" si="161"/>
        <v>0.4981320049813201</v>
      </c>
      <c r="BP87" s="3">
        <f t="shared" ca="1" si="162"/>
        <v>0.99601593625498008</v>
      </c>
      <c r="BQ87" s="3">
        <f t="shared" ca="1" si="163"/>
        <v>0.74701195219123506</v>
      </c>
      <c r="BS87" s="3">
        <v>2.7000000700354576E-2</v>
      </c>
      <c r="BT87" s="3">
        <v>0.40700000524520874</v>
      </c>
      <c r="BU87" s="3">
        <v>0.81300002336502075</v>
      </c>
      <c r="BV87" s="3">
        <v>0.27599999308586121</v>
      </c>
      <c r="BX87" s="3">
        <f t="shared" ca="1" si="164"/>
        <v>0</v>
      </c>
      <c r="BY87" s="3">
        <f t="shared" ca="1" si="165"/>
        <v>4.2341220423412242E-3</v>
      </c>
      <c r="BZ87" s="3">
        <f t="shared" ca="1" si="166"/>
        <v>0</v>
      </c>
      <c r="CA87" s="3">
        <f t="shared" ca="1" si="167"/>
        <v>0</v>
      </c>
      <c r="CC87" s="3">
        <f t="shared" ca="1" si="168"/>
        <v>0</v>
      </c>
      <c r="CD87" s="3">
        <f t="shared" ca="1" si="169"/>
        <v>0</v>
      </c>
      <c r="CE87" s="3">
        <f t="shared" ca="1" si="170"/>
        <v>0</v>
      </c>
      <c r="CF87" s="3">
        <f t="shared" ca="1" si="171"/>
        <v>0</v>
      </c>
      <c r="CH87" s="3">
        <f t="shared" ca="1" si="172"/>
        <v>0</v>
      </c>
      <c r="CI87" s="3">
        <f t="shared" ca="1" si="173"/>
        <v>0</v>
      </c>
      <c r="CJ87" s="3">
        <f t="shared" ca="1" si="174"/>
        <v>0</v>
      </c>
      <c r="CK87" s="3">
        <f t="shared" ca="1" si="175"/>
        <v>0</v>
      </c>
      <c r="CM87" s="3">
        <f t="shared" ca="1" si="176"/>
        <v>0</v>
      </c>
      <c r="CN87" s="3">
        <f t="shared" ca="1" si="177"/>
        <v>0.4981320049813201</v>
      </c>
      <c r="CO87" s="3">
        <f t="shared" ca="1" si="178"/>
        <v>0</v>
      </c>
      <c r="CP87" s="3">
        <f t="shared" ca="1" si="179"/>
        <v>0</v>
      </c>
      <c r="CR87" s="3">
        <v>4.0149999999999997</v>
      </c>
      <c r="CS87" s="3">
        <v>4.0149999999999997</v>
      </c>
      <c r="CT87" s="3">
        <v>4.016</v>
      </c>
      <c r="CU87" s="3">
        <v>4.016</v>
      </c>
    </row>
    <row r="88" spans="1:99" s="3" customFormat="1" x14ac:dyDescent="0.35">
      <c r="A88" s="2" t="s">
        <v>54</v>
      </c>
      <c r="B88" s="2">
        <v>10.916666666666666</v>
      </c>
      <c r="C88" s="2" t="s">
        <v>167</v>
      </c>
      <c r="D88" s="2" t="s">
        <v>403</v>
      </c>
      <c r="F88" s="3">
        <v>4.0019999999999998</v>
      </c>
      <c r="G88" s="3">
        <v>4.0140000000000002</v>
      </c>
      <c r="H88" s="3">
        <v>4.016</v>
      </c>
      <c r="I88" s="3">
        <v>4.0110000000000001</v>
      </c>
      <c r="K88" s="3">
        <f t="shared" ca="1" si="120"/>
        <v>0.98275862068965525</v>
      </c>
      <c r="L88" s="3">
        <f t="shared" ca="1" si="121"/>
        <v>0.9920279023418036</v>
      </c>
      <c r="M88" s="3">
        <f t="shared" ca="1" si="122"/>
        <v>0.99601593625498008</v>
      </c>
      <c r="N88" s="3">
        <f t="shared" ca="1" si="123"/>
        <v>0.95537272500623294</v>
      </c>
      <c r="P88" s="3">
        <f t="shared" ca="1" si="124"/>
        <v>0.92503748557668586</v>
      </c>
      <c r="Q88" s="3">
        <f t="shared" ca="1" si="125"/>
        <v>0.81813642054454683</v>
      </c>
      <c r="R88" s="3">
        <f t="shared" ca="1" si="126"/>
        <v>0.91733075298027567</v>
      </c>
      <c r="S88" s="3">
        <f t="shared" ca="1" si="127"/>
        <v>0.905509897429014</v>
      </c>
      <c r="U88" s="3">
        <f t="shared" ca="1" si="128"/>
        <v>2.4987506246876565</v>
      </c>
      <c r="V88" s="3">
        <f t="shared" ca="1" si="129"/>
        <v>2.9895366218236172</v>
      </c>
      <c r="W88" s="3">
        <f t="shared" ca="1" si="130"/>
        <v>2.739043824701195</v>
      </c>
      <c r="X88" s="3">
        <f t="shared" ca="1" si="131"/>
        <v>3.2410870107205185</v>
      </c>
      <c r="Z88" s="3">
        <f t="shared" ca="1" si="132"/>
        <v>0.98275862068965525</v>
      </c>
      <c r="AA88" s="3">
        <f t="shared" ca="1" si="133"/>
        <v>0.83432984554060785</v>
      </c>
      <c r="AB88" s="3">
        <f t="shared" ca="1" si="134"/>
        <v>0.85109561752988039</v>
      </c>
      <c r="AC88" s="3">
        <f t="shared" ca="1" si="135"/>
        <v>0.95537272500623294</v>
      </c>
      <c r="AE88" s="3">
        <f t="shared" ca="1" si="136"/>
        <v>0.92503748557668586</v>
      </c>
      <c r="AF88" s="3">
        <f t="shared" ca="1" si="137"/>
        <v>0.72272040235740831</v>
      </c>
      <c r="AG88" s="3">
        <f t="shared" ca="1" si="138"/>
        <v>0.82171320742686316</v>
      </c>
      <c r="AH88" s="3">
        <f t="shared" ca="1" si="139"/>
        <v>0.905509897429014</v>
      </c>
      <c r="AJ88" s="3">
        <f t="shared" ca="1" si="140"/>
        <v>2.4987506246876565</v>
      </c>
      <c r="AK88" s="3">
        <f t="shared" ca="1" si="141"/>
        <v>2.4912805181863478</v>
      </c>
      <c r="AL88" s="3">
        <f t="shared" ca="1" si="142"/>
        <v>2.4900398406374502</v>
      </c>
      <c r="AM88" s="3">
        <f t="shared" ca="1" si="143"/>
        <v>3.2410870107205185</v>
      </c>
      <c r="AO88" s="3">
        <f t="shared" ca="1" si="144"/>
        <v>0.24987506246876562</v>
      </c>
      <c r="AP88" s="3">
        <f t="shared" ca="1" si="145"/>
        <v>0.74738415545590431</v>
      </c>
      <c r="AQ88" s="3">
        <f t="shared" ca="1" si="146"/>
        <v>0.99601593625498008</v>
      </c>
      <c r="AR88" s="3">
        <f t="shared" ca="1" si="147"/>
        <v>0.24931438544003989</v>
      </c>
      <c r="AT88" s="3">
        <v>4.999999888241291E-3</v>
      </c>
      <c r="AU88" s="3">
        <v>0.25299999117851257</v>
      </c>
      <c r="AV88" s="3">
        <v>9.9999997764825821E-3</v>
      </c>
      <c r="AW88" s="3">
        <v>9.9999997764825821E-3</v>
      </c>
      <c r="AY88" s="3">
        <f t="shared" ca="1" si="148"/>
        <v>6.2468765617191349E-2</v>
      </c>
      <c r="AZ88" s="3">
        <f t="shared" ca="1" si="149"/>
        <v>1.2456402590931694E-2</v>
      </c>
      <c r="BA88" s="3">
        <f t="shared" ca="1" si="150"/>
        <v>0</v>
      </c>
      <c r="BB88" s="3">
        <f t="shared" ca="1" si="151"/>
        <v>0.12465719272002006</v>
      </c>
      <c r="BD88" s="3">
        <f t="shared" ca="1" si="152"/>
        <v>0</v>
      </c>
      <c r="BE88" s="3">
        <f t="shared" ca="1" si="153"/>
        <v>0</v>
      </c>
      <c r="BF88" s="3">
        <f t="shared" ca="1" si="154"/>
        <v>0</v>
      </c>
      <c r="BG88" s="3">
        <f t="shared" ca="1" si="155"/>
        <v>0.10371481620352989</v>
      </c>
      <c r="BI88" s="3">
        <f t="shared" ca="1" si="156"/>
        <v>0</v>
      </c>
      <c r="BJ88" s="3">
        <f t="shared" ca="1" si="157"/>
        <v>0</v>
      </c>
      <c r="BK88" s="3">
        <f t="shared" ca="1" si="158"/>
        <v>0</v>
      </c>
      <c r="BL88" s="3">
        <f t="shared" ca="1" si="159"/>
        <v>0.49862877088007979</v>
      </c>
      <c r="BN88" s="3">
        <f t="shared" ca="1" si="160"/>
        <v>0.24987506246876562</v>
      </c>
      <c r="BO88" s="3">
        <f t="shared" ca="1" si="161"/>
        <v>0.49825610363726952</v>
      </c>
      <c r="BP88" s="3">
        <f t="shared" ca="1" si="162"/>
        <v>0</v>
      </c>
      <c r="BQ88" s="3">
        <f t="shared" ca="1" si="163"/>
        <v>0.74794315632011965</v>
      </c>
      <c r="BS88" s="3">
        <v>4.0019999999999998</v>
      </c>
      <c r="BT88" s="3">
        <v>4.0140000000000002</v>
      </c>
      <c r="BU88" s="3">
        <v>4.016</v>
      </c>
      <c r="BV88" s="3">
        <v>0.67599999904632568</v>
      </c>
      <c r="BX88" s="3">
        <f t="shared" ca="1" si="164"/>
        <v>0.11244377811094453</v>
      </c>
      <c r="BY88" s="3">
        <f t="shared" ca="1" si="165"/>
        <v>4.5590433482810118E-2</v>
      </c>
      <c r="BZ88" s="3">
        <f t="shared" ca="1" si="166"/>
        <v>4.2330677290837518E-3</v>
      </c>
      <c r="CA88" s="3">
        <f t="shared" ca="1" si="167"/>
        <v>2.06930939915233E-2</v>
      </c>
      <c r="CC88" s="3">
        <f t="shared" ca="1" si="168"/>
        <v>0.21239379299865074</v>
      </c>
      <c r="CD88" s="3">
        <f t="shared" ca="1" si="169"/>
        <v>0</v>
      </c>
      <c r="CE88" s="3">
        <f t="shared" ca="1" si="170"/>
        <v>0</v>
      </c>
      <c r="CF88" s="3">
        <f t="shared" ca="1" si="171"/>
        <v>2.8920482739163467E-2</v>
      </c>
      <c r="CH88" s="3">
        <f t="shared" ca="1" si="172"/>
        <v>0.49975012493753124</v>
      </c>
      <c r="CI88" s="3">
        <f t="shared" ca="1" si="173"/>
        <v>0</v>
      </c>
      <c r="CJ88" s="3">
        <f t="shared" ca="1" si="174"/>
        <v>0</v>
      </c>
      <c r="CK88" s="3">
        <f t="shared" ca="1" si="175"/>
        <v>0.24931438544003989</v>
      </c>
      <c r="CM88" s="3">
        <f t="shared" ca="1" si="176"/>
        <v>0.49975012493753124</v>
      </c>
      <c r="CN88" s="3">
        <f t="shared" ca="1" si="177"/>
        <v>0.24912805181863476</v>
      </c>
      <c r="CO88" s="3">
        <f t="shared" ca="1" si="178"/>
        <v>0.24900398406374502</v>
      </c>
      <c r="CP88" s="3">
        <f t="shared" ca="1" si="179"/>
        <v>0.24931438544003989</v>
      </c>
      <c r="CR88" s="3">
        <v>4.999999888241291E-3</v>
      </c>
      <c r="CS88" s="3">
        <v>4.0140000000000002</v>
      </c>
      <c r="CT88" s="3">
        <v>4.016</v>
      </c>
      <c r="CU88" s="3">
        <v>1.1599999666213989</v>
      </c>
    </row>
    <row r="89" spans="1:99" s="3" customFormat="1" x14ac:dyDescent="0.35">
      <c r="A89" s="2" t="s">
        <v>9</v>
      </c>
      <c r="B89" s="2">
        <v>11.083333333333334</v>
      </c>
      <c r="C89" s="2" t="s">
        <v>168</v>
      </c>
      <c r="D89" s="2" t="s">
        <v>403</v>
      </c>
      <c r="F89" s="3">
        <v>4.0149999999999997</v>
      </c>
      <c r="G89" s="3">
        <v>4.0149999999999997</v>
      </c>
      <c r="H89" s="3">
        <v>4.01</v>
      </c>
      <c r="I89" s="11" t="e">
        <v>#N/A</v>
      </c>
      <c r="K89" s="3">
        <f t="shared" ca="1" si="120"/>
        <v>0.99601494396014945</v>
      </c>
      <c r="L89" s="3">
        <f t="shared" ca="1" si="121"/>
        <v>0.99601494396014956</v>
      </c>
      <c r="M89" s="3">
        <f t="shared" ca="1" si="122"/>
        <v>0.93491271820448896</v>
      </c>
      <c r="N89" s="3" t="e">
        <f t="shared" ca="1" si="123"/>
        <v>#N/A</v>
      </c>
      <c r="P89" s="3">
        <f t="shared" ca="1" si="124"/>
        <v>0.90933992326779212</v>
      </c>
      <c r="Q89" s="3">
        <f t="shared" ca="1" si="125"/>
        <v>0.85454551992499528</v>
      </c>
      <c r="R89" s="3">
        <f t="shared" ca="1" si="126"/>
        <v>0.8309226529556617</v>
      </c>
      <c r="S89" s="3" t="e">
        <f t="shared" ca="1" si="127"/>
        <v>#N/A</v>
      </c>
      <c r="U89" s="3">
        <f t="shared" ca="1" si="128"/>
        <v>2.2415940224159403</v>
      </c>
      <c r="V89" s="3">
        <f t="shared" ca="1" si="129"/>
        <v>2.2415940224159403</v>
      </c>
      <c r="W89" s="3">
        <f t="shared" ca="1" si="130"/>
        <v>2.4937655860349128</v>
      </c>
      <c r="X89" s="3" t="e">
        <f t="shared" ca="1" si="131"/>
        <v>#N/A</v>
      </c>
      <c r="Z89" s="3">
        <f t="shared" ca="1" si="132"/>
        <v>0.95043586550435866</v>
      </c>
      <c r="AA89" s="3">
        <f t="shared" ca="1" si="133"/>
        <v>0.99601494396014956</v>
      </c>
      <c r="AB89" s="3">
        <f t="shared" ca="1" si="134"/>
        <v>0.93491271820448896</v>
      </c>
      <c r="AC89" s="3" t="e">
        <f t="shared" ca="1" si="135"/>
        <v>#N/A</v>
      </c>
      <c r="AE89" s="3">
        <f t="shared" ca="1" si="136"/>
        <v>0.90933992326779212</v>
      </c>
      <c r="AF89" s="3">
        <f t="shared" ca="1" si="137"/>
        <v>0.85454551992499528</v>
      </c>
      <c r="AG89" s="3">
        <f t="shared" ca="1" si="138"/>
        <v>0.8309226529556617</v>
      </c>
      <c r="AH89" s="3" t="e">
        <f t="shared" ca="1" si="139"/>
        <v>#N/A</v>
      </c>
      <c r="AJ89" s="3">
        <f t="shared" ca="1" si="140"/>
        <v>2.2415940224159403</v>
      </c>
      <c r="AK89" s="3">
        <f t="shared" ca="1" si="141"/>
        <v>2.2415940224159403</v>
      </c>
      <c r="AL89" s="3">
        <f t="shared" ca="1" si="142"/>
        <v>2.4937655860349128</v>
      </c>
      <c r="AM89" s="3" t="e">
        <f t="shared" ca="1" si="143"/>
        <v>#N/A</v>
      </c>
      <c r="AO89" s="3">
        <f t="shared" ca="1" si="144"/>
        <v>0.4981320049813201</v>
      </c>
      <c r="AP89" s="3">
        <f t="shared" ca="1" si="145"/>
        <v>0.24906600249066005</v>
      </c>
      <c r="AQ89" s="3">
        <f t="shared" ca="1" si="146"/>
        <v>0.24937655860349128</v>
      </c>
      <c r="AR89" s="3" t="e">
        <f t="shared" ca="1" si="147"/>
        <v>#N/A</v>
      </c>
      <c r="AT89" s="3">
        <v>1.0999999940395355E-2</v>
      </c>
      <c r="AU89" s="3">
        <v>0</v>
      </c>
      <c r="AV89" s="3">
        <v>0.25200000405311584</v>
      </c>
      <c r="AW89" s="11" t="e">
        <v>#N/A</v>
      </c>
      <c r="AY89" s="3">
        <f t="shared" ca="1" si="148"/>
        <v>5.8032378580323785E-2</v>
      </c>
      <c r="AZ89" s="3">
        <f t="shared" ca="1" si="149"/>
        <v>5.4047322540473224E-2</v>
      </c>
      <c r="BA89" s="3">
        <f t="shared" ca="1" si="150"/>
        <v>1.2219451371571167E-2</v>
      </c>
      <c r="BB89" s="3" t="e">
        <f t="shared" ca="1" si="151"/>
        <v>#N/A</v>
      </c>
      <c r="BD89" s="3">
        <f t="shared" ca="1" si="152"/>
        <v>0</v>
      </c>
      <c r="BE89" s="3">
        <f t="shared" ca="1" si="153"/>
        <v>0.12428393844946534</v>
      </c>
      <c r="BF89" s="3">
        <f t="shared" ca="1" si="154"/>
        <v>0</v>
      </c>
      <c r="BG89" s="3" t="e">
        <f t="shared" ca="1" si="155"/>
        <v>#N/A</v>
      </c>
      <c r="BI89" s="3">
        <f t="shared" ca="1" si="156"/>
        <v>0</v>
      </c>
      <c r="BJ89" s="3">
        <f t="shared" ca="1" si="157"/>
        <v>0.4981320049813201</v>
      </c>
      <c r="BK89" s="3">
        <f t="shared" ca="1" si="158"/>
        <v>0</v>
      </c>
      <c r="BL89" s="3" t="e">
        <f t="shared" ca="1" si="159"/>
        <v>#N/A</v>
      </c>
      <c r="BN89" s="3">
        <f t="shared" ca="1" si="160"/>
        <v>0.4981320049813201</v>
      </c>
      <c r="BO89" s="3">
        <f t="shared" ca="1" si="161"/>
        <v>0.4981320049813201</v>
      </c>
      <c r="BP89" s="3">
        <f t="shared" ca="1" si="162"/>
        <v>0.74812967581047385</v>
      </c>
      <c r="BQ89" s="3" t="e">
        <f t="shared" ca="1" si="163"/>
        <v>#N/A</v>
      </c>
      <c r="BS89" s="3">
        <v>4.0149999999999997</v>
      </c>
      <c r="BT89" s="3">
        <v>0.44999998807907104</v>
      </c>
      <c r="BU89" s="3">
        <v>4.01</v>
      </c>
      <c r="BV89" s="11" t="e">
        <v>#N/A</v>
      </c>
      <c r="BX89" s="3">
        <f t="shared" ca="1" si="164"/>
        <v>0.23686176836861766</v>
      </c>
      <c r="BY89" s="3">
        <f t="shared" ca="1" si="165"/>
        <v>0.5270236612702367</v>
      </c>
      <c r="BZ89" s="3">
        <f t="shared" ca="1" si="166"/>
        <v>0.19551122194513726</v>
      </c>
      <c r="CA89" s="3" t="e">
        <f t="shared" ca="1" si="167"/>
        <v>#N/A</v>
      </c>
      <c r="CC89" s="3">
        <f t="shared" ca="1" si="168"/>
        <v>0.28268991045162067</v>
      </c>
      <c r="CD89" s="3">
        <f t="shared" ca="1" si="169"/>
        <v>0.53524288858007529</v>
      </c>
      <c r="CE89" s="3">
        <f t="shared" ca="1" si="170"/>
        <v>0.20773065952291514</v>
      </c>
      <c r="CF89" s="3" t="e">
        <f t="shared" ca="1" si="171"/>
        <v>#N/A</v>
      </c>
      <c r="CH89" s="3">
        <f t="shared" ca="1" si="172"/>
        <v>0.9962640099626402</v>
      </c>
      <c r="CI89" s="3">
        <f t="shared" ca="1" si="173"/>
        <v>1.4943960149439603</v>
      </c>
      <c r="CJ89" s="3">
        <f t="shared" ca="1" si="174"/>
        <v>0.49875311720698257</v>
      </c>
      <c r="CK89" s="3" t="e">
        <f t="shared" ca="1" si="175"/>
        <v>#N/A</v>
      </c>
      <c r="CM89" s="3">
        <f t="shared" ca="1" si="176"/>
        <v>0.9962640099626402</v>
      </c>
      <c r="CN89" s="3">
        <f t="shared" ca="1" si="177"/>
        <v>0.9962640099626402</v>
      </c>
      <c r="CO89" s="3">
        <f t="shared" ca="1" si="178"/>
        <v>0.49875311720698257</v>
      </c>
      <c r="CP89" s="3" t="e">
        <f t="shared" ca="1" si="179"/>
        <v>#N/A</v>
      </c>
      <c r="CR89" s="3">
        <v>0.86000001430511475</v>
      </c>
      <c r="CS89" s="3">
        <v>0</v>
      </c>
      <c r="CT89" s="3">
        <v>2.0680000782012939</v>
      </c>
      <c r="CU89" s="11" t="e">
        <v>#N/A</v>
      </c>
    </row>
    <row r="90" spans="1:99" s="3" customFormat="1" x14ac:dyDescent="0.35">
      <c r="A90" s="2" t="s">
        <v>67</v>
      </c>
      <c r="B90" s="2">
        <v>11.083333333333334</v>
      </c>
      <c r="C90" s="2" t="s">
        <v>167</v>
      </c>
      <c r="D90" s="2" t="s">
        <v>403</v>
      </c>
      <c r="F90" s="3">
        <v>4.0149999999999997</v>
      </c>
      <c r="G90" s="3">
        <v>4.016</v>
      </c>
      <c r="H90" s="3">
        <v>4.01</v>
      </c>
      <c r="I90" s="3">
        <v>4.0149999999999997</v>
      </c>
      <c r="K90" s="3">
        <f t="shared" ca="1" si="120"/>
        <v>0.99601494396014945</v>
      </c>
      <c r="L90" s="3">
        <f t="shared" ca="1" si="121"/>
        <v>0.99576693227091628</v>
      </c>
      <c r="M90" s="3">
        <f t="shared" ca="1" si="122"/>
        <v>0.99301745635910232</v>
      </c>
      <c r="N90" s="3">
        <f t="shared" ca="1" si="123"/>
        <v>0.9962640099626402</v>
      </c>
      <c r="P90" s="3">
        <f t="shared" ca="1" si="124"/>
        <v>0.962889326938137</v>
      </c>
      <c r="Q90" s="3">
        <f t="shared" ca="1" si="125"/>
        <v>0.97509959283140135</v>
      </c>
      <c r="R90" s="3">
        <f t="shared" ca="1" si="126"/>
        <v>0.95960100940858339</v>
      </c>
      <c r="S90" s="3">
        <f t="shared" ca="1" si="127"/>
        <v>0.95865496644195858</v>
      </c>
      <c r="U90" s="3">
        <f t="shared" ca="1" si="128"/>
        <v>2.2415940224159403</v>
      </c>
      <c r="V90" s="3">
        <f t="shared" ca="1" si="129"/>
        <v>1.4940239043824701</v>
      </c>
      <c r="W90" s="3">
        <f t="shared" ca="1" si="130"/>
        <v>2.2443890274314215</v>
      </c>
      <c r="X90" s="3">
        <f t="shared" ca="1" si="131"/>
        <v>2.4906600249066004</v>
      </c>
      <c r="Z90" s="3">
        <f t="shared" ca="1" si="132"/>
        <v>0.99601494396014945</v>
      </c>
      <c r="AA90" s="3">
        <f t="shared" ca="1" si="133"/>
        <v>0.99576693227091628</v>
      </c>
      <c r="AB90" s="3">
        <f t="shared" ca="1" si="134"/>
        <v>0.99301745635910232</v>
      </c>
      <c r="AC90" s="3">
        <f t="shared" ca="1" si="135"/>
        <v>0.9962640099626402</v>
      </c>
      <c r="AE90" s="3">
        <f t="shared" ca="1" si="136"/>
        <v>0.962889326938137</v>
      </c>
      <c r="AF90" s="3">
        <f t="shared" ca="1" si="137"/>
        <v>0.97509959283140135</v>
      </c>
      <c r="AG90" s="3">
        <f t="shared" ca="1" si="138"/>
        <v>0.95960100940858339</v>
      </c>
      <c r="AH90" s="3">
        <f t="shared" ca="1" si="139"/>
        <v>0.95865496644195858</v>
      </c>
      <c r="AJ90" s="3">
        <f t="shared" ca="1" si="140"/>
        <v>2.2415940224159403</v>
      </c>
      <c r="AK90" s="3">
        <f t="shared" ca="1" si="141"/>
        <v>1.4940239043824701</v>
      </c>
      <c r="AL90" s="3">
        <f t="shared" ca="1" si="142"/>
        <v>2.2443890274314215</v>
      </c>
      <c r="AM90" s="3">
        <f t="shared" ca="1" si="143"/>
        <v>2.4906600249066004</v>
      </c>
      <c r="AO90" s="3">
        <f t="shared" ca="1" si="144"/>
        <v>0.24906600249066005</v>
      </c>
      <c r="AP90" s="3">
        <f t="shared" ca="1" si="145"/>
        <v>0.24900398406374502</v>
      </c>
      <c r="AQ90" s="3">
        <f t="shared" ca="1" si="146"/>
        <v>0.24937655860349128</v>
      </c>
      <c r="AR90" s="3">
        <f t="shared" ca="1" si="147"/>
        <v>0.24906600249066005</v>
      </c>
      <c r="AT90" s="3">
        <v>4.999999888241291E-3</v>
      </c>
      <c r="AU90" s="3">
        <v>8.0000003799796104E-3</v>
      </c>
      <c r="AV90" s="3">
        <v>1.4000000432133675E-2</v>
      </c>
      <c r="AW90" s="3">
        <v>1.3000000268220901E-2</v>
      </c>
      <c r="AY90" s="3">
        <f t="shared" ca="1" si="148"/>
        <v>0.46924034869240333</v>
      </c>
      <c r="AZ90" s="3">
        <f t="shared" ca="1" si="149"/>
        <v>0.41484063745019922</v>
      </c>
      <c r="BA90" s="3">
        <f t="shared" ca="1" si="150"/>
        <v>0.60274314214463853</v>
      </c>
      <c r="BB90" s="3">
        <f t="shared" ca="1" si="151"/>
        <v>0.3651307596513077</v>
      </c>
      <c r="BD90" s="3">
        <f t="shared" ca="1" si="152"/>
        <v>0.54396028684946252</v>
      </c>
      <c r="BE90" s="3">
        <f t="shared" ca="1" si="153"/>
        <v>0.36927291834021947</v>
      </c>
      <c r="BF90" s="3">
        <f t="shared" ca="1" si="154"/>
        <v>0.59426432833112686</v>
      </c>
      <c r="BG90" s="3">
        <f t="shared" ca="1" si="155"/>
        <v>0.30734743899752759</v>
      </c>
      <c r="BI90" s="3">
        <f t="shared" ca="1" si="156"/>
        <v>1.4943960149439603</v>
      </c>
      <c r="BJ90" s="3">
        <f t="shared" ca="1" si="157"/>
        <v>0.74701195219123506</v>
      </c>
      <c r="BK90" s="3">
        <f t="shared" ca="1" si="158"/>
        <v>1.2468827930174564</v>
      </c>
      <c r="BL90" s="3">
        <f t="shared" ca="1" si="159"/>
        <v>0.9962640099626402</v>
      </c>
      <c r="BN90" s="3">
        <f t="shared" ca="1" si="160"/>
        <v>0.74719800747198017</v>
      </c>
      <c r="BO90" s="3">
        <f t="shared" ca="1" si="161"/>
        <v>0.74701195219123506</v>
      </c>
      <c r="BP90" s="3">
        <f t="shared" ca="1" si="162"/>
        <v>0.49875311720698257</v>
      </c>
      <c r="BQ90" s="3">
        <f t="shared" ca="1" si="163"/>
        <v>0.74719800747198017</v>
      </c>
      <c r="BS90" s="3">
        <v>0.70499998331069946</v>
      </c>
      <c r="BT90" s="3">
        <v>2.4900000095367432</v>
      </c>
      <c r="BU90" s="3">
        <v>0.61299997568130493</v>
      </c>
      <c r="BV90" s="3">
        <v>1.7130000591278076</v>
      </c>
      <c r="BX90" s="3">
        <f t="shared" ca="1" si="164"/>
        <v>6.201743462017438E-2</v>
      </c>
      <c r="BY90" s="3">
        <f t="shared" ca="1" si="165"/>
        <v>5.8266932270916331E-2</v>
      </c>
      <c r="BZ90" s="3">
        <f t="shared" ca="1" si="166"/>
        <v>7.057356608478807E-2</v>
      </c>
      <c r="CA90" s="3">
        <f t="shared" ca="1" si="167"/>
        <v>0.1078455790784557</v>
      </c>
      <c r="CC90" s="3">
        <f t="shared" ca="1" si="168"/>
        <v>0</v>
      </c>
      <c r="CD90" s="3">
        <f t="shared" ca="1" si="169"/>
        <v>0</v>
      </c>
      <c r="CE90" s="3">
        <f t="shared" ca="1" si="170"/>
        <v>0</v>
      </c>
      <c r="CF90" s="3">
        <f t="shared" ca="1" si="171"/>
        <v>0</v>
      </c>
      <c r="CH90" s="3">
        <f t="shared" ca="1" si="172"/>
        <v>0</v>
      </c>
      <c r="CI90" s="3">
        <f t="shared" ca="1" si="173"/>
        <v>0</v>
      </c>
      <c r="CJ90" s="3">
        <f t="shared" ca="1" si="174"/>
        <v>0</v>
      </c>
      <c r="CK90" s="3">
        <f t="shared" ca="1" si="175"/>
        <v>0</v>
      </c>
      <c r="CM90" s="3">
        <f t="shared" ca="1" si="176"/>
        <v>0.24906600249066005</v>
      </c>
      <c r="CN90" s="3">
        <f t="shared" ca="1" si="177"/>
        <v>0.24900398406374502</v>
      </c>
      <c r="CO90" s="3">
        <f t="shared" ca="1" si="178"/>
        <v>0.24937655860349128</v>
      </c>
      <c r="CP90" s="3">
        <f t="shared" ca="1" si="179"/>
        <v>0.4981320049813201</v>
      </c>
      <c r="CR90" s="3">
        <v>4.0149999999999997</v>
      </c>
      <c r="CS90" s="3">
        <v>4.016</v>
      </c>
      <c r="CT90" s="3">
        <v>4.01</v>
      </c>
      <c r="CU90" s="3">
        <v>4.0149999999999997</v>
      </c>
    </row>
    <row r="91" spans="1:99" s="3" customFormat="1" x14ac:dyDescent="0.35">
      <c r="A91" s="2" t="s">
        <v>73</v>
      </c>
      <c r="B91" s="2">
        <v>11.333333333333334</v>
      </c>
      <c r="C91" s="2" t="s">
        <v>167</v>
      </c>
      <c r="D91" s="2" t="s">
        <v>403</v>
      </c>
      <c r="F91" s="3">
        <v>4.0110000000000001</v>
      </c>
      <c r="G91" s="3">
        <v>4.01</v>
      </c>
      <c r="H91" s="3">
        <v>3.9849999999999999</v>
      </c>
      <c r="I91" s="3">
        <v>4.01</v>
      </c>
      <c r="K91" s="3">
        <f t="shared" ca="1" si="120"/>
        <v>0.99276988282223888</v>
      </c>
      <c r="L91" s="3">
        <f t="shared" ca="1" si="121"/>
        <v>0.86408977556109723</v>
      </c>
      <c r="M91" s="3">
        <f t="shared" ca="1" si="122"/>
        <v>0.9909661229611042</v>
      </c>
      <c r="N91" s="3">
        <f t="shared" ca="1" si="123"/>
        <v>0.9306733167082295</v>
      </c>
      <c r="P91" s="3">
        <f t="shared" ca="1" si="124"/>
        <v>0.92670156468821419</v>
      </c>
      <c r="Q91" s="3">
        <f t="shared" ca="1" si="125"/>
        <v>0.49401500129937531</v>
      </c>
      <c r="R91" s="3">
        <f t="shared" ca="1" si="126"/>
        <v>0.7402760396189193</v>
      </c>
      <c r="S91" s="3">
        <f t="shared" ca="1" si="127"/>
        <v>0.72244387723858516</v>
      </c>
      <c r="U91" s="3">
        <f t="shared" ca="1" si="128"/>
        <v>2.9917726252804786</v>
      </c>
      <c r="V91" s="3">
        <f t="shared" ca="1" si="129"/>
        <v>1.745635910224439</v>
      </c>
      <c r="W91" s="3">
        <f t="shared" ca="1" si="130"/>
        <v>2.7603513174404015</v>
      </c>
      <c r="X91" s="3">
        <f t="shared" ca="1" si="131"/>
        <v>3.2418952618453867</v>
      </c>
      <c r="Z91" s="3">
        <f t="shared" ca="1" si="132"/>
        <v>0.99276988282223888</v>
      </c>
      <c r="AA91" s="3">
        <f t="shared" ca="1" si="133"/>
        <v>0.81845386533665843</v>
      </c>
      <c r="AB91" s="3">
        <f t="shared" ca="1" si="134"/>
        <v>0.9909661229611042</v>
      </c>
      <c r="AC91" s="3">
        <f t="shared" ca="1" si="135"/>
        <v>0.9306733167082295</v>
      </c>
      <c r="AE91" s="3">
        <f t="shared" ca="1" si="136"/>
        <v>0.92670156468821419</v>
      </c>
      <c r="AF91" s="3">
        <f t="shared" ca="1" si="137"/>
        <v>0.49401500129937531</v>
      </c>
      <c r="AG91" s="3">
        <f t="shared" ca="1" si="138"/>
        <v>0.7402760396189193</v>
      </c>
      <c r="AH91" s="3">
        <f t="shared" ca="1" si="139"/>
        <v>0.72244387723858516</v>
      </c>
      <c r="AJ91" s="3">
        <f t="shared" ca="1" si="140"/>
        <v>2.9917726252804786</v>
      </c>
      <c r="AK91" s="3">
        <f t="shared" ca="1" si="141"/>
        <v>1.745635910224439</v>
      </c>
      <c r="AL91" s="3">
        <f t="shared" ca="1" si="142"/>
        <v>2.7603513174404015</v>
      </c>
      <c r="AM91" s="3">
        <f t="shared" ca="1" si="143"/>
        <v>3.2418952618453867</v>
      </c>
      <c r="AO91" s="3">
        <f t="shared" ca="1" si="144"/>
        <v>0.24931438544003989</v>
      </c>
      <c r="AP91" s="3">
        <f t="shared" ca="1" si="145"/>
        <v>0.49875311720698257</v>
      </c>
      <c r="AQ91" s="3">
        <f t="shared" ca="1" si="146"/>
        <v>0.25094102885821834</v>
      </c>
      <c r="AR91" s="3">
        <f t="shared" ca="1" si="147"/>
        <v>0.24937655860349128</v>
      </c>
      <c r="AT91" s="3">
        <v>1.4000000432133675E-2</v>
      </c>
      <c r="AU91" s="3">
        <v>0.40099999308586121</v>
      </c>
      <c r="AV91" s="3">
        <v>0.20800000429153442</v>
      </c>
      <c r="AW91" s="3">
        <v>9.7999997437000275E-2</v>
      </c>
      <c r="AY91" s="3">
        <f t="shared" ca="1" si="148"/>
        <v>0.62802293692346045</v>
      </c>
      <c r="AZ91" s="3">
        <f t="shared" ca="1" si="149"/>
        <v>0.16184538653366584</v>
      </c>
      <c r="BA91" s="3">
        <f t="shared" ca="1" si="150"/>
        <v>0.49736511919698867</v>
      </c>
      <c r="BB91" s="3">
        <f t="shared" ca="1" si="151"/>
        <v>0.43640897755610958</v>
      </c>
      <c r="BD91" s="3">
        <f t="shared" ca="1" si="152"/>
        <v>0.59461474002551862</v>
      </c>
      <c r="BE91" s="3">
        <f t="shared" ca="1" si="153"/>
        <v>0.12443889852176582</v>
      </c>
      <c r="BF91" s="3">
        <f t="shared" ca="1" si="154"/>
        <v>0.41405269911178533</v>
      </c>
      <c r="BG91" s="3">
        <f t="shared" ca="1" si="155"/>
        <v>0.52743143125662484</v>
      </c>
      <c r="BI91" s="3">
        <f t="shared" ca="1" si="156"/>
        <v>1.7452006980802792</v>
      </c>
      <c r="BJ91" s="3">
        <f t="shared" ca="1" si="157"/>
        <v>0.24937655860349128</v>
      </c>
      <c r="BK91" s="3">
        <f t="shared" ca="1" si="158"/>
        <v>1.2547051442910917</v>
      </c>
      <c r="BL91" s="3">
        <f t="shared" ca="1" si="159"/>
        <v>2.2443890274314215</v>
      </c>
      <c r="BN91" s="3">
        <f t="shared" ca="1" si="160"/>
        <v>2.2438294689603588</v>
      </c>
      <c r="BO91" s="3">
        <f t="shared" ca="1" si="161"/>
        <v>1.2468827930174564</v>
      </c>
      <c r="BP91" s="3">
        <f t="shared" ca="1" si="162"/>
        <v>2.5094102885821834</v>
      </c>
      <c r="BQ91" s="3">
        <f t="shared" ca="1" si="163"/>
        <v>3.491271820448878</v>
      </c>
      <c r="BS91" s="3">
        <v>0.44699999690055847</v>
      </c>
      <c r="BT91" s="3">
        <v>0.40099999308586121</v>
      </c>
      <c r="BU91" s="3">
        <v>0.34099999070167542</v>
      </c>
      <c r="BV91" s="3">
        <v>0.414000004529953</v>
      </c>
      <c r="BX91" s="3">
        <f t="shared" ca="1" si="164"/>
        <v>4.9862877088008017E-2</v>
      </c>
      <c r="BY91" s="3">
        <f t="shared" ca="1" si="165"/>
        <v>0.19077306733167071</v>
      </c>
      <c r="BZ91" s="3">
        <f t="shared" ca="1" si="166"/>
        <v>7.5282308657465505E-2</v>
      </c>
      <c r="CA91" s="3">
        <f t="shared" ca="1" si="167"/>
        <v>0</v>
      </c>
      <c r="CC91" s="3">
        <f t="shared" ca="1" si="168"/>
        <v>3.7397181592478596E-2</v>
      </c>
      <c r="CD91" s="3">
        <f t="shared" ca="1" si="169"/>
        <v>0.24064838737620975</v>
      </c>
      <c r="CE91" s="3">
        <f t="shared" ca="1" si="170"/>
        <v>8.3563348729457879E-2</v>
      </c>
      <c r="CF91" s="3">
        <f t="shared" ca="1" si="171"/>
        <v>0</v>
      </c>
      <c r="CH91" s="3">
        <f t="shared" ca="1" si="172"/>
        <v>0.24931438544003989</v>
      </c>
      <c r="CI91" s="3">
        <f t="shared" ca="1" si="173"/>
        <v>0.74812967581047385</v>
      </c>
      <c r="CJ91" s="3">
        <f t="shared" ca="1" si="174"/>
        <v>0.25094102885821834</v>
      </c>
      <c r="CK91" s="3">
        <f t="shared" ca="1" si="175"/>
        <v>0</v>
      </c>
      <c r="CM91" s="3">
        <f t="shared" ca="1" si="176"/>
        <v>0.49862877088007979</v>
      </c>
      <c r="CN91" s="3">
        <f t="shared" ca="1" si="177"/>
        <v>0.74812967581047385</v>
      </c>
      <c r="CO91" s="3">
        <f t="shared" ca="1" si="178"/>
        <v>0.25094102885821834</v>
      </c>
      <c r="CP91" s="3">
        <f t="shared" ca="1" si="179"/>
        <v>0.74812967581047385</v>
      </c>
      <c r="CR91" s="3">
        <v>2.496999979019165</v>
      </c>
      <c r="CS91" s="3">
        <v>1.0839999914169312</v>
      </c>
      <c r="CT91" s="3">
        <v>1.5410000085830688</v>
      </c>
      <c r="CU91" s="3">
        <v>4.01</v>
      </c>
    </row>
    <row r="92" spans="1:99" s="3" customFormat="1" x14ac:dyDescent="0.35">
      <c r="A92" s="2" t="s">
        <v>31</v>
      </c>
      <c r="B92" s="2">
        <v>11.5</v>
      </c>
      <c r="C92" s="2" t="s">
        <v>167</v>
      </c>
      <c r="D92" s="2" t="s">
        <v>403</v>
      </c>
      <c r="F92" s="3">
        <v>4.01</v>
      </c>
      <c r="G92" s="3">
        <v>4.0110000000000001</v>
      </c>
      <c r="H92" s="3">
        <v>4.0110000000000001</v>
      </c>
      <c r="I92" s="3">
        <v>4.0110000000000001</v>
      </c>
      <c r="K92" s="3">
        <f t="shared" ca="1" si="120"/>
        <v>0.99301745635910232</v>
      </c>
      <c r="L92" s="3">
        <f t="shared" ca="1" si="121"/>
        <v>0.98055347793567682</v>
      </c>
      <c r="M92" s="3">
        <f t="shared" ca="1" si="122"/>
        <v>0.9970082273747195</v>
      </c>
      <c r="N92" s="3">
        <f t="shared" ca="1" si="123"/>
        <v>0.9970082273747195</v>
      </c>
      <c r="P92" s="3">
        <f t="shared" ca="1" si="124"/>
        <v>0.8807979421945582</v>
      </c>
      <c r="Q92" s="3">
        <f t="shared" ca="1" si="125"/>
        <v>0.84268248599831586</v>
      </c>
      <c r="R92" s="3">
        <f t="shared" ca="1" si="126"/>
        <v>0.95113431496164413</v>
      </c>
      <c r="S92" s="3">
        <f t="shared" ca="1" si="127"/>
        <v>0.95188225072334187</v>
      </c>
      <c r="U92" s="3">
        <f t="shared" ca="1" si="128"/>
        <v>2.2443890274314215</v>
      </c>
      <c r="V92" s="3">
        <f t="shared" ca="1" si="129"/>
        <v>3.7397157816005984</v>
      </c>
      <c r="W92" s="3">
        <f t="shared" ca="1" si="130"/>
        <v>2.9917726252804786</v>
      </c>
      <c r="X92" s="3">
        <f t="shared" ca="1" si="131"/>
        <v>2.9917726252804786</v>
      </c>
      <c r="Z92" s="3">
        <f t="shared" ca="1" si="132"/>
        <v>0.99301745635910232</v>
      </c>
      <c r="AA92" s="3">
        <f t="shared" ca="1" si="133"/>
        <v>0.98055347793567682</v>
      </c>
      <c r="AB92" s="3">
        <f t="shared" ca="1" si="134"/>
        <v>0.9970082273747195</v>
      </c>
      <c r="AC92" s="3">
        <f t="shared" ca="1" si="135"/>
        <v>0.96783844427823484</v>
      </c>
      <c r="AE92" s="3">
        <f t="shared" ca="1" si="136"/>
        <v>0.8807979421945582</v>
      </c>
      <c r="AF92" s="3">
        <f t="shared" ca="1" si="137"/>
        <v>0.84268248599831586</v>
      </c>
      <c r="AG92" s="3">
        <f t="shared" ca="1" si="138"/>
        <v>0.95113431496164413</v>
      </c>
      <c r="AH92" s="3">
        <f t="shared" ca="1" si="139"/>
        <v>0.95188225072334187</v>
      </c>
      <c r="AJ92" s="3">
        <f t="shared" ca="1" si="140"/>
        <v>2.2443890274314215</v>
      </c>
      <c r="AK92" s="3">
        <f t="shared" ca="1" si="141"/>
        <v>3.7397157816005984</v>
      </c>
      <c r="AL92" s="3">
        <f t="shared" ca="1" si="142"/>
        <v>2.9917726252804786</v>
      </c>
      <c r="AM92" s="3">
        <f t="shared" ca="1" si="143"/>
        <v>2.9917726252804786</v>
      </c>
      <c r="AO92" s="3">
        <f t="shared" ca="1" si="144"/>
        <v>0.24937655860349128</v>
      </c>
      <c r="AP92" s="3">
        <f t="shared" ca="1" si="145"/>
        <v>0.24931438544003989</v>
      </c>
      <c r="AQ92" s="3">
        <f t="shared" ca="1" si="146"/>
        <v>0.24931438544003989</v>
      </c>
      <c r="AR92" s="3">
        <f t="shared" ca="1" si="147"/>
        <v>0.49862877088007979</v>
      </c>
      <c r="AT92" s="3">
        <v>1.3000000268220901E-2</v>
      </c>
      <c r="AU92" s="3">
        <v>6.8999998271465302E-2</v>
      </c>
      <c r="AV92" s="3">
        <v>4.0000001899898052E-3</v>
      </c>
      <c r="AW92" s="3">
        <v>1.0000000474974513E-3</v>
      </c>
      <c r="AY92" s="3">
        <f t="shared" ca="1" si="148"/>
        <v>0.72718204488778049</v>
      </c>
      <c r="AZ92" s="3">
        <f t="shared" ca="1" si="149"/>
        <v>0.73946646721515819</v>
      </c>
      <c r="BA92" s="3">
        <f t="shared" ca="1" si="150"/>
        <v>0.88930441286462225</v>
      </c>
      <c r="BB92" s="3">
        <f t="shared" ca="1" si="151"/>
        <v>0.41136873597606577</v>
      </c>
      <c r="BD92" s="3">
        <f t="shared" ca="1" si="152"/>
        <v>0.71895256304086896</v>
      </c>
      <c r="BE92" s="3">
        <f t="shared" ca="1" si="153"/>
        <v>0.58962833447457552</v>
      </c>
      <c r="BF92" s="3">
        <f t="shared" ca="1" si="154"/>
        <v>0.84318118450856216</v>
      </c>
      <c r="BG92" s="3">
        <f t="shared" ca="1" si="155"/>
        <v>0.37447013363996307</v>
      </c>
      <c r="BI92" s="3">
        <f t="shared" ca="1" si="156"/>
        <v>1.745635910224439</v>
      </c>
      <c r="BJ92" s="3">
        <f t="shared" ca="1" si="157"/>
        <v>2.4931438544003988</v>
      </c>
      <c r="BK92" s="3">
        <f t="shared" ca="1" si="158"/>
        <v>2.7424582398404387</v>
      </c>
      <c r="BL92" s="3">
        <f t="shared" ca="1" si="159"/>
        <v>1.4958863126402393</v>
      </c>
      <c r="BN92" s="3">
        <f t="shared" ca="1" si="160"/>
        <v>0.99750623441396513</v>
      </c>
      <c r="BO92" s="3">
        <f t="shared" ca="1" si="161"/>
        <v>0.74794315632011965</v>
      </c>
      <c r="BP92" s="3">
        <f t="shared" ca="1" si="162"/>
        <v>0.49862877088007979</v>
      </c>
      <c r="BQ92" s="3">
        <f t="shared" ca="1" si="163"/>
        <v>0.49862877088007979</v>
      </c>
      <c r="BS92" s="3">
        <v>0.46299999952316284</v>
      </c>
      <c r="BT92" s="3">
        <v>0.18600000441074371</v>
      </c>
      <c r="BU92" s="3">
        <v>0.45399999618530273</v>
      </c>
      <c r="BV92" s="3">
        <v>0.41800001263618469</v>
      </c>
      <c r="BX92" s="3">
        <f t="shared" ca="1" si="164"/>
        <v>1.6458852867830494E-2</v>
      </c>
      <c r="BY92" s="3">
        <f t="shared" ca="1" si="165"/>
        <v>3.3408127648965356E-2</v>
      </c>
      <c r="BZ92" s="3">
        <f t="shared" ca="1" si="166"/>
        <v>0</v>
      </c>
      <c r="CA92" s="3">
        <f t="shared" ca="1" si="167"/>
        <v>9.9725754176015938E-2</v>
      </c>
      <c r="CC92" s="3">
        <f t="shared" ca="1" si="168"/>
        <v>0</v>
      </c>
      <c r="CD92" s="3">
        <f t="shared" ca="1" si="169"/>
        <v>2.4931438915511372E-2</v>
      </c>
      <c r="CE92" s="3">
        <f t="shared" ca="1" si="170"/>
        <v>0</v>
      </c>
      <c r="CF92" s="3">
        <f t="shared" ca="1" si="171"/>
        <v>0.10795309132871055</v>
      </c>
      <c r="CH92" s="3">
        <f t="shared" ca="1" si="172"/>
        <v>0</v>
      </c>
      <c r="CI92" s="3">
        <f t="shared" ca="1" si="173"/>
        <v>0.24931438544003989</v>
      </c>
      <c r="CJ92" s="3">
        <f t="shared" ca="1" si="174"/>
        <v>0</v>
      </c>
      <c r="CK92" s="3">
        <f t="shared" ca="1" si="175"/>
        <v>0.24931438544003989</v>
      </c>
      <c r="CM92" s="3">
        <f t="shared" ca="1" si="176"/>
        <v>0.24937655860349128</v>
      </c>
      <c r="CN92" s="3">
        <f t="shared" ca="1" si="177"/>
        <v>0.49862877088007979</v>
      </c>
      <c r="CO92" s="3">
        <f t="shared" ca="1" si="178"/>
        <v>0</v>
      </c>
      <c r="CP92" s="3">
        <f t="shared" ca="1" si="179"/>
        <v>0.24931438544003989</v>
      </c>
      <c r="CR92" s="3">
        <v>4.01</v>
      </c>
      <c r="CS92" s="3">
        <v>6.8999998271465302E-2</v>
      </c>
      <c r="CT92" s="3">
        <v>4.0110000000000001</v>
      </c>
      <c r="CU92" s="3">
        <v>2.1170001029968262</v>
      </c>
    </row>
    <row r="93" spans="1:99" s="3" customFormat="1" x14ac:dyDescent="0.35">
      <c r="A93" s="2" t="s">
        <v>64</v>
      </c>
      <c r="B93" s="2">
        <v>12</v>
      </c>
      <c r="C93" s="2" t="s">
        <v>167</v>
      </c>
      <c r="D93" s="2" t="s">
        <v>403</v>
      </c>
      <c r="F93" s="3">
        <v>4.016</v>
      </c>
      <c r="G93" s="3">
        <v>4.016</v>
      </c>
      <c r="H93" s="3">
        <v>4.0309999999999997</v>
      </c>
      <c r="I93" s="3">
        <v>4.0110000000000001</v>
      </c>
      <c r="K93" s="3">
        <f t="shared" ca="1" si="120"/>
        <v>0.99601593625498008</v>
      </c>
      <c r="L93" s="3">
        <f t="shared" ca="1" si="121"/>
        <v>0.99576693227091639</v>
      </c>
      <c r="M93" s="3">
        <f t="shared" ca="1" si="122"/>
        <v>0.99627883899776737</v>
      </c>
      <c r="N93" s="3">
        <f t="shared" ca="1" si="123"/>
        <v>0.9970082273747195</v>
      </c>
      <c r="P93" s="3">
        <f t="shared" ca="1" si="124"/>
        <v>0.96713151087969595</v>
      </c>
      <c r="Q93" s="3">
        <f t="shared" ca="1" si="125"/>
        <v>0.94173300618944</v>
      </c>
      <c r="R93" s="3">
        <f t="shared" ca="1" si="126"/>
        <v>0.95906725968436413</v>
      </c>
      <c r="S93" s="3">
        <f t="shared" ca="1" si="127"/>
        <v>0.88082773903975964</v>
      </c>
      <c r="U93" s="3">
        <f t="shared" ca="1" si="128"/>
        <v>1.9920318725099602</v>
      </c>
      <c r="V93" s="3">
        <f t="shared" ca="1" si="129"/>
        <v>1.4940239043824701</v>
      </c>
      <c r="W93" s="3">
        <f t="shared" ca="1" si="130"/>
        <v>2.4807740014884647</v>
      </c>
      <c r="X93" s="3">
        <f t="shared" ca="1" si="131"/>
        <v>2.4931438544003988</v>
      </c>
      <c r="Z93" s="3">
        <f t="shared" ca="1" si="132"/>
        <v>0.99601593625498008</v>
      </c>
      <c r="AA93" s="3">
        <f t="shared" ca="1" si="133"/>
        <v>0.99576693227091639</v>
      </c>
      <c r="AB93" s="3">
        <f t="shared" ca="1" si="134"/>
        <v>0.99627883899776737</v>
      </c>
      <c r="AC93" s="3">
        <f t="shared" ca="1" si="135"/>
        <v>0.91398653702318633</v>
      </c>
      <c r="AE93" s="3">
        <f t="shared" ca="1" si="136"/>
        <v>0.96713151087969595</v>
      </c>
      <c r="AF93" s="3">
        <f t="shared" ca="1" si="137"/>
        <v>0.94173300618944</v>
      </c>
      <c r="AG93" s="3">
        <f t="shared" ca="1" si="138"/>
        <v>0.95906725968436413</v>
      </c>
      <c r="AH93" s="3">
        <f t="shared" ca="1" si="139"/>
        <v>0.88082773903975964</v>
      </c>
      <c r="AJ93" s="3">
        <f t="shared" ca="1" si="140"/>
        <v>1.9920318725099602</v>
      </c>
      <c r="AK93" s="3">
        <f t="shared" ca="1" si="141"/>
        <v>1.4940239043824701</v>
      </c>
      <c r="AL93" s="3">
        <f t="shared" ca="1" si="142"/>
        <v>2.4807740014884647</v>
      </c>
      <c r="AM93" s="3">
        <f t="shared" ca="1" si="143"/>
        <v>2.4931438544003988</v>
      </c>
      <c r="AO93" s="3">
        <f t="shared" ca="1" si="144"/>
        <v>0.24900398406374502</v>
      </c>
      <c r="AP93" s="3">
        <f t="shared" ca="1" si="145"/>
        <v>0.24900398406374502</v>
      </c>
      <c r="AQ93" s="3">
        <f t="shared" ca="1" si="146"/>
        <v>0.24807740014884647</v>
      </c>
      <c r="AR93" s="3">
        <f t="shared" ca="1" si="147"/>
        <v>0.74794315632011965</v>
      </c>
      <c r="AT93" s="3">
        <v>4.999999888241291E-3</v>
      </c>
      <c r="AU93" s="3">
        <v>1.4999999664723873E-2</v>
      </c>
      <c r="AV93" s="3">
        <v>4.0000001899898052E-3</v>
      </c>
      <c r="AW93" s="3">
        <v>1.2000000104308128E-2</v>
      </c>
      <c r="AY93" s="3">
        <f t="shared" ca="1" si="148"/>
        <v>0.348605577689243</v>
      </c>
      <c r="AZ93" s="3">
        <f t="shared" ca="1" si="149"/>
        <v>0.6638446215139443</v>
      </c>
      <c r="BA93" s="3">
        <f t="shared" ca="1" si="150"/>
        <v>0.59563383775738032</v>
      </c>
      <c r="BB93" s="3">
        <f t="shared" ca="1" si="151"/>
        <v>0.41585639491398657</v>
      </c>
      <c r="BD93" s="3">
        <f t="shared" ca="1" si="152"/>
        <v>0.36105577392407145</v>
      </c>
      <c r="BE93" s="3">
        <f t="shared" ca="1" si="153"/>
        <v>0.64716131919883635</v>
      </c>
      <c r="BF93" s="3">
        <f t="shared" ca="1" si="154"/>
        <v>0.5827338368447299</v>
      </c>
      <c r="BG93" s="3">
        <f t="shared" ca="1" si="155"/>
        <v>0.44452753247717791</v>
      </c>
      <c r="BI93" s="3">
        <f t="shared" ca="1" si="156"/>
        <v>0.49800796812749004</v>
      </c>
      <c r="BJ93" s="3">
        <f t="shared" ca="1" si="157"/>
        <v>0.74701195219123506</v>
      </c>
      <c r="BK93" s="3">
        <f t="shared" ca="1" si="158"/>
        <v>1.7365418010419251</v>
      </c>
      <c r="BL93" s="3">
        <f t="shared" ca="1" si="159"/>
        <v>0.99725754176015957</v>
      </c>
      <c r="BN93" s="3">
        <f t="shared" ca="1" si="160"/>
        <v>0.49800796812749004</v>
      </c>
      <c r="BO93" s="3">
        <f t="shared" ca="1" si="161"/>
        <v>0.74701195219123506</v>
      </c>
      <c r="BP93" s="3">
        <f t="shared" ca="1" si="162"/>
        <v>0.74423220044653937</v>
      </c>
      <c r="BQ93" s="3">
        <f t="shared" ca="1" si="163"/>
        <v>1.2465719272001994</v>
      </c>
      <c r="BS93" s="3">
        <v>0.98900002241134644</v>
      </c>
      <c r="BT93" s="3">
        <v>0.54799997806549072</v>
      </c>
      <c r="BU93" s="3">
        <v>0.51999998092651367</v>
      </c>
      <c r="BV93" s="3">
        <v>0.49500000476837158</v>
      </c>
      <c r="BX93" s="3">
        <f t="shared" ca="1" si="164"/>
        <v>0.29880478087649398</v>
      </c>
      <c r="BY93" s="3">
        <f t="shared" ca="1" si="165"/>
        <v>0</v>
      </c>
      <c r="BZ93" s="3">
        <f t="shared" ca="1" si="166"/>
        <v>0</v>
      </c>
      <c r="CA93" s="3">
        <f t="shared" ca="1" si="167"/>
        <v>4.5624532535527305E-2</v>
      </c>
      <c r="CC93" s="3">
        <f t="shared" ca="1" si="168"/>
        <v>0.30303784934581218</v>
      </c>
      <c r="CD93" s="3">
        <f t="shared" ca="1" si="169"/>
        <v>0</v>
      </c>
      <c r="CE93" s="3">
        <f t="shared" ca="1" si="170"/>
        <v>0</v>
      </c>
      <c r="CF93" s="3">
        <f t="shared" ca="1" si="171"/>
        <v>4.9862876437870053E-2</v>
      </c>
      <c r="CH93" s="3">
        <f t="shared" ca="1" si="172"/>
        <v>0.49800796812749004</v>
      </c>
      <c r="CI93" s="3">
        <f t="shared" ca="1" si="173"/>
        <v>0</v>
      </c>
      <c r="CJ93" s="3">
        <f t="shared" ca="1" si="174"/>
        <v>0</v>
      </c>
      <c r="CK93" s="3">
        <f t="shared" ca="1" si="175"/>
        <v>0.24931438544003989</v>
      </c>
      <c r="CM93" s="3">
        <f t="shared" ca="1" si="176"/>
        <v>0.49800796812749004</v>
      </c>
      <c r="CN93" s="3">
        <f t="shared" ca="1" si="177"/>
        <v>0</v>
      </c>
      <c r="CO93" s="3">
        <f t="shared" ca="1" si="178"/>
        <v>0</v>
      </c>
      <c r="CP93" s="3">
        <f t="shared" ca="1" si="179"/>
        <v>0.49862877088007979</v>
      </c>
      <c r="CR93" s="3">
        <v>4.999999888241291E-3</v>
      </c>
      <c r="CS93" s="3">
        <v>4.016</v>
      </c>
      <c r="CT93" s="3">
        <v>4.0309999999999997</v>
      </c>
      <c r="CU93" s="3">
        <v>1.2000000104308128E-2</v>
      </c>
    </row>
    <row r="94" spans="1:99" s="3" customFormat="1" x14ac:dyDescent="0.35">
      <c r="A94" s="2" t="s">
        <v>50</v>
      </c>
      <c r="B94" s="2">
        <v>12.083333333333334</v>
      </c>
      <c r="C94" s="2" t="s">
        <v>168</v>
      </c>
      <c r="D94" s="2" t="s">
        <v>403</v>
      </c>
      <c r="F94" s="3">
        <v>4.0090000000000003</v>
      </c>
      <c r="G94" s="3">
        <v>4.0599999999999996</v>
      </c>
      <c r="H94" s="3">
        <v>4.0469999999999997</v>
      </c>
      <c r="I94" s="3" t="e">
        <v>#N/A</v>
      </c>
      <c r="K94" s="3">
        <f t="shared" ca="1" si="120"/>
        <v>0.99750561237216262</v>
      </c>
      <c r="L94" s="3">
        <f t="shared" ca="1" si="121"/>
        <v>0.99729064039408866</v>
      </c>
      <c r="M94" s="3">
        <f t="shared" ca="1" si="122"/>
        <v>0.99654064739313064</v>
      </c>
      <c r="N94" s="3" t="e">
        <f t="shared" ca="1" si="123"/>
        <v>#N/A</v>
      </c>
      <c r="P94" s="3">
        <f t="shared" ca="1" si="124"/>
        <v>0.94337731492481458</v>
      </c>
      <c r="Q94" s="3">
        <f t="shared" ca="1" si="125"/>
        <v>0.90714291327637564</v>
      </c>
      <c r="R94" s="3">
        <f t="shared" ca="1" si="126"/>
        <v>0.31727213667503606</v>
      </c>
      <c r="S94" s="3" t="e">
        <f t="shared" ca="1" si="127"/>
        <v>#N/A</v>
      </c>
      <c r="U94" s="3">
        <f t="shared" ca="1" si="128"/>
        <v>1.4966325767024193</v>
      </c>
      <c r="V94" s="3">
        <f t="shared" ca="1" si="129"/>
        <v>1.4778325123152711</v>
      </c>
      <c r="W94" s="3">
        <f t="shared" ca="1" si="130"/>
        <v>1.7296763034346432</v>
      </c>
      <c r="X94" s="3" t="e">
        <f t="shared" ca="1" si="131"/>
        <v>#N/A</v>
      </c>
      <c r="Z94" s="3">
        <f t="shared" ca="1" si="132"/>
        <v>0.99750561237216262</v>
      </c>
      <c r="AA94" s="3">
        <f t="shared" ca="1" si="133"/>
        <v>0.99729064039408866</v>
      </c>
      <c r="AB94" s="3">
        <f t="shared" ca="1" si="134"/>
        <v>0.78626142821843359</v>
      </c>
      <c r="AC94" s="3" t="e">
        <f t="shared" ca="1" si="135"/>
        <v>#N/A</v>
      </c>
      <c r="AE94" s="3">
        <f t="shared" ca="1" si="136"/>
        <v>0.94337731492481458</v>
      </c>
      <c r="AF94" s="3">
        <f t="shared" ca="1" si="137"/>
        <v>0.90714291327637564</v>
      </c>
      <c r="AG94" s="3">
        <f t="shared" ca="1" si="138"/>
        <v>0.22238702104802718</v>
      </c>
      <c r="AH94" s="3" t="e">
        <f t="shared" ca="1" si="139"/>
        <v>#N/A</v>
      </c>
      <c r="AJ94" s="3">
        <f t="shared" ca="1" si="140"/>
        <v>1.4966325767024193</v>
      </c>
      <c r="AK94" s="3">
        <f t="shared" ca="1" si="141"/>
        <v>1.4778325123152711</v>
      </c>
      <c r="AL94" s="3">
        <f t="shared" ca="1" si="142"/>
        <v>1.2354830738818878</v>
      </c>
      <c r="AM94" s="3" t="e">
        <f t="shared" ca="1" si="143"/>
        <v>#N/A</v>
      </c>
      <c r="AO94" s="3">
        <f t="shared" ca="1" si="144"/>
        <v>0.24943876278373658</v>
      </c>
      <c r="AP94" s="3">
        <f t="shared" ca="1" si="145"/>
        <v>0.24630541871921185</v>
      </c>
      <c r="AQ94" s="3">
        <f t="shared" ca="1" si="146"/>
        <v>0.7412898443291327</v>
      </c>
      <c r="AR94" s="3" t="e">
        <f t="shared" ca="1" si="147"/>
        <v>#N/A</v>
      </c>
      <c r="AT94" s="3">
        <v>4.0000001899898052E-3</v>
      </c>
      <c r="AU94" s="3">
        <v>3.0000000260770321E-3</v>
      </c>
      <c r="AV94" s="3">
        <v>7.2999998927116394E-2</v>
      </c>
      <c r="AW94" s="11" t="e">
        <v>#N/A</v>
      </c>
      <c r="AY94" s="3">
        <f t="shared" ca="1" si="148"/>
        <v>0.3325018707907208</v>
      </c>
      <c r="AZ94" s="3">
        <f t="shared" ca="1" si="149"/>
        <v>0.27068965517241389</v>
      </c>
      <c r="BA94" s="3">
        <f t="shared" ca="1" si="150"/>
        <v>0.24734371139115405</v>
      </c>
      <c r="BB94" s="3" t="e">
        <f t="shared" ca="1" si="151"/>
        <v>#N/A</v>
      </c>
      <c r="BD94" s="3">
        <f t="shared" ca="1" si="152"/>
        <v>9.553502045477022E-2</v>
      </c>
      <c r="BE94" s="3">
        <f t="shared" ca="1" si="153"/>
        <v>0.27906404340208463</v>
      </c>
      <c r="BF94" s="3">
        <f t="shared" ca="1" si="154"/>
        <v>0.1522115875180044</v>
      </c>
      <c r="BG94" s="3" t="e">
        <f t="shared" ca="1" si="155"/>
        <v>#N/A</v>
      </c>
      <c r="BI94" s="3">
        <f t="shared" ca="1" si="156"/>
        <v>0.24943876278373658</v>
      </c>
      <c r="BJ94" s="3">
        <f t="shared" ca="1" si="157"/>
        <v>0.49261083743842371</v>
      </c>
      <c r="BK94" s="3">
        <f t="shared" ca="1" si="158"/>
        <v>0.7412898443291327</v>
      </c>
      <c r="BL94" s="3" t="e">
        <f t="shared" ca="1" si="159"/>
        <v>#N/A</v>
      </c>
      <c r="BN94" s="3">
        <f t="shared" ca="1" si="160"/>
        <v>0.99775505113494634</v>
      </c>
      <c r="BO94" s="3">
        <f t="shared" ca="1" si="161"/>
        <v>0.98522167487684742</v>
      </c>
      <c r="BP94" s="3">
        <f t="shared" ca="1" si="162"/>
        <v>4.4477390659747966</v>
      </c>
      <c r="BQ94" s="3" t="e">
        <f t="shared" ca="1" si="163"/>
        <v>#N/A</v>
      </c>
      <c r="BS94" s="3">
        <v>1.7369999885559082</v>
      </c>
      <c r="BT94" s="3">
        <v>1.5859999656677246</v>
      </c>
      <c r="BU94" s="3">
        <v>0.8059999942779541</v>
      </c>
      <c r="BV94" s="11" t="e">
        <v>#N/A</v>
      </c>
      <c r="BX94" s="3">
        <f t="shared" ca="1" si="164"/>
        <v>0</v>
      </c>
      <c r="BY94" s="3">
        <f t="shared" ca="1" si="165"/>
        <v>0</v>
      </c>
      <c r="BZ94" s="3">
        <f t="shared" ca="1" si="166"/>
        <v>0</v>
      </c>
      <c r="CA94" s="3" t="e">
        <f t="shared" ca="1" si="167"/>
        <v>#N/A</v>
      </c>
      <c r="CC94" s="3">
        <f t="shared" ca="1" si="168"/>
        <v>0</v>
      </c>
      <c r="CD94" s="3">
        <f t="shared" ca="1" si="169"/>
        <v>0</v>
      </c>
      <c r="CE94" s="3">
        <f t="shared" ca="1" si="170"/>
        <v>0</v>
      </c>
      <c r="CF94" s="3" t="e">
        <f t="shared" ca="1" si="171"/>
        <v>#N/A</v>
      </c>
      <c r="CH94" s="3">
        <f t="shared" ca="1" si="172"/>
        <v>0</v>
      </c>
      <c r="CI94" s="3">
        <f t="shared" ca="1" si="173"/>
        <v>0</v>
      </c>
      <c r="CJ94" s="3">
        <f t="shared" ca="1" si="174"/>
        <v>0</v>
      </c>
      <c r="CK94" s="3" t="e">
        <f t="shared" ca="1" si="175"/>
        <v>#N/A</v>
      </c>
      <c r="CM94" s="3">
        <f t="shared" ca="1" si="176"/>
        <v>0</v>
      </c>
      <c r="CN94" s="3">
        <f t="shared" ca="1" si="177"/>
        <v>0</v>
      </c>
      <c r="CO94" s="3">
        <f t="shared" ca="1" si="178"/>
        <v>0</v>
      </c>
      <c r="CP94" s="3" t="e">
        <f t="shared" ca="1" si="179"/>
        <v>#N/A</v>
      </c>
      <c r="CR94" s="3">
        <v>4.0090000000000003</v>
      </c>
      <c r="CS94" s="3">
        <v>4.0599999999999996</v>
      </c>
      <c r="CT94" s="3">
        <v>4.0469999999999997</v>
      </c>
      <c r="CU94" s="11" t="e">
        <v>#N/A</v>
      </c>
    </row>
    <row r="95" spans="1:99" s="3" customFormat="1" x14ac:dyDescent="0.35">
      <c r="A95" s="2" t="s">
        <v>11</v>
      </c>
      <c r="B95" s="2">
        <v>12.25</v>
      </c>
      <c r="C95" s="2" t="s">
        <v>167</v>
      </c>
      <c r="D95" s="2" t="s">
        <v>403</v>
      </c>
      <c r="F95" s="3">
        <v>4.032</v>
      </c>
      <c r="G95" s="3">
        <v>4.016</v>
      </c>
      <c r="H95" s="3">
        <v>4.016</v>
      </c>
      <c r="I95" s="3">
        <v>4.016</v>
      </c>
      <c r="K95" s="3">
        <f t="shared" ca="1" si="120"/>
        <v>0.99603174603174605</v>
      </c>
      <c r="L95" s="3">
        <f t="shared" ca="1" si="121"/>
        <v>0.99576693227091639</v>
      </c>
      <c r="M95" s="3">
        <f t="shared" ca="1" si="122"/>
        <v>0.99576693227091628</v>
      </c>
      <c r="N95" s="3">
        <f t="shared" ca="1" si="123"/>
        <v>0.99576693227091628</v>
      </c>
      <c r="P95" s="3">
        <f t="shared" ca="1" si="124"/>
        <v>0.94618059376934693</v>
      </c>
      <c r="Q95" s="3">
        <f t="shared" ca="1" si="125"/>
        <v>0.94596601225944987</v>
      </c>
      <c r="R95" s="3">
        <f t="shared" ca="1" si="126"/>
        <v>0.95866532011636607</v>
      </c>
      <c r="S95" s="3">
        <f t="shared" ca="1" si="127"/>
        <v>0.9748506314766805</v>
      </c>
      <c r="U95" s="3">
        <f t="shared" ca="1" si="128"/>
        <v>1.9841269841269842</v>
      </c>
      <c r="V95" s="3">
        <f t="shared" ca="1" si="129"/>
        <v>3.237051792828685</v>
      </c>
      <c r="W95" s="3">
        <f t="shared" ca="1" si="130"/>
        <v>2.4900398406374502</v>
      </c>
      <c r="X95" s="3">
        <f t="shared" ca="1" si="131"/>
        <v>1.4940239043824701</v>
      </c>
      <c r="Z95" s="3">
        <f t="shared" ca="1" si="132"/>
        <v>0.99603174603174605</v>
      </c>
      <c r="AA95" s="3">
        <f t="shared" ca="1" si="133"/>
        <v>0.99576693227091639</v>
      </c>
      <c r="AB95" s="3">
        <f t="shared" ca="1" si="134"/>
        <v>0.99576693227091628</v>
      </c>
      <c r="AC95" s="3">
        <f t="shared" ca="1" si="135"/>
        <v>0.99576693227091628</v>
      </c>
      <c r="AE95" s="3">
        <f t="shared" ca="1" si="136"/>
        <v>0.94618059376934693</v>
      </c>
      <c r="AF95" s="3">
        <f t="shared" ca="1" si="137"/>
        <v>0.94596601225944987</v>
      </c>
      <c r="AG95" s="3">
        <f t="shared" ca="1" si="138"/>
        <v>0.95866532011636607</v>
      </c>
      <c r="AH95" s="3">
        <f t="shared" ca="1" si="139"/>
        <v>0.9748506314766805</v>
      </c>
      <c r="AJ95" s="3">
        <f t="shared" ca="1" si="140"/>
        <v>1.9841269841269842</v>
      </c>
      <c r="AK95" s="3">
        <f t="shared" ca="1" si="141"/>
        <v>3.237051792828685</v>
      </c>
      <c r="AL95" s="3">
        <f t="shared" ca="1" si="142"/>
        <v>2.4900398406374502</v>
      </c>
      <c r="AM95" s="3">
        <f t="shared" ca="1" si="143"/>
        <v>1.4940239043824701</v>
      </c>
      <c r="AO95" s="3">
        <f t="shared" ca="1" si="144"/>
        <v>0.24801587301587302</v>
      </c>
      <c r="AP95" s="3">
        <f t="shared" ca="1" si="145"/>
        <v>0.24900398406374502</v>
      </c>
      <c r="AQ95" s="3">
        <f t="shared" ca="1" si="146"/>
        <v>0.24900398406374502</v>
      </c>
      <c r="AR95" s="3">
        <f t="shared" ca="1" si="147"/>
        <v>0.24900398406374502</v>
      </c>
      <c r="AT95" s="3">
        <v>1.0999999940395355E-2</v>
      </c>
      <c r="AU95" s="3">
        <v>1.0000000474974513E-3</v>
      </c>
      <c r="AV95" s="3">
        <v>3.0000000260770321E-3</v>
      </c>
      <c r="AW95" s="3">
        <v>4.999999888241291E-3</v>
      </c>
      <c r="AY95" s="3">
        <f t="shared" ca="1" si="148"/>
        <v>0.39260912698412692</v>
      </c>
      <c r="AZ95" s="3">
        <f t="shared" ca="1" si="149"/>
        <v>0.30702191235059761</v>
      </c>
      <c r="BA95" s="3">
        <f t="shared" ca="1" si="150"/>
        <v>0.53137450199203196</v>
      </c>
      <c r="BB95" s="3">
        <f t="shared" ca="1" si="151"/>
        <v>0.3070219123505975</v>
      </c>
      <c r="BD95" s="3">
        <f t="shared" ca="1" si="152"/>
        <v>0.40476189719306099</v>
      </c>
      <c r="BE95" s="3">
        <f t="shared" ca="1" si="153"/>
        <v>0.31947205028685915</v>
      </c>
      <c r="BF95" s="3">
        <f t="shared" ca="1" si="154"/>
        <v>0.54382468052894861</v>
      </c>
      <c r="BG95" s="3">
        <f t="shared" ca="1" si="155"/>
        <v>0.3027888645688851</v>
      </c>
      <c r="BI95" s="3">
        <f t="shared" ca="1" si="156"/>
        <v>0.99206349206349209</v>
      </c>
      <c r="BJ95" s="3">
        <f t="shared" ca="1" si="157"/>
        <v>0.99601593625498008</v>
      </c>
      <c r="BK95" s="3">
        <f t="shared" ca="1" si="158"/>
        <v>1.2450199203187251</v>
      </c>
      <c r="BL95" s="3">
        <f t="shared" ca="1" si="159"/>
        <v>0.74701195219123506</v>
      </c>
      <c r="BN95" s="3">
        <f t="shared" ca="1" si="160"/>
        <v>0.99206349206349209</v>
      </c>
      <c r="BO95" s="3">
        <f t="shared" ca="1" si="161"/>
        <v>0.99601593625498008</v>
      </c>
      <c r="BP95" s="3">
        <f t="shared" ca="1" si="162"/>
        <v>0.74701195219123506</v>
      </c>
      <c r="BQ95" s="3">
        <f t="shared" ca="1" si="163"/>
        <v>1.2450199203187251</v>
      </c>
      <c r="BS95" s="3">
        <v>1.0110000371932983</v>
      </c>
      <c r="BT95" s="3">
        <v>0.43500000238418579</v>
      </c>
      <c r="BU95" s="3">
        <v>3.0000000260770321E-3</v>
      </c>
      <c r="BV95" s="3">
        <v>0.3880000114440918</v>
      </c>
      <c r="BX95" s="3">
        <f t="shared" ca="1" si="164"/>
        <v>0</v>
      </c>
      <c r="BY95" s="3">
        <f t="shared" ca="1" si="165"/>
        <v>8.690239043824706E-2</v>
      </c>
      <c r="BZ95" s="3">
        <f t="shared" ca="1" si="166"/>
        <v>0</v>
      </c>
      <c r="CA95" s="3">
        <f t="shared" ca="1" si="167"/>
        <v>0</v>
      </c>
      <c r="CC95" s="3">
        <f t="shared" ca="1" si="168"/>
        <v>0</v>
      </c>
      <c r="CD95" s="3">
        <f t="shared" ca="1" si="169"/>
        <v>9.5368500249794277E-2</v>
      </c>
      <c r="CE95" s="3">
        <f t="shared" ca="1" si="170"/>
        <v>0</v>
      </c>
      <c r="CF95" s="3">
        <f t="shared" ca="1" si="171"/>
        <v>0</v>
      </c>
      <c r="CH95" s="3">
        <f t="shared" ca="1" si="172"/>
        <v>0</v>
      </c>
      <c r="CI95" s="3">
        <f t="shared" ca="1" si="173"/>
        <v>0.24900398406374502</v>
      </c>
      <c r="CJ95" s="3">
        <f t="shared" ca="1" si="174"/>
        <v>0</v>
      </c>
      <c r="CK95" s="3">
        <f t="shared" ca="1" si="175"/>
        <v>0</v>
      </c>
      <c r="CM95" s="3">
        <f t="shared" ca="1" si="176"/>
        <v>0</v>
      </c>
      <c r="CN95" s="3">
        <f t="shared" ca="1" si="177"/>
        <v>0.24900398406374502</v>
      </c>
      <c r="CO95" s="3">
        <f t="shared" ca="1" si="178"/>
        <v>0</v>
      </c>
      <c r="CP95" s="3">
        <f t="shared" ca="1" si="179"/>
        <v>0</v>
      </c>
      <c r="CR95" s="3">
        <v>4.032</v>
      </c>
      <c r="CS95" s="3">
        <v>2.8840000629425049</v>
      </c>
      <c r="CT95" s="3">
        <v>4.016</v>
      </c>
      <c r="CU95" s="3">
        <v>4.016</v>
      </c>
    </row>
    <row r="96" spans="1:99" s="3" customFormat="1" x14ac:dyDescent="0.35">
      <c r="A96" s="2" t="s">
        <v>60</v>
      </c>
      <c r="B96" s="2">
        <v>13</v>
      </c>
      <c r="C96" s="2" t="s">
        <v>167</v>
      </c>
      <c r="D96" s="2" t="s">
        <v>403</v>
      </c>
      <c r="F96" s="3">
        <v>4.0110000000000001</v>
      </c>
      <c r="G96" s="3">
        <v>4.01</v>
      </c>
      <c r="H96" s="3">
        <v>4.01</v>
      </c>
      <c r="I96" s="3">
        <v>4.01</v>
      </c>
      <c r="K96" s="3">
        <f t="shared" ca="1" si="120"/>
        <v>0.99700822737471961</v>
      </c>
      <c r="L96" s="3">
        <f t="shared" ca="1" si="121"/>
        <v>0.99725685785536178</v>
      </c>
      <c r="M96" s="3">
        <f t="shared" ca="1" si="122"/>
        <v>0.99301745635910232</v>
      </c>
      <c r="N96" s="3">
        <f t="shared" ca="1" si="123"/>
        <v>0.99725685785536178</v>
      </c>
      <c r="P96" s="3">
        <f t="shared" ca="1" si="124"/>
        <v>0.97157809455193833</v>
      </c>
      <c r="Q96" s="3">
        <f t="shared" ca="1" si="125"/>
        <v>0.92194498542166714</v>
      </c>
      <c r="R96" s="3">
        <f t="shared" ca="1" si="126"/>
        <v>0.95137157094225921</v>
      </c>
      <c r="S96" s="3">
        <f t="shared" ca="1" si="127"/>
        <v>0.93915215106982919</v>
      </c>
      <c r="U96" s="3">
        <f t="shared" ca="1" si="128"/>
        <v>1.7452006980802792</v>
      </c>
      <c r="V96" s="3">
        <f t="shared" ca="1" si="129"/>
        <v>3.7406483790523692</v>
      </c>
      <c r="W96" s="3">
        <f t="shared" ca="1" si="130"/>
        <v>2.7431421446384041</v>
      </c>
      <c r="X96" s="3">
        <f t="shared" ca="1" si="131"/>
        <v>1.4962593516209477</v>
      </c>
      <c r="Z96" s="3">
        <f t="shared" ca="1" si="132"/>
        <v>0.99700822737471961</v>
      </c>
      <c r="AA96" s="3">
        <f t="shared" ca="1" si="133"/>
        <v>0.99725685785536178</v>
      </c>
      <c r="AB96" s="3">
        <f t="shared" ca="1" si="134"/>
        <v>0.99301745635910232</v>
      </c>
      <c r="AC96" s="3">
        <f t="shared" ca="1" si="135"/>
        <v>0.99725685785536178</v>
      </c>
      <c r="AE96" s="3">
        <f t="shared" ca="1" si="136"/>
        <v>0.97157809455193833</v>
      </c>
      <c r="AF96" s="3">
        <f t="shared" ca="1" si="137"/>
        <v>0.92194498542166714</v>
      </c>
      <c r="AG96" s="3">
        <f t="shared" ca="1" si="138"/>
        <v>0.95137157094225921</v>
      </c>
      <c r="AH96" s="3">
        <f t="shared" ca="1" si="139"/>
        <v>0.93915215106982919</v>
      </c>
      <c r="AJ96" s="3">
        <f t="shared" ca="1" si="140"/>
        <v>1.7452006980802792</v>
      </c>
      <c r="AK96" s="3">
        <f t="shared" ca="1" si="141"/>
        <v>3.7406483790523692</v>
      </c>
      <c r="AL96" s="3">
        <f t="shared" ca="1" si="142"/>
        <v>2.7431421446384041</v>
      </c>
      <c r="AM96" s="3">
        <f t="shared" ca="1" si="143"/>
        <v>1.4962593516209477</v>
      </c>
      <c r="AO96" s="3">
        <f t="shared" ca="1" si="144"/>
        <v>0.24931438544003989</v>
      </c>
      <c r="AP96" s="3">
        <f t="shared" ca="1" si="145"/>
        <v>0.24937655860349128</v>
      </c>
      <c r="AQ96" s="3">
        <f t="shared" ca="1" si="146"/>
        <v>0.24937655860349128</v>
      </c>
      <c r="AR96" s="3">
        <f t="shared" ca="1" si="147"/>
        <v>0.24937655860349128</v>
      </c>
      <c r="AT96" s="3">
        <v>9.9999997764825821E-3</v>
      </c>
      <c r="AU96" s="3">
        <v>9.9999997764825821E-3</v>
      </c>
      <c r="AV96" s="3">
        <v>1.6000000759959221E-2</v>
      </c>
      <c r="AW96" s="3">
        <v>2.0000000949949026E-3</v>
      </c>
      <c r="AY96" s="3">
        <f t="shared" ca="1" si="148"/>
        <v>0.45724258289703312</v>
      </c>
      <c r="AZ96" s="3">
        <f t="shared" ca="1" si="149"/>
        <v>5.41147132169576E-2</v>
      </c>
      <c r="BA96" s="3">
        <f t="shared" ca="1" si="150"/>
        <v>0.44862842892768084</v>
      </c>
      <c r="BB96" s="3">
        <f t="shared" ca="1" si="151"/>
        <v>0.28678304239401503</v>
      </c>
      <c r="BD96" s="3">
        <f t="shared" ca="1" si="152"/>
        <v>0.38618798922850467</v>
      </c>
      <c r="BE96" s="3">
        <f t="shared" ca="1" si="153"/>
        <v>6.6334135514542356E-2</v>
      </c>
      <c r="BF96" s="3">
        <f t="shared" ca="1" si="154"/>
        <v>0.39476314536353896</v>
      </c>
      <c r="BG96" s="3">
        <f t="shared" ca="1" si="155"/>
        <v>0.24114713407216823</v>
      </c>
      <c r="BI96" s="3">
        <f t="shared" ca="1" si="156"/>
        <v>0.74794315632011965</v>
      </c>
      <c r="BJ96" s="3">
        <f t="shared" ca="1" si="157"/>
        <v>0.49875311720698257</v>
      </c>
      <c r="BK96" s="3">
        <f t="shared" ca="1" si="158"/>
        <v>1.2468827930174564</v>
      </c>
      <c r="BL96" s="3">
        <f t="shared" ca="1" si="159"/>
        <v>0.74812967581047385</v>
      </c>
      <c r="BN96" s="3">
        <f t="shared" ca="1" si="160"/>
        <v>0.99725754176015957</v>
      </c>
      <c r="BO96" s="3">
        <f t="shared" ca="1" si="161"/>
        <v>0.74812967581047385</v>
      </c>
      <c r="BP96" s="3">
        <f t="shared" ca="1" si="162"/>
        <v>0.49875311720698257</v>
      </c>
      <c r="BQ96" s="3">
        <f t="shared" ca="1" si="163"/>
        <v>0.49875311720698257</v>
      </c>
      <c r="BS96" s="3">
        <v>0.34299999475479126</v>
      </c>
      <c r="BT96" s="3">
        <v>0.31000000238418579</v>
      </c>
      <c r="BU96" s="3">
        <v>0.43299999833106995</v>
      </c>
      <c r="BV96" s="3">
        <v>2.5510001182556152</v>
      </c>
      <c r="BX96" s="3">
        <f t="shared" ca="1" si="164"/>
        <v>0.13712291199202201</v>
      </c>
      <c r="BY96" s="3">
        <f t="shared" ca="1" si="165"/>
        <v>0.14538653366583545</v>
      </c>
      <c r="BZ96" s="3">
        <f t="shared" ca="1" si="166"/>
        <v>0</v>
      </c>
      <c r="CA96" s="3">
        <f t="shared" ca="1" si="167"/>
        <v>0</v>
      </c>
      <c r="CC96" s="3">
        <f t="shared" ca="1" si="168"/>
        <v>0.13712284066260411</v>
      </c>
      <c r="CD96" s="3">
        <f t="shared" ca="1" si="169"/>
        <v>0.18279299771696553</v>
      </c>
      <c r="CE96" s="3">
        <f t="shared" ca="1" si="170"/>
        <v>0</v>
      </c>
      <c r="CF96" s="3">
        <f t="shared" ca="1" si="171"/>
        <v>0</v>
      </c>
      <c r="CH96" s="3">
        <f t="shared" ca="1" si="172"/>
        <v>0.24931438544003989</v>
      </c>
      <c r="CI96" s="3">
        <f t="shared" ca="1" si="173"/>
        <v>0.24937655860349128</v>
      </c>
      <c r="CJ96" s="3">
        <f t="shared" ca="1" si="174"/>
        <v>0</v>
      </c>
      <c r="CK96" s="3">
        <f t="shared" ca="1" si="175"/>
        <v>0</v>
      </c>
      <c r="CM96" s="3">
        <f t="shared" ca="1" si="176"/>
        <v>0.24931438544003989</v>
      </c>
      <c r="CN96" s="3">
        <f t="shared" ca="1" si="177"/>
        <v>0.24937655860349128</v>
      </c>
      <c r="CO96" s="3">
        <f t="shared" ca="1" si="178"/>
        <v>0</v>
      </c>
      <c r="CP96" s="3">
        <f t="shared" ca="1" si="179"/>
        <v>0</v>
      </c>
      <c r="CR96" s="3">
        <v>3.4590001106262207</v>
      </c>
      <c r="CS96" s="3">
        <v>1.9259999990463257</v>
      </c>
      <c r="CT96" s="3">
        <v>4.01</v>
      </c>
      <c r="CU96" s="3">
        <v>4.01</v>
      </c>
    </row>
    <row r="97" spans="1:99" s="5" customFormat="1" x14ac:dyDescent="0.35">
      <c r="A97" s="4" t="s">
        <v>104</v>
      </c>
      <c r="B97" s="4">
        <v>2.6666666666666665</v>
      </c>
      <c r="C97" s="4" t="s">
        <v>167</v>
      </c>
      <c r="D97" s="4" t="s">
        <v>404</v>
      </c>
      <c r="E97" s="3"/>
      <c r="F97" s="5">
        <v>4.01</v>
      </c>
      <c r="G97" s="5">
        <v>4.016</v>
      </c>
      <c r="H97" s="5">
        <v>4.0149999999999997</v>
      </c>
      <c r="I97" s="5">
        <v>4.016</v>
      </c>
      <c r="K97" s="3">
        <f t="shared" ca="1" si="120"/>
        <v>0.99725685785536167</v>
      </c>
      <c r="L97" s="3">
        <f t="shared" ca="1" si="121"/>
        <v>0.9957669322709165</v>
      </c>
      <c r="M97" s="3">
        <f t="shared" ca="1" si="122"/>
        <v>0.99178082191780836</v>
      </c>
      <c r="N97" s="3">
        <f t="shared" ca="1" si="123"/>
        <v>0.99576693227091639</v>
      </c>
      <c r="P97" s="3">
        <f t="shared" ca="1" si="124"/>
        <v>0.86034907520449078</v>
      </c>
      <c r="Q97" s="3">
        <f t="shared" ca="1" si="125"/>
        <v>0.86678286363413382</v>
      </c>
      <c r="R97" s="3">
        <f t="shared" ca="1" si="126"/>
        <v>0.93823162047830355</v>
      </c>
      <c r="S97" s="3">
        <f t="shared" ca="1" si="127"/>
        <v>0.84213144400999307</v>
      </c>
      <c r="U97" s="3">
        <f t="shared" ca="1" si="128"/>
        <v>1.745635910224439</v>
      </c>
      <c r="V97" s="3">
        <f t="shared" ca="1" si="129"/>
        <v>2.4900398406374502</v>
      </c>
      <c r="W97" s="3">
        <f t="shared" ca="1" si="130"/>
        <v>2.7397260273972606</v>
      </c>
      <c r="X97" s="3">
        <f t="shared" ca="1" si="131"/>
        <v>2.4900398406374502</v>
      </c>
      <c r="Z97" s="3">
        <f t="shared" ca="1" si="132"/>
        <v>0.88528678304239417</v>
      </c>
      <c r="AA97" s="3">
        <f t="shared" ca="1" si="133"/>
        <v>0.9957669322709165</v>
      </c>
      <c r="AB97" s="3">
        <f t="shared" ca="1" si="134"/>
        <v>0.99178082191780836</v>
      </c>
      <c r="AC97" s="3">
        <f t="shared" ca="1" si="135"/>
        <v>0.99576693227091639</v>
      </c>
      <c r="AE97" s="3">
        <f t="shared" ca="1" si="136"/>
        <v>0.86034907520449078</v>
      </c>
      <c r="AF97" s="3">
        <f t="shared" ca="1" si="137"/>
        <v>0.86678286363413382</v>
      </c>
      <c r="AG97" s="3">
        <f t="shared" ca="1" si="138"/>
        <v>0.93823162047830355</v>
      </c>
      <c r="AH97" s="3">
        <f t="shared" ca="1" si="139"/>
        <v>0.84213144400999307</v>
      </c>
      <c r="AJ97" s="3">
        <f t="shared" ca="1" si="140"/>
        <v>1.745635910224439</v>
      </c>
      <c r="AK97" s="3">
        <f t="shared" ca="1" si="141"/>
        <v>2.4900398406374502</v>
      </c>
      <c r="AL97" s="3">
        <f t="shared" ca="1" si="142"/>
        <v>2.7397260273972606</v>
      </c>
      <c r="AM97" s="3">
        <f t="shared" ca="1" si="143"/>
        <v>2.4900398406374502</v>
      </c>
      <c r="AO97" s="3">
        <f t="shared" ca="1" si="144"/>
        <v>0.74812967581047385</v>
      </c>
      <c r="AP97" s="3">
        <f t="shared" ca="1" si="145"/>
        <v>0.24900398406374502</v>
      </c>
      <c r="AQ97" s="3">
        <f t="shared" ca="1" si="146"/>
        <v>0.24906600249066005</v>
      </c>
      <c r="AR97" s="3">
        <f t="shared" ca="1" si="147"/>
        <v>0.24900398406374502</v>
      </c>
      <c r="AT97" s="5">
        <v>6.0000000521540642E-3</v>
      </c>
      <c r="AU97" s="5">
        <v>2.0000000949949026E-3</v>
      </c>
      <c r="AV97" s="5">
        <v>4.8999998718500137E-2</v>
      </c>
      <c r="AW97" s="5">
        <v>7.0000002160668373E-3</v>
      </c>
      <c r="AY97" s="3">
        <f t="shared" ca="1" si="148"/>
        <v>0.47381546134663344</v>
      </c>
      <c r="AZ97" s="3">
        <f t="shared" ca="1" si="149"/>
        <v>0.4272908366533863</v>
      </c>
      <c r="BA97" s="3">
        <f t="shared" ca="1" si="150"/>
        <v>0.80498132004981338</v>
      </c>
      <c r="BB97" s="3">
        <f t="shared" ca="1" si="151"/>
        <v>0.39840637450199207</v>
      </c>
      <c r="BD97" s="3">
        <f t="shared" ca="1" si="152"/>
        <v>0.51920201415730238</v>
      </c>
      <c r="BE97" s="3">
        <f t="shared" ca="1" si="153"/>
        <v>0.53087650126669983</v>
      </c>
      <c r="BF97" s="3">
        <f t="shared" ca="1" si="154"/>
        <v>0.85504357871201686</v>
      </c>
      <c r="BG97" s="3">
        <f t="shared" ca="1" si="155"/>
        <v>0.34860555691073142</v>
      </c>
      <c r="BI97" s="3">
        <f t="shared" ca="1" si="156"/>
        <v>0.74812967581047385</v>
      </c>
      <c r="BJ97" s="3">
        <f t="shared" ca="1" si="157"/>
        <v>1.2450199203187251</v>
      </c>
      <c r="BK97" s="3">
        <f t="shared" ca="1" si="158"/>
        <v>2.4906600249066004</v>
      </c>
      <c r="BL97" s="3">
        <f t="shared" ca="1" si="159"/>
        <v>0.74701195219123506</v>
      </c>
      <c r="BN97" s="3">
        <f t="shared" ca="1" si="160"/>
        <v>0.74812967581047385</v>
      </c>
      <c r="BO97" s="3">
        <f t="shared" ca="1" si="161"/>
        <v>1.2450199203187251</v>
      </c>
      <c r="BP97" s="3">
        <f t="shared" ca="1" si="162"/>
        <v>0.9962640099626402</v>
      </c>
      <c r="BQ97" s="3">
        <f t="shared" ca="1" si="163"/>
        <v>0.99601593625498008</v>
      </c>
      <c r="BS97" s="5">
        <v>0.53899997472763062</v>
      </c>
      <c r="BT97" s="5">
        <v>0.5350000262260437</v>
      </c>
      <c r="BU97" s="5">
        <v>0.39899998903274536</v>
      </c>
      <c r="BV97" s="5">
        <v>0.68999999761581421</v>
      </c>
      <c r="BX97" s="3">
        <f t="shared" ca="1" si="164"/>
        <v>0</v>
      </c>
      <c r="BY97" s="3">
        <f t="shared" ca="1" si="165"/>
        <v>5.8017928286852614E-2</v>
      </c>
      <c r="BZ97" s="3">
        <f t="shared" ca="1" si="166"/>
        <v>0</v>
      </c>
      <c r="CA97" s="3">
        <f t="shared" ca="1" si="167"/>
        <v>0</v>
      </c>
      <c r="CC97" s="3">
        <f t="shared" ca="1" si="168"/>
        <v>0</v>
      </c>
      <c r="CD97" s="3">
        <f t="shared" ca="1" si="169"/>
        <v>0</v>
      </c>
      <c r="CE97" s="3">
        <f t="shared" ca="1" si="170"/>
        <v>0</v>
      </c>
      <c r="CF97" s="3">
        <f t="shared" ca="1" si="171"/>
        <v>0</v>
      </c>
      <c r="CH97" s="3">
        <f t="shared" ca="1" si="172"/>
        <v>0</v>
      </c>
      <c r="CI97" s="3">
        <f t="shared" ca="1" si="173"/>
        <v>0</v>
      </c>
      <c r="CJ97" s="3">
        <f t="shared" ca="1" si="174"/>
        <v>0</v>
      </c>
      <c r="CK97" s="3">
        <f t="shared" ca="1" si="175"/>
        <v>0</v>
      </c>
      <c r="CM97" s="3">
        <f t="shared" ca="1" si="176"/>
        <v>0</v>
      </c>
      <c r="CN97" s="3">
        <f t="shared" ca="1" si="177"/>
        <v>0.24900398406374502</v>
      </c>
      <c r="CO97" s="3">
        <f t="shared" ca="1" si="178"/>
        <v>0.24906600249066005</v>
      </c>
      <c r="CP97" s="3">
        <f t="shared" ca="1" si="179"/>
        <v>0.49800796812749004</v>
      </c>
      <c r="CR97" s="5">
        <v>4.01</v>
      </c>
      <c r="CS97" s="5">
        <v>4.016</v>
      </c>
      <c r="CT97" s="5">
        <v>4.0149999999999997</v>
      </c>
      <c r="CU97" s="5">
        <v>4.016</v>
      </c>
    </row>
    <row r="98" spans="1:99" s="5" customFormat="1" x14ac:dyDescent="0.35">
      <c r="A98" s="4" t="s">
        <v>103</v>
      </c>
      <c r="B98" s="4">
        <v>3.3333333333333335</v>
      </c>
      <c r="C98" s="4" t="s">
        <v>168</v>
      </c>
      <c r="D98" s="4" t="s">
        <v>404</v>
      </c>
      <c r="E98" s="3"/>
      <c r="F98" s="5" t="e">
        <v>#N/A</v>
      </c>
      <c r="G98" s="11" t="e">
        <v>#N/A</v>
      </c>
      <c r="H98" s="11" t="e">
        <v>#N/A</v>
      </c>
      <c r="I98" s="11" t="e">
        <v>#N/A</v>
      </c>
      <c r="K98" s="3" t="e">
        <f t="shared" ca="1" si="120"/>
        <v>#N/A</v>
      </c>
      <c r="L98" s="3" t="e">
        <f t="shared" ca="1" si="121"/>
        <v>#N/A</v>
      </c>
      <c r="M98" s="3" t="e">
        <f t="shared" ca="1" si="122"/>
        <v>#N/A</v>
      </c>
      <c r="N98" s="3" t="e">
        <f t="shared" ca="1" si="123"/>
        <v>#N/A</v>
      </c>
      <c r="P98" s="3" t="e">
        <f t="shared" ca="1" si="124"/>
        <v>#N/A</v>
      </c>
      <c r="Q98" s="3" t="e">
        <f t="shared" ca="1" si="125"/>
        <v>#N/A</v>
      </c>
      <c r="R98" s="3" t="e">
        <f t="shared" ca="1" si="126"/>
        <v>#N/A</v>
      </c>
      <c r="S98" s="3" t="e">
        <f t="shared" ca="1" si="127"/>
        <v>#N/A</v>
      </c>
      <c r="U98" s="3" t="e">
        <f t="shared" ca="1" si="128"/>
        <v>#N/A</v>
      </c>
      <c r="V98" s="3" t="e">
        <f t="shared" ca="1" si="129"/>
        <v>#N/A</v>
      </c>
      <c r="W98" s="3" t="e">
        <f t="shared" ca="1" si="130"/>
        <v>#N/A</v>
      </c>
      <c r="X98" s="3" t="e">
        <f t="shared" ca="1" si="131"/>
        <v>#N/A</v>
      </c>
      <c r="Z98" s="3" t="e">
        <f t="shared" ca="1" si="132"/>
        <v>#N/A</v>
      </c>
      <c r="AA98" s="3" t="e">
        <f t="shared" ca="1" si="133"/>
        <v>#N/A</v>
      </c>
      <c r="AB98" s="3" t="e">
        <f t="shared" ca="1" si="134"/>
        <v>#N/A</v>
      </c>
      <c r="AC98" s="3" t="e">
        <f t="shared" ca="1" si="135"/>
        <v>#N/A</v>
      </c>
      <c r="AE98" s="3" t="e">
        <f t="shared" ca="1" si="136"/>
        <v>#N/A</v>
      </c>
      <c r="AF98" s="3" t="e">
        <f t="shared" ca="1" si="137"/>
        <v>#N/A</v>
      </c>
      <c r="AG98" s="3" t="e">
        <f t="shared" ca="1" si="138"/>
        <v>#N/A</v>
      </c>
      <c r="AH98" s="3" t="e">
        <f t="shared" ca="1" si="139"/>
        <v>#N/A</v>
      </c>
      <c r="AJ98" s="3" t="e">
        <f t="shared" ca="1" si="140"/>
        <v>#N/A</v>
      </c>
      <c r="AK98" s="3" t="e">
        <f t="shared" ca="1" si="141"/>
        <v>#N/A</v>
      </c>
      <c r="AL98" s="3" t="e">
        <f t="shared" ca="1" si="142"/>
        <v>#N/A</v>
      </c>
      <c r="AM98" s="3" t="e">
        <f t="shared" ca="1" si="143"/>
        <v>#N/A</v>
      </c>
      <c r="AO98" s="3" t="e">
        <f t="shared" ca="1" si="144"/>
        <v>#N/A</v>
      </c>
      <c r="AP98" s="3" t="e">
        <f t="shared" ca="1" si="145"/>
        <v>#N/A</v>
      </c>
      <c r="AQ98" s="3" t="e">
        <f t="shared" ca="1" si="146"/>
        <v>#N/A</v>
      </c>
      <c r="AR98" s="3" t="e">
        <f t="shared" ca="1" si="147"/>
        <v>#N/A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Y98" s="3" t="e">
        <f t="shared" ca="1" si="148"/>
        <v>#N/A</v>
      </c>
      <c r="AZ98" s="3" t="e">
        <f t="shared" ca="1" si="149"/>
        <v>#N/A</v>
      </c>
      <c r="BA98" s="3" t="e">
        <f t="shared" ca="1" si="150"/>
        <v>#N/A</v>
      </c>
      <c r="BB98" s="3" t="e">
        <f t="shared" ca="1" si="151"/>
        <v>#N/A</v>
      </c>
      <c r="BD98" s="3" t="e">
        <f t="shared" ca="1" si="152"/>
        <v>#N/A</v>
      </c>
      <c r="BE98" s="3" t="e">
        <f t="shared" ca="1" si="153"/>
        <v>#N/A</v>
      </c>
      <c r="BF98" s="3" t="e">
        <f t="shared" ca="1" si="154"/>
        <v>#N/A</v>
      </c>
      <c r="BG98" s="3" t="e">
        <f t="shared" ca="1" si="155"/>
        <v>#N/A</v>
      </c>
      <c r="BI98" s="3" t="e">
        <f t="shared" ca="1" si="156"/>
        <v>#N/A</v>
      </c>
      <c r="BJ98" s="3" t="e">
        <f t="shared" ca="1" si="157"/>
        <v>#N/A</v>
      </c>
      <c r="BK98" s="3" t="e">
        <f t="shared" ca="1" si="158"/>
        <v>#N/A</v>
      </c>
      <c r="BL98" s="3" t="e">
        <f t="shared" ca="1" si="159"/>
        <v>#N/A</v>
      </c>
      <c r="BN98" s="3" t="e">
        <f t="shared" ca="1" si="160"/>
        <v>#N/A</v>
      </c>
      <c r="BO98" s="3" t="e">
        <f t="shared" ca="1" si="161"/>
        <v>#N/A</v>
      </c>
      <c r="BP98" s="3" t="e">
        <f t="shared" ca="1" si="162"/>
        <v>#N/A</v>
      </c>
      <c r="BQ98" s="3" t="e">
        <f t="shared" ca="1" si="163"/>
        <v>#N/A</v>
      </c>
      <c r="BS98" s="11" t="e">
        <v>#N/A</v>
      </c>
      <c r="BT98" s="11" t="e">
        <v>#N/A</v>
      </c>
      <c r="BU98" s="11" t="e">
        <v>#N/A</v>
      </c>
      <c r="BV98" s="11" t="e">
        <v>#N/A</v>
      </c>
      <c r="BX98" s="3" t="e">
        <f t="shared" ca="1" si="164"/>
        <v>#N/A</v>
      </c>
      <c r="BY98" s="3" t="e">
        <f t="shared" ca="1" si="165"/>
        <v>#N/A</v>
      </c>
      <c r="BZ98" s="3" t="e">
        <f t="shared" ca="1" si="166"/>
        <v>#N/A</v>
      </c>
      <c r="CA98" s="3" t="e">
        <f t="shared" ca="1" si="167"/>
        <v>#N/A</v>
      </c>
      <c r="CC98" s="3" t="e">
        <f t="shared" ca="1" si="168"/>
        <v>#N/A</v>
      </c>
      <c r="CD98" s="3" t="e">
        <f t="shared" ca="1" si="169"/>
        <v>#N/A</v>
      </c>
      <c r="CE98" s="3" t="e">
        <f t="shared" ca="1" si="170"/>
        <v>#N/A</v>
      </c>
      <c r="CF98" s="3" t="e">
        <f t="shared" ca="1" si="171"/>
        <v>#N/A</v>
      </c>
      <c r="CH98" s="3" t="e">
        <f t="shared" ca="1" si="172"/>
        <v>#N/A</v>
      </c>
      <c r="CI98" s="3" t="e">
        <f t="shared" ca="1" si="173"/>
        <v>#N/A</v>
      </c>
      <c r="CJ98" s="3" t="e">
        <f t="shared" ca="1" si="174"/>
        <v>#N/A</v>
      </c>
      <c r="CK98" s="3" t="e">
        <f t="shared" ca="1" si="175"/>
        <v>#N/A</v>
      </c>
      <c r="CM98" s="3" t="e">
        <f t="shared" ca="1" si="176"/>
        <v>#N/A</v>
      </c>
      <c r="CN98" s="3" t="e">
        <f t="shared" ca="1" si="177"/>
        <v>#N/A</v>
      </c>
      <c r="CO98" s="3" t="e">
        <f t="shared" ca="1" si="178"/>
        <v>#N/A</v>
      </c>
      <c r="CP98" s="3" t="e">
        <f t="shared" ca="1" si="179"/>
        <v>#N/A</v>
      </c>
      <c r="CR98" s="11" t="e">
        <v>#N/A</v>
      </c>
      <c r="CS98" s="11" t="e">
        <v>#N/A</v>
      </c>
      <c r="CT98" s="11" t="e">
        <v>#N/A</v>
      </c>
      <c r="CU98" s="11" t="e">
        <v>#N/A</v>
      </c>
    </row>
    <row r="99" spans="1:99" s="5" customFormat="1" x14ac:dyDescent="0.35">
      <c r="A99" s="4" t="s">
        <v>105</v>
      </c>
      <c r="B99" s="4">
        <v>3.4166666666666665</v>
      </c>
      <c r="C99" s="4" t="s">
        <v>168</v>
      </c>
      <c r="D99" s="4" t="s">
        <v>404</v>
      </c>
      <c r="E99" s="3"/>
      <c r="F99" s="5">
        <v>4.0019999999999998</v>
      </c>
      <c r="G99" s="11" t="e">
        <v>#N/A</v>
      </c>
      <c r="H99" s="5">
        <v>3.194</v>
      </c>
      <c r="I99" s="5" t="e">
        <v>#N/A</v>
      </c>
      <c r="K99" s="3">
        <f t="shared" ca="1" si="120"/>
        <v>0.99500249875062474</v>
      </c>
      <c r="L99" s="3" t="e">
        <f t="shared" ca="1" si="121"/>
        <v>#N/A</v>
      </c>
      <c r="M99" s="3">
        <f t="shared" ca="1" si="122"/>
        <v>0.99624295554164055</v>
      </c>
      <c r="N99" s="3" t="e">
        <f t="shared" ca="1" si="123"/>
        <v>#N/A</v>
      </c>
      <c r="P99" s="3">
        <f t="shared" ca="1" si="124"/>
        <v>0.90379811574829216</v>
      </c>
      <c r="Q99" s="3" t="e">
        <f t="shared" ca="1" si="125"/>
        <v>#N/A</v>
      </c>
      <c r="R99" s="3">
        <f t="shared" ca="1" si="126"/>
        <v>0.79304953038683146</v>
      </c>
      <c r="S99" s="3" t="e">
        <f t="shared" ca="1" si="127"/>
        <v>#N/A</v>
      </c>
      <c r="U99" s="3">
        <f t="shared" ca="1" si="128"/>
        <v>1.7491254372813594</v>
      </c>
      <c r="V99" s="3" t="e">
        <f t="shared" ca="1" si="129"/>
        <v>#N/A</v>
      </c>
      <c r="W99" s="3">
        <f t="shared" ca="1" si="130"/>
        <v>1.5654351909830932</v>
      </c>
      <c r="X99" s="3" t="e">
        <f t="shared" ca="1" si="131"/>
        <v>#N/A</v>
      </c>
      <c r="Z99" s="3">
        <f t="shared" ca="1" si="132"/>
        <v>0.94077961019490264</v>
      </c>
      <c r="AA99" s="3" t="e">
        <f t="shared" ca="1" si="133"/>
        <v>#N/A</v>
      </c>
      <c r="AB99" s="3">
        <f t="shared" ca="1" si="134"/>
        <v>0.80338134001252359</v>
      </c>
      <c r="AC99" s="3" t="e">
        <f t="shared" ca="1" si="135"/>
        <v>#N/A</v>
      </c>
      <c r="AE99" s="3">
        <f t="shared" ca="1" si="136"/>
        <v>0.90379811574829216</v>
      </c>
      <c r="AF99" s="3" t="e">
        <f t="shared" ca="1" si="137"/>
        <v>#N/A</v>
      </c>
      <c r="AG99" s="3">
        <f t="shared" ca="1" si="138"/>
        <v>0.79304953038683146</v>
      </c>
      <c r="AH99" s="3" t="e">
        <f t="shared" ca="1" si="139"/>
        <v>#N/A</v>
      </c>
      <c r="AJ99" s="3">
        <f t="shared" ca="1" si="140"/>
        <v>1.7491254372813594</v>
      </c>
      <c r="AK99" s="3" t="e">
        <f t="shared" ca="1" si="141"/>
        <v>#N/A</v>
      </c>
      <c r="AL99" s="3">
        <f t="shared" ca="1" si="142"/>
        <v>1.5654351909830932</v>
      </c>
      <c r="AM99" s="3" t="e">
        <f t="shared" ca="1" si="143"/>
        <v>#N/A</v>
      </c>
      <c r="AO99" s="3">
        <f t="shared" ca="1" si="144"/>
        <v>0.49975012493753124</v>
      </c>
      <c r="AP99" s="3" t="e">
        <f t="shared" ca="1" si="145"/>
        <v>#N/A</v>
      </c>
      <c r="AQ99" s="3">
        <f t="shared" ca="1" si="146"/>
        <v>0.93926111458985595</v>
      </c>
      <c r="AR99" s="3" t="e">
        <f t="shared" ca="1" si="147"/>
        <v>#N/A</v>
      </c>
      <c r="AT99" s="5">
        <v>8.0000003799796104E-3</v>
      </c>
      <c r="AU99" s="11" t="e">
        <v>#N/A</v>
      </c>
      <c r="AV99" s="5">
        <v>7.0000002160668373E-3</v>
      </c>
      <c r="AW99" s="5">
        <v>1.4000000432133675E-2</v>
      </c>
      <c r="AY99" s="3">
        <f t="shared" ca="1" si="148"/>
        <v>6.2468765617191405E-2</v>
      </c>
      <c r="AZ99" s="3" t="e">
        <f t="shared" ca="1" si="149"/>
        <v>#N/A</v>
      </c>
      <c r="BA99" s="3">
        <f t="shared" ca="1" si="150"/>
        <v>0.14088916718847838</v>
      </c>
      <c r="BB99" s="3" t="e">
        <f t="shared" ca="1" si="151"/>
        <v>#N/A</v>
      </c>
      <c r="BD99" s="3">
        <f t="shared" ca="1" si="152"/>
        <v>0.13318337660202798</v>
      </c>
      <c r="BE99" s="3" t="e">
        <f t="shared" ca="1" si="153"/>
        <v>#N/A</v>
      </c>
      <c r="BF99" s="3">
        <f t="shared" ca="1" si="154"/>
        <v>0.16186602353004642</v>
      </c>
      <c r="BG99" s="3" t="e">
        <f t="shared" ca="1" si="155"/>
        <v>#N/A</v>
      </c>
      <c r="BI99" s="3">
        <f t="shared" ca="1" si="156"/>
        <v>0.24987506246876562</v>
      </c>
      <c r="BJ99" s="3" t="e">
        <f t="shared" ca="1" si="157"/>
        <v>#N/A</v>
      </c>
      <c r="BK99" s="3">
        <f t="shared" ca="1" si="158"/>
        <v>0.6261740763932373</v>
      </c>
      <c r="BL99" s="3" t="e">
        <f t="shared" ca="1" si="159"/>
        <v>#N/A</v>
      </c>
      <c r="BN99" s="3">
        <f t="shared" ca="1" si="160"/>
        <v>0.24987506246876562</v>
      </c>
      <c r="BO99" s="3" t="e">
        <f t="shared" ca="1" si="161"/>
        <v>#N/A</v>
      </c>
      <c r="BP99" s="3">
        <f t="shared" ca="1" si="162"/>
        <v>0.31308703819661865</v>
      </c>
      <c r="BQ99" s="3" t="e">
        <f t="shared" ca="1" si="163"/>
        <v>#N/A</v>
      </c>
      <c r="BS99" s="5">
        <v>1.7580000162124634</v>
      </c>
      <c r="BT99" s="11" t="e">
        <v>#N/A</v>
      </c>
      <c r="BU99" s="5">
        <v>1.3229999542236328</v>
      </c>
      <c r="BV99" s="5">
        <v>4.0110000000000001</v>
      </c>
      <c r="BX99" s="3">
        <f t="shared" ca="1" si="164"/>
        <v>0.1541729135432284</v>
      </c>
      <c r="BY99" s="3" t="e">
        <f t="shared" ca="1" si="165"/>
        <v>#N/A</v>
      </c>
      <c r="BZ99" s="3">
        <f t="shared" ca="1" si="166"/>
        <v>0</v>
      </c>
      <c r="CA99" s="3" t="e">
        <f t="shared" ca="1" si="167"/>
        <v>#N/A</v>
      </c>
      <c r="CC99" s="3">
        <f t="shared" ca="1" si="168"/>
        <v>0.13768115918199042</v>
      </c>
      <c r="CD99" s="3" t="e">
        <f t="shared" ca="1" si="169"/>
        <v>#N/A</v>
      </c>
      <c r="CE99" s="3">
        <f t="shared" ca="1" si="170"/>
        <v>0</v>
      </c>
      <c r="CF99" s="3" t="e">
        <f t="shared" ca="1" si="171"/>
        <v>#N/A</v>
      </c>
      <c r="CH99" s="3">
        <f t="shared" ca="1" si="172"/>
        <v>0.49975012493753124</v>
      </c>
      <c r="CI99" s="3" t="e">
        <f t="shared" ca="1" si="173"/>
        <v>#N/A</v>
      </c>
      <c r="CJ99" s="3">
        <f t="shared" ca="1" si="174"/>
        <v>0</v>
      </c>
      <c r="CK99" s="3" t="e">
        <f t="shared" ca="1" si="175"/>
        <v>#N/A</v>
      </c>
      <c r="CM99" s="3">
        <f t="shared" ca="1" si="176"/>
        <v>0.74962518740629691</v>
      </c>
      <c r="CN99" s="3" t="e">
        <f t="shared" ca="1" si="177"/>
        <v>#N/A</v>
      </c>
      <c r="CO99" s="3">
        <f t="shared" ca="1" si="178"/>
        <v>0</v>
      </c>
      <c r="CP99" s="3" t="e">
        <f t="shared" ca="1" si="179"/>
        <v>#N/A</v>
      </c>
      <c r="CR99" s="5">
        <v>1.0410000085830688</v>
      </c>
      <c r="CS99" s="11" t="e">
        <v>#N/A</v>
      </c>
      <c r="CT99" s="5">
        <v>4.0110000000000001</v>
      </c>
      <c r="CU99" s="5">
        <v>4.0110000000000001</v>
      </c>
    </row>
    <row r="100" spans="1:99" s="5" customFormat="1" x14ac:dyDescent="0.35">
      <c r="A100" s="4" t="s">
        <v>112</v>
      </c>
      <c r="B100" s="4">
        <v>3.5833333333333335</v>
      </c>
      <c r="C100" s="4" t="s">
        <v>168</v>
      </c>
      <c r="D100" s="4" t="s">
        <v>404</v>
      </c>
      <c r="E100" s="3"/>
      <c r="F100" s="5" t="e">
        <v>#N/A</v>
      </c>
      <c r="G100" s="5">
        <v>4.0359999999999996</v>
      </c>
      <c r="H100" s="5">
        <v>4.016</v>
      </c>
      <c r="I100" s="5" t="e">
        <v>#N/A</v>
      </c>
      <c r="K100" s="3" t="e">
        <f t="shared" ref="K100:K131" ca="1" si="180">INDIRECT("'Data_Netteyage'!" &amp; LEFT(ADDRESS(1,COLUMN(),4),LEN(ADDRESS(1,COLUMN(),4))-1) &amp; ROW())/F100</f>
        <v>#N/A</v>
      </c>
      <c r="L100" s="3">
        <f t="shared" ref="L100:L131" ca="1" si="181">INDIRECT("'Data_Netteyage'!" &amp; LEFT(ADDRESS(1,COLUMN(),4),LEN(ADDRESS(1,COLUMN(),4))-1) &amp; ROW())/G100</f>
        <v>0.94549058473736403</v>
      </c>
      <c r="M100" s="3">
        <f t="shared" ref="M100:M131" ca="1" si="182">INDIRECT("'Data_Netteyage'!" &amp; LEFT(ADDRESS(1,COLUMN(),4),LEN(ADDRESS(1,COLUMN(),4))-1) &amp; ROW())/H100</f>
        <v>0.84636454183266929</v>
      </c>
      <c r="N100" s="3" t="e">
        <f t="shared" ref="N100:N131" ca="1" si="183">INDIRECT("'Data_Netteyage'!" &amp; LEFT(ADDRESS(1,COLUMN(),4),LEN(ADDRESS(1,COLUMN(),4))-1) &amp; ROW())/I100</f>
        <v>#N/A</v>
      </c>
      <c r="P100" s="3" t="e">
        <f t="shared" ref="P100:P131" ca="1" si="184">INDIRECT("'Data_Netteyage'!" &amp; LEFT(ADDRESS(1,COLUMN(),4),LEN(ADDRESS(1,COLUMN(),4))-1) &amp; ROW())/F100</f>
        <v>#N/A</v>
      </c>
      <c r="Q100" s="3">
        <f t="shared" ref="Q100:Q131" ca="1" si="185">INDIRECT("'Data_Netteyage'!" &amp; LEFT(ADDRESS(1,COLUMN(),4),LEN(ADDRESS(1,COLUMN(),4))-1) &amp; ROW())/G100</f>
        <v>0.90436082900057824</v>
      </c>
      <c r="R100" s="3">
        <f t="shared" ref="R100:R131" ca="1" si="186">INDIRECT("'Data_Netteyage'!" &amp; LEFT(ADDRESS(1,COLUMN(),4),LEN(ADDRESS(1,COLUMN(),4))-1) &amp; ROW())/H100</f>
        <v>0.73804788707024549</v>
      </c>
      <c r="S100" s="3" t="e">
        <f t="shared" ref="S100:S131" ca="1" si="187">INDIRECT("'Data_Netteyage'!" &amp; LEFT(ADDRESS(1,COLUMN(),4),LEN(ADDRESS(1,COLUMN(),4))-1) &amp; ROW())/I100</f>
        <v>#N/A</v>
      </c>
      <c r="U100" s="3" t="e">
        <f t="shared" ref="U100:U131" ca="1" si="188">INDIRECT("'Data_Netteyage'!" &amp; LEFT(ADDRESS(1,COLUMN(),4),LEN(ADDRESS(1,COLUMN(),4))-1) &amp; ROW())/F100</f>
        <v>#N/A</v>
      </c>
      <c r="V100" s="3">
        <f t="shared" ref="V100:V131" ca="1" si="189">INDIRECT("'Data_Netteyage'!" &amp; LEFT(ADDRESS(1,COLUMN(),4),LEN(ADDRESS(1,COLUMN(),4))-1) &amp; ROW())/G100</f>
        <v>2.2299306243805752</v>
      </c>
      <c r="W100" s="3">
        <f t="shared" ref="W100:W131" ca="1" si="190">INDIRECT("'Data_Netteyage'!" &amp; LEFT(ADDRESS(1,COLUMN(),4),LEN(ADDRESS(1,COLUMN(),4))-1) &amp; ROW())/H100</f>
        <v>2.241035856573705</v>
      </c>
      <c r="X100" s="3" t="e">
        <f t="shared" ref="X100:X131" ca="1" si="191">INDIRECT("'Data_Netteyage'!" &amp; LEFT(ADDRESS(1,COLUMN(),4),LEN(ADDRESS(1,COLUMN(),4))-1) &amp; ROW())/I100</f>
        <v>#N/A</v>
      </c>
      <c r="Z100" s="3" t="e">
        <f t="shared" ref="Z100:Z131" ca="1" si="192">INDIRECT("'Data_Netteyage'!" &amp; LEFT(ADDRESS(1,COLUMN(),4),LEN(ADDRESS(1,COLUMN(),4))-1) &amp; ROW())/F100</f>
        <v>#N/A</v>
      </c>
      <c r="AA100" s="3">
        <f t="shared" ref="AA100:AA131" ca="1" si="193">INDIRECT("'Data_Netteyage'!" &amp; LEFT(ADDRESS(1,COLUMN(),4),LEN(ADDRESS(1,COLUMN(),4))-1) &amp; ROW())/G100</f>
        <v>0.94127849355797844</v>
      </c>
      <c r="AB100" s="3">
        <f t="shared" ref="AB100:AB131" ca="1" si="194">INDIRECT("'Data_Netteyage'!" &amp; LEFT(ADDRESS(1,COLUMN(),4),LEN(ADDRESS(1,COLUMN(),4))-1) &amp; ROW())/H100</f>
        <v>0.65139442231075684</v>
      </c>
      <c r="AC100" s="3" t="e">
        <f t="shared" ref="AC100:AC131" ca="1" si="195">INDIRECT("'Data_Netteyage'!" &amp; LEFT(ADDRESS(1,COLUMN(),4),LEN(ADDRESS(1,COLUMN(),4))-1) &amp; ROW())/I100</f>
        <v>#N/A</v>
      </c>
      <c r="AE100" s="3" t="e">
        <f t="shared" ref="AE100:AE131" ca="1" si="196">INDIRECT("'Data_Netteyage'!" &amp; LEFT(ADDRESS(1,COLUMN(),4),LEN(ADDRESS(1,COLUMN(),4))-1) &amp; ROW())/F100</f>
        <v>#N/A</v>
      </c>
      <c r="AF100" s="3">
        <f t="shared" ref="AF100:AF131" ca="1" si="197">INDIRECT("'Data_Netteyage'!" &amp; LEFT(ADDRESS(1,COLUMN(),4),LEN(ADDRESS(1,COLUMN(),4))-1) &amp; ROW())/G100</f>
        <v>0.90436082900057824</v>
      </c>
      <c r="AG100" s="3">
        <f t="shared" ref="AG100:AG131" ca="1" si="198">INDIRECT("'Data_Netteyage'!" &amp; LEFT(ADDRESS(1,COLUMN(),4),LEN(ADDRESS(1,COLUMN(),4))-1) &amp; ROW())/H100</f>
        <v>0.55951202859679061</v>
      </c>
      <c r="AH100" s="3" t="e">
        <f t="shared" ref="AH100:AH131" ca="1" si="199">INDIRECT("'Data_Netteyage'!" &amp; LEFT(ADDRESS(1,COLUMN(),4),LEN(ADDRESS(1,COLUMN(),4))-1) &amp; ROW())/I100</f>
        <v>#N/A</v>
      </c>
      <c r="AJ100" s="3" t="e">
        <f t="shared" ref="AJ100:AJ131" ca="1" si="200">INDIRECT("'Data_Netteyage'!" &amp; LEFT(ADDRESS(1,COLUMN(),4),LEN(ADDRESS(1,COLUMN(),4))-1) &amp; ROW())/F100</f>
        <v>#N/A</v>
      </c>
      <c r="AK100" s="3">
        <f t="shared" ref="AK100:AK131" ca="1" si="201">INDIRECT("'Data_Netteyage'!" &amp; LEFT(ADDRESS(1,COLUMN(),4),LEN(ADDRESS(1,COLUMN(),4))-1) &amp; ROW())/G100</f>
        <v>2.2299306243805752</v>
      </c>
      <c r="AL100" s="3">
        <f t="shared" ref="AL100:AL131" ca="1" si="202">INDIRECT("'Data_Netteyage'!" &amp; LEFT(ADDRESS(1,COLUMN(),4),LEN(ADDRESS(1,COLUMN(),4))-1) &amp; ROW())/H100</f>
        <v>1.7430278884462151</v>
      </c>
      <c r="AM100" s="3" t="e">
        <f t="shared" ref="AM100:AM131" ca="1" si="203">INDIRECT("'Data_Netteyage'!" &amp; LEFT(ADDRESS(1,COLUMN(),4),LEN(ADDRESS(1,COLUMN(),4))-1) &amp; ROW())/I100</f>
        <v>#N/A</v>
      </c>
      <c r="AO100" s="3" t="e">
        <f t="shared" ref="AO100:AO131" ca="1" si="204">INDIRECT("'Data_Netteyage'!" &amp; LEFT(ADDRESS(1,COLUMN(),4),LEN(ADDRESS(1,COLUMN(),4))-1) &amp; ROW())/F100</f>
        <v>#N/A</v>
      </c>
      <c r="AP100" s="3">
        <f t="shared" ref="AP100:AP131" ca="1" si="205">INDIRECT("'Data_Netteyage'!" &amp; LEFT(ADDRESS(1,COLUMN(),4),LEN(ADDRESS(1,COLUMN(),4))-1) &amp; ROW())/G100</f>
        <v>0.49554013875123892</v>
      </c>
      <c r="AQ100" s="3">
        <f t="shared" ref="AQ100:AQ131" ca="1" si="206">INDIRECT("'Data_Netteyage'!" &amp; LEFT(ADDRESS(1,COLUMN(),4),LEN(ADDRESS(1,COLUMN(),4))-1) &amp; ROW())/H100</f>
        <v>0.49800796812749004</v>
      </c>
      <c r="AR100" s="3" t="e">
        <f t="shared" ref="AR100:AR131" ca="1" si="207">INDIRECT("'Data_Netteyage'!" &amp; LEFT(ADDRESS(1,COLUMN(),4),LEN(ADDRESS(1,COLUMN(),4))-1) &amp; ROW())/I100</f>
        <v>#N/A</v>
      </c>
      <c r="AT100" s="5">
        <v>2.2249999046325684</v>
      </c>
      <c r="AU100" s="5">
        <v>2.9999999329447746E-2</v>
      </c>
      <c r="AV100" s="5">
        <v>0.40400001406669617</v>
      </c>
      <c r="AW100" s="11" t="e">
        <v>#N/A</v>
      </c>
      <c r="AY100" s="3" t="e">
        <f t="shared" ref="AY100:AY131" ca="1" si="208">INDIRECT("'Data_Netteyage'!" &amp; LEFT(ADDRESS(1,COLUMN(),4),LEN(ADDRESS(1,COLUMN(),4))-1) &amp; ROW())/F100</f>
        <v>#N/A</v>
      </c>
      <c r="AZ100" s="3">
        <f t="shared" ref="AZ100:AZ131" ca="1" si="209">INDIRECT("'Data_Netteyage'!" &amp; LEFT(ADDRESS(1,COLUMN(),4),LEN(ADDRESS(1,COLUMN(),4))-1) &amp; ROW())/G100</f>
        <v>0.59440039643211118</v>
      </c>
      <c r="BA100" s="3">
        <f t="shared" ref="BA100:BA131" ca="1" si="210">INDIRECT("'Data_Netteyage'!" &amp; LEFT(ADDRESS(1,COLUMN(),4),LEN(ADDRESS(1,COLUMN(),4))-1) &amp; ROW())/H100</f>
        <v>0.16160358565737049</v>
      </c>
      <c r="BB100" s="3" t="e">
        <f t="shared" ref="BB100:BB131" ca="1" si="211">INDIRECT("'Data_Netteyage'!" &amp; LEFT(ADDRESS(1,COLUMN(),4),LEN(ADDRESS(1,COLUMN(),4))-1) &amp; ROW())/I100</f>
        <v>#N/A</v>
      </c>
      <c r="BD100" s="3" t="e">
        <f t="shared" ref="BD100:BD131" ca="1" si="212">INDIRECT("'Data_Netteyage'!" &amp; LEFT(ADDRESS(1,COLUMN(),4),LEN(ADDRESS(1,COLUMN(),4))-1) &amp; ROW())/F100</f>
        <v>#N/A</v>
      </c>
      <c r="BE100" s="3">
        <f t="shared" ref="BE100:BE131" ca="1" si="213">INDIRECT("'Data_Netteyage'!" &amp; LEFT(ADDRESS(1,COLUMN(),4),LEN(ADDRESS(1,COLUMN(),4))-1) &amp; ROW())/G100</f>
        <v>0.60282464483448261</v>
      </c>
      <c r="BF100" s="3">
        <f t="shared" ref="BF100:BF131" ca="1" si="214">INDIRECT("'Data_Netteyage'!" &amp; LEFT(ADDRESS(1,COLUMN(),4),LEN(ADDRESS(1,COLUMN(),4))-1) &amp; ROW())/H100</f>
        <v>0.18650400211136656</v>
      </c>
      <c r="BG100" s="3" t="e">
        <f t="shared" ref="BG100:BG131" ca="1" si="215">INDIRECT("'Data_Netteyage'!" &amp; LEFT(ADDRESS(1,COLUMN(),4),LEN(ADDRESS(1,COLUMN(),4))-1) &amp; ROW())/I100</f>
        <v>#N/A</v>
      </c>
      <c r="BI100" s="3" t="e">
        <f t="shared" ref="BI100:BI131" ca="1" si="216">INDIRECT("'Data_Netteyage'!" &amp; LEFT(ADDRESS(1,COLUMN(),4),LEN(ADDRESS(1,COLUMN(),4))-1) &amp; ROW())/F100</f>
        <v>#N/A</v>
      </c>
      <c r="BJ100" s="3">
        <f t="shared" ref="BJ100:BJ131" ca="1" si="217">INDIRECT("'Data_Netteyage'!" &amp; LEFT(ADDRESS(1,COLUMN(),4),LEN(ADDRESS(1,COLUMN(),4))-1) &amp; ROW())/G100</f>
        <v>0.99108027750247785</v>
      </c>
      <c r="BK100" s="3">
        <f t="shared" ref="BK100:BK131" ca="1" si="218">INDIRECT("'Data_Netteyage'!" &amp; LEFT(ADDRESS(1,COLUMN(),4),LEN(ADDRESS(1,COLUMN(),4))-1) &amp; ROW())/H100</f>
        <v>0.49800796812749004</v>
      </c>
      <c r="BL100" s="3" t="e">
        <f t="shared" ref="BL100:BL131" ca="1" si="219">INDIRECT("'Data_Netteyage'!" &amp; LEFT(ADDRESS(1,COLUMN(),4),LEN(ADDRESS(1,COLUMN(),4))-1) &amp; ROW())/I100</f>
        <v>#N/A</v>
      </c>
      <c r="BN100" s="3" t="e">
        <f t="shared" ref="BN100:BN131" ca="1" si="220">INDIRECT("'Data_Netteyage'!" &amp; LEFT(ADDRESS(1,COLUMN(),4),LEN(ADDRESS(1,COLUMN(),4))-1) &amp; ROW())/F100</f>
        <v>#N/A</v>
      </c>
      <c r="BO100" s="3">
        <f t="shared" ref="BO100:BO131" ca="1" si="221">INDIRECT("'Data_Netteyage'!" &amp; LEFT(ADDRESS(1,COLUMN(),4),LEN(ADDRESS(1,COLUMN(),4))-1) &amp; ROW())/G100</f>
        <v>0.99108027750247785</v>
      </c>
      <c r="BP100" s="3">
        <f t="shared" ref="BP100:BP131" ca="1" si="222">INDIRECT("'Data_Netteyage'!" &amp; LEFT(ADDRESS(1,COLUMN(),4),LEN(ADDRESS(1,COLUMN(),4))-1) &amp; ROW())/H100</f>
        <v>0.49800796812749004</v>
      </c>
      <c r="BQ100" s="3" t="e">
        <f t="shared" ref="BQ100:BQ131" ca="1" si="223">INDIRECT("'Data_Netteyage'!" &amp; LEFT(ADDRESS(1,COLUMN(),4),LEN(ADDRESS(1,COLUMN(),4))-1) &amp; ROW())/I100</f>
        <v>#N/A</v>
      </c>
      <c r="BS100" s="5">
        <v>2.5250000953674316</v>
      </c>
      <c r="BT100" s="5">
        <v>0.46399998664855957</v>
      </c>
      <c r="BU100" s="5">
        <v>0.83700001239776611</v>
      </c>
      <c r="BV100" s="11" t="e">
        <v>#N/A</v>
      </c>
      <c r="BX100" s="3" t="e">
        <f t="shared" ref="BX100:BX131" ca="1" si="224">INDIRECT("'Data_Netteyage'!" &amp; LEFT(ADDRESS(1,COLUMN(),4),LEN(ADDRESS(1,COLUMN(),4))-1) &amp; ROW())/F100</f>
        <v>#N/A</v>
      </c>
      <c r="BY100" s="3">
        <f t="shared" ref="BY100:BY131" ca="1" si="225">INDIRECT("'Data_Netteyage'!" &amp; LEFT(ADDRESS(1,COLUMN(),4),LEN(ADDRESS(1,COLUMN(),4))-1) &amp; ROW())/G100</f>
        <v>0</v>
      </c>
      <c r="BZ100" s="3">
        <f t="shared" ref="BZ100:BZ131" ca="1" si="226">INDIRECT("'Data_Netteyage'!" &amp; LEFT(ADDRESS(1,COLUMN(),4),LEN(ADDRESS(1,COLUMN(),4))-1) &amp; ROW())/H100</f>
        <v>0.13695219123505983</v>
      </c>
      <c r="CA100" s="3" t="e">
        <f t="shared" ref="CA100:CA131" ca="1" si="227">INDIRECT("'Data_Netteyage'!" &amp; LEFT(ADDRESS(1,COLUMN(),4),LEN(ADDRESS(1,COLUMN(),4))-1) &amp; ROW())/I100</f>
        <v>#N/A</v>
      </c>
      <c r="CC100" s="3" t="e">
        <f t="shared" ref="CC100:CC131" ca="1" si="228">INDIRECT("'Data_Netteyage'!" &amp; LEFT(ADDRESS(1,COLUMN(),4),LEN(ADDRESS(1,COLUMN(),4))-1) &amp; ROW())/F100</f>
        <v>#N/A</v>
      </c>
      <c r="CD100" s="3">
        <f t="shared" ref="CD100:CD131" ca="1" si="229">INDIRECT("'Data_Netteyage'!" &amp; LEFT(ADDRESS(1,COLUMN(),4),LEN(ADDRESS(1,COLUMN(),4))-1) &amp; ROW())/G100</f>
        <v>0</v>
      </c>
      <c r="CE100" s="3">
        <f t="shared" ref="CE100:CE131" ca="1" si="230">INDIRECT("'Data_Netteyage'!" &amp; LEFT(ADDRESS(1,COLUMN(),4),LEN(ADDRESS(1,COLUMN(),4))-1) &amp; ROW())/H100</f>
        <v>0.17006974296265864</v>
      </c>
      <c r="CF100" s="3" t="e">
        <f t="shared" ref="CF100:CF131" ca="1" si="231">INDIRECT("'Data_Netteyage'!" &amp; LEFT(ADDRESS(1,COLUMN(),4),LEN(ADDRESS(1,COLUMN(),4))-1) &amp; ROW())/I100</f>
        <v>#N/A</v>
      </c>
      <c r="CH100" s="3" t="e">
        <f t="shared" ref="CH100:CH131" ca="1" si="232">INDIRECT("'Data_Netteyage'!" &amp; LEFT(ADDRESS(1,COLUMN(),4),LEN(ADDRESS(1,COLUMN(),4))-1) &amp; ROW())/F100</f>
        <v>#N/A</v>
      </c>
      <c r="CI100" s="3">
        <f t="shared" ref="CI100:CI131" ca="1" si="233">INDIRECT("'Data_Netteyage'!" &amp; LEFT(ADDRESS(1,COLUMN(),4),LEN(ADDRESS(1,COLUMN(),4))-1) &amp; ROW())/G100</f>
        <v>0</v>
      </c>
      <c r="CJ100" s="3">
        <f t="shared" ref="CJ100:CJ131" ca="1" si="234">INDIRECT("'Data_Netteyage'!" &amp; LEFT(ADDRESS(1,COLUMN(),4),LEN(ADDRESS(1,COLUMN(),4))-1) &amp; ROW())/H100</f>
        <v>0.49800796812749004</v>
      </c>
      <c r="CK100" s="3" t="e">
        <f t="shared" ref="CK100:CK131" ca="1" si="235">INDIRECT("'Data_Netteyage'!" &amp; LEFT(ADDRESS(1,COLUMN(),4),LEN(ADDRESS(1,COLUMN(),4))-1) &amp; ROW())/I100</f>
        <v>#N/A</v>
      </c>
      <c r="CM100" s="3" t="e">
        <f t="shared" ref="CM100:CM131" ca="1" si="236">INDIRECT("'Data_Netteyage'!" &amp; LEFT(ADDRESS(1,COLUMN(),4),LEN(ADDRESS(1,COLUMN(),4))-1) &amp; ROW())/F100</f>
        <v>#N/A</v>
      </c>
      <c r="CN100" s="3">
        <f t="shared" ref="CN100:CN131" ca="1" si="237">INDIRECT("'Data_Netteyage'!" &amp; LEFT(ADDRESS(1,COLUMN(),4),LEN(ADDRESS(1,COLUMN(),4))-1) &amp; ROW())/G100</f>
        <v>0.24777006937561946</v>
      </c>
      <c r="CO100" s="3">
        <f t="shared" ref="CO100:CO131" ca="1" si="238">INDIRECT("'Data_Netteyage'!" &amp; LEFT(ADDRESS(1,COLUMN(),4),LEN(ADDRESS(1,COLUMN(),4))-1) &amp; ROW())/H100</f>
        <v>0.99601593625498008</v>
      </c>
      <c r="CP100" s="3" t="e">
        <f t="shared" ref="CP100:CP131" ca="1" si="239">INDIRECT("'Data_Netteyage'!" &amp; LEFT(ADDRESS(1,COLUMN(),4),LEN(ADDRESS(1,COLUMN(),4))-1) &amp; ROW())/I100</f>
        <v>#N/A</v>
      </c>
      <c r="CR100" s="5">
        <v>4.0259999999999998</v>
      </c>
      <c r="CS100" s="5">
        <v>4.0359999999999996</v>
      </c>
      <c r="CT100" s="5">
        <v>1.7200000286102295</v>
      </c>
      <c r="CU100" s="11" t="e">
        <v>#N/A</v>
      </c>
    </row>
    <row r="101" spans="1:99" s="5" customFormat="1" x14ac:dyDescent="0.35">
      <c r="A101" s="4" t="s">
        <v>110</v>
      </c>
      <c r="B101" s="4">
        <v>3.8333333333333335</v>
      </c>
      <c r="C101" s="4" t="s">
        <v>167</v>
      </c>
      <c r="D101" s="4" t="s">
        <v>404</v>
      </c>
      <c r="E101" s="3"/>
      <c r="F101" s="11" t="e">
        <v>#N/A</v>
      </c>
      <c r="G101" s="5" t="e">
        <v>#N/A</v>
      </c>
      <c r="H101" s="5" t="e">
        <v>#N/A</v>
      </c>
      <c r="I101" s="5" t="e">
        <v>#N/A</v>
      </c>
      <c r="K101" s="3" t="e">
        <f t="shared" ca="1" si="180"/>
        <v>#N/A</v>
      </c>
      <c r="L101" s="3" t="e">
        <f t="shared" ca="1" si="181"/>
        <v>#N/A</v>
      </c>
      <c r="M101" s="3" t="e">
        <f t="shared" ca="1" si="182"/>
        <v>#N/A</v>
      </c>
      <c r="N101" s="3" t="e">
        <f t="shared" ca="1" si="183"/>
        <v>#N/A</v>
      </c>
      <c r="P101" s="3" t="e">
        <f t="shared" ca="1" si="184"/>
        <v>#N/A</v>
      </c>
      <c r="Q101" s="3" t="e">
        <f t="shared" ca="1" si="185"/>
        <v>#N/A</v>
      </c>
      <c r="R101" s="3" t="e">
        <f t="shared" ca="1" si="186"/>
        <v>#N/A</v>
      </c>
      <c r="S101" s="3" t="e">
        <f t="shared" ca="1" si="187"/>
        <v>#N/A</v>
      </c>
      <c r="U101" s="3" t="e">
        <f t="shared" ca="1" si="188"/>
        <v>#N/A</v>
      </c>
      <c r="V101" s="3" t="e">
        <f t="shared" ca="1" si="189"/>
        <v>#N/A</v>
      </c>
      <c r="W101" s="3" t="e">
        <f t="shared" ca="1" si="190"/>
        <v>#N/A</v>
      </c>
      <c r="X101" s="3" t="e">
        <f t="shared" ca="1" si="191"/>
        <v>#N/A</v>
      </c>
      <c r="Z101" s="3" t="e">
        <f t="shared" ca="1" si="192"/>
        <v>#N/A</v>
      </c>
      <c r="AA101" s="3" t="e">
        <f t="shared" ca="1" si="193"/>
        <v>#N/A</v>
      </c>
      <c r="AB101" s="3" t="e">
        <f t="shared" ca="1" si="194"/>
        <v>#N/A</v>
      </c>
      <c r="AC101" s="3" t="e">
        <f t="shared" ca="1" si="195"/>
        <v>#N/A</v>
      </c>
      <c r="AE101" s="3" t="e">
        <f t="shared" ca="1" si="196"/>
        <v>#N/A</v>
      </c>
      <c r="AF101" s="3" t="e">
        <f t="shared" ca="1" si="197"/>
        <v>#N/A</v>
      </c>
      <c r="AG101" s="3" t="e">
        <f t="shared" ca="1" si="198"/>
        <v>#N/A</v>
      </c>
      <c r="AH101" s="3" t="e">
        <f t="shared" ca="1" si="199"/>
        <v>#N/A</v>
      </c>
      <c r="AJ101" s="3" t="e">
        <f t="shared" ca="1" si="200"/>
        <v>#N/A</v>
      </c>
      <c r="AK101" s="3" t="e">
        <f t="shared" ca="1" si="201"/>
        <v>#N/A</v>
      </c>
      <c r="AL101" s="3" t="e">
        <f t="shared" ca="1" si="202"/>
        <v>#N/A</v>
      </c>
      <c r="AM101" s="3" t="e">
        <f t="shared" ca="1" si="203"/>
        <v>#N/A</v>
      </c>
      <c r="AO101" s="3" t="e">
        <f t="shared" ca="1" si="204"/>
        <v>#N/A</v>
      </c>
      <c r="AP101" s="3" t="e">
        <f t="shared" ca="1" si="205"/>
        <v>#N/A</v>
      </c>
      <c r="AQ101" s="3" t="e">
        <f t="shared" ca="1" si="206"/>
        <v>#N/A</v>
      </c>
      <c r="AR101" s="3" t="e">
        <f t="shared" ca="1" si="207"/>
        <v>#N/A</v>
      </c>
      <c r="AT101" s="11" t="e">
        <v>#N/A</v>
      </c>
      <c r="AU101" s="11" t="e">
        <v>#N/A</v>
      </c>
      <c r="AV101" s="5">
        <v>0.52899998426437378</v>
      </c>
      <c r="AW101" s="11" t="e">
        <v>#N/A</v>
      </c>
      <c r="AY101" s="3" t="e">
        <f t="shared" ca="1" si="208"/>
        <v>#N/A</v>
      </c>
      <c r="AZ101" s="3" t="e">
        <f t="shared" ca="1" si="209"/>
        <v>#N/A</v>
      </c>
      <c r="BA101" s="3" t="e">
        <f t="shared" ca="1" si="210"/>
        <v>#N/A</v>
      </c>
      <c r="BB101" s="3" t="e">
        <f t="shared" ca="1" si="211"/>
        <v>#N/A</v>
      </c>
      <c r="BD101" s="3" t="e">
        <f t="shared" ca="1" si="212"/>
        <v>#N/A</v>
      </c>
      <c r="BE101" s="3" t="e">
        <f t="shared" ca="1" si="213"/>
        <v>#N/A</v>
      </c>
      <c r="BF101" s="3" t="e">
        <f t="shared" ca="1" si="214"/>
        <v>#N/A</v>
      </c>
      <c r="BG101" s="3" t="e">
        <f t="shared" ca="1" si="215"/>
        <v>#N/A</v>
      </c>
      <c r="BI101" s="3" t="e">
        <f t="shared" ca="1" si="216"/>
        <v>#N/A</v>
      </c>
      <c r="BJ101" s="3" t="e">
        <f t="shared" ca="1" si="217"/>
        <v>#N/A</v>
      </c>
      <c r="BK101" s="3" t="e">
        <f t="shared" ca="1" si="218"/>
        <v>#N/A</v>
      </c>
      <c r="BL101" s="3" t="e">
        <f t="shared" ca="1" si="219"/>
        <v>#N/A</v>
      </c>
      <c r="BN101" s="3" t="e">
        <f t="shared" ca="1" si="220"/>
        <v>#N/A</v>
      </c>
      <c r="BO101" s="3" t="e">
        <f t="shared" ca="1" si="221"/>
        <v>#N/A</v>
      </c>
      <c r="BP101" s="3" t="e">
        <f t="shared" ca="1" si="222"/>
        <v>#N/A</v>
      </c>
      <c r="BQ101" s="3" t="e">
        <f t="shared" ca="1" si="223"/>
        <v>#N/A</v>
      </c>
      <c r="BS101" s="11" t="e">
        <v>#N/A</v>
      </c>
      <c r="BT101" s="11" t="e">
        <v>#N/A</v>
      </c>
      <c r="BU101" s="5">
        <v>4.0279999999999996</v>
      </c>
      <c r="BV101" s="11" t="e">
        <v>#N/A</v>
      </c>
      <c r="BX101" s="3" t="e">
        <f t="shared" ca="1" si="224"/>
        <v>#N/A</v>
      </c>
      <c r="BY101" s="3" t="e">
        <f t="shared" ca="1" si="225"/>
        <v>#N/A</v>
      </c>
      <c r="BZ101" s="3" t="e">
        <f t="shared" ca="1" si="226"/>
        <v>#N/A</v>
      </c>
      <c r="CA101" s="3" t="e">
        <f t="shared" ca="1" si="227"/>
        <v>#N/A</v>
      </c>
      <c r="CC101" s="3" t="e">
        <f t="shared" ca="1" si="228"/>
        <v>#N/A</v>
      </c>
      <c r="CD101" s="3" t="e">
        <f t="shared" ca="1" si="229"/>
        <v>#N/A</v>
      </c>
      <c r="CE101" s="3" t="e">
        <f t="shared" ca="1" si="230"/>
        <v>#N/A</v>
      </c>
      <c r="CF101" s="3" t="e">
        <f t="shared" ca="1" si="231"/>
        <v>#N/A</v>
      </c>
      <c r="CH101" s="3" t="e">
        <f t="shared" ca="1" si="232"/>
        <v>#N/A</v>
      </c>
      <c r="CI101" s="3" t="e">
        <f t="shared" ca="1" si="233"/>
        <v>#N/A</v>
      </c>
      <c r="CJ101" s="3" t="e">
        <f t="shared" ca="1" si="234"/>
        <v>#N/A</v>
      </c>
      <c r="CK101" s="3" t="e">
        <f t="shared" ca="1" si="235"/>
        <v>#N/A</v>
      </c>
      <c r="CM101" s="3" t="e">
        <f t="shared" ca="1" si="236"/>
        <v>#N/A</v>
      </c>
      <c r="CN101" s="3" t="e">
        <f t="shared" ca="1" si="237"/>
        <v>#N/A</v>
      </c>
      <c r="CO101" s="3" t="e">
        <f t="shared" ca="1" si="238"/>
        <v>#N/A</v>
      </c>
      <c r="CP101" s="3" t="e">
        <f t="shared" ca="1" si="239"/>
        <v>#N/A</v>
      </c>
      <c r="CR101" s="11" t="e">
        <v>#N/A</v>
      </c>
      <c r="CS101" s="11" t="e">
        <v>#N/A</v>
      </c>
      <c r="CT101" s="5">
        <v>4.0279999999999996</v>
      </c>
      <c r="CU101" s="11" t="e">
        <v>#N/A</v>
      </c>
    </row>
    <row r="102" spans="1:99" s="5" customFormat="1" x14ac:dyDescent="0.35">
      <c r="A102" s="4" t="s">
        <v>148</v>
      </c>
      <c r="B102" s="4">
        <v>4.083333333333333</v>
      </c>
      <c r="C102" s="4" t="s">
        <v>168</v>
      </c>
      <c r="D102" s="4" t="s">
        <v>404</v>
      </c>
      <c r="E102" s="3"/>
      <c r="F102" s="11" t="e">
        <v>#N/A</v>
      </c>
      <c r="G102" s="11" t="e">
        <v>#N/A</v>
      </c>
      <c r="H102" s="5" t="e">
        <v>#N/A</v>
      </c>
      <c r="I102" s="11" t="e">
        <v>#N/A</v>
      </c>
      <c r="K102" s="3" t="e">
        <f t="shared" ca="1" si="180"/>
        <v>#N/A</v>
      </c>
      <c r="L102" s="3" t="e">
        <f t="shared" ca="1" si="181"/>
        <v>#N/A</v>
      </c>
      <c r="M102" s="3" t="e">
        <f t="shared" ca="1" si="182"/>
        <v>#N/A</v>
      </c>
      <c r="N102" s="3" t="e">
        <f t="shared" ca="1" si="183"/>
        <v>#N/A</v>
      </c>
      <c r="P102" s="3" t="e">
        <f t="shared" ca="1" si="184"/>
        <v>#N/A</v>
      </c>
      <c r="Q102" s="3" t="e">
        <f t="shared" ca="1" si="185"/>
        <v>#N/A</v>
      </c>
      <c r="R102" s="3" t="e">
        <f t="shared" ca="1" si="186"/>
        <v>#N/A</v>
      </c>
      <c r="S102" s="3" t="e">
        <f t="shared" ca="1" si="187"/>
        <v>#N/A</v>
      </c>
      <c r="U102" s="3" t="e">
        <f t="shared" ca="1" si="188"/>
        <v>#N/A</v>
      </c>
      <c r="V102" s="3" t="e">
        <f t="shared" ca="1" si="189"/>
        <v>#N/A</v>
      </c>
      <c r="W102" s="3" t="e">
        <f t="shared" ca="1" si="190"/>
        <v>#N/A</v>
      </c>
      <c r="X102" s="3" t="e">
        <f t="shared" ca="1" si="191"/>
        <v>#N/A</v>
      </c>
      <c r="Z102" s="3" t="e">
        <f t="shared" ca="1" si="192"/>
        <v>#N/A</v>
      </c>
      <c r="AA102" s="3" t="e">
        <f t="shared" ca="1" si="193"/>
        <v>#N/A</v>
      </c>
      <c r="AB102" s="3" t="e">
        <f t="shared" ca="1" si="194"/>
        <v>#N/A</v>
      </c>
      <c r="AC102" s="3" t="e">
        <f t="shared" ca="1" si="195"/>
        <v>#N/A</v>
      </c>
      <c r="AE102" s="3" t="e">
        <f t="shared" ca="1" si="196"/>
        <v>#N/A</v>
      </c>
      <c r="AF102" s="3" t="e">
        <f t="shared" ca="1" si="197"/>
        <v>#N/A</v>
      </c>
      <c r="AG102" s="3" t="e">
        <f t="shared" ca="1" si="198"/>
        <v>#N/A</v>
      </c>
      <c r="AH102" s="3" t="e">
        <f t="shared" ca="1" si="199"/>
        <v>#N/A</v>
      </c>
      <c r="AJ102" s="3" t="e">
        <f t="shared" ca="1" si="200"/>
        <v>#N/A</v>
      </c>
      <c r="AK102" s="3" t="e">
        <f t="shared" ca="1" si="201"/>
        <v>#N/A</v>
      </c>
      <c r="AL102" s="3" t="e">
        <f t="shared" ca="1" si="202"/>
        <v>#N/A</v>
      </c>
      <c r="AM102" s="3" t="e">
        <f t="shared" ca="1" si="203"/>
        <v>#N/A</v>
      </c>
      <c r="AO102" s="3" t="e">
        <f t="shared" ca="1" si="204"/>
        <v>#N/A</v>
      </c>
      <c r="AP102" s="3" t="e">
        <f t="shared" ca="1" si="205"/>
        <v>#N/A</v>
      </c>
      <c r="AQ102" s="3" t="e">
        <f t="shared" ca="1" si="206"/>
        <v>#N/A</v>
      </c>
      <c r="AR102" s="3" t="e">
        <f t="shared" ca="1" si="207"/>
        <v>#N/A</v>
      </c>
      <c r="AT102" s="11" t="e">
        <v>#N/A</v>
      </c>
      <c r="AU102" s="11" t="e">
        <v>#N/A</v>
      </c>
      <c r="AV102" s="11" t="e">
        <v>#N/A</v>
      </c>
      <c r="AW102" s="11" t="e">
        <v>#N/A</v>
      </c>
      <c r="AY102" s="3" t="e">
        <f t="shared" ca="1" si="208"/>
        <v>#N/A</v>
      </c>
      <c r="AZ102" s="3" t="e">
        <f t="shared" ca="1" si="209"/>
        <v>#N/A</v>
      </c>
      <c r="BA102" s="3" t="e">
        <f t="shared" ca="1" si="210"/>
        <v>#N/A</v>
      </c>
      <c r="BB102" s="3" t="e">
        <f t="shared" ca="1" si="211"/>
        <v>#N/A</v>
      </c>
      <c r="BD102" s="3" t="e">
        <f t="shared" ca="1" si="212"/>
        <v>#N/A</v>
      </c>
      <c r="BE102" s="3" t="e">
        <f t="shared" ca="1" si="213"/>
        <v>#N/A</v>
      </c>
      <c r="BF102" s="3" t="e">
        <f t="shared" ca="1" si="214"/>
        <v>#N/A</v>
      </c>
      <c r="BG102" s="3" t="e">
        <f t="shared" ca="1" si="215"/>
        <v>#N/A</v>
      </c>
      <c r="BI102" s="3" t="e">
        <f t="shared" ca="1" si="216"/>
        <v>#N/A</v>
      </c>
      <c r="BJ102" s="3" t="e">
        <f t="shared" ca="1" si="217"/>
        <v>#N/A</v>
      </c>
      <c r="BK102" s="3" t="e">
        <f t="shared" ca="1" si="218"/>
        <v>#N/A</v>
      </c>
      <c r="BL102" s="3" t="e">
        <f t="shared" ca="1" si="219"/>
        <v>#N/A</v>
      </c>
      <c r="BN102" s="3" t="e">
        <f t="shared" ca="1" si="220"/>
        <v>#N/A</v>
      </c>
      <c r="BO102" s="3" t="e">
        <f t="shared" ca="1" si="221"/>
        <v>#N/A</v>
      </c>
      <c r="BP102" s="3" t="e">
        <f t="shared" ca="1" si="222"/>
        <v>#N/A</v>
      </c>
      <c r="BQ102" s="3" t="e">
        <f t="shared" ca="1" si="223"/>
        <v>#N/A</v>
      </c>
      <c r="BS102" s="11" t="e">
        <v>#N/A</v>
      </c>
      <c r="BT102" s="11" t="e">
        <v>#N/A</v>
      </c>
      <c r="BU102" s="11" t="e">
        <v>#N/A</v>
      </c>
      <c r="BV102" s="11" t="e">
        <v>#N/A</v>
      </c>
      <c r="BX102" s="3" t="e">
        <f t="shared" ca="1" si="224"/>
        <v>#N/A</v>
      </c>
      <c r="BY102" s="3" t="e">
        <f t="shared" ca="1" si="225"/>
        <v>#N/A</v>
      </c>
      <c r="BZ102" s="3" t="e">
        <f t="shared" ca="1" si="226"/>
        <v>#N/A</v>
      </c>
      <c r="CA102" s="3" t="e">
        <f t="shared" ca="1" si="227"/>
        <v>#N/A</v>
      </c>
      <c r="CC102" s="3" t="e">
        <f t="shared" ca="1" si="228"/>
        <v>#N/A</v>
      </c>
      <c r="CD102" s="3" t="e">
        <f t="shared" ca="1" si="229"/>
        <v>#N/A</v>
      </c>
      <c r="CE102" s="3" t="e">
        <f t="shared" ca="1" si="230"/>
        <v>#N/A</v>
      </c>
      <c r="CF102" s="3" t="e">
        <f t="shared" ca="1" si="231"/>
        <v>#N/A</v>
      </c>
      <c r="CH102" s="3" t="e">
        <f t="shared" ca="1" si="232"/>
        <v>#N/A</v>
      </c>
      <c r="CI102" s="3" t="e">
        <f t="shared" ca="1" si="233"/>
        <v>#N/A</v>
      </c>
      <c r="CJ102" s="3" t="e">
        <f t="shared" ca="1" si="234"/>
        <v>#N/A</v>
      </c>
      <c r="CK102" s="3" t="e">
        <f t="shared" ca="1" si="235"/>
        <v>#N/A</v>
      </c>
      <c r="CM102" s="3" t="e">
        <f t="shared" ca="1" si="236"/>
        <v>#N/A</v>
      </c>
      <c r="CN102" s="3" t="e">
        <f t="shared" ca="1" si="237"/>
        <v>#N/A</v>
      </c>
      <c r="CO102" s="3" t="e">
        <f t="shared" ca="1" si="238"/>
        <v>#N/A</v>
      </c>
      <c r="CP102" s="3" t="e">
        <f t="shared" ca="1" si="239"/>
        <v>#N/A</v>
      </c>
      <c r="CR102" s="11" t="e">
        <v>#N/A</v>
      </c>
      <c r="CS102" s="11" t="e">
        <v>#N/A</v>
      </c>
      <c r="CT102" s="11" t="e">
        <v>#N/A</v>
      </c>
      <c r="CU102" s="11" t="e">
        <v>#N/A</v>
      </c>
    </row>
    <row r="103" spans="1:99" s="5" customFormat="1" x14ac:dyDescent="0.35">
      <c r="A103" s="4" t="s">
        <v>127</v>
      </c>
      <c r="B103" s="4">
        <v>4.25</v>
      </c>
      <c r="C103" s="4" t="s">
        <v>168</v>
      </c>
      <c r="D103" s="4" t="s">
        <v>404</v>
      </c>
      <c r="E103" s="3"/>
      <c r="F103" s="5">
        <v>4</v>
      </c>
      <c r="G103" s="5">
        <v>4.0220000000000002</v>
      </c>
      <c r="H103" s="5">
        <v>4.0149999999999997</v>
      </c>
      <c r="I103" s="5">
        <v>4.016</v>
      </c>
      <c r="K103" s="3">
        <f t="shared" ca="1" si="180"/>
        <v>0.99550000000000005</v>
      </c>
      <c r="L103" s="3">
        <f t="shared" ca="1" si="181"/>
        <v>0.99850820487319736</v>
      </c>
      <c r="M103" s="3">
        <f t="shared" ca="1" si="182"/>
        <v>0.99601494396014967</v>
      </c>
      <c r="N103" s="3">
        <f t="shared" ca="1" si="183"/>
        <v>0.99576693227091628</v>
      </c>
      <c r="P103" s="3">
        <f t="shared" ca="1" si="184"/>
        <v>0.94925006246194243</v>
      </c>
      <c r="Q103" s="3">
        <f t="shared" ca="1" si="185"/>
        <v>0.93585276473285772</v>
      </c>
      <c r="R103" s="3">
        <f t="shared" ca="1" si="186"/>
        <v>0.91706101010190533</v>
      </c>
      <c r="S103" s="3">
        <f t="shared" ca="1" si="187"/>
        <v>0.9255478728147023</v>
      </c>
      <c r="U103" s="3">
        <f t="shared" ca="1" si="188"/>
        <v>2.25</v>
      </c>
      <c r="V103" s="3">
        <f t="shared" ca="1" si="189"/>
        <v>2.9835902536051715</v>
      </c>
      <c r="W103" s="3">
        <f t="shared" ca="1" si="190"/>
        <v>2.2415940224159403</v>
      </c>
      <c r="X103" s="3">
        <f t="shared" ca="1" si="191"/>
        <v>2.241035856573705</v>
      </c>
      <c r="Z103" s="3">
        <f t="shared" ca="1" si="192"/>
        <v>0.99550000000000005</v>
      </c>
      <c r="AA103" s="3">
        <f t="shared" ca="1" si="193"/>
        <v>0.99850820487319736</v>
      </c>
      <c r="AB103" s="3">
        <f t="shared" ca="1" si="194"/>
        <v>0.99601494396014967</v>
      </c>
      <c r="AC103" s="3">
        <f t="shared" ca="1" si="195"/>
        <v>0.99576693227091628</v>
      </c>
      <c r="AE103" s="3">
        <f t="shared" ca="1" si="196"/>
        <v>0.94925006246194243</v>
      </c>
      <c r="AF103" s="3">
        <f t="shared" ca="1" si="197"/>
        <v>0.93585276473285772</v>
      </c>
      <c r="AG103" s="3">
        <f t="shared" ca="1" si="198"/>
        <v>0.91706101010190533</v>
      </c>
      <c r="AH103" s="3">
        <f t="shared" ca="1" si="199"/>
        <v>0.9255478728147023</v>
      </c>
      <c r="AJ103" s="3">
        <f t="shared" ca="1" si="200"/>
        <v>2.25</v>
      </c>
      <c r="AK103" s="3">
        <f t="shared" ca="1" si="201"/>
        <v>2.9835902536051715</v>
      </c>
      <c r="AL103" s="3">
        <f t="shared" ca="1" si="202"/>
        <v>2.2415940224159403</v>
      </c>
      <c r="AM103" s="3">
        <f t="shared" ca="1" si="203"/>
        <v>2.241035856573705</v>
      </c>
      <c r="AO103" s="3">
        <f t="shared" ca="1" si="204"/>
        <v>0.25</v>
      </c>
      <c r="AP103" s="3">
        <f t="shared" ca="1" si="205"/>
        <v>0.24863252113376427</v>
      </c>
      <c r="AQ103" s="3">
        <f t="shared" ca="1" si="206"/>
        <v>0.24906600249066005</v>
      </c>
      <c r="AR103" s="3">
        <f t="shared" ca="1" si="207"/>
        <v>0.24900398406374502</v>
      </c>
      <c r="AT103" s="5">
        <v>9.9999997764825821E-3</v>
      </c>
      <c r="AU103" s="5">
        <v>3.7000000476837158E-2</v>
      </c>
      <c r="AV103" s="5">
        <v>2.0000000949949026E-3</v>
      </c>
      <c r="AW103" s="5">
        <v>1.3000000268220901E-2</v>
      </c>
      <c r="AY103" s="3">
        <f t="shared" ca="1" si="208"/>
        <v>0.26624999999999988</v>
      </c>
      <c r="AZ103" s="3">
        <f t="shared" ca="1" si="209"/>
        <v>9.1248135256091475E-2</v>
      </c>
      <c r="BA103" s="3">
        <f t="shared" ca="1" si="210"/>
        <v>0</v>
      </c>
      <c r="BB103" s="3">
        <f t="shared" ca="1" si="211"/>
        <v>5.0049800796812753E-2</v>
      </c>
      <c r="BD103" s="3">
        <f t="shared" ca="1" si="212"/>
        <v>0.30375000834465027</v>
      </c>
      <c r="BE103" s="3">
        <f t="shared" ca="1" si="213"/>
        <v>5.3953258982942447E-2</v>
      </c>
      <c r="BF103" s="3">
        <f t="shared" ca="1" si="214"/>
        <v>0</v>
      </c>
      <c r="BG103" s="3">
        <f t="shared" ca="1" si="215"/>
        <v>9.5617533494454926E-2</v>
      </c>
      <c r="BI103" s="3">
        <f t="shared" ca="1" si="216"/>
        <v>0.75</v>
      </c>
      <c r="BJ103" s="3">
        <f t="shared" ca="1" si="217"/>
        <v>0.24863252113376427</v>
      </c>
      <c r="BK103" s="3">
        <f t="shared" ca="1" si="218"/>
        <v>0</v>
      </c>
      <c r="BL103" s="3">
        <f t="shared" ca="1" si="219"/>
        <v>0.24900398406374502</v>
      </c>
      <c r="BN103" s="3">
        <f t="shared" ca="1" si="220"/>
        <v>1.25</v>
      </c>
      <c r="BO103" s="3">
        <f t="shared" ca="1" si="221"/>
        <v>0.99453008453505709</v>
      </c>
      <c r="BP103" s="3">
        <f t="shared" ca="1" si="222"/>
        <v>0</v>
      </c>
      <c r="BQ103" s="3">
        <f t="shared" ca="1" si="223"/>
        <v>0.74701195219123506</v>
      </c>
      <c r="BS103" s="5">
        <v>0.50999999046325684</v>
      </c>
      <c r="BT103" s="5">
        <v>1.3029999732971191</v>
      </c>
      <c r="BU103" s="5">
        <v>4.0149999999999997</v>
      </c>
      <c r="BV103" s="5">
        <v>1.3000000268220901E-2</v>
      </c>
      <c r="BX103" s="3">
        <f t="shared" ca="1" si="224"/>
        <v>0.36649999999999994</v>
      </c>
      <c r="BY103" s="3">
        <f t="shared" ca="1" si="225"/>
        <v>6.2158130283441068E-2</v>
      </c>
      <c r="BZ103" s="3">
        <f t="shared" ca="1" si="226"/>
        <v>0</v>
      </c>
      <c r="CA103" s="3">
        <f t="shared" ca="1" si="227"/>
        <v>0</v>
      </c>
      <c r="CC103" s="3">
        <f t="shared" ca="1" si="228"/>
        <v>0.375</v>
      </c>
      <c r="CD103" s="3">
        <f t="shared" ca="1" si="229"/>
        <v>6.2158130283441068E-2</v>
      </c>
      <c r="CE103" s="3">
        <f t="shared" ca="1" si="230"/>
        <v>0</v>
      </c>
      <c r="CF103" s="3">
        <f t="shared" ca="1" si="231"/>
        <v>0</v>
      </c>
      <c r="CH103" s="3">
        <f t="shared" ca="1" si="232"/>
        <v>0.5</v>
      </c>
      <c r="CI103" s="3">
        <f t="shared" ca="1" si="233"/>
        <v>0.24863252113376427</v>
      </c>
      <c r="CJ103" s="3">
        <f t="shared" ca="1" si="234"/>
        <v>0</v>
      </c>
      <c r="CK103" s="3">
        <f t="shared" ca="1" si="235"/>
        <v>0</v>
      </c>
      <c r="CM103" s="3">
        <f t="shared" ca="1" si="236"/>
        <v>0.5</v>
      </c>
      <c r="CN103" s="3">
        <f t="shared" ca="1" si="237"/>
        <v>0.24863252113376427</v>
      </c>
      <c r="CO103" s="3">
        <f t="shared" ca="1" si="238"/>
        <v>0</v>
      </c>
      <c r="CP103" s="3">
        <f t="shared" ca="1" si="239"/>
        <v>0</v>
      </c>
      <c r="CR103" s="5">
        <v>2.4760000705718994</v>
      </c>
      <c r="CS103" s="5">
        <v>3.6359999179840088</v>
      </c>
      <c r="CT103" s="5">
        <v>4.0149999999999997</v>
      </c>
      <c r="CU103" s="5">
        <v>4.016</v>
      </c>
    </row>
    <row r="104" spans="1:99" s="5" customFormat="1" x14ac:dyDescent="0.35">
      <c r="A104" s="4" t="s">
        <v>106</v>
      </c>
      <c r="B104" s="4">
        <v>4.583333333333333</v>
      </c>
      <c r="C104" s="4" t="s">
        <v>167</v>
      </c>
      <c r="D104" s="4" t="s">
        <v>404</v>
      </c>
      <c r="E104" s="3"/>
      <c r="F104" s="5">
        <v>4.016</v>
      </c>
      <c r="G104" s="5">
        <v>4.016</v>
      </c>
      <c r="H104" s="5">
        <v>4.0149999999999997</v>
      </c>
      <c r="I104" s="5">
        <v>4.016</v>
      </c>
      <c r="K104" s="3">
        <f t="shared" ca="1" si="180"/>
        <v>0.83789840637450208</v>
      </c>
      <c r="L104" s="3">
        <f t="shared" ca="1" si="181"/>
        <v>0.82993027888446225</v>
      </c>
      <c r="M104" s="3">
        <f t="shared" ca="1" si="182"/>
        <v>0.99576587795765892</v>
      </c>
      <c r="N104" s="3">
        <f t="shared" ca="1" si="183"/>
        <v>0.99576693227091639</v>
      </c>
      <c r="P104" s="3">
        <f t="shared" ca="1" si="184"/>
        <v>0.76319728477067683</v>
      </c>
      <c r="Q104" s="3">
        <f t="shared" ca="1" si="185"/>
        <v>0.80054778739275689</v>
      </c>
      <c r="R104" s="3">
        <f t="shared" ca="1" si="186"/>
        <v>0.96662521906252752</v>
      </c>
      <c r="S104" s="3">
        <f t="shared" ca="1" si="187"/>
        <v>0.93750007018313342</v>
      </c>
      <c r="U104" s="3">
        <f t="shared" ca="1" si="188"/>
        <v>2.241035856573705</v>
      </c>
      <c r="V104" s="3">
        <f t="shared" ca="1" si="189"/>
        <v>1.7430278884462151</v>
      </c>
      <c r="W104" s="3">
        <f t="shared" ca="1" si="190"/>
        <v>1.9925280199252804</v>
      </c>
      <c r="X104" s="3">
        <f t="shared" ca="1" si="191"/>
        <v>1.9920318725099602</v>
      </c>
      <c r="Z104" s="3">
        <f t="shared" ca="1" si="192"/>
        <v>0.82544820717131473</v>
      </c>
      <c r="AA104" s="3">
        <f t="shared" ca="1" si="193"/>
        <v>0.82993027888446225</v>
      </c>
      <c r="AB104" s="3">
        <f t="shared" ca="1" si="194"/>
        <v>0.99576587795765892</v>
      </c>
      <c r="AC104" s="3">
        <f t="shared" ca="1" si="195"/>
        <v>0.99576693227091639</v>
      </c>
      <c r="AE104" s="3">
        <f t="shared" ca="1" si="196"/>
        <v>0.76319728477067683</v>
      </c>
      <c r="AF104" s="3">
        <f t="shared" ca="1" si="197"/>
        <v>0.80054778739275689</v>
      </c>
      <c r="AG104" s="3">
        <f t="shared" ca="1" si="198"/>
        <v>0.96662521906252752</v>
      </c>
      <c r="AH104" s="3">
        <f t="shared" ca="1" si="199"/>
        <v>0.93750007018313342</v>
      </c>
      <c r="AJ104" s="3">
        <f t="shared" ca="1" si="200"/>
        <v>2.241035856573705</v>
      </c>
      <c r="AK104" s="3">
        <f t="shared" ca="1" si="201"/>
        <v>1.7430278884462151</v>
      </c>
      <c r="AL104" s="3">
        <f t="shared" ca="1" si="202"/>
        <v>1.9925280199252804</v>
      </c>
      <c r="AM104" s="3">
        <f t="shared" ca="1" si="203"/>
        <v>1.9920318725099602</v>
      </c>
      <c r="AO104" s="3">
        <f t="shared" ca="1" si="204"/>
        <v>0.24900398406374502</v>
      </c>
      <c r="AP104" s="3">
        <f t="shared" ca="1" si="205"/>
        <v>0.24900398406374502</v>
      </c>
      <c r="AQ104" s="3">
        <f t="shared" ca="1" si="206"/>
        <v>0.24906600249066005</v>
      </c>
      <c r="AR104" s="3">
        <f t="shared" ca="1" si="207"/>
        <v>0.24900398406374502</v>
      </c>
      <c r="AT104" s="5">
        <v>0.70899999141693115</v>
      </c>
      <c r="AU104" s="5">
        <v>0.68400001525878906</v>
      </c>
      <c r="AV104" s="5">
        <v>2.0000000949949026E-3</v>
      </c>
      <c r="AW104" s="5">
        <v>1.4000000432133675E-2</v>
      </c>
      <c r="AY104" s="3">
        <f t="shared" ca="1" si="208"/>
        <v>0.37724103585657381</v>
      </c>
      <c r="AZ104" s="3">
        <f t="shared" ca="1" si="209"/>
        <v>0.38570717131474108</v>
      </c>
      <c r="BA104" s="3">
        <f t="shared" ca="1" si="210"/>
        <v>0.25305105853051074</v>
      </c>
      <c r="BB104" s="3">
        <f t="shared" ca="1" si="211"/>
        <v>0.48505976095617531</v>
      </c>
      <c r="BD104" s="3">
        <f t="shared" ca="1" si="212"/>
        <v>0.36080683251301132</v>
      </c>
      <c r="BE104" s="3">
        <f t="shared" ca="1" si="213"/>
        <v>0.35657371539043714</v>
      </c>
      <c r="BF104" s="3">
        <f t="shared" ca="1" si="214"/>
        <v>5.8032373711002873E-2</v>
      </c>
      <c r="BG104" s="3">
        <f t="shared" ca="1" si="215"/>
        <v>0.45194227500740752</v>
      </c>
      <c r="BI104" s="3">
        <f t="shared" ca="1" si="216"/>
        <v>0.99601593625498008</v>
      </c>
      <c r="BJ104" s="3">
        <f t="shared" ca="1" si="217"/>
        <v>0.74701195219123506</v>
      </c>
      <c r="BK104" s="3">
        <f t="shared" ca="1" si="218"/>
        <v>0.24906600249066005</v>
      </c>
      <c r="BL104" s="3">
        <f t="shared" ca="1" si="219"/>
        <v>0.99601593625498008</v>
      </c>
      <c r="BN104" s="3">
        <f t="shared" ca="1" si="220"/>
        <v>1.2450199203187251</v>
      </c>
      <c r="BO104" s="3">
        <f t="shared" ca="1" si="221"/>
        <v>0.74701195219123506</v>
      </c>
      <c r="BP104" s="3">
        <f t="shared" ca="1" si="222"/>
        <v>1.2453300124533002</v>
      </c>
      <c r="BQ104" s="3">
        <f t="shared" ca="1" si="223"/>
        <v>0.99601593625498008</v>
      </c>
      <c r="BS104" s="5">
        <v>0.70899999141693115</v>
      </c>
      <c r="BT104" s="5">
        <v>0.68400001525878906</v>
      </c>
      <c r="BU104" s="5">
        <v>0.63499999046325684</v>
      </c>
      <c r="BV104" s="5">
        <v>1.3140000104904175</v>
      </c>
      <c r="BX104" s="3">
        <f t="shared" ca="1" si="224"/>
        <v>0</v>
      </c>
      <c r="BY104" s="3">
        <f t="shared" ca="1" si="225"/>
        <v>0</v>
      </c>
      <c r="BZ104" s="3">
        <f t="shared" ca="1" si="226"/>
        <v>0</v>
      </c>
      <c r="CA104" s="3">
        <f t="shared" ca="1" si="227"/>
        <v>0</v>
      </c>
      <c r="CC104" s="3">
        <f t="shared" ca="1" si="228"/>
        <v>0</v>
      </c>
      <c r="CD104" s="3">
        <f t="shared" ca="1" si="229"/>
        <v>0</v>
      </c>
      <c r="CE104" s="3">
        <f t="shared" ca="1" si="230"/>
        <v>0</v>
      </c>
      <c r="CF104" s="3">
        <f t="shared" ca="1" si="231"/>
        <v>0</v>
      </c>
      <c r="CH104" s="3">
        <f t="shared" ca="1" si="232"/>
        <v>0</v>
      </c>
      <c r="CI104" s="3">
        <f t="shared" ca="1" si="233"/>
        <v>0</v>
      </c>
      <c r="CJ104" s="3">
        <f t="shared" ca="1" si="234"/>
        <v>0</v>
      </c>
      <c r="CK104" s="3">
        <f t="shared" ca="1" si="235"/>
        <v>0</v>
      </c>
      <c r="CM104" s="3">
        <f t="shared" ca="1" si="236"/>
        <v>0</v>
      </c>
      <c r="CN104" s="3">
        <f t="shared" ca="1" si="237"/>
        <v>0</v>
      </c>
      <c r="CO104" s="3">
        <f t="shared" ca="1" si="238"/>
        <v>0</v>
      </c>
      <c r="CP104" s="3">
        <f t="shared" ca="1" si="239"/>
        <v>0</v>
      </c>
      <c r="CR104" s="5">
        <v>4.016</v>
      </c>
      <c r="CS104" s="5">
        <v>4.016</v>
      </c>
      <c r="CT104" s="5">
        <v>4.0149999999999997</v>
      </c>
      <c r="CU104" s="5">
        <v>4.016</v>
      </c>
    </row>
    <row r="105" spans="1:99" s="5" customFormat="1" x14ac:dyDescent="0.35">
      <c r="A105" s="4" t="s">
        <v>107</v>
      </c>
      <c r="B105" s="4">
        <v>4.583333333333333</v>
      </c>
      <c r="C105" s="4" t="s">
        <v>168</v>
      </c>
      <c r="D105" s="4" t="s">
        <v>404</v>
      </c>
      <c r="E105" s="3"/>
      <c r="F105" s="5">
        <v>3.0060000000000002</v>
      </c>
      <c r="G105" s="11" t="e">
        <v>#N/A</v>
      </c>
      <c r="H105" s="5" t="e">
        <v>#N/A</v>
      </c>
      <c r="I105" s="11" t="e">
        <v>#N/A</v>
      </c>
      <c r="K105" s="3">
        <f t="shared" ca="1" si="180"/>
        <v>0.99800399201596801</v>
      </c>
      <c r="L105" s="3" t="e">
        <f t="shared" ca="1" si="181"/>
        <v>#N/A</v>
      </c>
      <c r="M105" s="3" t="e">
        <f t="shared" ca="1" si="182"/>
        <v>#N/A</v>
      </c>
      <c r="N105" s="3" t="e">
        <f t="shared" ca="1" si="183"/>
        <v>#N/A</v>
      </c>
      <c r="P105" s="3">
        <f t="shared" ca="1" si="184"/>
        <v>0.34930142099985817</v>
      </c>
      <c r="Q105" s="3" t="e">
        <f t="shared" ca="1" si="185"/>
        <v>#N/A</v>
      </c>
      <c r="R105" s="3" t="e">
        <f t="shared" ca="1" si="186"/>
        <v>#N/A</v>
      </c>
      <c r="S105" s="3" t="e">
        <f t="shared" ca="1" si="187"/>
        <v>#N/A</v>
      </c>
      <c r="U105" s="3">
        <f t="shared" ca="1" si="188"/>
        <v>2.328675981370592</v>
      </c>
      <c r="V105" s="3" t="e">
        <f t="shared" ca="1" si="189"/>
        <v>#N/A</v>
      </c>
      <c r="W105" s="3" t="e">
        <f t="shared" ca="1" si="190"/>
        <v>#N/A</v>
      </c>
      <c r="X105" s="3" t="e">
        <f t="shared" ca="1" si="191"/>
        <v>#N/A</v>
      </c>
      <c r="Z105" s="3">
        <f t="shared" ca="1" si="192"/>
        <v>0.68762475049900218</v>
      </c>
      <c r="AA105" s="3" t="e">
        <f t="shared" ca="1" si="193"/>
        <v>#N/A</v>
      </c>
      <c r="AB105" s="3" t="e">
        <f t="shared" ca="1" si="194"/>
        <v>#N/A</v>
      </c>
      <c r="AC105" s="3" t="e">
        <f t="shared" ca="1" si="195"/>
        <v>#N/A</v>
      </c>
      <c r="AE105" s="3">
        <f t="shared" ca="1" si="196"/>
        <v>0.34930142099985817</v>
      </c>
      <c r="AF105" s="3" t="e">
        <f t="shared" ca="1" si="197"/>
        <v>#N/A</v>
      </c>
      <c r="AG105" s="3" t="e">
        <f t="shared" ca="1" si="198"/>
        <v>#N/A</v>
      </c>
      <c r="AH105" s="3" t="e">
        <f t="shared" ca="1" si="199"/>
        <v>#N/A</v>
      </c>
      <c r="AJ105" s="3">
        <f t="shared" ca="1" si="200"/>
        <v>2.328675981370592</v>
      </c>
      <c r="AK105" s="3" t="e">
        <f t="shared" ca="1" si="201"/>
        <v>#N/A</v>
      </c>
      <c r="AL105" s="3" t="e">
        <f t="shared" ca="1" si="202"/>
        <v>#N/A</v>
      </c>
      <c r="AM105" s="3" t="e">
        <f t="shared" ca="1" si="203"/>
        <v>#N/A</v>
      </c>
      <c r="AO105" s="3">
        <f t="shared" ca="1" si="204"/>
        <v>1.6633399866932799</v>
      </c>
      <c r="AP105" s="3" t="e">
        <f t="shared" ca="1" si="205"/>
        <v>#N/A</v>
      </c>
      <c r="AQ105" s="3" t="e">
        <f t="shared" ca="1" si="206"/>
        <v>#N/A</v>
      </c>
      <c r="AR105" s="3" t="e">
        <f t="shared" ca="1" si="207"/>
        <v>#N/A</v>
      </c>
      <c r="AT105" s="5">
        <v>1.3370000123977661</v>
      </c>
      <c r="AU105" s="11" t="e">
        <v>#N/A</v>
      </c>
      <c r="AV105" s="5">
        <v>0.48399999737739563</v>
      </c>
      <c r="AW105" s="11" t="e">
        <v>#N/A</v>
      </c>
      <c r="AY105" s="3">
        <f t="shared" ca="1" si="208"/>
        <v>0</v>
      </c>
      <c r="AZ105" s="3" t="e">
        <f t="shared" ca="1" si="209"/>
        <v>#N/A</v>
      </c>
      <c r="BA105" s="3" t="e">
        <f t="shared" ca="1" si="210"/>
        <v>#N/A</v>
      </c>
      <c r="BB105" s="3" t="e">
        <f t="shared" ca="1" si="211"/>
        <v>#N/A</v>
      </c>
      <c r="BD105" s="3">
        <f t="shared" ca="1" si="212"/>
        <v>0</v>
      </c>
      <c r="BE105" s="3" t="e">
        <f t="shared" ca="1" si="213"/>
        <v>#N/A</v>
      </c>
      <c r="BF105" s="3" t="e">
        <f t="shared" ca="1" si="214"/>
        <v>#N/A</v>
      </c>
      <c r="BG105" s="3" t="e">
        <f t="shared" ca="1" si="215"/>
        <v>#N/A</v>
      </c>
      <c r="BI105" s="3">
        <f t="shared" ca="1" si="216"/>
        <v>0</v>
      </c>
      <c r="BJ105" s="3" t="e">
        <f t="shared" ca="1" si="217"/>
        <v>#N/A</v>
      </c>
      <c r="BK105" s="3" t="e">
        <f t="shared" ca="1" si="218"/>
        <v>#N/A</v>
      </c>
      <c r="BL105" s="3" t="e">
        <f t="shared" ca="1" si="219"/>
        <v>#N/A</v>
      </c>
      <c r="BN105" s="3">
        <f t="shared" ca="1" si="220"/>
        <v>0.33266799733865599</v>
      </c>
      <c r="BO105" s="3" t="e">
        <f t="shared" ca="1" si="221"/>
        <v>#N/A</v>
      </c>
      <c r="BP105" s="3" t="e">
        <f t="shared" ca="1" si="222"/>
        <v>#N/A</v>
      </c>
      <c r="BQ105" s="3" t="e">
        <f t="shared" ca="1" si="223"/>
        <v>#N/A</v>
      </c>
      <c r="BS105" s="5">
        <v>4.0090000000000003</v>
      </c>
      <c r="BT105" s="11" t="e">
        <v>#N/A</v>
      </c>
      <c r="BU105" s="5">
        <v>4.016</v>
      </c>
      <c r="BV105" s="11" t="e">
        <v>#N/A</v>
      </c>
      <c r="BX105" s="3">
        <f t="shared" ca="1" si="224"/>
        <v>0</v>
      </c>
      <c r="BY105" s="3" t="e">
        <f t="shared" ca="1" si="225"/>
        <v>#N/A</v>
      </c>
      <c r="BZ105" s="3" t="e">
        <f t="shared" ca="1" si="226"/>
        <v>#N/A</v>
      </c>
      <c r="CA105" s="3" t="e">
        <f t="shared" ca="1" si="227"/>
        <v>#N/A</v>
      </c>
      <c r="CC105" s="3">
        <f t="shared" ca="1" si="228"/>
        <v>0</v>
      </c>
      <c r="CD105" s="3" t="e">
        <f t="shared" ca="1" si="229"/>
        <v>#N/A</v>
      </c>
      <c r="CE105" s="3" t="e">
        <f t="shared" ca="1" si="230"/>
        <v>#N/A</v>
      </c>
      <c r="CF105" s="3" t="e">
        <f t="shared" ca="1" si="231"/>
        <v>#N/A</v>
      </c>
      <c r="CH105" s="3">
        <f t="shared" ca="1" si="232"/>
        <v>0</v>
      </c>
      <c r="CI105" s="3" t="e">
        <f t="shared" ca="1" si="233"/>
        <v>#N/A</v>
      </c>
      <c r="CJ105" s="3" t="e">
        <f t="shared" ca="1" si="234"/>
        <v>#N/A</v>
      </c>
      <c r="CK105" s="3" t="e">
        <f t="shared" ca="1" si="235"/>
        <v>#N/A</v>
      </c>
      <c r="CM105" s="3">
        <f t="shared" ca="1" si="236"/>
        <v>0</v>
      </c>
      <c r="CN105" s="3" t="e">
        <f t="shared" ca="1" si="237"/>
        <v>#N/A</v>
      </c>
      <c r="CO105" s="3" t="e">
        <f t="shared" ca="1" si="238"/>
        <v>#N/A</v>
      </c>
      <c r="CP105" s="3" t="e">
        <f t="shared" ca="1" si="239"/>
        <v>#N/A</v>
      </c>
      <c r="CR105" s="5">
        <v>4.0090000000000003</v>
      </c>
      <c r="CS105" s="11" t="e">
        <v>#N/A</v>
      </c>
      <c r="CT105" s="5">
        <v>4.016</v>
      </c>
      <c r="CU105" s="11" t="e">
        <v>#N/A</v>
      </c>
    </row>
    <row r="106" spans="1:99" s="5" customFormat="1" x14ac:dyDescent="0.35">
      <c r="A106" s="4" t="s">
        <v>113</v>
      </c>
      <c r="B106" s="4">
        <v>4.583333333333333</v>
      </c>
      <c r="C106" s="4" t="s">
        <v>167</v>
      </c>
      <c r="D106" s="4" t="s">
        <v>404</v>
      </c>
      <c r="E106" s="3"/>
      <c r="F106" s="5" t="e">
        <v>#N/A</v>
      </c>
      <c r="G106" s="5">
        <v>4.0149999999999997</v>
      </c>
      <c r="H106" s="11" t="e">
        <v>#N/A</v>
      </c>
      <c r="I106" s="5" t="e">
        <v>#N/A</v>
      </c>
      <c r="K106" s="3" t="e">
        <f t="shared" ca="1" si="180"/>
        <v>#N/A</v>
      </c>
      <c r="L106" s="3">
        <f t="shared" ca="1" si="181"/>
        <v>0.98381070983810714</v>
      </c>
      <c r="M106" s="3" t="e">
        <f t="shared" ca="1" si="182"/>
        <v>#N/A</v>
      </c>
      <c r="N106" s="3" t="e">
        <f t="shared" ca="1" si="183"/>
        <v>#N/A</v>
      </c>
      <c r="P106" s="3" t="e">
        <f t="shared" ca="1" si="184"/>
        <v>#N/A</v>
      </c>
      <c r="Q106" s="3">
        <f t="shared" ca="1" si="185"/>
        <v>0.95541717143611038</v>
      </c>
      <c r="R106" s="3" t="e">
        <f t="shared" ca="1" si="186"/>
        <v>#N/A</v>
      </c>
      <c r="S106" s="3" t="e">
        <f t="shared" ca="1" si="187"/>
        <v>#N/A</v>
      </c>
      <c r="U106" s="3" t="e">
        <f t="shared" ca="1" si="188"/>
        <v>#N/A</v>
      </c>
      <c r="V106" s="3">
        <f t="shared" ca="1" si="189"/>
        <v>1.9925280199252804</v>
      </c>
      <c r="W106" s="3" t="e">
        <f t="shared" ca="1" si="190"/>
        <v>#N/A</v>
      </c>
      <c r="X106" s="3" t="e">
        <f t="shared" ca="1" si="191"/>
        <v>#N/A</v>
      </c>
      <c r="Z106" s="3" t="e">
        <f t="shared" ca="1" si="192"/>
        <v>#N/A</v>
      </c>
      <c r="AA106" s="3">
        <f t="shared" ca="1" si="193"/>
        <v>0.98381070983810714</v>
      </c>
      <c r="AB106" s="3" t="e">
        <f t="shared" ca="1" si="194"/>
        <v>#N/A</v>
      </c>
      <c r="AC106" s="3" t="e">
        <f t="shared" ca="1" si="195"/>
        <v>#N/A</v>
      </c>
      <c r="AE106" s="3" t="e">
        <f t="shared" ca="1" si="196"/>
        <v>#N/A</v>
      </c>
      <c r="AF106" s="3">
        <f t="shared" ca="1" si="197"/>
        <v>0.95541717143611038</v>
      </c>
      <c r="AG106" s="3" t="e">
        <f t="shared" ca="1" si="198"/>
        <v>#N/A</v>
      </c>
      <c r="AH106" s="3" t="e">
        <f t="shared" ca="1" si="199"/>
        <v>#N/A</v>
      </c>
      <c r="AJ106" s="3" t="e">
        <f t="shared" ca="1" si="200"/>
        <v>#N/A</v>
      </c>
      <c r="AK106" s="3">
        <f t="shared" ca="1" si="201"/>
        <v>1.9925280199252804</v>
      </c>
      <c r="AL106" s="3" t="e">
        <f t="shared" ca="1" si="202"/>
        <v>#N/A</v>
      </c>
      <c r="AM106" s="3" t="e">
        <f t="shared" ca="1" si="203"/>
        <v>#N/A</v>
      </c>
      <c r="AO106" s="3" t="e">
        <f t="shared" ca="1" si="204"/>
        <v>#N/A</v>
      </c>
      <c r="AP106" s="3">
        <f t="shared" ca="1" si="205"/>
        <v>0.24906600249066005</v>
      </c>
      <c r="AQ106" s="3" t="e">
        <f t="shared" ca="1" si="206"/>
        <v>#N/A</v>
      </c>
      <c r="AR106" s="3" t="e">
        <f t="shared" ca="1" si="207"/>
        <v>#N/A</v>
      </c>
      <c r="AT106" s="5">
        <v>1.6399999856948853</v>
      </c>
      <c r="AU106" s="5">
        <v>1.0999999940395355E-2</v>
      </c>
      <c r="AV106" s="11" t="e">
        <v>#N/A</v>
      </c>
      <c r="AW106" s="11" t="e">
        <v>#N/A</v>
      </c>
      <c r="AY106" s="3" t="e">
        <f t="shared" ca="1" si="208"/>
        <v>#N/A</v>
      </c>
      <c r="AZ106" s="3">
        <f t="shared" ca="1" si="209"/>
        <v>0.37334993773349934</v>
      </c>
      <c r="BA106" s="3" t="e">
        <f t="shared" ca="1" si="210"/>
        <v>#N/A</v>
      </c>
      <c r="BB106" s="3" t="e">
        <f t="shared" ca="1" si="211"/>
        <v>#N/A</v>
      </c>
      <c r="BD106" s="3" t="e">
        <f t="shared" ca="1" si="212"/>
        <v>#N/A</v>
      </c>
      <c r="BE106" s="3">
        <f t="shared" ca="1" si="213"/>
        <v>0.4278953909725508</v>
      </c>
      <c r="BF106" s="3" t="e">
        <f t="shared" ca="1" si="214"/>
        <v>#N/A</v>
      </c>
      <c r="BG106" s="3" t="e">
        <f t="shared" ca="1" si="215"/>
        <v>#N/A</v>
      </c>
      <c r="BI106" s="3" t="e">
        <f t="shared" ca="1" si="216"/>
        <v>#N/A</v>
      </c>
      <c r="BJ106" s="3">
        <f t="shared" ca="1" si="217"/>
        <v>0.9962640099626402</v>
      </c>
      <c r="BK106" s="3" t="e">
        <f t="shared" ca="1" si="218"/>
        <v>#N/A</v>
      </c>
      <c r="BL106" s="3" t="e">
        <f t="shared" ca="1" si="219"/>
        <v>#N/A</v>
      </c>
      <c r="BN106" s="3" t="e">
        <f t="shared" ca="1" si="220"/>
        <v>#N/A</v>
      </c>
      <c r="BO106" s="3">
        <f t="shared" ca="1" si="221"/>
        <v>0.74719800747198017</v>
      </c>
      <c r="BP106" s="3" t="e">
        <f t="shared" ca="1" si="222"/>
        <v>#N/A</v>
      </c>
      <c r="BQ106" s="3" t="e">
        <f t="shared" ca="1" si="223"/>
        <v>#N/A</v>
      </c>
      <c r="BS106" s="5">
        <v>2.7390000820159912</v>
      </c>
      <c r="BT106" s="5">
        <v>0.81099998950958252</v>
      </c>
      <c r="BU106" s="11" t="e">
        <v>#N/A</v>
      </c>
      <c r="BV106" s="11" t="e">
        <v>#N/A</v>
      </c>
      <c r="BX106" s="3" t="e">
        <f t="shared" ca="1" si="224"/>
        <v>#N/A</v>
      </c>
      <c r="BY106" s="3">
        <f t="shared" ca="1" si="225"/>
        <v>0</v>
      </c>
      <c r="BZ106" s="3" t="e">
        <f t="shared" ca="1" si="226"/>
        <v>#N/A</v>
      </c>
      <c r="CA106" s="3" t="e">
        <f t="shared" ca="1" si="227"/>
        <v>#N/A</v>
      </c>
      <c r="CC106" s="3" t="e">
        <f t="shared" ca="1" si="228"/>
        <v>#N/A</v>
      </c>
      <c r="CD106" s="3">
        <f t="shared" ca="1" si="229"/>
        <v>0</v>
      </c>
      <c r="CE106" s="3" t="e">
        <f t="shared" ca="1" si="230"/>
        <v>#N/A</v>
      </c>
      <c r="CF106" s="3" t="e">
        <f t="shared" ca="1" si="231"/>
        <v>#N/A</v>
      </c>
      <c r="CH106" s="3" t="e">
        <f t="shared" ca="1" si="232"/>
        <v>#N/A</v>
      </c>
      <c r="CI106" s="3">
        <f t="shared" ca="1" si="233"/>
        <v>0</v>
      </c>
      <c r="CJ106" s="3" t="e">
        <f t="shared" ca="1" si="234"/>
        <v>#N/A</v>
      </c>
      <c r="CK106" s="3" t="e">
        <f t="shared" ca="1" si="235"/>
        <v>#N/A</v>
      </c>
      <c r="CM106" s="3" t="e">
        <f t="shared" ca="1" si="236"/>
        <v>#N/A</v>
      </c>
      <c r="CN106" s="3">
        <f t="shared" ca="1" si="237"/>
        <v>0</v>
      </c>
      <c r="CO106" s="3" t="e">
        <f t="shared" ca="1" si="238"/>
        <v>#N/A</v>
      </c>
      <c r="CP106" s="3" t="e">
        <f t="shared" ca="1" si="239"/>
        <v>#N/A</v>
      </c>
      <c r="CR106" s="5">
        <v>4.0149999999999997</v>
      </c>
      <c r="CS106" s="5">
        <v>4.0149999999999997</v>
      </c>
      <c r="CT106" s="11" t="e">
        <v>#N/A</v>
      </c>
      <c r="CU106" s="11" t="e">
        <v>#N/A</v>
      </c>
    </row>
    <row r="107" spans="1:99" s="5" customFormat="1" x14ac:dyDescent="0.35">
      <c r="A107" s="4" t="s">
        <v>153</v>
      </c>
      <c r="B107" s="4">
        <v>5</v>
      </c>
      <c r="C107" s="4" t="s">
        <v>168</v>
      </c>
      <c r="D107" s="4" t="s">
        <v>404</v>
      </c>
      <c r="E107" s="3"/>
      <c r="F107" s="5" t="e">
        <v>#N/A</v>
      </c>
      <c r="G107" s="5" t="e">
        <v>#N/A</v>
      </c>
      <c r="H107" s="5">
        <v>4.01</v>
      </c>
      <c r="I107" s="5">
        <v>3.024</v>
      </c>
      <c r="K107" s="3" t="e">
        <f t="shared" ca="1" si="180"/>
        <v>#N/A</v>
      </c>
      <c r="L107" s="3" t="e">
        <f t="shared" ca="1" si="181"/>
        <v>#N/A</v>
      </c>
      <c r="M107" s="3">
        <f t="shared" ca="1" si="182"/>
        <v>0.90598503740648384</v>
      </c>
      <c r="N107" s="3">
        <f t="shared" ca="1" si="183"/>
        <v>0.99735449735449733</v>
      </c>
      <c r="P107" s="3" t="e">
        <f t="shared" ca="1" si="184"/>
        <v>#N/A</v>
      </c>
      <c r="Q107" s="3" t="e">
        <f t="shared" ca="1" si="185"/>
        <v>#N/A</v>
      </c>
      <c r="R107" s="3">
        <f t="shared" ca="1" si="186"/>
        <v>0.86483800054488347</v>
      </c>
      <c r="S107" s="3">
        <f t="shared" ca="1" si="187"/>
        <v>0.94212958787533418</v>
      </c>
      <c r="U107" s="3" t="e">
        <f t="shared" ca="1" si="188"/>
        <v>#N/A</v>
      </c>
      <c r="V107" s="3" t="e">
        <f t="shared" ca="1" si="189"/>
        <v>#N/A</v>
      </c>
      <c r="W107" s="3">
        <f t="shared" ca="1" si="190"/>
        <v>2.4937655860349128</v>
      </c>
      <c r="X107" s="3">
        <f t="shared" ca="1" si="191"/>
        <v>1.6534391534391535</v>
      </c>
      <c r="Z107" s="3" t="e">
        <f t="shared" ca="1" si="192"/>
        <v>#N/A</v>
      </c>
      <c r="AA107" s="3" t="e">
        <f t="shared" ca="1" si="193"/>
        <v>#N/A</v>
      </c>
      <c r="AB107" s="3">
        <f t="shared" ca="1" si="194"/>
        <v>0.81446384039900266</v>
      </c>
      <c r="AC107" s="3">
        <f t="shared" ca="1" si="195"/>
        <v>0.99735449735449733</v>
      </c>
      <c r="AE107" s="3" t="e">
        <f t="shared" ca="1" si="196"/>
        <v>#N/A</v>
      </c>
      <c r="AF107" s="3" t="e">
        <f t="shared" ca="1" si="197"/>
        <v>#N/A</v>
      </c>
      <c r="AG107" s="3">
        <f t="shared" ca="1" si="198"/>
        <v>0.81097264390931167</v>
      </c>
      <c r="AH107" s="3">
        <f t="shared" ca="1" si="199"/>
        <v>0.94212958787533418</v>
      </c>
      <c r="AJ107" s="3" t="e">
        <f t="shared" ca="1" si="200"/>
        <v>#N/A</v>
      </c>
      <c r="AK107" s="3" t="e">
        <f t="shared" ca="1" si="201"/>
        <v>#N/A</v>
      </c>
      <c r="AL107" s="3">
        <f t="shared" ca="1" si="202"/>
        <v>2.2443890274314215</v>
      </c>
      <c r="AM107" s="3">
        <f t="shared" ca="1" si="203"/>
        <v>1.6534391534391535</v>
      </c>
      <c r="AO107" s="3" t="e">
        <f t="shared" ca="1" si="204"/>
        <v>#N/A</v>
      </c>
      <c r="AP107" s="3" t="e">
        <f t="shared" ca="1" si="205"/>
        <v>#N/A</v>
      </c>
      <c r="AQ107" s="3">
        <f t="shared" ca="1" si="206"/>
        <v>0.49875311720698257</v>
      </c>
      <c r="AR107" s="3">
        <f t="shared" ca="1" si="207"/>
        <v>0.3306878306878307</v>
      </c>
      <c r="AT107" s="11" t="e">
        <v>#N/A</v>
      </c>
      <c r="AU107" s="5">
        <v>6.1999998986721039E-2</v>
      </c>
      <c r="AV107" s="5">
        <v>0.37299999594688416</v>
      </c>
      <c r="AW107" s="5">
        <v>8.0000003799796104E-3</v>
      </c>
      <c r="AY107" s="3" t="e">
        <f t="shared" ca="1" si="208"/>
        <v>#N/A</v>
      </c>
      <c r="AZ107" s="3" t="e">
        <f t="shared" ca="1" si="209"/>
        <v>#N/A</v>
      </c>
      <c r="BA107" s="3">
        <f t="shared" ca="1" si="210"/>
        <v>0.42394014962593518</v>
      </c>
      <c r="BB107" s="3">
        <f t="shared" ca="1" si="211"/>
        <v>0.18187830687830697</v>
      </c>
      <c r="BD107" s="3" t="e">
        <f t="shared" ca="1" si="212"/>
        <v>#N/A</v>
      </c>
      <c r="BE107" s="3" t="e">
        <f t="shared" ca="1" si="213"/>
        <v>#N/A</v>
      </c>
      <c r="BF107" s="3">
        <f t="shared" ca="1" si="214"/>
        <v>0.44912722639906738</v>
      </c>
      <c r="BG107" s="3">
        <f t="shared" ca="1" si="215"/>
        <v>0.18716930712341631</v>
      </c>
      <c r="BI107" s="3" t="e">
        <f t="shared" ca="1" si="216"/>
        <v>#N/A</v>
      </c>
      <c r="BJ107" s="3" t="e">
        <f t="shared" ca="1" si="217"/>
        <v>#N/A</v>
      </c>
      <c r="BK107" s="3">
        <f t="shared" ca="1" si="218"/>
        <v>0.99750623441396513</v>
      </c>
      <c r="BL107" s="3">
        <f t="shared" ca="1" si="219"/>
        <v>0.66137566137566139</v>
      </c>
      <c r="BN107" s="3" t="e">
        <f t="shared" ca="1" si="220"/>
        <v>#N/A</v>
      </c>
      <c r="BO107" s="3" t="e">
        <f t="shared" ca="1" si="221"/>
        <v>#N/A</v>
      </c>
      <c r="BP107" s="3">
        <f t="shared" ca="1" si="222"/>
        <v>0.74812967581047385</v>
      </c>
      <c r="BQ107" s="3">
        <f t="shared" ca="1" si="223"/>
        <v>0.66137566137566139</v>
      </c>
      <c r="BS107" s="11" t="e">
        <v>#N/A</v>
      </c>
      <c r="BT107" s="5">
        <v>0.69599997997283936</v>
      </c>
      <c r="BU107" s="5">
        <v>0.72299998998641968</v>
      </c>
      <c r="BV107" s="5">
        <v>0.64099997282028198</v>
      </c>
      <c r="BX107" s="3" t="e">
        <f t="shared" ca="1" si="224"/>
        <v>#N/A</v>
      </c>
      <c r="BY107" s="3" t="e">
        <f t="shared" ca="1" si="225"/>
        <v>#N/A</v>
      </c>
      <c r="BZ107" s="3">
        <f t="shared" ca="1" si="226"/>
        <v>9.9750623441396485E-2</v>
      </c>
      <c r="CA107" s="3">
        <f t="shared" ca="1" si="227"/>
        <v>0</v>
      </c>
      <c r="CC107" s="3" t="e">
        <f t="shared" ca="1" si="228"/>
        <v>#N/A</v>
      </c>
      <c r="CD107" s="3" t="e">
        <f t="shared" ca="1" si="229"/>
        <v>#N/A</v>
      </c>
      <c r="CE107" s="3">
        <f t="shared" ca="1" si="230"/>
        <v>5.411471511954976E-2</v>
      </c>
      <c r="CF107" s="3">
        <f t="shared" ca="1" si="231"/>
        <v>0</v>
      </c>
      <c r="CH107" s="3" t="e">
        <f t="shared" ca="1" si="232"/>
        <v>#N/A</v>
      </c>
      <c r="CI107" s="3" t="e">
        <f t="shared" ca="1" si="233"/>
        <v>#N/A</v>
      </c>
      <c r="CJ107" s="3">
        <f t="shared" ca="1" si="234"/>
        <v>0.24937655860349128</v>
      </c>
      <c r="CK107" s="3">
        <f t="shared" ca="1" si="235"/>
        <v>0</v>
      </c>
      <c r="CM107" s="3" t="e">
        <f t="shared" ca="1" si="236"/>
        <v>#N/A</v>
      </c>
      <c r="CN107" s="3" t="e">
        <f t="shared" ca="1" si="237"/>
        <v>#N/A</v>
      </c>
      <c r="CO107" s="3">
        <f t="shared" ca="1" si="238"/>
        <v>0.49875311720698257</v>
      </c>
      <c r="CP107" s="3">
        <f t="shared" ca="1" si="239"/>
        <v>0</v>
      </c>
      <c r="CR107" s="11" t="e">
        <v>#N/A</v>
      </c>
      <c r="CS107" s="5">
        <v>4.0110000000000001</v>
      </c>
      <c r="CT107" s="5">
        <v>2.2730000019073486</v>
      </c>
      <c r="CU107" s="5">
        <v>4.0110000000000001</v>
      </c>
    </row>
    <row r="108" spans="1:99" s="5" customFormat="1" x14ac:dyDescent="0.35">
      <c r="A108" s="4" t="s">
        <v>94</v>
      </c>
      <c r="B108" s="4">
        <v>5.25</v>
      </c>
      <c r="C108" s="4" t="s">
        <v>168</v>
      </c>
      <c r="D108" s="4" t="s">
        <v>404</v>
      </c>
      <c r="E108" s="3"/>
      <c r="F108" s="11" t="e">
        <v>#N/A</v>
      </c>
      <c r="G108" s="11" t="e">
        <v>#N/A</v>
      </c>
      <c r="H108" s="11" t="e">
        <v>#N/A</v>
      </c>
      <c r="I108" s="5" t="e">
        <v>#N/A</v>
      </c>
      <c r="K108" s="3" t="e">
        <f t="shared" ca="1" si="180"/>
        <v>#N/A</v>
      </c>
      <c r="L108" s="3" t="e">
        <f t="shared" ca="1" si="181"/>
        <v>#N/A</v>
      </c>
      <c r="M108" s="3" t="e">
        <f t="shared" ca="1" si="182"/>
        <v>#N/A</v>
      </c>
      <c r="N108" s="3" t="e">
        <f t="shared" ca="1" si="183"/>
        <v>#N/A</v>
      </c>
      <c r="P108" s="3" t="e">
        <f t="shared" ca="1" si="184"/>
        <v>#N/A</v>
      </c>
      <c r="Q108" s="3" t="e">
        <f t="shared" ca="1" si="185"/>
        <v>#N/A</v>
      </c>
      <c r="R108" s="3" t="e">
        <f t="shared" ca="1" si="186"/>
        <v>#N/A</v>
      </c>
      <c r="S108" s="3" t="e">
        <f t="shared" ca="1" si="187"/>
        <v>#N/A</v>
      </c>
      <c r="U108" s="3" t="e">
        <f t="shared" ca="1" si="188"/>
        <v>#N/A</v>
      </c>
      <c r="V108" s="3" t="e">
        <f t="shared" ca="1" si="189"/>
        <v>#N/A</v>
      </c>
      <c r="W108" s="3" t="e">
        <f t="shared" ca="1" si="190"/>
        <v>#N/A</v>
      </c>
      <c r="X108" s="3" t="e">
        <f t="shared" ca="1" si="191"/>
        <v>#N/A</v>
      </c>
      <c r="Z108" s="3" t="e">
        <f t="shared" ca="1" si="192"/>
        <v>#N/A</v>
      </c>
      <c r="AA108" s="3" t="e">
        <f t="shared" ca="1" si="193"/>
        <v>#N/A</v>
      </c>
      <c r="AB108" s="3" t="e">
        <f t="shared" ca="1" si="194"/>
        <v>#N/A</v>
      </c>
      <c r="AC108" s="3" t="e">
        <f t="shared" ca="1" si="195"/>
        <v>#N/A</v>
      </c>
      <c r="AE108" s="3" t="e">
        <f t="shared" ca="1" si="196"/>
        <v>#N/A</v>
      </c>
      <c r="AF108" s="3" t="e">
        <f t="shared" ca="1" si="197"/>
        <v>#N/A</v>
      </c>
      <c r="AG108" s="3" t="e">
        <f t="shared" ca="1" si="198"/>
        <v>#N/A</v>
      </c>
      <c r="AH108" s="3" t="e">
        <f t="shared" ca="1" si="199"/>
        <v>#N/A</v>
      </c>
      <c r="AJ108" s="3" t="e">
        <f t="shared" ca="1" si="200"/>
        <v>#N/A</v>
      </c>
      <c r="AK108" s="3" t="e">
        <f t="shared" ca="1" si="201"/>
        <v>#N/A</v>
      </c>
      <c r="AL108" s="3" t="e">
        <f t="shared" ca="1" si="202"/>
        <v>#N/A</v>
      </c>
      <c r="AM108" s="3" t="e">
        <f t="shared" ca="1" si="203"/>
        <v>#N/A</v>
      </c>
      <c r="AO108" s="3" t="e">
        <f t="shared" ca="1" si="204"/>
        <v>#N/A</v>
      </c>
      <c r="AP108" s="3" t="e">
        <f t="shared" ca="1" si="205"/>
        <v>#N/A</v>
      </c>
      <c r="AQ108" s="3" t="e">
        <f t="shared" ca="1" si="206"/>
        <v>#N/A</v>
      </c>
      <c r="AR108" s="3" t="e">
        <f t="shared" ca="1" si="207"/>
        <v>#N/A</v>
      </c>
      <c r="AT108" s="11" t="e">
        <v>#N/A</v>
      </c>
      <c r="AU108" s="11" t="e">
        <v>#N/A</v>
      </c>
      <c r="AV108" s="11" t="e">
        <v>#N/A</v>
      </c>
      <c r="AW108" s="5">
        <v>1.6599999666213989</v>
      </c>
      <c r="AY108" s="3" t="e">
        <f t="shared" ca="1" si="208"/>
        <v>#N/A</v>
      </c>
      <c r="AZ108" s="3" t="e">
        <f t="shared" ca="1" si="209"/>
        <v>#N/A</v>
      </c>
      <c r="BA108" s="3" t="e">
        <f t="shared" ca="1" si="210"/>
        <v>#N/A</v>
      </c>
      <c r="BB108" s="3" t="e">
        <f t="shared" ca="1" si="211"/>
        <v>#N/A</v>
      </c>
      <c r="BD108" s="3" t="e">
        <f t="shared" ca="1" si="212"/>
        <v>#N/A</v>
      </c>
      <c r="BE108" s="3" t="e">
        <f t="shared" ca="1" si="213"/>
        <v>#N/A</v>
      </c>
      <c r="BF108" s="3" t="e">
        <f t="shared" ca="1" si="214"/>
        <v>#N/A</v>
      </c>
      <c r="BG108" s="3" t="e">
        <f t="shared" ca="1" si="215"/>
        <v>#N/A</v>
      </c>
      <c r="BI108" s="3" t="e">
        <f t="shared" ca="1" si="216"/>
        <v>#N/A</v>
      </c>
      <c r="BJ108" s="3" t="e">
        <f t="shared" ca="1" si="217"/>
        <v>#N/A</v>
      </c>
      <c r="BK108" s="3" t="e">
        <f t="shared" ca="1" si="218"/>
        <v>#N/A</v>
      </c>
      <c r="BL108" s="3" t="e">
        <f t="shared" ca="1" si="219"/>
        <v>#N/A</v>
      </c>
      <c r="BN108" s="3" t="e">
        <f t="shared" ca="1" si="220"/>
        <v>#N/A</v>
      </c>
      <c r="BO108" s="3" t="e">
        <f t="shared" ca="1" si="221"/>
        <v>#N/A</v>
      </c>
      <c r="BP108" s="3" t="e">
        <f t="shared" ca="1" si="222"/>
        <v>#N/A</v>
      </c>
      <c r="BQ108" s="3" t="e">
        <f t="shared" ca="1" si="223"/>
        <v>#N/A</v>
      </c>
      <c r="BS108" s="11" t="e">
        <v>#N/A</v>
      </c>
      <c r="BT108" s="11" t="e">
        <v>#N/A</v>
      </c>
      <c r="BU108" s="11" t="e">
        <v>#N/A</v>
      </c>
      <c r="BV108" s="5">
        <v>4.016</v>
      </c>
      <c r="BX108" s="3" t="e">
        <f t="shared" ca="1" si="224"/>
        <v>#N/A</v>
      </c>
      <c r="BY108" s="3" t="e">
        <f t="shared" ca="1" si="225"/>
        <v>#N/A</v>
      </c>
      <c r="BZ108" s="3" t="e">
        <f t="shared" ca="1" si="226"/>
        <v>#N/A</v>
      </c>
      <c r="CA108" s="3" t="e">
        <f t="shared" ca="1" si="227"/>
        <v>#N/A</v>
      </c>
      <c r="CC108" s="3" t="e">
        <f t="shared" ca="1" si="228"/>
        <v>#N/A</v>
      </c>
      <c r="CD108" s="3" t="e">
        <f t="shared" ca="1" si="229"/>
        <v>#N/A</v>
      </c>
      <c r="CE108" s="3" t="e">
        <f t="shared" ca="1" si="230"/>
        <v>#N/A</v>
      </c>
      <c r="CF108" s="3" t="e">
        <f t="shared" ca="1" si="231"/>
        <v>#N/A</v>
      </c>
      <c r="CH108" s="3" t="e">
        <f t="shared" ca="1" si="232"/>
        <v>#N/A</v>
      </c>
      <c r="CI108" s="3" t="e">
        <f t="shared" ca="1" si="233"/>
        <v>#N/A</v>
      </c>
      <c r="CJ108" s="3" t="e">
        <f t="shared" ca="1" si="234"/>
        <v>#N/A</v>
      </c>
      <c r="CK108" s="3" t="e">
        <f t="shared" ca="1" si="235"/>
        <v>#N/A</v>
      </c>
      <c r="CM108" s="3" t="e">
        <f t="shared" ca="1" si="236"/>
        <v>#N/A</v>
      </c>
      <c r="CN108" s="3" t="e">
        <f t="shared" ca="1" si="237"/>
        <v>#N/A</v>
      </c>
      <c r="CO108" s="3" t="e">
        <f t="shared" ca="1" si="238"/>
        <v>#N/A</v>
      </c>
      <c r="CP108" s="3" t="e">
        <f t="shared" ca="1" si="239"/>
        <v>#N/A</v>
      </c>
      <c r="CR108" s="11" t="e">
        <v>#N/A</v>
      </c>
      <c r="CS108" s="11" t="e">
        <v>#N/A</v>
      </c>
      <c r="CT108" s="11" t="e">
        <v>#N/A</v>
      </c>
      <c r="CU108" s="5">
        <v>1.6599999666213989</v>
      </c>
    </row>
    <row r="109" spans="1:99" s="5" customFormat="1" x14ac:dyDescent="0.35">
      <c r="A109" s="4" t="s">
        <v>124</v>
      </c>
      <c r="B109" s="4">
        <v>5.25</v>
      </c>
      <c r="C109" s="4" t="s">
        <v>168</v>
      </c>
      <c r="D109" s="4" t="s">
        <v>404</v>
      </c>
      <c r="E109" s="3"/>
      <c r="F109" s="5">
        <v>4.0309999999999997</v>
      </c>
      <c r="G109" s="5">
        <v>4.0250000000000004</v>
      </c>
      <c r="H109" s="5">
        <v>4.0110000000000001</v>
      </c>
      <c r="I109" s="11" t="e">
        <v>#N/A</v>
      </c>
      <c r="K109" s="3">
        <f t="shared" ca="1" si="180"/>
        <v>0.92582485735549491</v>
      </c>
      <c r="L109" s="3">
        <f t="shared" ca="1" si="181"/>
        <v>0.98534161490683225</v>
      </c>
      <c r="M109" s="3">
        <f t="shared" ca="1" si="182"/>
        <v>0.83520319122413367</v>
      </c>
      <c r="N109" s="3" t="e">
        <f t="shared" ca="1" si="183"/>
        <v>#N/A</v>
      </c>
      <c r="P109" s="3">
        <f t="shared" ca="1" si="184"/>
        <v>0.87670548267974902</v>
      </c>
      <c r="Q109" s="3">
        <f t="shared" ca="1" si="185"/>
        <v>0.91031066379191705</v>
      </c>
      <c r="R109" s="3">
        <f t="shared" ca="1" si="186"/>
        <v>0.79406626156606275</v>
      </c>
      <c r="S109" s="3" t="e">
        <f t="shared" ca="1" si="187"/>
        <v>#N/A</v>
      </c>
      <c r="U109" s="3">
        <f t="shared" ca="1" si="188"/>
        <v>2.2326966013396183</v>
      </c>
      <c r="V109" s="3">
        <f t="shared" ca="1" si="189"/>
        <v>3.726708074534161</v>
      </c>
      <c r="W109" s="3">
        <f t="shared" ca="1" si="190"/>
        <v>1.7452006980802792</v>
      </c>
      <c r="X109" s="3" t="e">
        <f t="shared" ca="1" si="191"/>
        <v>#N/A</v>
      </c>
      <c r="Z109" s="3">
        <f t="shared" ca="1" si="192"/>
        <v>0.92582485735549491</v>
      </c>
      <c r="AA109" s="3">
        <f t="shared" ca="1" si="193"/>
        <v>0.98534161490683225</v>
      </c>
      <c r="AB109" s="3">
        <f t="shared" ca="1" si="194"/>
        <v>0.75617053103964094</v>
      </c>
      <c r="AC109" s="3" t="e">
        <f t="shared" ca="1" si="195"/>
        <v>#N/A</v>
      </c>
      <c r="AE109" s="3">
        <f t="shared" ca="1" si="196"/>
        <v>0.87670548267974902</v>
      </c>
      <c r="AF109" s="3">
        <f t="shared" ca="1" si="197"/>
        <v>0.91031066379191705</v>
      </c>
      <c r="AG109" s="3">
        <f t="shared" ca="1" si="198"/>
        <v>0.72749932042323751</v>
      </c>
      <c r="AH109" s="3" t="e">
        <f t="shared" ca="1" si="199"/>
        <v>#N/A</v>
      </c>
      <c r="AJ109" s="3">
        <f t="shared" ca="1" si="200"/>
        <v>2.2326966013396183</v>
      </c>
      <c r="AK109" s="3">
        <f t="shared" ca="1" si="201"/>
        <v>3.726708074534161</v>
      </c>
      <c r="AL109" s="3">
        <f t="shared" ca="1" si="202"/>
        <v>1.4958863126402393</v>
      </c>
      <c r="AM109" s="3" t="e">
        <f t="shared" ca="1" si="203"/>
        <v>#N/A</v>
      </c>
      <c r="AO109" s="3">
        <f t="shared" ca="1" si="204"/>
        <v>0.24807740014884647</v>
      </c>
      <c r="AP109" s="3">
        <f t="shared" ca="1" si="205"/>
        <v>0.24844720496894407</v>
      </c>
      <c r="AQ109" s="3">
        <f t="shared" ca="1" si="206"/>
        <v>0.24931438544003989</v>
      </c>
      <c r="AR109" s="3" t="e">
        <f t="shared" ca="1" si="207"/>
        <v>#N/A</v>
      </c>
      <c r="AT109" s="5">
        <v>0.34700000286102295</v>
      </c>
      <c r="AU109" s="5">
        <v>6.4999997615814209E-2</v>
      </c>
      <c r="AV109" s="5">
        <v>0.36700001358985901</v>
      </c>
      <c r="AW109" s="11" t="e">
        <v>#N/A</v>
      </c>
      <c r="AY109" s="3">
        <f t="shared" ca="1" si="208"/>
        <v>0.4465393202679237</v>
      </c>
      <c r="AZ109" s="3">
        <f t="shared" ca="1" si="209"/>
        <v>0.17391304347826089</v>
      </c>
      <c r="BA109" s="3">
        <f t="shared" ca="1" si="210"/>
        <v>0.25754176015956126</v>
      </c>
      <c r="BB109" s="3" t="e">
        <f t="shared" ca="1" si="211"/>
        <v>#N/A</v>
      </c>
      <c r="BD109" s="3">
        <f t="shared" ca="1" si="212"/>
        <v>0.45050852531181385</v>
      </c>
      <c r="BE109" s="3">
        <f t="shared" ca="1" si="213"/>
        <v>0.18608697452900572</v>
      </c>
      <c r="BF109" s="3">
        <f t="shared" ca="1" si="214"/>
        <v>0.2954375324805637</v>
      </c>
      <c r="BG109" s="3" t="e">
        <f t="shared" ca="1" si="215"/>
        <v>#N/A</v>
      </c>
      <c r="BI109" s="3">
        <f t="shared" ca="1" si="216"/>
        <v>0.74423220044653937</v>
      </c>
      <c r="BJ109" s="3">
        <f t="shared" ca="1" si="217"/>
        <v>0.99378881987577627</v>
      </c>
      <c r="BK109" s="3">
        <f t="shared" ca="1" si="218"/>
        <v>0.74794315632011965</v>
      </c>
      <c r="BL109" s="3" t="e">
        <f t="shared" ca="1" si="219"/>
        <v>#N/A</v>
      </c>
      <c r="BN109" s="3">
        <f t="shared" ca="1" si="220"/>
        <v>0.49615480029769293</v>
      </c>
      <c r="BO109" s="3">
        <f t="shared" ca="1" si="221"/>
        <v>0.99378881987577627</v>
      </c>
      <c r="BP109" s="3">
        <f t="shared" ca="1" si="222"/>
        <v>0.74794315632011965</v>
      </c>
      <c r="BQ109" s="3" t="e">
        <f t="shared" ca="1" si="223"/>
        <v>#N/A</v>
      </c>
      <c r="BS109" s="5">
        <v>0.71399998664855957</v>
      </c>
      <c r="BT109" s="5">
        <v>0.78100001811981201</v>
      </c>
      <c r="BU109" s="5">
        <v>0.75</v>
      </c>
      <c r="BV109" s="11" t="e">
        <v>#N/A</v>
      </c>
      <c r="BX109" s="3">
        <f t="shared" ca="1" si="224"/>
        <v>1.240387000744232E-2</v>
      </c>
      <c r="BY109" s="3">
        <f t="shared" ca="1" si="225"/>
        <v>3.7267080745341609E-2</v>
      </c>
      <c r="BZ109" s="3">
        <f t="shared" ca="1" si="226"/>
        <v>2.0942408376963369E-2</v>
      </c>
      <c r="CA109" s="3" t="e">
        <f t="shared" ca="1" si="227"/>
        <v>#N/A</v>
      </c>
      <c r="CC109" s="3">
        <f t="shared" ca="1" si="228"/>
        <v>0</v>
      </c>
      <c r="CD109" s="3">
        <f t="shared" ca="1" si="229"/>
        <v>4.1242238157284179E-2</v>
      </c>
      <c r="CE109" s="3">
        <f t="shared" ca="1" si="230"/>
        <v>0</v>
      </c>
      <c r="CF109" s="3" t="e">
        <f t="shared" ca="1" si="231"/>
        <v>#N/A</v>
      </c>
      <c r="CH109" s="3">
        <f t="shared" ca="1" si="232"/>
        <v>0</v>
      </c>
      <c r="CI109" s="3">
        <f t="shared" ca="1" si="233"/>
        <v>0.24844720496894407</v>
      </c>
      <c r="CJ109" s="3">
        <f t="shared" ca="1" si="234"/>
        <v>0</v>
      </c>
      <c r="CK109" s="3" t="e">
        <f t="shared" ca="1" si="235"/>
        <v>#N/A</v>
      </c>
      <c r="CM109" s="3">
        <f t="shared" ca="1" si="236"/>
        <v>0.24807740014884647</v>
      </c>
      <c r="CN109" s="3">
        <f t="shared" ca="1" si="237"/>
        <v>0.24844720496894407</v>
      </c>
      <c r="CO109" s="3">
        <f t="shared" ca="1" si="238"/>
        <v>0.24931438544003989</v>
      </c>
      <c r="CP109" s="3" t="e">
        <f t="shared" ca="1" si="239"/>
        <v>#N/A</v>
      </c>
      <c r="CR109" s="5">
        <v>4.0309999999999997</v>
      </c>
      <c r="CS109" s="5">
        <v>6.4999997615814209E-2</v>
      </c>
      <c r="CT109" s="5">
        <v>4.0110000000000001</v>
      </c>
      <c r="CU109" s="11" t="e">
        <v>#N/A</v>
      </c>
    </row>
    <row r="110" spans="1:99" s="5" customFormat="1" x14ac:dyDescent="0.35">
      <c r="A110" s="4" t="s">
        <v>114</v>
      </c>
      <c r="B110" s="4">
        <v>5.333333333333333</v>
      </c>
      <c r="C110" s="4" t="s">
        <v>168</v>
      </c>
      <c r="D110" s="4" t="s">
        <v>404</v>
      </c>
      <c r="E110" s="3"/>
      <c r="F110" s="5">
        <v>4.0110000000000001</v>
      </c>
      <c r="G110" s="5" t="e">
        <v>#N/A</v>
      </c>
      <c r="H110" s="5" t="e">
        <v>#N/A</v>
      </c>
      <c r="I110" s="5" t="e">
        <v>#N/A</v>
      </c>
      <c r="K110" s="3">
        <f t="shared" ca="1" si="180"/>
        <v>0.93069060084766886</v>
      </c>
      <c r="L110" s="3" t="e">
        <f t="shared" ca="1" si="181"/>
        <v>#N/A</v>
      </c>
      <c r="M110" s="3" t="e">
        <f t="shared" ca="1" si="182"/>
        <v>#N/A</v>
      </c>
      <c r="N110" s="3" t="e">
        <f t="shared" ca="1" si="183"/>
        <v>#N/A</v>
      </c>
      <c r="P110" s="3">
        <f t="shared" ca="1" si="184"/>
        <v>0.79805539664121616</v>
      </c>
      <c r="Q110" s="3" t="e">
        <f t="shared" ca="1" si="185"/>
        <v>#N/A</v>
      </c>
      <c r="R110" s="3" t="e">
        <f t="shared" ca="1" si="186"/>
        <v>#N/A</v>
      </c>
      <c r="S110" s="3" t="e">
        <f t="shared" ca="1" si="187"/>
        <v>#N/A</v>
      </c>
      <c r="U110" s="3">
        <f t="shared" ca="1" si="188"/>
        <v>2.4931438544003988</v>
      </c>
      <c r="V110" s="3" t="e">
        <f t="shared" ca="1" si="189"/>
        <v>#N/A</v>
      </c>
      <c r="W110" s="3" t="e">
        <f t="shared" ca="1" si="190"/>
        <v>#N/A</v>
      </c>
      <c r="X110" s="3" t="e">
        <f t="shared" ca="1" si="191"/>
        <v>#N/A</v>
      </c>
      <c r="Z110" s="3">
        <f t="shared" ca="1" si="192"/>
        <v>0.85165794066317624</v>
      </c>
      <c r="AA110" s="3" t="e">
        <f t="shared" ca="1" si="193"/>
        <v>#N/A</v>
      </c>
      <c r="AB110" s="3" t="e">
        <f t="shared" ca="1" si="194"/>
        <v>#N/A</v>
      </c>
      <c r="AC110" s="3" t="e">
        <f t="shared" ca="1" si="195"/>
        <v>#N/A</v>
      </c>
      <c r="AE110" s="3">
        <f t="shared" ca="1" si="196"/>
        <v>0.79805539664121616</v>
      </c>
      <c r="AF110" s="3" t="e">
        <f t="shared" ca="1" si="197"/>
        <v>#N/A</v>
      </c>
      <c r="AG110" s="3" t="e">
        <f t="shared" ca="1" si="198"/>
        <v>#N/A</v>
      </c>
      <c r="AH110" s="3" t="e">
        <f t="shared" ca="1" si="199"/>
        <v>#N/A</v>
      </c>
      <c r="AJ110" s="3">
        <f t="shared" ca="1" si="200"/>
        <v>2.4931438544003988</v>
      </c>
      <c r="AK110" s="3" t="e">
        <f t="shared" ca="1" si="201"/>
        <v>#N/A</v>
      </c>
      <c r="AL110" s="3" t="e">
        <f t="shared" ca="1" si="202"/>
        <v>#N/A</v>
      </c>
      <c r="AM110" s="3" t="e">
        <f t="shared" ca="1" si="203"/>
        <v>#N/A</v>
      </c>
      <c r="AO110" s="3">
        <f t="shared" ca="1" si="204"/>
        <v>0.74794315632011965</v>
      </c>
      <c r="AP110" s="3" t="e">
        <f t="shared" ca="1" si="205"/>
        <v>#N/A</v>
      </c>
      <c r="AQ110" s="3" t="e">
        <f t="shared" ca="1" si="206"/>
        <v>#N/A</v>
      </c>
      <c r="AR110" s="3" t="e">
        <f t="shared" ca="1" si="207"/>
        <v>#N/A</v>
      </c>
      <c r="AT110" s="5">
        <v>6.0000000521540642E-3</v>
      </c>
      <c r="AU110" s="5">
        <v>7.0000002160668373E-3</v>
      </c>
      <c r="AV110" s="5">
        <v>8.0000003799796104E-3</v>
      </c>
      <c r="AW110" s="11" t="e">
        <v>#N/A</v>
      </c>
      <c r="AY110" s="3">
        <f t="shared" ca="1" si="208"/>
        <v>0.36125654450261774</v>
      </c>
      <c r="AZ110" s="3" t="e">
        <f t="shared" ca="1" si="209"/>
        <v>#N/A</v>
      </c>
      <c r="BA110" s="3" t="e">
        <f t="shared" ca="1" si="210"/>
        <v>#N/A</v>
      </c>
      <c r="BB110" s="3" t="e">
        <f t="shared" ca="1" si="211"/>
        <v>#N/A</v>
      </c>
      <c r="BD110" s="3">
        <f t="shared" ca="1" si="212"/>
        <v>0.28671156703251849</v>
      </c>
      <c r="BE110" s="3" t="e">
        <f t="shared" ca="1" si="213"/>
        <v>#N/A</v>
      </c>
      <c r="BF110" s="3" t="e">
        <f t="shared" ca="1" si="214"/>
        <v>#N/A</v>
      </c>
      <c r="BG110" s="3" t="e">
        <f t="shared" ca="1" si="215"/>
        <v>#N/A</v>
      </c>
      <c r="BI110" s="3">
        <f t="shared" ca="1" si="216"/>
        <v>0.74794315632011965</v>
      </c>
      <c r="BJ110" s="3" t="e">
        <f t="shared" ca="1" si="217"/>
        <v>#N/A</v>
      </c>
      <c r="BK110" s="3" t="e">
        <f t="shared" ca="1" si="218"/>
        <v>#N/A</v>
      </c>
      <c r="BL110" s="3" t="e">
        <f t="shared" ca="1" si="219"/>
        <v>#N/A</v>
      </c>
      <c r="BN110" s="3">
        <f t="shared" ca="1" si="220"/>
        <v>0.99725754176015957</v>
      </c>
      <c r="BO110" s="3" t="e">
        <f t="shared" ca="1" si="221"/>
        <v>#N/A</v>
      </c>
      <c r="BP110" s="3" t="e">
        <f t="shared" ca="1" si="222"/>
        <v>#N/A</v>
      </c>
      <c r="BQ110" s="3" t="e">
        <f t="shared" ca="1" si="223"/>
        <v>#N/A</v>
      </c>
      <c r="BS110" s="5">
        <v>1.1059999465942383</v>
      </c>
      <c r="BT110" s="5">
        <v>1.3229999542236328</v>
      </c>
      <c r="BU110" s="5">
        <v>1.656999945640564</v>
      </c>
      <c r="BV110" s="11" t="e">
        <v>#N/A</v>
      </c>
      <c r="BX110" s="3">
        <f t="shared" ca="1" si="224"/>
        <v>0.12490650710546002</v>
      </c>
      <c r="BY110" s="3" t="e">
        <f t="shared" ca="1" si="225"/>
        <v>#N/A</v>
      </c>
      <c r="BZ110" s="3" t="e">
        <f t="shared" ca="1" si="226"/>
        <v>#N/A</v>
      </c>
      <c r="CA110" s="3" t="e">
        <f t="shared" ca="1" si="227"/>
        <v>#N/A</v>
      </c>
      <c r="CC110" s="3">
        <f t="shared" ca="1" si="228"/>
        <v>0.16629267474661977</v>
      </c>
      <c r="CD110" s="3" t="e">
        <f t="shared" ca="1" si="229"/>
        <v>#N/A</v>
      </c>
      <c r="CE110" s="3" t="e">
        <f t="shared" ca="1" si="230"/>
        <v>#N/A</v>
      </c>
      <c r="CF110" s="3" t="e">
        <f t="shared" ca="1" si="231"/>
        <v>#N/A</v>
      </c>
      <c r="CH110" s="3">
        <f t="shared" ca="1" si="232"/>
        <v>0.74794315632011965</v>
      </c>
      <c r="CI110" s="3" t="e">
        <f t="shared" ca="1" si="233"/>
        <v>#N/A</v>
      </c>
      <c r="CJ110" s="3" t="e">
        <f t="shared" ca="1" si="234"/>
        <v>#N/A</v>
      </c>
      <c r="CK110" s="3" t="e">
        <f t="shared" ca="1" si="235"/>
        <v>#N/A</v>
      </c>
      <c r="CM110" s="3">
        <f t="shared" ca="1" si="236"/>
        <v>0.99725754176015957</v>
      </c>
      <c r="CN110" s="3" t="e">
        <f t="shared" ca="1" si="237"/>
        <v>#N/A</v>
      </c>
      <c r="CO110" s="3" t="e">
        <f t="shared" ca="1" si="238"/>
        <v>#N/A</v>
      </c>
      <c r="CP110" s="3" t="e">
        <f t="shared" ca="1" si="239"/>
        <v>#N/A</v>
      </c>
      <c r="CR110" s="5">
        <v>6.0000000521540642E-3</v>
      </c>
      <c r="CS110" s="5">
        <v>7.0000002160668373E-3</v>
      </c>
      <c r="CT110" s="5">
        <v>4.0060000000000002</v>
      </c>
      <c r="CU110" s="11" t="e">
        <v>#N/A</v>
      </c>
    </row>
    <row r="111" spans="1:99" s="5" customFormat="1" x14ac:dyDescent="0.35">
      <c r="A111" s="4" t="s">
        <v>122</v>
      </c>
      <c r="B111" s="4">
        <v>5.333333333333333</v>
      </c>
      <c r="C111" s="4" t="s">
        <v>168</v>
      </c>
      <c r="D111" s="4" t="s">
        <v>404</v>
      </c>
      <c r="E111" s="3"/>
      <c r="F111" s="5">
        <v>4.0110000000000001</v>
      </c>
      <c r="G111" s="5">
        <v>4.016</v>
      </c>
      <c r="H111" s="5">
        <v>4.016</v>
      </c>
      <c r="I111" s="5">
        <v>4.016</v>
      </c>
      <c r="K111" s="3">
        <f t="shared" ca="1" si="180"/>
        <v>0.99700822737471939</v>
      </c>
      <c r="L111" s="3">
        <f t="shared" ca="1" si="181"/>
        <v>0.99576693227091639</v>
      </c>
      <c r="M111" s="3">
        <f t="shared" ca="1" si="182"/>
        <v>0.9375</v>
      </c>
      <c r="N111" s="3">
        <f t="shared" ca="1" si="183"/>
        <v>0.98754980079681276</v>
      </c>
      <c r="P111" s="3">
        <f t="shared" ca="1" si="184"/>
        <v>0.93492898138992742</v>
      </c>
      <c r="Q111" s="3">
        <f t="shared" ca="1" si="185"/>
        <v>0.92106560742356391</v>
      </c>
      <c r="R111" s="3">
        <f t="shared" ca="1" si="186"/>
        <v>0.87524891137126903</v>
      </c>
      <c r="S111" s="3">
        <f t="shared" ca="1" si="187"/>
        <v>0.83067726744598602</v>
      </c>
      <c r="U111" s="3">
        <f t="shared" ca="1" si="188"/>
        <v>2.4931438544003988</v>
      </c>
      <c r="V111" s="3">
        <f t="shared" ca="1" si="189"/>
        <v>2.9880478087649402</v>
      </c>
      <c r="W111" s="3">
        <f t="shared" ca="1" si="190"/>
        <v>1.7430278884462151</v>
      </c>
      <c r="X111" s="3">
        <f t="shared" ca="1" si="191"/>
        <v>2.9880478087649402</v>
      </c>
      <c r="Z111" s="3">
        <f t="shared" ca="1" si="192"/>
        <v>0.93069060084766875</v>
      </c>
      <c r="AA111" s="3">
        <f t="shared" ca="1" si="193"/>
        <v>0.90039840637450208</v>
      </c>
      <c r="AB111" s="3">
        <f t="shared" ca="1" si="194"/>
        <v>0.9086155378486056</v>
      </c>
      <c r="AC111" s="3">
        <f t="shared" ca="1" si="195"/>
        <v>0.86304780876494025</v>
      </c>
      <c r="AE111" s="3">
        <f t="shared" ca="1" si="196"/>
        <v>0.8726003861908781</v>
      </c>
      <c r="AF111" s="3">
        <f t="shared" ca="1" si="197"/>
        <v>0.83391417738094753</v>
      </c>
      <c r="AG111" s="3">
        <f t="shared" ca="1" si="198"/>
        <v>0.87524891137126903</v>
      </c>
      <c r="AH111" s="3">
        <f t="shared" ca="1" si="199"/>
        <v>0.76842627143004971</v>
      </c>
      <c r="AJ111" s="3">
        <f t="shared" ca="1" si="200"/>
        <v>2.2438294689603588</v>
      </c>
      <c r="AK111" s="3">
        <f t="shared" ca="1" si="201"/>
        <v>2.4900398406374502</v>
      </c>
      <c r="AL111" s="3">
        <f t="shared" ca="1" si="202"/>
        <v>1.7430278884462151</v>
      </c>
      <c r="AM111" s="3">
        <f t="shared" ca="1" si="203"/>
        <v>2.739043824701195</v>
      </c>
      <c r="AO111" s="3">
        <f t="shared" ca="1" si="204"/>
        <v>0.24931438544003989</v>
      </c>
      <c r="AP111" s="3">
        <f t="shared" ca="1" si="205"/>
        <v>0.74701195219123506</v>
      </c>
      <c r="AQ111" s="3">
        <f t="shared" ca="1" si="206"/>
        <v>0.24900398406374502</v>
      </c>
      <c r="AR111" s="3">
        <f t="shared" ca="1" si="207"/>
        <v>0.49800796812749004</v>
      </c>
      <c r="AT111" s="5">
        <v>0.27099999785423279</v>
      </c>
      <c r="AU111" s="5">
        <v>5.9000000357627869E-2</v>
      </c>
      <c r="AV111" s="5">
        <v>0.39899998903274536</v>
      </c>
      <c r="AW111" s="5">
        <v>0.38400000333786011</v>
      </c>
      <c r="AY111" s="3">
        <f t="shared" ca="1" si="208"/>
        <v>0.50261780104712062</v>
      </c>
      <c r="AZ111" s="3">
        <f t="shared" ca="1" si="209"/>
        <v>0.41882470119521897</v>
      </c>
      <c r="BA111" s="3">
        <f t="shared" ca="1" si="210"/>
        <v>0.45642430278884472</v>
      </c>
      <c r="BB111" s="3">
        <f t="shared" ca="1" si="211"/>
        <v>0.55577689243027895</v>
      </c>
      <c r="BD111" s="3">
        <f t="shared" ca="1" si="212"/>
        <v>0.48990279057173919</v>
      </c>
      <c r="BE111" s="3">
        <f t="shared" ca="1" si="213"/>
        <v>0.41484052085306539</v>
      </c>
      <c r="BF111" s="3">
        <f t="shared" ca="1" si="214"/>
        <v>0.48929277762948753</v>
      </c>
      <c r="BG111" s="3">
        <f t="shared" ca="1" si="215"/>
        <v>0.5313744731395843</v>
      </c>
      <c r="BI111" s="3">
        <f t="shared" ca="1" si="216"/>
        <v>0.99725754176015957</v>
      </c>
      <c r="BJ111" s="3">
        <f t="shared" ca="1" si="217"/>
        <v>0.99601593625498008</v>
      </c>
      <c r="BK111" s="3">
        <f t="shared" ca="1" si="218"/>
        <v>0.99601593625498008</v>
      </c>
      <c r="BL111" s="3">
        <f t="shared" ca="1" si="219"/>
        <v>1.4940239043824701</v>
      </c>
      <c r="BN111" s="3">
        <f t="shared" ca="1" si="220"/>
        <v>0.74794315632011965</v>
      </c>
      <c r="BO111" s="3">
        <f t="shared" ca="1" si="221"/>
        <v>0.99601593625498008</v>
      </c>
      <c r="BP111" s="3">
        <f t="shared" ca="1" si="222"/>
        <v>0.74701195219123506</v>
      </c>
      <c r="BQ111" s="3">
        <f t="shared" ca="1" si="223"/>
        <v>0.74701195219123506</v>
      </c>
      <c r="BS111" s="5">
        <v>0.73799997568130493</v>
      </c>
      <c r="BT111" s="5">
        <v>0.52499997615814209</v>
      </c>
      <c r="BU111" s="5">
        <v>0.39899998903274536</v>
      </c>
      <c r="BV111" s="5">
        <v>0.38400000333786011</v>
      </c>
      <c r="BX111" s="3">
        <f t="shared" ca="1" si="224"/>
        <v>0.17053103964098726</v>
      </c>
      <c r="BY111" s="3">
        <f t="shared" ca="1" si="225"/>
        <v>2.9133466135458166E-2</v>
      </c>
      <c r="BZ111" s="3">
        <f t="shared" ca="1" si="226"/>
        <v>0</v>
      </c>
      <c r="CA111" s="3">
        <f t="shared" ca="1" si="227"/>
        <v>0.10358565737051796</v>
      </c>
      <c r="CC111" s="3">
        <f t="shared" ca="1" si="228"/>
        <v>0.12066815446897862</v>
      </c>
      <c r="CD111" s="3">
        <f t="shared" ca="1" si="229"/>
        <v>4.5567750930786133E-2</v>
      </c>
      <c r="CE111" s="3">
        <f t="shared" ca="1" si="230"/>
        <v>0</v>
      </c>
      <c r="CF111" s="3">
        <f t="shared" ca="1" si="231"/>
        <v>0.10383467512776652</v>
      </c>
      <c r="CH111" s="3">
        <f t="shared" ca="1" si="232"/>
        <v>0.24931438544003989</v>
      </c>
      <c r="CI111" s="3">
        <f t="shared" ca="1" si="233"/>
        <v>0.24900398406374502</v>
      </c>
      <c r="CJ111" s="3">
        <f t="shared" ca="1" si="234"/>
        <v>0</v>
      </c>
      <c r="CK111" s="3">
        <f t="shared" ca="1" si="235"/>
        <v>0.24900398406374502</v>
      </c>
      <c r="CM111" s="3">
        <f t="shared" ca="1" si="236"/>
        <v>0.49862877088007979</v>
      </c>
      <c r="CN111" s="3">
        <f t="shared" ca="1" si="237"/>
        <v>0.24900398406374502</v>
      </c>
      <c r="CO111" s="3">
        <f t="shared" ca="1" si="238"/>
        <v>0</v>
      </c>
      <c r="CP111" s="3">
        <f t="shared" ca="1" si="239"/>
        <v>0.49800796812749004</v>
      </c>
      <c r="CR111" s="5">
        <v>2.3870000839233398</v>
      </c>
      <c r="CS111" s="5">
        <v>3.2079999446868896</v>
      </c>
      <c r="CT111" s="5">
        <v>4.016</v>
      </c>
      <c r="CU111" s="5">
        <v>3.5829999446868896</v>
      </c>
    </row>
    <row r="112" spans="1:99" s="5" customFormat="1" x14ac:dyDescent="0.35">
      <c r="A112" s="4" t="s">
        <v>118</v>
      </c>
      <c r="B112" s="4">
        <v>5.416666666666667</v>
      </c>
      <c r="C112" s="4" t="s">
        <v>168</v>
      </c>
      <c r="D112" s="4" t="s">
        <v>404</v>
      </c>
      <c r="E112" s="3"/>
      <c r="F112" s="5" t="e">
        <v>#N/A</v>
      </c>
      <c r="G112" s="5" t="e">
        <v>#N/A</v>
      </c>
      <c r="H112" s="5" t="e">
        <v>#N/A</v>
      </c>
      <c r="I112" s="5">
        <v>3.1989999999999998</v>
      </c>
      <c r="K112" s="3" t="e">
        <f t="shared" ca="1" si="180"/>
        <v>#N/A</v>
      </c>
      <c r="L112" s="3" t="e">
        <f t="shared" ca="1" si="181"/>
        <v>#N/A</v>
      </c>
      <c r="M112" s="3" t="e">
        <f t="shared" ca="1" si="182"/>
        <v>#N/A</v>
      </c>
      <c r="N112" s="3">
        <f t="shared" ca="1" si="183"/>
        <v>0.67739918724601444</v>
      </c>
      <c r="P112" s="3" t="e">
        <f t="shared" ca="1" si="184"/>
        <v>#N/A</v>
      </c>
      <c r="Q112" s="3" t="e">
        <f t="shared" ca="1" si="185"/>
        <v>#N/A</v>
      </c>
      <c r="R112" s="3" t="e">
        <f t="shared" ca="1" si="186"/>
        <v>#N/A</v>
      </c>
      <c r="S112" s="3">
        <f t="shared" ca="1" si="187"/>
        <v>0.45232876795237797</v>
      </c>
      <c r="U112" s="3" t="e">
        <f t="shared" ca="1" si="188"/>
        <v>#N/A</v>
      </c>
      <c r="V112" s="3" t="e">
        <f t="shared" ca="1" si="189"/>
        <v>#N/A</v>
      </c>
      <c r="W112" s="3" t="e">
        <f t="shared" ca="1" si="190"/>
        <v>#N/A</v>
      </c>
      <c r="X112" s="3">
        <f t="shared" ca="1" si="191"/>
        <v>2.5007814942169428</v>
      </c>
      <c r="Z112" s="3" t="e">
        <f t="shared" ca="1" si="192"/>
        <v>#N/A</v>
      </c>
      <c r="AA112" s="3" t="e">
        <f t="shared" ca="1" si="193"/>
        <v>#N/A</v>
      </c>
      <c r="AB112" s="3" t="e">
        <f t="shared" ca="1" si="194"/>
        <v>#N/A</v>
      </c>
      <c r="AC112" s="3">
        <f t="shared" ca="1" si="195"/>
        <v>0.39043451078462033</v>
      </c>
      <c r="AE112" s="3" t="e">
        <f t="shared" ca="1" si="196"/>
        <v>#N/A</v>
      </c>
      <c r="AF112" s="3" t="e">
        <f t="shared" ca="1" si="197"/>
        <v>#N/A</v>
      </c>
      <c r="AG112" s="3" t="e">
        <f t="shared" ca="1" si="198"/>
        <v>#N/A</v>
      </c>
      <c r="AH112" s="3">
        <f t="shared" ca="1" si="199"/>
        <v>0.36917784766280382</v>
      </c>
      <c r="AJ112" s="3" t="e">
        <f t="shared" ca="1" si="200"/>
        <v>#N/A</v>
      </c>
      <c r="AK112" s="3" t="e">
        <f t="shared" ca="1" si="201"/>
        <v>#N/A</v>
      </c>
      <c r="AL112" s="3" t="e">
        <f t="shared" ca="1" si="202"/>
        <v>#N/A</v>
      </c>
      <c r="AM112" s="3">
        <f t="shared" ca="1" si="203"/>
        <v>1.8755861206627071</v>
      </c>
      <c r="AO112" s="3" t="e">
        <f t="shared" ca="1" si="204"/>
        <v>#N/A</v>
      </c>
      <c r="AP112" s="3" t="e">
        <f t="shared" ca="1" si="205"/>
        <v>#N/A</v>
      </c>
      <c r="AQ112" s="3" t="e">
        <f t="shared" ca="1" si="206"/>
        <v>#N/A</v>
      </c>
      <c r="AR112" s="3">
        <f t="shared" ca="1" si="207"/>
        <v>1.8755861206627071</v>
      </c>
      <c r="AT112" s="11" t="e">
        <v>#N/A</v>
      </c>
      <c r="AU112" s="11" t="e">
        <v>#N/A</v>
      </c>
      <c r="AV112" s="11" t="e">
        <v>#N/A</v>
      </c>
      <c r="AW112" s="5">
        <v>0.62099999189376831</v>
      </c>
      <c r="AY112" s="3" t="e">
        <f t="shared" ca="1" si="208"/>
        <v>#N/A</v>
      </c>
      <c r="AZ112" s="3" t="e">
        <f t="shared" ca="1" si="209"/>
        <v>#N/A</v>
      </c>
      <c r="BA112" s="3" t="e">
        <f t="shared" ca="1" si="210"/>
        <v>#N/A</v>
      </c>
      <c r="BB112" s="3">
        <f t="shared" ca="1" si="211"/>
        <v>7.2835261019068426E-2</v>
      </c>
      <c r="BD112" s="3" t="e">
        <f t="shared" ca="1" si="212"/>
        <v>#N/A</v>
      </c>
      <c r="BE112" s="3" t="e">
        <f t="shared" ca="1" si="213"/>
        <v>#N/A</v>
      </c>
      <c r="BF112" s="3" t="e">
        <f t="shared" ca="1" si="214"/>
        <v>#N/A</v>
      </c>
      <c r="BG112" s="3">
        <f t="shared" ca="1" si="215"/>
        <v>9.8780864251707082E-2</v>
      </c>
      <c r="BI112" s="3" t="e">
        <f t="shared" ca="1" si="216"/>
        <v>#N/A</v>
      </c>
      <c r="BJ112" s="3" t="e">
        <f t="shared" ca="1" si="217"/>
        <v>#N/A</v>
      </c>
      <c r="BK112" s="3" t="e">
        <f t="shared" ca="1" si="218"/>
        <v>#N/A</v>
      </c>
      <c r="BL112" s="3">
        <f t="shared" ca="1" si="219"/>
        <v>0.31259768677711786</v>
      </c>
      <c r="BN112" s="3" t="e">
        <f t="shared" ca="1" si="220"/>
        <v>#N/A</v>
      </c>
      <c r="BO112" s="3" t="e">
        <f t="shared" ca="1" si="221"/>
        <v>#N/A</v>
      </c>
      <c r="BP112" s="3" t="e">
        <f t="shared" ca="1" si="222"/>
        <v>#N/A</v>
      </c>
      <c r="BQ112" s="3">
        <f t="shared" ca="1" si="223"/>
        <v>0.31259768677711786</v>
      </c>
      <c r="BS112" s="11" t="e">
        <v>#N/A</v>
      </c>
      <c r="BT112" s="11" t="e">
        <v>#N/A</v>
      </c>
      <c r="BU112" s="11" t="e">
        <v>#N/A</v>
      </c>
      <c r="BV112" s="5">
        <v>1.3380000591278076</v>
      </c>
      <c r="BX112" s="3" t="e">
        <f t="shared" ca="1" si="224"/>
        <v>#N/A</v>
      </c>
      <c r="BY112" s="3" t="e">
        <f t="shared" ca="1" si="225"/>
        <v>#N/A</v>
      </c>
      <c r="BZ112" s="3" t="e">
        <f t="shared" ca="1" si="226"/>
        <v>#N/A</v>
      </c>
      <c r="CA112" s="3">
        <f t="shared" ca="1" si="227"/>
        <v>0</v>
      </c>
      <c r="CC112" s="3" t="e">
        <f t="shared" ca="1" si="228"/>
        <v>#N/A</v>
      </c>
      <c r="CD112" s="3" t="e">
        <f t="shared" ca="1" si="229"/>
        <v>#N/A</v>
      </c>
      <c r="CE112" s="3" t="e">
        <f t="shared" ca="1" si="230"/>
        <v>#N/A</v>
      </c>
      <c r="CF112" s="3">
        <f t="shared" ca="1" si="231"/>
        <v>0</v>
      </c>
      <c r="CH112" s="3" t="e">
        <f t="shared" ca="1" si="232"/>
        <v>#N/A</v>
      </c>
      <c r="CI112" s="3" t="e">
        <f t="shared" ca="1" si="233"/>
        <v>#N/A</v>
      </c>
      <c r="CJ112" s="3" t="e">
        <f t="shared" ca="1" si="234"/>
        <v>#N/A</v>
      </c>
      <c r="CK112" s="3">
        <f t="shared" ca="1" si="235"/>
        <v>0</v>
      </c>
      <c r="CM112" s="3" t="e">
        <f t="shared" ca="1" si="236"/>
        <v>#N/A</v>
      </c>
      <c r="CN112" s="3" t="e">
        <f t="shared" ca="1" si="237"/>
        <v>#N/A</v>
      </c>
      <c r="CO112" s="3" t="e">
        <f t="shared" ca="1" si="238"/>
        <v>#N/A</v>
      </c>
      <c r="CP112" s="3">
        <f t="shared" ca="1" si="239"/>
        <v>0</v>
      </c>
      <c r="CR112" s="11" t="e">
        <v>#N/A</v>
      </c>
      <c r="CS112" s="11" t="e">
        <v>#N/A</v>
      </c>
      <c r="CT112" s="11" t="e">
        <v>#N/A</v>
      </c>
      <c r="CU112" s="5">
        <v>4.0149999999999997</v>
      </c>
    </row>
    <row r="113" spans="1:99" s="5" customFormat="1" x14ac:dyDescent="0.35">
      <c r="A113" s="4" t="s">
        <v>119</v>
      </c>
      <c r="B113" s="4">
        <v>5.416666666666667</v>
      </c>
      <c r="C113" s="4" t="s">
        <v>168</v>
      </c>
      <c r="D113" s="4" t="s">
        <v>404</v>
      </c>
      <c r="E113" s="3"/>
      <c r="F113" s="5">
        <v>4.01</v>
      </c>
      <c r="G113" s="5">
        <v>4.0019999999999998</v>
      </c>
      <c r="H113" s="5">
        <v>4.016</v>
      </c>
      <c r="I113" s="5">
        <v>4.0250000000000004</v>
      </c>
      <c r="K113" s="3">
        <f t="shared" ca="1" si="180"/>
        <v>0.99301745635910232</v>
      </c>
      <c r="L113" s="3">
        <f t="shared" ca="1" si="181"/>
        <v>0.8120939530234883</v>
      </c>
      <c r="M113" s="3">
        <f t="shared" ca="1" si="182"/>
        <v>0.99576693227091639</v>
      </c>
      <c r="N113" s="3">
        <f t="shared" ca="1" si="183"/>
        <v>0.99354037267080741</v>
      </c>
      <c r="P113" s="3">
        <f t="shared" ca="1" si="184"/>
        <v>0.97231919461503591</v>
      </c>
      <c r="Q113" s="3">
        <f t="shared" ca="1" si="185"/>
        <v>0.72913542054761127</v>
      </c>
      <c r="R113" s="3">
        <f t="shared" ca="1" si="186"/>
        <v>0.96663346792853244</v>
      </c>
      <c r="S113" s="3">
        <f t="shared" ca="1" si="187"/>
        <v>0.95652169715728808</v>
      </c>
      <c r="U113" s="3">
        <f t="shared" ca="1" si="188"/>
        <v>1.4962593516209477</v>
      </c>
      <c r="V113" s="3">
        <f t="shared" ca="1" si="189"/>
        <v>1.7491254372813594</v>
      </c>
      <c r="W113" s="3">
        <f t="shared" ca="1" si="190"/>
        <v>1.9920318725099602</v>
      </c>
      <c r="X113" s="3">
        <f t="shared" ca="1" si="191"/>
        <v>2.4844720496894408</v>
      </c>
      <c r="Z113" s="3">
        <f t="shared" ca="1" si="192"/>
        <v>0.99301745635910232</v>
      </c>
      <c r="AA113" s="3">
        <f t="shared" ca="1" si="193"/>
        <v>0.75387306346826588</v>
      </c>
      <c r="AB113" s="3">
        <f t="shared" ca="1" si="194"/>
        <v>0.99576693227091639</v>
      </c>
      <c r="AC113" s="3">
        <f t="shared" ca="1" si="195"/>
        <v>0.99354037267080741</v>
      </c>
      <c r="AE113" s="3">
        <f t="shared" ca="1" si="196"/>
        <v>0.97231919461503591</v>
      </c>
      <c r="AF113" s="3">
        <f t="shared" ca="1" si="197"/>
        <v>0.72913542054761127</v>
      </c>
      <c r="AG113" s="3">
        <f t="shared" ca="1" si="198"/>
        <v>0.96663346792853244</v>
      </c>
      <c r="AH113" s="3">
        <f t="shared" ca="1" si="199"/>
        <v>0.95652169715728808</v>
      </c>
      <c r="AJ113" s="3">
        <f t="shared" ca="1" si="200"/>
        <v>1.4962593516209477</v>
      </c>
      <c r="AK113" s="3">
        <f t="shared" ca="1" si="201"/>
        <v>1.7491254372813594</v>
      </c>
      <c r="AL113" s="3">
        <f t="shared" ca="1" si="202"/>
        <v>1.9920318725099602</v>
      </c>
      <c r="AM113" s="3">
        <f t="shared" ca="1" si="203"/>
        <v>2.4844720496894408</v>
      </c>
      <c r="AO113" s="3">
        <f t="shared" ca="1" si="204"/>
        <v>0.24937655860349128</v>
      </c>
      <c r="AP113" s="3">
        <f t="shared" ca="1" si="205"/>
        <v>0.24987506246876562</v>
      </c>
      <c r="AQ113" s="3">
        <f t="shared" ca="1" si="206"/>
        <v>0.24900398406374502</v>
      </c>
      <c r="AR113" s="3">
        <f t="shared" ca="1" si="207"/>
        <v>0.24844720496894407</v>
      </c>
      <c r="AT113" s="5">
        <v>1.3000000268220901E-2</v>
      </c>
      <c r="AU113" s="5">
        <v>0.23800000548362732</v>
      </c>
      <c r="AV113" s="5">
        <v>4.0000001899898052E-3</v>
      </c>
      <c r="AW113" s="5">
        <v>1.4999999664723873E-2</v>
      </c>
      <c r="AY113" s="3">
        <f t="shared" ca="1" si="208"/>
        <v>0.13291770573566083</v>
      </c>
      <c r="AZ113" s="3">
        <f t="shared" ca="1" si="209"/>
        <v>0.29185407296351817</v>
      </c>
      <c r="BA113" s="3">
        <f t="shared" ca="1" si="210"/>
        <v>0.8508466135458167</v>
      </c>
      <c r="BB113" s="3">
        <f t="shared" ca="1" si="211"/>
        <v>0.53813664596273292</v>
      </c>
      <c r="BD113" s="3">
        <f t="shared" ca="1" si="212"/>
        <v>0.30349128394204189</v>
      </c>
      <c r="BE113" s="3">
        <f t="shared" ca="1" si="213"/>
        <v>0.41679165203651153</v>
      </c>
      <c r="BF113" s="3">
        <f t="shared" ca="1" si="214"/>
        <v>0.8505976116989713</v>
      </c>
      <c r="BG113" s="3">
        <f t="shared" ca="1" si="215"/>
        <v>0.52596271408270601</v>
      </c>
      <c r="BI113" s="3">
        <f t="shared" ca="1" si="216"/>
        <v>0.49875311720698257</v>
      </c>
      <c r="BJ113" s="3">
        <f t="shared" ca="1" si="217"/>
        <v>1.2493753123438283</v>
      </c>
      <c r="BK113" s="3">
        <f t="shared" ca="1" si="218"/>
        <v>1.7430278884462151</v>
      </c>
      <c r="BL113" s="3">
        <f t="shared" ca="1" si="219"/>
        <v>1.4906832298136645</v>
      </c>
      <c r="BN113" s="3">
        <f t="shared" ca="1" si="220"/>
        <v>0.49875311720698257</v>
      </c>
      <c r="BO113" s="3">
        <f t="shared" ca="1" si="221"/>
        <v>0.74962518740629691</v>
      </c>
      <c r="BP113" s="3">
        <f t="shared" ca="1" si="222"/>
        <v>0.49800796812749004</v>
      </c>
      <c r="BQ113" s="3">
        <f t="shared" ca="1" si="223"/>
        <v>0.74534161490683226</v>
      </c>
      <c r="BS113" s="5">
        <v>1.3000000268220901E-2</v>
      </c>
      <c r="BT113" s="5">
        <v>0.23800000548362732</v>
      </c>
      <c r="BU113" s="5">
        <v>0.4869999885559082</v>
      </c>
      <c r="BV113" s="5">
        <v>0.5820000171661377</v>
      </c>
      <c r="BX113" s="3">
        <f t="shared" ca="1" si="224"/>
        <v>0</v>
      </c>
      <c r="BY113" s="3">
        <f t="shared" ca="1" si="225"/>
        <v>0.13318340829585207</v>
      </c>
      <c r="BZ113" s="3">
        <f t="shared" ca="1" si="226"/>
        <v>0</v>
      </c>
      <c r="CA113" s="3">
        <f t="shared" ca="1" si="227"/>
        <v>0</v>
      </c>
      <c r="CC113" s="3">
        <f t="shared" ca="1" si="228"/>
        <v>0</v>
      </c>
      <c r="CD113" s="3">
        <f t="shared" ca="1" si="229"/>
        <v>0.14992501365131644</v>
      </c>
      <c r="CE113" s="3">
        <f t="shared" ca="1" si="230"/>
        <v>0</v>
      </c>
      <c r="CF113" s="3">
        <f t="shared" ca="1" si="231"/>
        <v>0</v>
      </c>
      <c r="CH113" s="3">
        <f t="shared" ca="1" si="232"/>
        <v>0</v>
      </c>
      <c r="CI113" s="3">
        <f t="shared" ca="1" si="233"/>
        <v>0.24987506246876562</v>
      </c>
      <c r="CJ113" s="3">
        <f t="shared" ca="1" si="234"/>
        <v>0</v>
      </c>
      <c r="CK113" s="3">
        <f t="shared" ca="1" si="235"/>
        <v>0</v>
      </c>
      <c r="CM113" s="3">
        <f t="shared" ca="1" si="236"/>
        <v>0</v>
      </c>
      <c r="CN113" s="3">
        <f t="shared" ca="1" si="237"/>
        <v>0.24987506246876562</v>
      </c>
      <c r="CO113" s="3">
        <f t="shared" ca="1" si="238"/>
        <v>0</v>
      </c>
      <c r="CP113" s="3">
        <f t="shared" ca="1" si="239"/>
        <v>0</v>
      </c>
      <c r="CR113" s="5">
        <v>4.01</v>
      </c>
      <c r="CS113" s="5">
        <v>2.255000114440918</v>
      </c>
      <c r="CT113" s="5">
        <v>4.016</v>
      </c>
      <c r="CU113" s="5">
        <v>4.0250000000000004</v>
      </c>
    </row>
    <row r="114" spans="1:99" s="5" customFormat="1" x14ac:dyDescent="0.35">
      <c r="A114" s="4" t="s">
        <v>142</v>
      </c>
      <c r="B114" s="4">
        <v>5.5</v>
      </c>
      <c r="C114" s="4" t="s">
        <v>168</v>
      </c>
      <c r="D114" s="4" t="s">
        <v>404</v>
      </c>
      <c r="E114" s="3"/>
      <c r="F114" s="11" t="e">
        <v>#N/A</v>
      </c>
      <c r="G114" s="5">
        <v>4.0030000000000001</v>
      </c>
      <c r="H114" s="5">
        <v>4.0309999999999997</v>
      </c>
      <c r="I114" s="5">
        <v>3.9750000000000001</v>
      </c>
      <c r="K114" s="3" t="e">
        <f t="shared" ca="1" si="180"/>
        <v>#N/A</v>
      </c>
      <c r="L114" s="3">
        <f t="shared" ca="1" si="181"/>
        <v>0.99500374718960782</v>
      </c>
      <c r="M114" s="3">
        <f t="shared" ca="1" si="182"/>
        <v>0.99627883899776737</v>
      </c>
      <c r="N114" s="3">
        <f t="shared" ca="1" si="183"/>
        <v>0.87194968553459107</v>
      </c>
      <c r="P114" s="3" t="e">
        <f t="shared" ca="1" si="184"/>
        <v>#N/A</v>
      </c>
      <c r="Q114" s="3">
        <f t="shared" ca="1" si="185"/>
        <v>0.96527600366377453</v>
      </c>
      <c r="R114" s="3">
        <f t="shared" ca="1" si="186"/>
        <v>0.94219793768193472</v>
      </c>
      <c r="S114" s="3">
        <f t="shared" ca="1" si="187"/>
        <v>0.77559743474864362</v>
      </c>
      <c r="U114" s="3" t="e">
        <f t="shared" ca="1" si="188"/>
        <v>#N/A</v>
      </c>
      <c r="V114" s="3">
        <f t="shared" ca="1" si="189"/>
        <v>1.9985011241568822</v>
      </c>
      <c r="W114" s="3">
        <f t="shared" ca="1" si="190"/>
        <v>2.2326966013396183</v>
      </c>
      <c r="X114" s="3">
        <f t="shared" ca="1" si="191"/>
        <v>2.0125786163522013</v>
      </c>
      <c r="Z114" s="3" t="e">
        <f t="shared" ca="1" si="192"/>
        <v>#N/A</v>
      </c>
      <c r="AA114" s="3">
        <f t="shared" ca="1" si="193"/>
        <v>0.99500374718960782</v>
      </c>
      <c r="AB114" s="3">
        <f t="shared" ca="1" si="194"/>
        <v>0.99627883899776737</v>
      </c>
      <c r="AC114" s="3">
        <f t="shared" ca="1" si="195"/>
        <v>0.80075471698113199</v>
      </c>
      <c r="AE114" s="3" t="e">
        <f t="shared" ca="1" si="196"/>
        <v>#N/A</v>
      </c>
      <c r="AF114" s="3">
        <f t="shared" ca="1" si="197"/>
        <v>0.96527600366377453</v>
      </c>
      <c r="AG114" s="3">
        <f t="shared" ca="1" si="198"/>
        <v>0.94219793768193472</v>
      </c>
      <c r="AH114" s="3">
        <f t="shared" ca="1" si="199"/>
        <v>0.77559743474864362</v>
      </c>
      <c r="AJ114" s="3" t="e">
        <f t="shared" ca="1" si="200"/>
        <v>#N/A</v>
      </c>
      <c r="AK114" s="3">
        <f t="shared" ca="1" si="201"/>
        <v>1.9985011241568822</v>
      </c>
      <c r="AL114" s="3">
        <f t="shared" ca="1" si="202"/>
        <v>2.2326966013396183</v>
      </c>
      <c r="AM114" s="3">
        <f t="shared" ca="1" si="203"/>
        <v>2.0125786163522013</v>
      </c>
      <c r="AO114" s="3" t="e">
        <f t="shared" ca="1" si="204"/>
        <v>#N/A</v>
      </c>
      <c r="AP114" s="3">
        <f t="shared" ca="1" si="205"/>
        <v>0.24981264051961027</v>
      </c>
      <c r="AQ114" s="3">
        <f t="shared" ca="1" si="206"/>
        <v>0.24807740014884647</v>
      </c>
      <c r="AR114" s="3">
        <f t="shared" ca="1" si="207"/>
        <v>0.50314465408805031</v>
      </c>
      <c r="AT114" s="11" t="e">
        <v>#N/A</v>
      </c>
      <c r="AU114" s="5">
        <v>7.0000002160668373E-3</v>
      </c>
      <c r="AV114" s="5">
        <v>1.4000000432133675E-2</v>
      </c>
      <c r="AW114" s="5">
        <v>1.0999999940395355E-2</v>
      </c>
      <c r="AY114" s="3" t="e">
        <f t="shared" ca="1" si="208"/>
        <v>#N/A</v>
      </c>
      <c r="AZ114" s="3">
        <f t="shared" ca="1" si="209"/>
        <v>0.48288783412440661</v>
      </c>
      <c r="BA114" s="3">
        <f t="shared" ca="1" si="210"/>
        <v>0.79756884147854135</v>
      </c>
      <c r="BB114" s="3">
        <f t="shared" ca="1" si="211"/>
        <v>0.53257861635220127</v>
      </c>
      <c r="BD114" s="3" t="e">
        <f t="shared" ca="1" si="212"/>
        <v>#N/A</v>
      </c>
      <c r="BE114" s="3">
        <f t="shared" ca="1" si="213"/>
        <v>0.47839121940044826</v>
      </c>
      <c r="BF114" s="3">
        <f t="shared" ca="1" si="214"/>
        <v>0.84718428986506089</v>
      </c>
      <c r="BG114" s="3">
        <f t="shared" ca="1" si="215"/>
        <v>0.49459121512167109</v>
      </c>
      <c r="BI114" s="3" t="e">
        <f t="shared" ca="1" si="216"/>
        <v>#N/A</v>
      </c>
      <c r="BJ114" s="3">
        <f t="shared" ca="1" si="217"/>
        <v>0.9992505620784411</v>
      </c>
      <c r="BK114" s="3">
        <f t="shared" ca="1" si="218"/>
        <v>1.9846192011907717</v>
      </c>
      <c r="BL114" s="3">
        <f t="shared" ca="1" si="219"/>
        <v>1.0062893081761006</v>
      </c>
      <c r="BN114" s="3" t="e">
        <f t="shared" ca="1" si="220"/>
        <v>#N/A</v>
      </c>
      <c r="BO114" s="3">
        <f t="shared" ca="1" si="221"/>
        <v>0.49962528103922055</v>
      </c>
      <c r="BP114" s="3">
        <f t="shared" ca="1" si="222"/>
        <v>0.74423220044653937</v>
      </c>
      <c r="BQ114" s="3">
        <f t="shared" ca="1" si="223"/>
        <v>0.50314465408805031</v>
      </c>
      <c r="BS114" s="11" t="e">
        <v>#N/A</v>
      </c>
      <c r="BT114" s="5">
        <v>0.42399999499320984</v>
      </c>
      <c r="BU114" s="5">
        <v>0.414000004529953</v>
      </c>
      <c r="BV114" s="5">
        <v>0.36100000143051147</v>
      </c>
      <c r="BX114" s="3" t="e">
        <f t="shared" ca="1" si="224"/>
        <v>#N/A</v>
      </c>
      <c r="BY114" s="3">
        <f t="shared" ca="1" si="225"/>
        <v>0.32475643267549331</v>
      </c>
      <c r="BZ114" s="3">
        <f t="shared" ca="1" si="226"/>
        <v>0</v>
      </c>
      <c r="CA114" s="3">
        <f t="shared" ca="1" si="227"/>
        <v>0</v>
      </c>
      <c r="CC114" s="3" t="e">
        <f t="shared" ca="1" si="228"/>
        <v>#N/A</v>
      </c>
      <c r="CD114" s="3">
        <f t="shared" ca="1" si="229"/>
        <v>0.30377213132402286</v>
      </c>
      <c r="CE114" s="3">
        <f t="shared" ca="1" si="230"/>
        <v>0</v>
      </c>
      <c r="CF114" s="3">
        <f t="shared" ca="1" si="231"/>
        <v>0</v>
      </c>
      <c r="CH114" s="3" t="e">
        <f t="shared" ca="1" si="232"/>
        <v>#N/A</v>
      </c>
      <c r="CI114" s="3">
        <f t="shared" ca="1" si="233"/>
        <v>0.24981264051961027</v>
      </c>
      <c r="CJ114" s="3">
        <f t="shared" ca="1" si="234"/>
        <v>0</v>
      </c>
      <c r="CK114" s="3">
        <f t="shared" ca="1" si="235"/>
        <v>0</v>
      </c>
      <c r="CM114" s="3" t="e">
        <f t="shared" ca="1" si="236"/>
        <v>#N/A</v>
      </c>
      <c r="CN114" s="3">
        <f t="shared" ca="1" si="237"/>
        <v>0.49962528103922055</v>
      </c>
      <c r="CO114" s="3">
        <f t="shared" ca="1" si="238"/>
        <v>0</v>
      </c>
      <c r="CP114" s="3">
        <f t="shared" ca="1" si="239"/>
        <v>0</v>
      </c>
      <c r="CR114" s="11" t="e">
        <v>#N/A</v>
      </c>
      <c r="CS114" s="5">
        <v>2.4070000648498535</v>
      </c>
      <c r="CT114" s="5">
        <v>4.0309999999999997</v>
      </c>
      <c r="CU114" s="5">
        <v>3.9750000000000001</v>
      </c>
    </row>
    <row r="115" spans="1:99" s="5" customFormat="1" x14ac:dyDescent="0.35">
      <c r="A115" s="4" t="s">
        <v>138</v>
      </c>
      <c r="B115" s="4">
        <v>5.583333333333333</v>
      </c>
      <c r="C115" s="4" t="s">
        <v>168</v>
      </c>
      <c r="D115" s="4" t="s">
        <v>404</v>
      </c>
      <c r="E115" s="3"/>
      <c r="F115" s="11" t="e">
        <v>#N/A</v>
      </c>
      <c r="G115" s="11" t="e">
        <v>#N/A</v>
      </c>
      <c r="H115" s="5" t="e">
        <v>#N/A</v>
      </c>
      <c r="I115" s="11" t="e">
        <v>#N/A</v>
      </c>
      <c r="K115" s="3" t="e">
        <f t="shared" ca="1" si="180"/>
        <v>#N/A</v>
      </c>
      <c r="L115" s="3" t="e">
        <f t="shared" ca="1" si="181"/>
        <v>#N/A</v>
      </c>
      <c r="M115" s="3" t="e">
        <f t="shared" ca="1" si="182"/>
        <v>#N/A</v>
      </c>
      <c r="N115" s="3" t="e">
        <f t="shared" ca="1" si="183"/>
        <v>#N/A</v>
      </c>
      <c r="P115" s="3" t="e">
        <f t="shared" ca="1" si="184"/>
        <v>#N/A</v>
      </c>
      <c r="Q115" s="3" t="e">
        <f t="shared" ca="1" si="185"/>
        <v>#N/A</v>
      </c>
      <c r="R115" s="3" t="e">
        <f t="shared" ca="1" si="186"/>
        <v>#N/A</v>
      </c>
      <c r="S115" s="3" t="e">
        <f t="shared" ca="1" si="187"/>
        <v>#N/A</v>
      </c>
      <c r="U115" s="3" t="e">
        <f t="shared" ca="1" si="188"/>
        <v>#N/A</v>
      </c>
      <c r="V115" s="3" t="e">
        <f t="shared" ca="1" si="189"/>
        <v>#N/A</v>
      </c>
      <c r="W115" s="3" t="e">
        <f t="shared" ca="1" si="190"/>
        <v>#N/A</v>
      </c>
      <c r="X115" s="3" t="e">
        <f t="shared" ca="1" si="191"/>
        <v>#N/A</v>
      </c>
      <c r="Z115" s="3" t="e">
        <f t="shared" ca="1" si="192"/>
        <v>#N/A</v>
      </c>
      <c r="AA115" s="3" t="e">
        <f t="shared" ca="1" si="193"/>
        <v>#N/A</v>
      </c>
      <c r="AB115" s="3" t="e">
        <f t="shared" ca="1" si="194"/>
        <v>#N/A</v>
      </c>
      <c r="AC115" s="3" t="e">
        <f t="shared" ca="1" si="195"/>
        <v>#N/A</v>
      </c>
      <c r="AE115" s="3" t="e">
        <f t="shared" ca="1" si="196"/>
        <v>#N/A</v>
      </c>
      <c r="AF115" s="3" t="e">
        <f t="shared" ca="1" si="197"/>
        <v>#N/A</v>
      </c>
      <c r="AG115" s="3" t="e">
        <f t="shared" ca="1" si="198"/>
        <v>#N/A</v>
      </c>
      <c r="AH115" s="3" t="e">
        <f t="shared" ca="1" si="199"/>
        <v>#N/A</v>
      </c>
      <c r="AJ115" s="3" t="e">
        <f t="shared" ca="1" si="200"/>
        <v>#N/A</v>
      </c>
      <c r="AK115" s="3" t="e">
        <f t="shared" ca="1" si="201"/>
        <v>#N/A</v>
      </c>
      <c r="AL115" s="3" t="e">
        <f t="shared" ca="1" si="202"/>
        <v>#N/A</v>
      </c>
      <c r="AM115" s="3" t="e">
        <f t="shared" ca="1" si="203"/>
        <v>#N/A</v>
      </c>
      <c r="AO115" s="3" t="e">
        <f t="shared" ca="1" si="204"/>
        <v>#N/A</v>
      </c>
      <c r="AP115" s="3" t="e">
        <f t="shared" ca="1" si="205"/>
        <v>#N/A</v>
      </c>
      <c r="AQ115" s="3" t="e">
        <f t="shared" ca="1" si="206"/>
        <v>#N/A</v>
      </c>
      <c r="AR115" s="3" t="e">
        <f t="shared" ca="1" si="207"/>
        <v>#N/A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Y115" s="3" t="e">
        <f t="shared" ca="1" si="208"/>
        <v>#N/A</v>
      </c>
      <c r="AZ115" s="3" t="e">
        <f t="shared" ca="1" si="209"/>
        <v>#N/A</v>
      </c>
      <c r="BA115" s="3" t="e">
        <f t="shared" ca="1" si="210"/>
        <v>#N/A</v>
      </c>
      <c r="BB115" s="3" t="e">
        <f t="shared" ca="1" si="211"/>
        <v>#N/A</v>
      </c>
      <c r="BD115" s="3" t="e">
        <f t="shared" ca="1" si="212"/>
        <v>#N/A</v>
      </c>
      <c r="BE115" s="3" t="e">
        <f t="shared" ca="1" si="213"/>
        <v>#N/A</v>
      </c>
      <c r="BF115" s="3" t="e">
        <f t="shared" ca="1" si="214"/>
        <v>#N/A</v>
      </c>
      <c r="BG115" s="3" t="e">
        <f t="shared" ca="1" si="215"/>
        <v>#N/A</v>
      </c>
      <c r="BI115" s="3" t="e">
        <f t="shared" ca="1" si="216"/>
        <v>#N/A</v>
      </c>
      <c r="BJ115" s="3" t="e">
        <f t="shared" ca="1" si="217"/>
        <v>#N/A</v>
      </c>
      <c r="BK115" s="3" t="e">
        <f t="shared" ca="1" si="218"/>
        <v>#N/A</v>
      </c>
      <c r="BL115" s="3" t="e">
        <f t="shared" ca="1" si="219"/>
        <v>#N/A</v>
      </c>
      <c r="BN115" s="3" t="e">
        <f t="shared" ca="1" si="220"/>
        <v>#N/A</v>
      </c>
      <c r="BO115" s="3" t="e">
        <f t="shared" ca="1" si="221"/>
        <v>#N/A</v>
      </c>
      <c r="BP115" s="3" t="e">
        <f t="shared" ca="1" si="222"/>
        <v>#N/A</v>
      </c>
      <c r="BQ115" s="3" t="e">
        <f t="shared" ca="1" si="223"/>
        <v>#N/A</v>
      </c>
      <c r="BS115" s="11" t="e">
        <v>#N/A</v>
      </c>
      <c r="BT115" s="11" t="e">
        <v>#N/A</v>
      </c>
      <c r="BU115" s="11" t="e">
        <v>#N/A</v>
      </c>
      <c r="BV115" s="11" t="e">
        <v>#N/A</v>
      </c>
      <c r="BX115" s="3" t="e">
        <f t="shared" ca="1" si="224"/>
        <v>#N/A</v>
      </c>
      <c r="BY115" s="3" t="e">
        <f t="shared" ca="1" si="225"/>
        <v>#N/A</v>
      </c>
      <c r="BZ115" s="3" t="e">
        <f t="shared" ca="1" si="226"/>
        <v>#N/A</v>
      </c>
      <c r="CA115" s="3" t="e">
        <f t="shared" ca="1" si="227"/>
        <v>#N/A</v>
      </c>
      <c r="CC115" s="3" t="e">
        <f t="shared" ca="1" si="228"/>
        <v>#N/A</v>
      </c>
      <c r="CD115" s="3" t="e">
        <f t="shared" ca="1" si="229"/>
        <v>#N/A</v>
      </c>
      <c r="CE115" s="3" t="e">
        <f t="shared" ca="1" si="230"/>
        <v>#N/A</v>
      </c>
      <c r="CF115" s="3" t="e">
        <f t="shared" ca="1" si="231"/>
        <v>#N/A</v>
      </c>
      <c r="CH115" s="3" t="e">
        <f t="shared" ca="1" si="232"/>
        <v>#N/A</v>
      </c>
      <c r="CI115" s="3" t="e">
        <f t="shared" ca="1" si="233"/>
        <v>#N/A</v>
      </c>
      <c r="CJ115" s="3" t="e">
        <f t="shared" ca="1" si="234"/>
        <v>#N/A</v>
      </c>
      <c r="CK115" s="3" t="e">
        <f t="shared" ca="1" si="235"/>
        <v>#N/A</v>
      </c>
      <c r="CM115" s="3" t="e">
        <f t="shared" ca="1" si="236"/>
        <v>#N/A</v>
      </c>
      <c r="CN115" s="3" t="e">
        <f t="shared" ca="1" si="237"/>
        <v>#N/A</v>
      </c>
      <c r="CO115" s="3" t="e">
        <f t="shared" ca="1" si="238"/>
        <v>#N/A</v>
      </c>
      <c r="CP115" s="3" t="e">
        <f t="shared" ca="1" si="239"/>
        <v>#N/A</v>
      </c>
      <c r="CR115" s="11" t="e">
        <v>#N/A</v>
      </c>
      <c r="CS115" s="11" t="e">
        <v>#N/A</v>
      </c>
      <c r="CT115" s="11" t="e">
        <v>#N/A</v>
      </c>
      <c r="CU115" s="11" t="e">
        <v>#N/A</v>
      </c>
    </row>
    <row r="116" spans="1:99" s="5" customFormat="1" x14ac:dyDescent="0.35">
      <c r="A116" s="4" t="s">
        <v>108</v>
      </c>
      <c r="B116" s="4">
        <v>5.75</v>
      </c>
      <c r="C116" s="4" t="s">
        <v>168</v>
      </c>
      <c r="D116" s="4" t="s">
        <v>404</v>
      </c>
      <c r="E116" s="3"/>
      <c r="F116" s="5">
        <v>4.0039999999999996</v>
      </c>
      <c r="G116" s="5">
        <v>4.0039999999999996</v>
      </c>
      <c r="H116" s="5" t="e">
        <v>#N/A</v>
      </c>
      <c r="I116" s="5" t="e">
        <v>#N/A</v>
      </c>
      <c r="K116" s="3">
        <f t="shared" ca="1" si="180"/>
        <v>0.99900099900099915</v>
      </c>
      <c r="L116" s="3">
        <f t="shared" ca="1" si="181"/>
        <v>0.84090909090909105</v>
      </c>
      <c r="M116" s="3" t="e">
        <f t="shared" ca="1" si="182"/>
        <v>#N/A</v>
      </c>
      <c r="N116" s="3" t="e">
        <f t="shared" ca="1" si="183"/>
        <v>#N/A</v>
      </c>
      <c r="P116" s="3">
        <f t="shared" ca="1" si="184"/>
        <v>0.98226767009613558</v>
      </c>
      <c r="Q116" s="3">
        <f t="shared" ca="1" si="185"/>
        <v>0.78646354538343899</v>
      </c>
      <c r="R116" s="3" t="e">
        <f t="shared" ca="1" si="186"/>
        <v>#N/A</v>
      </c>
      <c r="S116" s="3" t="e">
        <f t="shared" ca="1" si="187"/>
        <v>#N/A</v>
      </c>
      <c r="U116" s="3">
        <f t="shared" ca="1" si="188"/>
        <v>1.2487512487512489</v>
      </c>
      <c r="V116" s="3">
        <f t="shared" ca="1" si="189"/>
        <v>1.4985014985014986</v>
      </c>
      <c r="W116" s="3" t="e">
        <f t="shared" ca="1" si="190"/>
        <v>#N/A</v>
      </c>
      <c r="X116" s="3" t="e">
        <f t="shared" ca="1" si="191"/>
        <v>#N/A</v>
      </c>
      <c r="Z116" s="3">
        <f t="shared" ca="1" si="192"/>
        <v>0.99900099900099915</v>
      </c>
      <c r="AA116" s="3">
        <f t="shared" ca="1" si="193"/>
        <v>0.84090909090909105</v>
      </c>
      <c r="AB116" s="3" t="e">
        <f t="shared" ca="1" si="194"/>
        <v>#N/A</v>
      </c>
      <c r="AC116" s="3" t="e">
        <f t="shared" ca="1" si="195"/>
        <v>#N/A</v>
      </c>
      <c r="AE116" s="3">
        <f t="shared" ca="1" si="196"/>
        <v>0.98226767009613558</v>
      </c>
      <c r="AF116" s="3">
        <f t="shared" ca="1" si="197"/>
        <v>0.78646354538343899</v>
      </c>
      <c r="AG116" s="3" t="e">
        <f t="shared" ca="1" si="198"/>
        <v>#N/A</v>
      </c>
      <c r="AH116" s="3" t="e">
        <f t="shared" ca="1" si="199"/>
        <v>#N/A</v>
      </c>
      <c r="AJ116" s="3">
        <f t="shared" ca="1" si="200"/>
        <v>1.2487512487512489</v>
      </c>
      <c r="AK116" s="3">
        <f t="shared" ca="1" si="201"/>
        <v>1.4985014985014986</v>
      </c>
      <c r="AL116" s="3" t="e">
        <f t="shared" ca="1" si="202"/>
        <v>#N/A</v>
      </c>
      <c r="AM116" s="3" t="e">
        <f t="shared" ca="1" si="203"/>
        <v>#N/A</v>
      </c>
      <c r="AO116" s="3">
        <f t="shared" ca="1" si="204"/>
        <v>0.24975024975024979</v>
      </c>
      <c r="AP116" s="3">
        <f t="shared" ca="1" si="205"/>
        <v>0.24975024975024979</v>
      </c>
      <c r="AQ116" s="3" t="e">
        <f t="shared" ca="1" si="206"/>
        <v>#N/A</v>
      </c>
      <c r="AR116" s="3" t="e">
        <f t="shared" ca="1" si="207"/>
        <v>#N/A</v>
      </c>
      <c r="AT116" s="5">
        <v>3.0000000260770321E-3</v>
      </c>
      <c r="AU116" s="5">
        <v>1.0000000474974513E-3</v>
      </c>
      <c r="AV116" s="11" t="e">
        <v>#N/A</v>
      </c>
      <c r="AW116" s="11" t="e">
        <v>#N/A</v>
      </c>
      <c r="AY116" s="3">
        <f t="shared" ca="1" si="208"/>
        <v>0.19980019980019972</v>
      </c>
      <c r="AZ116" s="3">
        <f t="shared" ca="1" si="209"/>
        <v>0.54920079920079923</v>
      </c>
      <c r="BA116" s="3" t="e">
        <f t="shared" ca="1" si="210"/>
        <v>#N/A</v>
      </c>
      <c r="BB116" s="3" t="e">
        <f t="shared" ca="1" si="211"/>
        <v>#N/A</v>
      </c>
      <c r="BD116" s="3">
        <f t="shared" ca="1" si="212"/>
        <v>4.570428784434255E-2</v>
      </c>
      <c r="BE116" s="3">
        <f t="shared" ca="1" si="213"/>
        <v>0.55319681153311717</v>
      </c>
      <c r="BF116" s="3" t="e">
        <f t="shared" ca="1" si="214"/>
        <v>#N/A</v>
      </c>
      <c r="BG116" s="3" t="e">
        <f t="shared" ca="1" si="215"/>
        <v>#N/A</v>
      </c>
      <c r="BI116" s="3">
        <f t="shared" ca="1" si="216"/>
        <v>0.24975024975024979</v>
      </c>
      <c r="BJ116" s="3">
        <f t="shared" ca="1" si="217"/>
        <v>0.99900099900099915</v>
      </c>
      <c r="BK116" s="3" t="e">
        <f t="shared" ca="1" si="218"/>
        <v>#N/A</v>
      </c>
      <c r="BL116" s="3" t="e">
        <f t="shared" ca="1" si="219"/>
        <v>#N/A</v>
      </c>
      <c r="BN116" s="3">
        <f t="shared" ca="1" si="220"/>
        <v>0.99900099900099915</v>
      </c>
      <c r="BO116" s="3">
        <f t="shared" ca="1" si="221"/>
        <v>0.24975024975024979</v>
      </c>
      <c r="BP116" s="3" t="e">
        <f t="shared" ca="1" si="222"/>
        <v>#N/A</v>
      </c>
      <c r="BQ116" s="3" t="e">
        <f t="shared" ca="1" si="223"/>
        <v>#N/A</v>
      </c>
      <c r="BS116" s="5">
        <v>0.50300002098083496</v>
      </c>
      <c r="BT116" s="5">
        <v>0.51800000667572021</v>
      </c>
      <c r="BU116" s="11" t="e">
        <v>#N/A</v>
      </c>
      <c r="BV116" s="11" t="e">
        <v>#N/A</v>
      </c>
      <c r="BX116" s="3">
        <f t="shared" ca="1" si="224"/>
        <v>0</v>
      </c>
      <c r="BY116" s="3">
        <f t="shared" ca="1" si="225"/>
        <v>0.1960539460539461</v>
      </c>
      <c r="BZ116" s="3" t="e">
        <f t="shared" ca="1" si="226"/>
        <v>#N/A</v>
      </c>
      <c r="CA116" s="3" t="e">
        <f t="shared" ca="1" si="227"/>
        <v>#N/A</v>
      </c>
      <c r="CC116" s="3">
        <f t="shared" ca="1" si="228"/>
        <v>0</v>
      </c>
      <c r="CD116" s="3">
        <f t="shared" ca="1" si="229"/>
        <v>0.10839161220249478</v>
      </c>
      <c r="CE116" s="3" t="e">
        <f t="shared" ca="1" si="230"/>
        <v>#N/A</v>
      </c>
      <c r="CF116" s="3" t="e">
        <f t="shared" ca="1" si="231"/>
        <v>#N/A</v>
      </c>
      <c r="CH116" s="3">
        <f t="shared" ca="1" si="232"/>
        <v>0</v>
      </c>
      <c r="CI116" s="3">
        <f t="shared" ca="1" si="233"/>
        <v>0.24975024975024979</v>
      </c>
      <c r="CJ116" s="3" t="e">
        <f t="shared" ca="1" si="234"/>
        <v>#N/A</v>
      </c>
      <c r="CK116" s="3" t="e">
        <f t="shared" ca="1" si="235"/>
        <v>#N/A</v>
      </c>
      <c r="CM116" s="3">
        <f t="shared" ca="1" si="236"/>
        <v>0</v>
      </c>
      <c r="CN116" s="3">
        <f t="shared" ca="1" si="237"/>
        <v>0.7492507492507493</v>
      </c>
      <c r="CO116" s="3" t="e">
        <f t="shared" ca="1" si="238"/>
        <v>#N/A</v>
      </c>
      <c r="CP116" s="3" t="e">
        <f t="shared" ca="1" si="239"/>
        <v>#N/A</v>
      </c>
      <c r="CR116" s="5">
        <v>4.0039999999999996</v>
      </c>
      <c r="CS116" s="5">
        <v>2.8840000629425049</v>
      </c>
      <c r="CT116" s="11" t="e">
        <v>#N/A</v>
      </c>
      <c r="CU116" s="11" t="e">
        <v>#N/A</v>
      </c>
    </row>
    <row r="117" spans="1:99" s="5" customFormat="1" x14ac:dyDescent="0.35">
      <c r="A117" s="4" t="s">
        <v>151</v>
      </c>
      <c r="B117" s="4">
        <v>5.75</v>
      </c>
      <c r="C117" s="4" t="s">
        <v>168</v>
      </c>
      <c r="D117" s="4" t="s">
        <v>404</v>
      </c>
      <c r="E117" s="3"/>
      <c r="F117" s="5">
        <v>4.016</v>
      </c>
      <c r="G117" s="5">
        <v>4.016</v>
      </c>
      <c r="H117" s="5" t="e">
        <v>#N/A</v>
      </c>
      <c r="I117" s="5" t="e">
        <v>#N/A</v>
      </c>
      <c r="K117" s="3">
        <f t="shared" ca="1" si="180"/>
        <v>0.9957669322709165</v>
      </c>
      <c r="L117" s="3">
        <f t="shared" ca="1" si="181"/>
        <v>0.99576693227091639</v>
      </c>
      <c r="M117" s="3" t="e">
        <f t="shared" ca="1" si="182"/>
        <v>#N/A</v>
      </c>
      <c r="N117" s="3" t="e">
        <f t="shared" ca="1" si="183"/>
        <v>#N/A</v>
      </c>
      <c r="P117" s="3">
        <f t="shared" ca="1" si="184"/>
        <v>0.97485064104268049</v>
      </c>
      <c r="Q117" s="3">
        <f t="shared" ca="1" si="185"/>
        <v>0.85458163110784202</v>
      </c>
      <c r="R117" s="3" t="e">
        <f t="shared" ca="1" si="186"/>
        <v>#N/A</v>
      </c>
      <c r="S117" s="3" t="e">
        <f t="shared" ca="1" si="187"/>
        <v>#N/A</v>
      </c>
      <c r="U117" s="3">
        <f t="shared" ca="1" si="188"/>
        <v>1.4940239043824701</v>
      </c>
      <c r="V117" s="3">
        <f t="shared" ca="1" si="189"/>
        <v>1.7430278884462151</v>
      </c>
      <c r="W117" s="3" t="e">
        <f t="shared" ca="1" si="190"/>
        <v>#N/A</v>
      </c>
      <c r="X117" s="3" t="e">
        <f t="shared" ca="1" si="191"/>
        <v>#N/A</v>
      </c>
      <c r="Z117" s="3">
        <f t="shared" ca="1" si="192"/>
        <v>0.9957669322709165</v>
      </c>
      <c r="AA117" s="3">
        <f t="shared" ca="1" si="193"/>
        <v>0.99576693227091639</v>
      </c>
      <c r="AB117" s="3" t="e">
        <f t="shared" ca="1" si="194"/>
        <v>#N/A</v>
      </c>
      <c r="AC117" s="3" t="e">
        <f t="shared" ca="1" si="195"/>
        <v>#N/A</v>
      </c>
      <c r="AE117" s="3">
        <f t="shared" ca="1" si="196"/>
        <v>0.97485064104268049</v>
      </c>
      <c r="AF117" s="3">
        <f t="shared" ca="1" si="197"/>
        <v>0.85458163110784202</v>
      </c>
      <c r="AG117" s="3" t="e">
        <f t="shared" ca="1" si="198"/>
        <v>#N/A</v>
      </c>
      <c r="AH117" s="3" t="e">
        <f t="shared" ca="1" si="199"/>
        <v>#N/A</v>
      </c>
      <c r="AJ117" s="3">
        <f t="shared" ca="1" si="200"/>
        <v>1.4940239043824701</v>
      </c>
      <c r="AK117" s="3">
        <f t="shared" ca="1" si="201"/>
        <v>1.7430278884462151</v>
      </c>
      <c r="AL117" s="3" t="e">
        <f t="shared" ca="1" si="202"/>
        <v>#N/A</v>
      </c>
      <c r="AM117" s="3" t="e">
        <f t="shared" ca="1" si="203"/>
        <v>#N/A</v>
      </c>
      <c r="AO117" s="3">
        <f t="shared" ca="1" si="204"/>
        <v>0.24900398406374502</v>
      </c>
      <c r="AP117" s="3">
        <f t="shared" ca="1" si="205"/>
        <v>0.24900398406374502</v>
      </c>
      <c r="AQ117" s="3" t="e">
        <f t="shared" ca="1" si="206"/>
        <v>#N/A</v>
      </c>
      <c r="AR117" s="3" t="e">
        <f t="shared" ca="1" si="207"/>
        <v>#N/A</v>
      </c>
      <c r="AT117" s="5">
        <v>2.0000000949949026E-3</v>
      </c>
      <c r="AU117" s="5">
        <v>1.4000000432133675E-2</v>
      </c>
      <c r="AV117" s="11" t="e">
        <v>#N/A</v>
      </c>
      <c r="AW117" s="11" t="e">
        <v>#N/A</v>
      </c>
      <c r="AY117" s="3">
        <f t="shared" ca="1" si="208"/>
        <v>5.0049800796812823E-2</v>
      </c>
      <c r="AZ117" s="3">
        <f t="shared" ca="1" si="209"/>
        <v>0.39392430278884438</v>
      </c>
      <c r="BA117" s="3" t="e">
        <f t="shared" ca="1" si="210"/>
        <v>#N/A</v>
      </c>
      <c r="BB117" s="3" t="e">
        <f t="shared" ca="1" si="211"/>
        <v>#N/A</v>
      </c>
      <c r="BD117" s="3">
        <f t="shared" ca="1" si="212"/>
        <v>3.3117533917446061E-2</v>
      </c>
      <c r="BE117" s="3">
        <f t="shared" ca="1" si="213"/>
        <v>0.52265937169234589</v>
      </c>
      <c r="BF117" s="3" t="e">
        <f t="shared" ca="1" si="214"/>
        <v>#N/A</v>
      </c>
      <c r="BG117" s="3" t="e">
        <f t="shared" ca="1" si="215"/>
        <v>#N/A</v>
      </c>
      <c r="BI117" s="3">
        <f t="shared" ca="1" si="216"/>
        <v>0.24900398406374502</v>
      </c>
      <c r="BJ117" s="3">
        <f t="shared" ca="1" si="217"/>
        <v>0.49800796812749004</v>
      </c>
      <c r="BK117" s="3" t="e">
        <f t="shared" ca="1" si="218"/>
        <v>#N/A</v>
      </c>
      <c r="BL117" s="3" t="e">
        <f t="shared" ca="1" si="219"/>
        <v>#N/A</v>
      </c>
      <c r="BN117" s="3">
        <f t="shared" ca="1" si="220"/>
        <v>0.74701195219123506</v>
      </c>
      <c r="BO117" s="3">
        <f t="shared" ca="1" si="221"/>
        <v>1.2450199203187251</v>
      </c>
      <c r="BP117" s="3" t="e">
        <f t="shared" ca="1" si="222"/>
        <v>#N/A</v>
      </c>
      <c r="BQ117" s="3" t="e">
        <f t="shared" ca="1" si="223"/>
        <v>#N/A</v>
      </c>
      <c r="BS117" s="5">
        <v>1.8519999980926514</v>
      </c>
      <c r="BT117" s="5">
        <v>0.61400002241134644</v>
      </c>
      <c r="BU117" s="11" t="e">
        <v>#N/A</v>
      </c>
      <c r="BV117" s="11" t="e">
        <v>#N/A</v>
      </c>
      <c r="BX117" s="3">
        <f t="shared" ca="1" si="224"/>
        <v>4.5567729083665409E-2</v>
      </c>
      <c r="BY117" s="3">
        <f t="shared" ca="1" si="225"/>
        <v>0.17006972111553781</v>
      </c>
      <c r="BZ117" s="3" t="e">
        <f t="shared" ca="1" si="226"/>
        <v>#N/A</v>
      </c>
      <c r="CA117" s="3" t="e">
        <f t="shared" ca="1" si="227"/>
        <v>#N/A</v>
      </c>
      <c r="CC117" s="3">
        <f t="shared" ca="1" si="228"/>
        <v>0</v>
      </c>
      <c r="CD117" s="3">
        <f t="shared" ca="1" si="229"/>
        <v>0.18675297274220867</v>
      </c>
      <c r="CE117" s="3" t="e">
        <f t="shared" ca="1" si="230"/>
        <v>#N/A</v>
      </c>
      <c r="CF117" s="3" t="e">
        <f t="shared" ca="1" si="231"/>
        <v>#N/A</v>
      </c>
      <c r="CH117" s="3">
        <f t="shared" ca="1" si="232"/>
        <v>0</v>
      </c>
      <c r="CI117" s="3">
        <f t="shared" ca="1" si="233"/>
        <v>0.49800796812749004</v>
      </c>
      <c r="CJ117" s="3" t="e">
        <f t="shared" ca="1" si="234"/>
        <v>#N/A</v>
      </c>
      <c r="CK117" s="3" t="e">
        <f t="shared" ca="1" si="235"/>
        <v>#N/A</v>
      </c>
      <c r="CM117" s="3">
        <f t="shared" ca="1" si="236"/>
        <v>0.24900398406374502</v>
      </c>
      <c r="CN117" s="3">
        <f t="shared" ca="1" si="237"/>
        <v>0.99601593625498008</v>
      </c>
      <c r="CO117" s="3" t="e">
        <f t="shared" ca="1" si="238"/>
        <v>#N/A</v>
      </c>
      <c r="CP117" s="3" t="e">
        <f t="shared" ca="1" si="239"/>
        <v>#N/A</v>
      </c>
      <c r="CR117" s="5">
        <v>4.016</v>
      </c>
      <c r="CS117" s="5">
        <v>1.4000000432133675E-2</v>
      </c>
      <c r="CT117" s="11" t="e">
        <v>#N/A</v>
      </c>
      <c r="CU117" s="11" t="e">
        <v>#N/A</v>
      </c>
    </row>
    <row r="118" spans="1:99" s="5" customFormat="1" x14ac:dyDescent="0.35">
      <c r="A118" s="4" t="s">
        <v>96</v>
      </c>
      <c r="B118" s="4">
        <v>5.833333333333333</v>
      </c>
      <c r="C118" s="4" t="s">
        <v>168</v>
      </c>
      <c r="D118" s="4" t="s">
        <v>404</v>
      </c>
      <c r="E118" s="3"/>
      <c r="F118" s="5" t="e">
        <v>#N/A</v>
      </c>
      <c r="G118" s="5">
        <v>4.0250000000000004</v>
      </c>
      <c r="H118" s="5" t="e">
        <v>#N/A</v>
      </c>
      <c r="I118" s="5" t="e">
        <v>#N/A</v>
      </c>
      <c r="K118" s="3" t="e">
        <f t="shared" ca="1" si="180"/>
        <v>#N/A</v>
      </c>
      <c r="L118" s="3">
        <f t="shared" ca="1" si="181"/>
        <v>0.9935403726708073</v>
      </c>
      <c r="M118" s="3" t="e">
        <f t="shared" ca="1" si="182"/>
        <v>#N/A</v>
      </c>
      <c r="N118" s="3" t="e">
        <f t="shared" ca="1" si="183"/>
        <v>#N/A</v>
      </c>
      <c r="P118" s="3" t="e">
        <f t="shared" ca="1" si="184"/>
        <v>#N/A</v>
      </c>
      <c r="Q118" s="3">
        <f t="shared" ca="1" si="185"/>
        <v>0.96869568924726157</v>
      </c>
      <c r="R118" s="3" t="e">
        <f t="shared" ca="1" si="186"/>
        <v>#N/A</v>
      </c>
      <c r="S118" s="3" t="e">
        <f t="shared" ca="1" si="187"/>
        <v>#N/A</v>
      </c>
      <c r="U118" s="3" t="e">
        <f t="shared" ca="1" si="188"/>
        <v>#N/A</v>
      </c>
      <c r="V118" s="3">
        <f t="shared" ca="1" si="189"/>
        <v>1.2422360248447204</v>
      </c>
      <c r="W118" s="3" t="e">
        <f t="shared" ca="1" si="190"/>
        <v>#N/A</v>
      </c>
      <c r="X118" s="3" t="e">
        <f t="shared" ca="1" si="191"/>
        <v>#N/A</v>
      </c>
      <c r="Z118" s="3" t="e">
        <f t="shared" ca="1" si="192"/>
        <v>#N/A</v>
      </c>
      <c r="AA118" s="3">
        <f t="shared" ca="1" si="193"/>
        <v>0.9935403726708073</v>
      </c>
      <c r="AB118" s="3" t="e">
        <f t="shared" ca="1" si="194"/>
        <v>#N/A</v>
      </c>
      <c r="AC118" s="3" t="e">
        <f t="shared" ca="1" si="195"/>
        <v>#N/A</v>
      </c>
      <c r="AE118" s="3" t="e">
        <f t="shared" ca="1" si="196"/>
        <v>#N/A</v>
      </c>
      <c r="AF118" s="3">
        <f t="shared" ca="1" si="197"/>
        <v>0.96869568924726157</v>
      </c>
      <c r="AG118" s="3" t="e">
        <f t="shared" ca="1" si="198"/>
        <v>#N/A</v>
      </c>
      <c r="AH118" s="3" t="e">
        <f t="shared" ca="1" si="199"/>
        <v>#N/A</v>
      </c>
      <c r="AJ118" s="3" t="e">
        <f t="shared" ca="1" si="200"/>
        <v>#N/A</v>
      </c>
      <c r="AK118" s="3">
        <f t="shared" ca="1" si="201"/>
        <v>1.2422360248447204</v>
      </c>
      <c r="AL118" s="3" t="e">
        <f t="shared" ca="1" si="202"/>
        <v>#N/A</v>
      </c>
      <c r="AM118" s="3" t="e">
        <f t="shared" ca="1" si="203"/>
        <v>#N/A</v>
      </c>
      <c r="AO118" s="3" t="e">
        <f t="shared" ca="1" si="204"/>
        <v>#N/A</v>
      </c>
      <c r="AP118" s="3">
        <f t="shared" ca="1" si="205"/>
        <v>0.24844720496894407</v>
      </c>
      <c r="AQ118" s="3" t="e">
        <f t="shared" ca="1" si="206"/>
        <v>#N/A</v>
      </c>
      <c r="AR118" s="3" t="e">
        <f t="shared" ca="1" si="207"/>
        <v>#N/A</v>
      </c>
      <c r="AT118" s="5">
        <v>5.000000074505806E-2</v>
      </c>
      <c r="AU118" s="5">
        <v>1.3000000268220901E-2</v>
      </c>
      <c r="AV118" s="5">
        <v>1.9769999980926514</v>
      </c>
      <c r="AW118" s="5">
        <v>2.500000037252903E-2</v>
      </c>
      <c r="AY118" s="3" t="e">
        <f t="shared" ca="1" si="208"/>
        <v>#N/A</v>
      </c>
      <c r="AZ118" s="3">
        <f t="shared" ca="1" si="209"/>
        <v>0.81167701863354036</v>
      </c>
      <c r="BA118" s="3" t="e">
        <f t="shared" ca="1" si="210"/>
        <v>#N/A</v>
      </c>
      <c r="BB118" s="3" t="e">
        <f t="shared" ca="1" si="211"/>
        <v>#N/A</v>
      </c>
      <c r="BD118" s="3" t="e">
        <f t="shared" ca="1" si="212"/>
        <v>#N/A</v>
      </c>
      <c r="BE118" s="3">
        <f t="shared" ca="1" si="213"/>
        <v>0.88173916621237802</v>
      </c>
      <c r="BF118" s="3" t="e">
        <f t="shared" ca="1" si="214"/>
        <v>#N/A</v>
      </c>
      <c r="BG118" s="3" t="e">
        <f t="shared" ca="1" si="215"/>
        <v>#N/A</v>
      </c>
      <c r="BI118" s="3" t="e">
        <f t="shared" ca="1" si="216"/>
        <v>#N/A</v>
      </c>
      <c r="BJ118" s="3">
        <f t="shared" ca="1" si="217"/>
        <v>0.99378881987577627</v>
      </c>
      <c r="BK118" s="3" t="e">
        <f t="shared" ca="1" si="218"/>
        <v>#N/A</v>
      </c>
      <c r="BL118" s="3" t="e">
        <f t="shared" ca="1" si="219"/>
        <v>#N/A</v>
      </c>
      <c r="BN118" s="3" t="e">
        <f t="shared" ca="1" si="220"/>
        <v>#N/A</v>
      </c>
      <c r="BO118" s="3">
        <f t="shared" ca="1" si="221"/>
        <v>0.49689440993788814</v>
      </c>
      <c r="BP118" s="3" t="e">
        <f t="shared" ca="1" si="222"/>
        <v>#N/A</v>
      </c>
      <c r="BQ118" s="3" t="e">
        <f t="shared" ca="1" si="223"/>
        <v>#N/A</v>
      </c>
      <c r="BS118" s="5">
        <v>2</v>
      </c>
      <c r="BT118" s="5">
        <v>0.37900000810623169</v>
      </c>
      <c r="BU118" s="5">
        <v>2.3610000610351563</v>
      </c>
      <c r="BV118" s="5">
        <v>0.44200000166893005</v>
      </c>
      <c r="BX118" s="3" t="e">
        <f t="shared" ca="1" si="224"/>
        <v>#N/A</v>
      </c>
      <c r="BY118" s="3">
        <f t="shared" ca="1" si="225"/>
        <v>2.4844720496894408E-2</v>
      </c>
      <c r="BZ118" s="3" t="e">
        <f t="shared" ca="1" si="226"/>
        <v>#N/A</v>
      </c>
      <c r="CA118" s="3" t="e">
        <f t="shared" ca="1" si="227"/>
        <v>#N/A</v>
      </c>
      <c r="CC118" s="3" t="e">
        <f t="shared" ca="1" si="228"/>
        <v>#N/A</v>
      </c>
      <c r="CD118" s="3">
        <f t="shared" ca="1" si="229"/>
        <v>0</v>
      </c>
      <c r="CE118" s="3" t="e">
        <f t="shared" ca="1" si="230"/>
        <v>#N/A</v>
      </c>
      <c r="CF118" s="3" t="e">
        <f t="shared" ca="1" si="231"/>
        <v>#N/A</v>
      </c>
      <c r="CH118" s="3" t="e">
        <f t="shared" ca="1" si="232"/>
        <v>#N/A</v>
      </c>
      <c r="CI118" s="3">
        <f t="shared" ca="1" si="233"/>
        <v>0</v>
      </c>
      <c r="CJ118" s="3" t="e">
        <f t="shared" ca="1" si="234"/>
        <v>#N/A</v>
      </c>
      <c r="CK118" s="3" t="e">
        <f t="shared" ca="1" si="235"/>
        <v>#N/A</v>
      </c>
      <c r="CM118" s="3" t="e">
        <f t="shared" ca="1" si="236"/>
        <v>#N/A</v>
      </c>
      <c r="CN118" s="3">
        <f t="shared" ca="1" si="237"/>
        <v>0.49689440993788814</v>
      </c>
      <c r="CO118" s="3" t="e">
        <f t="shared" ca="1" si="238"/>
        <v>#N/A</v>
      </c>
      <c r="CP118" s="3" t="e">
        <f t="shared" ca="1" si="239"/>
        <v>#N/A</v>
      </c>
      <c r="CR118" s="5">
        <v>4.0170000000000003</v>
      </c>
      <c r="CS118" s="5">
        <v>4.0250000000000004</v>
      </c>
      <c r="CT118" s="5">
        <v>4.01</v>
      </c>
      <c r="CU118" s="5">
        <v>4.016</v>
      </c>
    </row>
    <row r="119" spans="1:99" s="5" customFormat="1" x14ac:dyDescent="0.35">
      <c r="A119" s="4" t="s">
        <v>115</v>
      </c>
      <c r="B119" s="4">
        <v>6</v>
      </c>
      <c r="C119" s="4" t="s">
        <v>168</v>
      </c>
      <c r="D119" s="4" t="s">
        <v>404</v>
      </c>
      <c r="E119" s="3"/>
      <c r="F119" s="5" t="e">
        <v>#N/A</v>
      </c>
      <c r="G119" s="5">
        <v>3.2240000000000002</v>
      </c>
      <c r="H119" s="5" t="e">
        <v>#N/A</v>
      </c>
      <c r="I119" s="11" t="e">
        <v>#N/A</v>
      </c>
      <c r="K119" s="3" t="e">
        <f t="shared" ca="1" si="180"/>
        <v>#N/A</v>
      </c>
      <c r="L119" s="3">
        <f t="shared" ca="1" si="181"/>
        <v>0.98263027295285355</v>
      </c>
      <c r="M119" s="3" t="e">
        <f t="shared" ca="1" si="182"/>
        <v>#N/A</v>
      </c>
      <c r="N119" s="3" t="e">
        <f t="shared" ca="1" si="183"/>
        <v>#N/A</v>
      </c>
      <c r="P119" s="3" t="e">
        <f t="shared" ca="1" si="184"/>
        <v>#N/A</v>
      </c>
      <c r="Q119" s="3">
        <f t="shared" ca="1" si="185"/>
        <v>0.87406959502539472</v>
      </c>
      <c r="R119" s="3" t="e">
        <f t="shared" ca="1" si="186"/>
        <v>#N/A</v>
      </c>
      <c r="S119" s="3" t="e">
        <f t="shared" ca="1" si="187"/>
        <v>#N/A</v>
      </c>
      <c r="U119" s="3" t="e">
        <f t="shared" ca="1" si="188"/>
        <v>#N/A</v>
      </c>
      <c r="V119" s="3">
        <f t="shared" ca="1" si="189"/>
        <v>2.791563275434243</v>
      </c>
      <c r="W119" s="3" t="e">
        <f t="shared" ca="1" si="190"/>
        <v>#N/A</v>
      </c>
      <c r="X119" s="3" t="e">
        <f t="shared" ca="1" si="191"/>
        <v>#N/A</v>
      </c>
      <c r="Z119" s="3" t="e">
        <f t="shared" ca="1" si="192"/>
        <v>#N/A</v>
      </c>
      <c r="AA119" s="3">
        <f t="shared" ca="1" si="193"/>
        <v>0.95130272952853601</v>
      </c>
      <c r="AB119" s="3" t="e">
        <f t="shared" ca="1" si="194"/>
        <v>#N/A</v>
      </c>
      <c r="AC119" s="3" t="e">
        <f t="shared" ca="1" si="195"/>
        <v>#N/A</v>
      </c>
      <c r="AE119" s="3" t="e">
        <f t="shared" ca="1" si="196"/>
        <v>#N/A</v>
      </c>
      <c r="AF119" s="3">
        <f t="shared" ca="1" si="197"/>
        <v>0.84305218092764422</v>
      </c>
      <c r="AG119" s="3" t="e">
        <f t="shared" ca="1" si="198"/>
        <v>#N/A</v>
      </c>
      <c r="AH119" s="3" t="e">
        <f t="shared" ca="1" si="199"/>
        <v>#N/A</v>
      </c>
      <c r="AJ119" s="3" t="e">
        <f t="shared" ca="1" si="200"/>
        <v>#N/A</v>
      </c>
      <c r="AK119" s="3">
        <f t="shared" ca="1" si="201"/>
        <v>2.4813895781637716</v>
      </c>
      <c r="AL119" s="3" t="e">
        <f t="shared" ca="1" si="202"/>
        <v>#N/A</v>
      </c>
      <c r="AM119" s="3" t="e">
        <f t="shared" ca="1" si="203"/>
        <v>#N/A</v>
      </c>
      <c r="AO119" s="3" t="e">
        <f t="shared" ca="1" si="204"/>
        <v>#N/A</v>
      </c>
      <c r="AP119" s="3">
        <f t="shared" ca="1" si="205"/>
        <v>1.2406947890818858</v>
      </c>
      <c r="AQ119" s="3" t="e">
        <f t="shared" ca="1" si="206"/>
        <v>#N/A</v>
      </c>
      <c r="AR119" s="3" t="e">
        <f t="shared" ca="1" si="207"/>
        <v>#N/A</v>
      </c>
      <c r="AT119" s="5">
        <v>0.9089999794960022</v>
      </c>
      <c r="AU119" s="5">
        <v>1.4000000432133675E-2</v>
      </c>
      <c r="AV119" s="11" t="e">
        <v>#N/A</v>
      </c>
      <c r="AW119" s="11" t="e">
        <v>#N/A</v>
      </c>
      <c r="AY119" s="3" t="e">
        <f t="shared" ca="1" si="208"/>
        <v>#N/A</v>
      </c>
      <c r="AZ119" s="3">
        <f t="shared" ca="1" si="209"/>
        <v>8.7779156327543462E-2</v>
      </c>
      <c r="BA119" s="3" t="e">
        <f t="shared" ca="1" si="210"/>
        <v>#N/A</v>
      </c>
      <c r="BB119" s="3" t="e">
        <f t="shared" ca="1" si="211"/>
        <v>#N/A</v>
      </c>
      <c r="BD119" s="3" t="e">
        <f t="shared" ca="1" si="212"/>
        <v>#N/A</v>
      </c>
      <c r="BE119" s="3">
        <f t="shared" ca="1" si="213"/>
        <v>0.10359801222609527</v>
      </c>
      <c r="BF119" s="3" t="e">
        <f t="shared" ca="1" si="214"/>
        <v>#N/A</v>
      </c>
      <c r="BG119" s="3" t="e">
        <f t="shared" ca="1" si="215"/>
        <v>#N/A</v>
      </c>
      <c r="BI119" s="3" t="e">
        <f t="shared" ca="1" si="216"/>
        <v>#N/A</v>
      </c>
      <c r="BJ119" s="3">
        <f t="shared" ca="1" si="217"/>
        <v>0.31017369727047145</v>
      </c>
      <c r="BK119" s="3" t="e">
        <f t="shared" ca="1" si="218"/>
        <v>#N/A</v>
      </c>
      <c r="BL119" s="3" t="e">
        <f t="shared" ca="1" si="219"/>
        <v>#N/A</v>
      </c>
      <c r="BN119" s="3" t="e">
        <f t="shared" ca="1" si="220"/>
        <v>#N/A</v>
      </c>
      <c r="BO119" s="3">
        <f t="shared" ca="1" si="221"/>
        <v>0.6203473945409429</v>
      </c>
      <c r="BP119" s="3" t="e">
        <f t="shared" ca="1" si="222"/>
        <v>#N/A</v>
      </c>
      <c r="BQ119" s="3" t="e">
        <f t="shared" ca="1" si="223"/>
        <v>#N/A</v>
      </c>
      <c r="BS119" s="5">
        <v>0.9089999794960022</v>
      </c>
      <c r="BT119" s="5">
        <v>1.8140000104904175</v>
      </c>
      <c r="BU119" s="11" t="e">
        <v>#N/A</v>
      </c>
      <c r="BV119" s="11" t="e">
        <v>#N/A</v>
      </c>
      <c r="BX119" s="3" t="e">
        <f t="shared" ca="1" si="224"/>
        <v>#N/A</v>
      </c>
      <c r="BY119" s="3">
        <f t="shared" ca="1" si="225"/>
        <v>5.2729528535981228E-3</v>
      </c>
      <c r="BZ119" s="3" t="e">
        <f t="shared" ca="1" si="226"/>
        <v>#N/A</v>
      </c>
      <c r="CA119" s="3" t="e">
        <f t="shared" ca="1" si="227"/>
        <v>#N/A</v>
      </c>
      <c r="CC119" s="3" t="e">
        <f t="shared" ca="1" si="228"/>
        <v>#N/A</v>
      </c>
      <c r="CD119" s="3">
        <f t="shared" ca="1" si="229"/>
        <v>0</v>
      </c>
      <c r="CE119" s="3" t="e">
        <f t="shared" ca="1" si="230"/>
        <v>#N/A</v>
      </c>
      <c r="CF119" s="3" t="e">
        <f t="shared" ca="1" si="231"/>
        <v>#N/A</v>
      </c>
      <c r="CH119" s="3" t="e">
        <f t="shared" ca="1" si="232"/>
        <v>#N/A</v>
      </c>
      <c r="CI119" s="3">
        <f t="shared" ca="1" si="233"/>
        <v>0</v>
      </c>
      <c r="CJ119" s="3" t="e">
        <f t="shared" ca="1" si="234"/>
        <v>#N/A</v>
      </c>
      <c r="CK119" s="3" t="e">
        <f t="shared" ca="1" si="235"/>
        <v>#N/A</v>
      </c>
      <c r="CM119" s="3" t="e">
        <f t="shared" ca="1" si="236"/>
        <v>#N/A</v>
      </c>
      <c r="CN119" s="3">
        <f t="shared" ca="1" si="237"/>
        <v>0.31017369727047145</v>
      </c>
      <c r="CO119" s="3" t="e">
        <f t="shared" ca="1" si="238"/>
        <v>#N/A</v>
      </c>
      <c r="CP119" s="3" t="e">
        <f t="shared" ca="1" si="239"/>
        <v>#N/A</v>
      </c>
      <c r="CR119" s="5">
        <v>4.032</v>
      </c>
      <c r="CS119" s="5">
        <v>3.99</v>
      </c>
      <c r="CT119" s="11" t="e">
        <v>#N/A</v>
      </c>
      <c r="CU119" s="11" t="e">
        <v>#N/A</v>
      </c>
    </row>
    <row r="120" spans="1:99" s="5" customFormat="1" x14ac:dyDescent="0.35">
      <c r="A120" s="4" t="s">
        <v>99</v>
      </c>
      <c r="B120" s="4">
        <v>6.083333333333333</v>
      </c>
      <c r="C120" s="4" t="s">
        <v>168</v>
      </c>
      <c r="D120" s="4" t="s">
        <v>404</v>
      </c>
      <c r="E120" s="3"/>
      <c r="F120" s="5">
        <v>4.0090000000000003</v>
      </c>
      <c r="G120" s="5">
        <v>4.016</v>
      </c>
      <c r="H120" s="5">
        <v>4.0149999999999997</v>
      </c>
      <c r="I120" s="5">
        <v>4.01</v>
      </c>
      <c r="K120" s="3">
        <f t="shared" ca="1" si="180"/>
        <v>0.99351459216762283</v>
      </c>
      <c r="L120" s="3">
        <f t="shared" ca="1" si="181"/>
        <v>0.99601593625498008</v>
      </c>
      <c r="M120" s="3">
        <f t="shared" ca="1" si="182"/>
        <v>0.9962640099626402</v>
      </c>
      <c r="N120" s="3">
        <f t="shared" ca="1" si="183"/>
        <v>0.99725685785536167</v>
      </c>
      <c r="P120" s="3">
        <f t="shared" ca="1" si="184"/>
        <v>0.93514594347228963</v>
      </c>
      <c r="Q120" s="3">
        <f t="shared" ca="1" si="185"/>
        <v>0.94621509672569271</v>
      </c>
      <c r="R120" s="3">
        <f t="shared" ca="1" si="186"/>
        <v>0.86699875806960491</v>
      </c>
      <c r="S120" s="3">
        <f t="shared" ca="1" si="187"/>
        <v>0.91446376500878845</v>
      </c>
      <c r="U120" s="3">
        <f t="shared" ca="1" si="188"/>
        <v>1.2471938139186829</v>
      </c>
      <c r="V120" s="3">
        <f t="shared" ca="1" si="189"/>
        <v>1.7430278884462151</v>
      </c>
      <c r="W120" s="3">
        <f t="shared" ca="1" si="190"/>
        <v>2.7397260273972606</v>
      </c>
      <c r="X120" s="3">
        <f t="shared" ca="1" si="191"/>
        <v>2.2443890274314215</v>
      </c>
      <c r="Z120" s="3">
        <f t="shared" ca="1" si="192"/>
        <v>0.99351459216762283</v>
      </c>
      <c r="AA120" s="3">
        <f t="shared" ca="1" si="193"/>
        <v>0.99601593625498008</v>
      </c>
      <c r="AB120" s="3">
        <f t="shared" ca="1" si="194"/>
        <v>0.91731008717310092</v>
      </c>
      <c r="AC120" s="3">
        <f t="shared" ca="1" si="195"/>
        <v>0.90997506234413972</v>
      </c>
      <c r="AE120" s="3">
        <f t="shared" ca="1" si="196"/>
        <v>0.93514594347228963</v>
      </c>
      <c r="AF120" s="3">
        <f t="shared" ca="1" si="197"/>
        <v>0.94621509672569271</v>
      </c>
      <c r="AG120" s="3">
        <f t="shared" ca="1" si="198"/>
        <v>0.82540473486685373</v>
      </c>
      <c r="AH120" s="3">
        <f t="shared" ca="1" si="199"/>
        <v>0.85610965838158815</v>
      </c>
      <c r="AJ120" s="3">
        <f t="shared" ca="1" si="200"/>
        <v>1.2471938139186829</v>
      </c>
      <c r="AK120" s="3">
        <f t="shared" ca="1" si="201"/>
        <v>1.7430278884462151</v>
      </c>
      <c r="AL120" s="3">
        <f t="shared" ca="1" si="202"/>
        <v>2.4906600249066004</v>
      </c>
      <c r="AM120" s="3">
        <f t="shared" ca="1" si="203"/>
        <v>1.9950124688279303</v>
      </c>
      <c r="AO120" s="3">
        <f t="shared" ca="1" si="204"/>
        <v>0.24943876278373658</v>
      </c>
      <c r="AP120" s="3">
        <f t="shared" ca="1" si="205"/>
        <v>0.24900398406374502</v>
      </c>
      <c r="AQ120" s="3">
        <f t="shared" ca="1" si="206"/>
        <v>0.4981320049813201</v>
      </c>
      <c r="AR120" s="3">
        <f t="shared" ca="1" si="207"/>
        <v>0.49875311720698257</v>
      </c>
      <c r="AT120" s="5">
        <v>4.5000001788139343E-2</v>
      </c>
      <c r="AU120" s="5">
        <v>4.999999888241291E-3</v>
      </c>
      <c r="AV120" s="5">
        <v>0.42500001192092896</v>
      </c>
      <c r="AW120" s="5">
        <v>0</v>
      </c>
      <c r="AY120" s="3">
        <f t="shared" ca="1" si="208"/>
        <v>0.29109503616862054</v>
      </c>
      <c r="AZ120" s="3">
        <f t="shared" ca="1" si="209"/>
        <v>0.25273904382470108</v>
      </c>
      <c r="BA120" s="3">
        <f t="shared" ca="1" si="210"/>
        <v>0.23262764632627647</v>
      </c>
      <c r="BB120" s="3">
        <f t="shared" ca="1" si="211"/>
        <v>0.10798004987531185</v>
      </c>
      <c r="BD120" s="3">
        <f t="shared" ca="1" si="212"/>
        <v>0.29508604852301007</v>
      </c>
      <c r="BE120" s="3">
        <f t="shared" ca="1" si="213"/>
        <v>9.9601558005192367E-2</v>
      </c>
      <c r="BF120" s="3">
        <f t="shared" ca="1" si="214"/>
        <v>0.19900374216576147</v>
      </c>
      <c r="BG120" s="3">
        <f t="shared" ca="1" si="215"/>
        <v>0</v>
      </c>
      <c r="BI120" s="3">
        <f t="shared" ca="1" si="216"/>
        <v>0.49887752556747317</v>
      </c>
      <c r="BJ120" s="3">
        <f t="shared" ca="1" si="217"/>
        <v>0.49800796812749004</v>
      </c>
      <c r="BK120" s="3">
        <f t="shared" ca="1" si="218"/>
        <v>0.74719800747198017</v>
      </c>
      <c r="BL120" s="3">
        <f t="shared" ca="1" si="219"/>
        <v>0</v>
      </c>
      <c r="BN120" s="3">
        <f t="shared" ca="1" si="220"/>
        <v>0.49887752556747317</v>
      </c>
      <c r="BO120" s="3">
        <f t="shared" ca="1" si="221"/>
        <v>0.99601593625498008</v>
      </c>
      <c r="BP120" s="3">
        <f t="shared" ca="1" si="222"/>
        <v>1.2453300124533002</v>
      </c>
      <c r="BQ120" s="3">
        <f t="shared" ca="1" si="223"/>
        <v>0.74812967581047385</v>
      </c>
      <c r="BS120" s="5">
        <v>0.92799997329711914</v>
      </c>
      <c r="BT120" s="5">
        <v>1.6549999713897705</v>
      </c>
      <c r="BU120" s="5">
        <v>0.42500001192092896</v>
      </c>
      <c r="BV120" s="5">
        <v>4.01</v>
      </c>
      <c r="BX120" s="3">
        <f t="shared" ca="1" si="224"/>
        <v>2.0952856073833889E-2</v>
      </c>
      <c r="BY120" s="3">
        <f t="shared" ca="1" si="225"/>
        <v>3.7350597609561845E-2</v>
      </c>
      <c r="BZ120" s="3">
        <f t="shared" ca="1" si="226"/>
        <v>0</v>
      </c>
      <c r="CA120" s="3">
        <f t="shared" ca="1" si="227"/>
        <v>0</v>
      </c>
      <c r="CC120" s="3">
        <f t="shared" ca="1" si="228"/>
        <v>0</v>
      </c>
      <c r="CD120" s="3">
        <f t="shared" ca="1" si="229"/>
        <v>0</v>
      </c>
      <c r="CE120" s="3">
        <f t="shared" ca="1" si="230"/>
        <v>0</v>
      </c>
      <c r="CF120" s="3">
        <f t="shared" ca="1" si="231"/>
        <v>0</v>
      </c>
      <c r="CH120" s="3">
        <f t="shared" ca="1" si="232"/>
        <v>0</v>
      </c>
      <c r="CI120" s="3">
        <f t="shared" ca="1" si="233"/>
        <v>0</v>
      </c>
      <c r="CJ120" s="3">
        <f t="shared" ca="1" si="234"/>
        <v>0</v>
      </c>
      <c r="CK120" s="3">
        <f t="shared" ca="1" si="235"/>
        <v>0</v>
      </c>
      <c r="CM120" s="3">
        <f t="shared" ca="1" si="236"/>
        <v>0.74831628835120967</v>
      </c>
      <c r="CN120" s="3">
        <f t="shared" ca="1" si="237"/>
        <v>0.24900398406374502</v>
      </c>
      <c r="CO120" s="3">
        <f t="shared" ca="1" si="238"/>
        <v>0.24906600249066005</v>
      </c>
      <c r="CP120" s="3">
        <f t="shared" ca="1" si="239"/>
        <v>0</v>
      </c>
      <c r="CR120" s="5">
        <v>4.0090000000000003</v>
      </c>
      <c r="CS120" s="5">
        <v>4.016</v>
      </c>
      <c r="CT120" s="5">
        <v>4.0149999999999997</v>
      </c>
      <c r="CU120" s="5">
        <v>4.01</v>
      </c>
    </row>
    <row r="121" spans="1:99" s="5" customFormat="1" x14ac:dyDescent="0.35">
      <c r="A121" s="4" t="s">
        <v>140</v>
      </c>
      <c r="B121" s="4">
        <v>6.083333333333333</v>
      </c>
      <c r="C121" s="4" t="s">
        <v>168</v>
      </c>
      <c r="D121" s="4" t="s">
        <v>404</v>
      </c>
      <c r="E121" s="3"/>
      <c r="F121" s="11" t="e">
        <v>#N/A</v>
      </c>
      <c r="G121" s="11" t="e">
        <v>#N/A</v>
      </c>
      <c r="H121" s="5" t="e">
        <v>#N/A</v>
      </c>
      <c r="I121" s="11" t="e">
        <v>#N/A</v>
      </c>
      <c r="K121" s="3" t="e">
        <f t="shared" ca="1" si="180"/>
        <v>#N/A</v>
      </c>
      <c r="L121" s="3" t="e">
        <f t="shared" ca="1" si="181"/>
        <v>#N/A</v>
      </c>
      <c r="M121" s="3" t="e">
        <f t="shared" ca="1" si="182"/>
        <v>#N/A</v>
      </c>
      <c r="N121" s="3" t="e">
        <f t="shared" ca="1" si="183"/>
        <v>#N/A</v>
      </c>
      <c r="P121" s="3" t="e">
        <f t="shared" ca="1" si="184"/>
        <v>#N/A</v>
      </c>
      <c r="Q121" s="3" t="e">
        <f t="shared" ca="1" si="185"/>
        <v>#N/A</v>
      </c>
      <c r="R121" s="3" t="e">
        <f t="shared" ca="1" si="186"/>
        <v>#N/A</v>
      </c>
      <c r="S121" s="3" t="e">
        <f t="shared" ca="1" si="187"/>
        <v>#N/A</v>
      </c>
      <c r="U121" s="3" t="e">
        <f t="shared" ca="1" si="188"/>
        <v>#N/A</v>
      </c>
      <c r="V121" s="3" t="e">
        <f t="shared" ca="1" si="189"/>
        <v>#N/A</v>
      </c>
      <c r="W121" s="3" t="e">
        <f t="shared" ca="1" si="190"/>
        <v>#N/A</v>
      </c>
      <c r="X121" s="3" t="e">
        <f t="shared" ca="1" si="191"/>
        <v>#N/A</v>
      </c>
      <c r="Z121" s="3" t="e">
        <f t="shared" ca="1" si="192"/>
        <v>#N/A</v>
      </c>
      <c r="AA121" s="3" t="e">
        <f t="shared" ca="1" si="193"/>
        <v>#N/A</v>
      </c>
      <c r="AB121" s="3" t="e">
        <f t="shared" ca="1" si="194"/>
        <v>#N/A</v>
      </c>
      <c r="AC121" s="3" t="e">
        <f t="shared" ca="1" si="195"/>
        <v>#N/A</v>
      </c>
      <c r="AE121" s="3" t="e">
        <f t="shared" ca="1" si="196"/>
        <v>#N/A</v>
      </c>
      <c r="AF121" s="3" t="e">
        <f t="shared" ca="1" si="197"/>
        <v>#N/A</v>
      </c>
      <c r="AG121" s="3" t="e">
        <f t="shared" ca="1" si="198"/>
        <v>#N/A</v>
      </c>
      <c r="AH121" s="3" t="e">
        <f t="shared" ca="1" si="199"/>
        <v>#N/A</v>
      </c>
      <c r="AJ121" s="3" t="e">
        <f t="shared" ca="1" si="200"/>
        <v>#N/A</v>
      </c>
      <c r="AK121" s="3" t="e">
        <f t="shared" ca="1" si="201"/>
        <v>#N/A</v>
      </c>
      <c r="AL121" s="3" t="e">
        <f t="shared" ca="1" si="202"/>
        <v>#N/A</v>
      </c>
      <c r="AM121" s="3" t="e">
        <f t="shared" ca="1" si="203"/>
        <v>#N/A</v>
      </c>
      <c r="AO121" s="3" t="e">
        <f t="shared" ca="1" si="204"/>
        <v>#N/A</v>
      </c>
      <c r="AP121" s="3" t="e">
        <f t="shared" ca="1" si="205"/>
        <v>#N/A</v>
      </c>
      <c r="AQ121" s="3" t="e">
        <f t="shared" ca="1" si="206"/>
        <v>#N/A</v>
      </c>
      <c r="AR121" s="3" t="e">
        <f t="shared" ca="1" si="207"/>
        <v>#N/A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Y121" s="3" t="e">
        <f t="shared" ca="1" si="208"/>
        <v>#N/A</v>
      </c>
      <c r="AZ121" s="3" t="e">
        <f t="shared" ca="1" si="209"/>
        <v>#N/A</v>
      </c>
      <c r="BA121" s="3" t="e">
        <f t="shared" ca="1" si="210"/>
        <v>#N/A</v>
      </c>
      <c r="BB121" s="3" t="e">
        <f t="shared" ca="1" si="211"/>
        <v>#N/A</v>
      </c>
      <c r="BD121" s="3" t="e">
        <f t="shared" ca="1" si="212"/>
        <v>#N/A</v>
      </c>
      <c r="BE121" s="3" t="e">
        <f t="shared" ca="1" si="213"/>
        <v>#N/A</v>
      </c>
      <c r="BF121" s="3" t="e">
        <f t="shared" ca="1" si="214"/>
        <v>#N/A</v>
      </c>
      <c r="BG121" s="3" t="e">
        <f t="shared" ca="1" si="215"/>
        <v>#N/A</v>
      </c>
      <c r="BI121" s="3" t="e">
        <f t="shared" ca="1" si="216"/>
        <v>#N/A</v>
      </c>
      <c r="BJ121" s="3" t="e">
        <f t="shared" ca="1" si="217"/>
        <v>#N/A</v>
      </c>
      <c r="BK121" s="3" t="e">
        <f t="shared" ca="1" si="218"/>
        <v>#N/A</v>
      </c>
      <c r="BL121" s="3" t="e">
        <f t="shared" ca="1" si="219"/>
        <v>#N/A</v>
      </c>
      <c r="BN121" s="3" t="e">
        <f t="shared" ca="1" si="220"/>
        <v>#N/A</v>
      </c>
      <c r="BO121" s="3" t="e">
        <f t="shared" ca="1" si="221"/>
        <v>#N/A</v>
      </c>
      <c r="BP121" s="3" t="e">
        <f t="shared" ca="1" si="222"/>
        <v>#N/A</v>
      </c>
      <c r="BQ121" s="3" t="e">
        <f t="shared" ca="1" si="223"/>
        <v>#N/A</v>
      </c>
      <c r="BS121" s="11" t="e">
        <v>#N/A</v>
      </c>
      <c r="BT121" s="11" t="e">
        <v>#N/A</v>
      </c>
      <c r="BU121" s="11" t="e">
        <v>#N/A</v>
      </c>
      <c r="BV121" s="11" t="e">
        <v>#N/A</v>
      </c>
      <c r="BX121" s="3" t="e">
        <f t="shared" ca="1" si="224"/>
        <v>#N/A</v>
      </c>
      <c r="BY121" s="3" t="e">
        <f t="shared" ca="1" si="225"/>
        <v>#N/A</v>
      </c>
      <c r="BZ121" s="3" t="e">
        <f t="shared" ca="1" si="226"/>
        <v>#N/A</v>
      </c>
      <c r="CA121" s="3" t="e">
        <f t="shared" ca="1" si="227"/>
        <v>#N/A</v>
      </c>
      <c r="CC121" s="3" t="e">
        <f t="shared" ca="1" si="228"/>
        <v>#N/A</v>
      </c>
      <c r="CD121" s="3" t="e">
        <f t="shared" ca="1" si="229"/>
        <v>#N/A</v>
      </c>
      <c r="CE121" s="3" t="e">
        <f t="shared" ca="1" si="230"/>
        <v>#N/A</v>
      </c>
      <c r="CF121" s="3" t="e">
        <f t="shared" ca="1" si="231"/>
        <v>#N/A</v>
      </c>
      <c r="CH121" s="3" t="e">
        <f t="shared" ca="1" si="232"/>
        <v>#N/A</v>
      </c>
      <c r="CI121" s="3" t="e">
        <f t="shared" ca="1" si="233"/>
        <v>#N/A</v>
      </c>
      <c r="CJ121" s="3" t="e">
        <f t="shared" ca="1" si="234"/>
        <v>#N/A</v>
      </c>
      <c r="CK121" s="3" t="e">
        <f t="shared" ca="1" si="235"/>
        <v>#N/A</v>
      </c>
      <c r="CM121" s="3" t="e">
        <f t="shared" ca="1" si="236"/>
        <v>#N/A</v>
      </c>
      <c r="CN121" s="3" t="e">
        <f t="shared" ca="1" si="237"/>
        <v>#N/A</v>
      </c>
      <c r="CO121" s="3" t="e">
        <f t="shared" ca="1" si="238"/>
        <v>#N/A</v>
      </c>
      <c r="CP121" s="3" t="e">
        <f t="shared" ca="1" si="239"/>
        <v>#N/A</v>
      </c>
      <c r="CR121" s="11" t="e">
        <v>#N/A</v>
      </c>
      <c r="CS121" s="11" t="e">
        <v>#N/A</v>
      </c>
      <c r="CT121" s="11" t="e">
        <v>#N/A</v>
      </c>
      <c r="CU121" s="11" t="e">
        <v>#N/A</v>
      </c>
    </row>
    <row r="122" spans="1:99" s="5" customFormat="1" x14ac:dyDescent="0.35">
      <c r="A122" s="4" t="s">
        <v>147</v>
      </c>
      <c r="B122" s="4">
        <v>6.083333333333333</v>
      </c>
      <c r="C122" s="4" t="s">
        <v>168</v>
      </c>
      <c r="D122" s="4" t="s">
        <v>404</v>
      </c>
      <c r="E122" s="3"/>
      <c r="F122" s="5">
        <v>4.0110000000000001</v>
      </c>
      <c r="G122" s="5">
        <v>4.016</v>
      </c>
      <c r="H122" s="5">
        <v>4.01</v>
      </c>
      <c r="I122" s="5">
        <v>4.0149999999999997</v>
      </c>
      <c r="K122" s="3">
        <f t="shared" ca="1" si="180"/>
        <v>0.99301919720767884</v>
      </c>
      <c r="L122" s="3">
        <f t="shared" ca="1" si="181"/>
        <v>0.99576693227091628</v>
      </c>
      <c r="M122" s="3">
        <f t="shared" ca="1" si="182"/>
        <v>0.99725685785536167</v>
      </c>
      <c r="N122" s="3">
        <f t="shared" ca="1" si="183"/>
        <v>0.99601494396014956</v>
      </c>
      <c r="P122" s="3">
        <f t="shared" ca="1" si="184"/>
        <v>0.95986040126568539</v>
      </c>
      <c r="Q122" s="3">
        <f t="shared" ca="1" si="185"/>
        <v>0.91757974309097246</v>
      </c>
      <c r="R122" s="3">
        <f t="shared" ca="1" si="186"/>
        <v>0.98079806379509393</v>
      </c>
      <c r="S122" s="3">
        <f t="shared" ca="1" si="187"/>
        <v>0.95442097337167264</v>
      </c>
      <c r="U122" s="3">
        <f t="shared" ca="1" si="188"/>
        <v>1.7452006980802792</v>
      </c>
      <c r="V122" s="3">
        <f t="shared" ca="1" si="189"/>
        <v>2.739043824701195</v>
      </c>
      <c r="W122" s="3">
        <f t="shared" ca="1" si="190"/>
        <v>1.2468827930174564</v>
      </c>
      <c r="X122" s="3">
        <f t="shared" ca="1" si="191"/>
        <v>1.9925280199252804</v>
      </c>
      <c r="Z122" s="3">
        <f t="shared" ca="1" si="192"/>
        <v>0.99301919720767884</v>
      </c>
      <c r="AA122" s="3">
        <f t="shared" ca="1" si="193"/>
        <v>0.97485059760956161</v>
      </c>
      <c r="AB122" s="3">
        <f t="shared" ca="1" si="194"/>
        <v>0.99725685785536167</v>
      </c>
      <c r="AC122" s="3">
        <f t="shared" ca="1" si="195"/>
        <v>0.99601494396014956</v>
      </c>
      <c r="AE122" s="3">
        <f t="shared" ca="1" si="196"/>
        <v>0.95986040126568539</v>
      </c>
      <c r="AF122" s="3">
        <f t="shared" ca="1" si="197"/>
        <v>0.91757974309097246</v>
      </c>
      <c r="AG122" s="3">
        <f t="shared" ca="1" si="198"/>
        <v>0.98079806379509393</v>
      </c>
      <c r="AH122" s="3">
        <f t="shared" ca="1" si="199"/>
        <v>0.95442097337167264</v>
      </c>
      <c r="AJ122" s="3">
        <f t="shared" ca="1" si="200"/>
        <v>1.7452006980802792</v>
      </c>
      <c r="AK122" s="3">
        <f t="shared" ca="1" si="201"/>
        <v>2.739043824701195</v>
      </c>
      <c r="AL122" s="3">
        <f t="shared" ca="1" si="202"/>
        <v>1.2468827930174564</v>
      </c>
      <c r="AM122" s="3">
        <f t="shared" ca="1" si="203"/>
        <v>1.9925280199252804</v>
      </c>
      <c r="AO122" s="3">
        <f t="shared" ca="1" si="204"/>
        <v>0.24931438544003989</v>
      </c>
      <c r="AP122" s="3">
        <f t="shared" ca="1" si="205"/>
        <v>0.74701195219123506</v>
      </c>
      <c r="AQ122" s="3">
        <f t="shared" ca="1" si="206"/>
        <v>0.24937655860349128</v>
      </c>
      <c r="AR122" s="3">
        <f t="shared" ca="1" si="207"/>
        <v>0.24906600249066005</v>
      </c>
      <c r="AT122" s="5">
        <v>1.4999999664723873E-2</v>
      </c>
      <c r="AU122" s="5">
        <v>1.0999999940395355E-2</v>
      </c>
      <c r="AV122" s="5">
        <v>7.0000002160668373E-3</v>
      </c>
      <c r="AW122" s="5">
        <v>6.0000000521540642E-3</v>
      </c>
      <c r="AY122" s="3">
        <f t="shared" ca="1" si="208"/>
        <v>0.13712291199202201</v>
      </c>
      <c r="AZ122" s="3">
        <f t="shared" ca="1" si="209"/>
        <v>0.35283864541832677</v>
      </c>
      <c r="BA122" s="3">
        <f t="shared" ca="1" si="210"/>
        <v>0.22019950124688281</v>
      </c>
      <c r="BB122" s="3">
        <f t="shared" ca="1" si="211"/>
        <v>0.17011207970112088</v>
      </c>
      <c r="BD122" s="3">
        <f t="shared" ca="1" si="212"/>
        <v>7.9032668030728601E-2</v>
      </c>
      <c r="BE122" s="3">
        <f t="shared" ca="1" si="213"/>
        <v>0.39890439683697615</v>
      </c>
      <c r="BF122" s="3">
        <f t="shared" ca="1" si="214"/>
        <v>3.7406507572925601E-2</v>
      </c>
      <c r="BG122" s="3">
        <f t="shared" ca="1" si="215"/>
        <v>0.17833122577643484</v>
      </c>
      <c r="BI122" s="3">
        <f t="shared" ca="1" si="216"/>
        <v>0.24931438544003989</v>
      </c>
      <c r="BJ122" s="3">
        <f t="shared" ca="1" si="217"/>
        <v>1.2450199203187251</v>
      </c>
      <c r="BK122" s="3">
        <f t="shared" ca="1" si="218"/>
        <v>0.24937655860349128</v>
      </c>
      <c r="BL122" s="3">
        <f t="shared" ca="1" si="219"/>
        <v>0.74719800747198017</v>
      </c>
      <c r="BN122" s="3">
        <f t="shared" ca="1" si="220"/>
        <v>0.99725754176015957</v>
      </c>
      <c r="BO122" s="3">
        <f t="shared" ca="1" si="221"/>
        <v>1.2450199203187251</v>
      </c>
      <c r="BP122" s="3">
        <f t="shared" ca="1" si="222"/>
        <v>0.49875311720698257</v>
      </c>
      <c r="BQ122" s="3">
        <f t="shared" ca="1" si="223"/>
        <v>0.4981320049813201</v>
      </c>
      <c r="BS122" s="5">
        <v>0.31499999761581421</v>
      </c>
      <c r="BT122" s="5">
        <v>0.36100000143051147</v>
      </c>
      <c r="BU122" s="5">
        <v>3.8559999465942383</v>
      </c>
      <c r="BV122" s="5">
        <v>0.48899999260902405</v>
      </c>
      <c r="BX122" s="3">
        <f t="shared" ca="1" si="224"/>
        <v>0</v>
      </c>
      <c r="BY122" s="3">
        <f t="shared" ca="1" si="225"/>
        <v>8.2918326693227143E-2</v>
      </c>
      <c r="BZ122" s="3">
        <f t="shared" ca="1" si="226"/>
        <v>0</v>
      </c>
      <c r="CA122" s="3">
        <f t="shared" ca="1" si="227"/>
        <v>5.8032378580323785E-2</v>
      </c>
      <c r="CC122" s="3">
        <f t="shared" ca="1" si="228"/>
        <v>0</v>
      </c>
      <c r="CD122" s="3">
        <f t="shared" ca="1" si="229"/>
        <v>8.2918372287218309E-2</v>
      </c>
      <c r="CE122" s="3">
        <f t="shared" ca="1" si="230"/>
        <v>0</v>
      </c>
      <c r="CF122" s="3">
        <f t="shared" ca="1" si="231"/>
        <v>0</v>
      </c>
      <c r="CH122" s="3">
        <f t="shared" ca="1" si="232"/>
        <v>0</v>
      </c>
      <c r="CI122" s="3">
        <f t="shared" ca="1" si="233"/>
        <v>0.24900398406374502</v>
      </c>
      <c r="CJ122" s="3">
        <f t="shared" ca="1" si="234"/>
        <v>0</v>
      </c>
      <c r="CK122" s="3">
        <f t="shared" ca="1" si="235"/>
        <v>0</v>
      </c>
      <c r="CM122" s="3">
        <f t="shared" ca="1" si="236"/>
        <v>0</v>
      </c>
      <c r="CN122" s="3">
        <f t="shared" ca="1" si="237"/>
        <v>0.24900398406374502</v>
      </c>
      <c r="CO122" s="3">
        <f t="shared" ca="1" si="238"/>
        <v>0</v>
      </c>
      <c r="CP122" s="3">
        <f t="shared" ca="1" si="239"/>
        <v>0.24906600249066005</v>
      </c>
      <c r="CR122" s="5">
        <v>4.0110000000000001</v>
      </c>
      <c r="CS122" s="5">
        <v>3.3269999027252197</v>
      </c>
      <c r="CT122" s="5">
        <v>4.01</v>
      </c>
      <c r="CU122" s="5">
        <v>4.0149999999999997</v>
      </c>
    </row>
    <row r="123" spans="1:99" s="5" customFormat="1" x14ac:dyDescent="0.35">
      <c r="A123" s="4" t="s">
        <v>159</v>
      </c>
      <c r="B123" s="4">
        <v>6.083333333333333</v>
      </c>
      <c r="C123" s="4" t="s">
        <v>168</v>
      </c>
      <c r="D123" s="4" t="s">
        <v>404</v>
      </c>
      <c r="E123" s="3"/>
      <c r="F123" s="5" t="e">
        <v>#N/A</v>
      </c>
      <c r="G123" s="11" t="e">
        <v>#N/A</v>
      </c>
      <c r="H123" s="11" t="e">
        <v>#N/A</v>
      </c>
      <c r="I123" s="5">
        <v>4.0110000000000001</v>
      </c>
      <c r="K123" s="3" t="e">
        <f t="shared" ca="1" si="180"/>
        <v>#N/A</v>
      </c>
      <c r="L123" s="3" t="e">
        <f t="shared" ca="1" si="181"/>
        <v>#N/A</v>
      </c>
      <c r="M123" s="3" t="e">
        <f t="shared" ca="1" si="182"/>
        <v>#N/A</v>
      </c>
      <c r="N123" s="3">
        <f t="shared" ca="1" si="183"/>
        <v>0.85963600099725745</v>
      </c>
      <c r="P123" s="3" t="e">
        <f t="shared" ca="1" si="184"/>
        <v>#N/A</v>
      </c>
      <c r="Q123" s="3" t="e">
        <f t="shared" ca="1" si="185"/>
        <v>#N/A</v>
      </c>
      <c r="R123" s="3" t="e">
        <f t="shared" ca="1" si="186"/>
        <v>#N/A</v>
      </c>
      <c r="S123" s="3">
        <f t="shared" ca="1" si="187"/>
        <v>0.81077037503136207</v>
      </c>
      <c r="U123" s="3" t="e">
        <f t="shared" ca="1" si="188"/>
        <v>#N/A</v>
      </c>
      <c r="V123" s="3" t="e">
        <f t="shared" ca="1" si="189"/>
        <v>#N/A</v>
      </c>
      <c r="W123" s="3" t="e">
        <f t="shared" ca="1" si="190"/>
        <v>#N/A</v>
      </c>
      <c r="X123" s="3">
        <f t="shared" ca="1" si="191"/>
        <v>2.7424582398404387</v>
      </c>
      <c r="Z123" s="3" t="e">
        <f t="shared" ca="1" si="192"/>
        <v>#N/A</v>
      </c>
      <c r="AA123" s="3" t="e">
        <f t="shared" ca="1" si="193"/>
        <v>#N/A</v>
      </c>
      <c r="AB123" s="3" t="e">
        <f t="shared" ca="1" si="194"/>
        <v>#N/A</v>
      </c>
      <c r="AC123" s="3">
        <f t="shared" ca="1" si="195"/>
        <v>0.88057840937422083</v>
      </c>
      <c r="AE123" s="3" t="e">
        <f t="shared" ca="1" si="196"/>
        <v>#N/A</v>
      </c>
      <c r="AF123" s="3" t="e">
        <f t="shared" ca="1" si="197"/>
        <v>#N/A</v>
      </c>
      <c r="AG123" s="3" t="e">
        <f t="shared" ca="1" si="198"/>
        <v>#N/A</v>
      </c>
      <c r="AH123" s="3">
        <f t="shared" ca="1" si="199"/>
        <v>0.81077037503136207</v>
      </c>
      <c r="AJ123" s="3" t="e">
        <f t="shared" ca="1" si="200"/>
        <v>#N/A</v>
      </c>
      <c r="AK123" s="3" t="e">
        <f t="shared" ca="1" si="201"/>
        <v>#N/A</v>
      </c>
      <c r="AL123" s="3" t="e">
        <f t="shared" ca="1" si="202"/>
        <v>#N/A</v>
      </c>
      <c r="AM123" s="3">
        <f t="shared" ca="1" si="203"/>
        <v>2.7424582398404387</v>
      </c>
      <c r="AO123" s="3" t="e">
        <f t="shared" ca="1" si="204"/>
        <v>#N/A</v>
      </c>
      <c r="AP123" s="3" t="e">
        <f t="shared" ca="1" si="205"/>
        <v>#N/A</v>
      </c>
      <c r="AQ123" s="3" t="e">
        <f t="shared" ca="1" si="206"/>
        <v>#N/A</v>
      </c>
      <c r="AR123" s="3">
        <f t="shared" ca="1" si="207"/>
        <v>0.49862877088007979</v>
      </c>
      <c r="AT123" s="5">
        <v>0.28999999165534973</v>
      </c>
      <c r="AU123" s="11" t="e">
        <v>#N/A</v>
      </c>
      <c r="AV123" s="11" t="e">
        <v>#N/A</v>
      </c>
      <c r="AW123" s="5">
        <v>0.40200001001358032</v>
      </c>
      <c r="AY123" s="3" t="e">
        <f t="shared" ca="1" si="208"/>
        <v>#N/A</v>
      </c>
      <c r="AZ123" s="3" t="e">
        <f t="shared" ca="1" si="209"/>
        <v>#N/A</v>
      </c>
      <c r="BA123" s="3" t="e">
        <f t="shared" ca="1" si="210"/>
        <v>#N/A</v>
      </c>
      <c r="BB123" s="3">
        <f t="shared" ca="1" si="211"/>
        <v>0</v>
      </c>
      <c r="BD123" s="3" t="e">
        <f t="shared" ca="1" si="212"/>
        <v>#N/A</v>
      </c>
      <c r="BE123" s="3" t="e">
        <f t="shared" ca="1" si="213"/>
        <v>#N/A</v>
      </c>
      <c r="BF123" s="3" t="e">
        <f t="shared" ca="1" si="214"/>
        <v>#N/A</v>
      </c>
      <c r="BG123" s="3">
        <f t="shared" ca="1" si="215"/>
        <v>0</v>
      </c>
      <c r="BI123" s="3" t="e">
        <f t="shared" ca="1" si="216"/>
        <v>#N/A</v>
      </c>
      <c r="BJ123" s="3" t="e">
        <f t="shared" ca="1" si="217"/>
        <v>#N/A</v>
      </c>
      <c r="BK123" s="3" t="e">
        <f t="shared" ca="1" si="218"/>
        <v>#N/A</v>
      </c>
      <c r="BL123" s="3">
        <f t="shared" ca="1" si="219"/>
        <v>0</v>
      </c>
      <c r="BN123" s="3" t="e">
        <f t="shared" ca="1" si="220"/>
        <v>#N/A</v>
      </c>
      <c r="BO123" s="3" t="e">
        <f t="shared" ca="1" si="221"/>
        <v>#N/A</v>
      </c>
      <c r="BP123" s="3" t="e">
        <f t="shared" ca="1" si="222"/>
        <v>#N/A</v>
      </c>
      <c r="BQ123" s="3">
        <f t="shared" ca="1" si="223"/>
        <v>0</v>
      </c>
      <c r="BS123" s="5">
        <v>0.72399997711181641</v>
      </c>
      <c r="BT123" s="11" t="e">
        <v>#N/A</v>
      </c>
      <c r="BU123" s="11" t="e">
        <v>#N/A</v>
      </c>
      <c r="BV123" s="5">
        <v>4.0110000000000001</v>
      </c>
      <c r="BX123" s="3" t="e">
        <f t="shared" ca="1" si="224"/>
        <v>#N/A</v>
      </c>
      <c r="BY123" s="3" t="e">
        <f t="shared" ca="1" si="225"/>
        <v>#N/A</v>
      </c>
      <c r="BZ123" s="3" t="e">
        <f t="shared" ca="1" si="226"/>
        <v>#N/A</v>
      </c>
      <c r="CA123" s="3">
        <f t="shared" ca="1" si="227"/>
        <v>0</v>
      </c>
      <c r="CC123" s="3" t="e">
        <f t="shared" ca="1" si="228"/>
        <v>#N/A</v>
      </c>
      <c r="CD123" s="3" t="e">
        <f t="shared" ca="1" si="229"/>
        <v>#N/A</v>
      </c>
      <c r="CE123" s="3" t="e">
        <f t="shared" ca="1" si="230"/>
        <v>#N/A</v>
      </c>
      <c r="CF123" s="3">
        <f t="shared" ca="1" si="231"/>
        <v>0</v>
      </c>
      <c r="CH123" s="3" t="e">
        <f t="shared" ca="1" si="232"/>
        <v>#N/A</v>
      </c>
      <c r="CI123" s="3" t="e">
        <f t="shared" ca="1" si="233"/>
        <v>#N/A</v>
      </c>
      <c r="CJ123" s="3" t="e">
        <f t="shared" ca="1" si="234"/>
        <v>#N/A</v>
      </c>
      <c r="CK123" s="3">
        <f t="shared" ca="1" si="235"/>
        <v>0</v>
      </c>
      <c r="CM123" s="3" t="e">
        <f t="shared" ca="1" si="236"/>
        <v>#N/A</v>
      </c>
      <c r="CN123" s="3" t="e">
        <f t="shared" ca="1" si="237"/>
        <v>#N/A</v>
      </c>
      <c r="CO123" s="3" t="e">
        <f t="shared" ca="1" si="238"/>
        <v>#N/A</v>
      </c>
      <c r="CP123" s="3">
        <f t="shared" ca="1" si="239"/>
        <v>0</v>
      </c>
      <c r="CR123" s="5">
        <v>3.872999906539917</v>
      </c>
      <c r="CS123" s="11" t="e">
        <v>#N/A</v>
      </c>
      <c r="CT123" s="11" t="e">
        <v>#N/A</v>
      </c>
      <c r="CU123" s="5">
        <v>4.0110000000000001</v>
      </c>
    </row>
    <row r="124" spans="1:99" s="5" customFormat="1" x14ac:dyDescent="0.35">
      <c r="A124" s="4" t="s">
        <v>136</v>
      </c>
      <c r="B124" s="4">
        <v>6.166666666666667</v>
      </c>
      <c r="C124" s="4" t="s">
        <v>168</v>
      </c>
      <c r="D124" s="4" t="s">
        <v>404</v>
      </c>
      <c r="E124" s="3"/>
      <c r="F124" s="5" t="e">
        <v>#N/A</v>
      </c>
      <c r="G124" s="5" t="e">
        <v>#N/A</v>
      </c>
      <c r="H124" s="5" t="e">
        <v>#N/A</v>
      </c>
      <c r="I124" s="5" t="e">
        <v>#N/A</v>
      </c>
      <c r="K124" s="3" t="e">
        <f t="shared" ca="1" si="180"/>
        <v>#N/A</v>
      </c>
      <c r="L124" s="3" t="e">
        <f t="shared" ca="1" si="181"/>
        <v>#N/A</v>
      </c>
      <c r="M124" s="3" t="e">
        <f t="shared" ca="1" si="182"/>
        <v>#N/A</v>
      </c>
      <c r="N124" s="3" t="e">
        <f t="shared" ca="1" si="183"/>
        <v>#N/A</v>
      </c>
      <c r="P124" s="3" t="e">
        <f t="shared" ca="1" si="184"/>
        <v>#N/A</v>
      </c>
      <c r="Q124" s="3" t="e">
        <f t="shared" ca="1" si="185"/>
        <v>#N/A</v>
      </c>
      <c r="R124" s="3" t="e">
        <f t="shared" ca="1" si="186"/>
        <v>#N/A</v>
      </c>
      <c r="S124" s="3" t="e">
        <f t="shared" ca="1" si="187"/>
        <v>#N/A</v>
      </c>
      <c r="U124" s="3" t="e">
        <f t="shared" ca="1" si="188"/>
        <v>#N/A</v>
      </c>
      <c r="V124" s="3" t="e">
        <f t="shared" ca="1" si="189"/>
        <v>#N/A</v>
      </c>
      <c r="W124" s="3" t="e">
        <f t="shared" ca="1" si="190"/>
        <v>#N/A</v>
      </c>
      <c r="X124" s="3" t="e">
        <f t="shared" ca="1" si="191"/>
        <v>#N/A</v>
      </c>
      <c r="Z124" s="3" t="e">
        <f t="shared" ca="1" si="192"/>
        <v>#N/A</v>
      </c>
      <c r="AA124" s="3" t="e">
        <f t="shared" ca="1" si="193"/>
        <v>#N/A</v>
      </c>
      <c r="AB124" s="3" t="e">
        <f t="shared" ca="1" si="194"/>
        <v>#N/A</v>
      </c>
      <c r="AC124" s="3" t="e">
        <f t="shared" ca="1" si="195"/>
        <v>#N/A</v>
      </c>
      <c r="AE124" s="3" t="e">
        <f t="shared" ca="1" si="196"/>
        <v>#N/A</v>
      </c>
      <c r="AF124" s="3" t="e">
        <f t="shared" ca="1" si="197"/>
        <v>#N/A</v>
      </c>
      <c r="AG124" s="3" t="e">
        <f t="shared" ca="1" si="198"/>
        <v>#N/A</v>
      </c>
      <c r="AH124" s="3" t="e">
        <f t="shared" ca="1" si="199"/>
        <v>#N/A</v>
      </c>
      <c r="AJ124" s="3" t="e">
        <f t="shared" ca="1" si="200"/>
        <v>#N/A</v>
      </c>
      <c r="AK124" s="3" t="e">
        <f t="shared" ca="1" si="201"/>
        <v>#N/A</v>
      </c>
      <c r="AL124" s="3" t="e">
        <f t="shared" ca="1" si="202"/>
        <v>#N/A</v>
      </c>
      <c r="AM124" s="3" t="e">
        <f t="shared" ca="1" si="203"/>
        <v>#N/A</v>
      </c>
      <c r="AO124" s="3" t="e">
        <f t="shared" ca="1" si="204"/>
        <v>#N/A</v>
      </c>
      <c r="AP124" s="3" t="e">
        <f t="shared" ca="1" si="205"/>
        <v>#N/A</v>
      </c>
      <c r="AQ124" s="3" t="e">
        <f t="shared" ca="1" si="206"/>
        <v>#N/A</v>
      </c>
      <c r="AR124" s="3" t="e">
        <f t="shared" ca="1" si="207"/>
        <v>#N/A</v>
      </c>
      <c r="AT124" s="11" t="e">
        <v>#N/A</v>
      </c>
      <c r="AU124" s="11" t="e">
        <v>#N/A</v>
      </c>
      <c r="AV124" s="11" t="e">
        <v>#N/A</v>
      </c>
      <c r="AW124" s="5">
        <v>4.0149999999999997</v>
      </c>
      <c r="AY124" s="3" t="e">
        <f t="shared" ca="1" si="208"/>
        <v>#N/A</v>
      </c>
      <c r="AZ124" s="3" t="e">
        <f t="shared" ca="1" si="209"/>
        <v>#N/A</v>
      </c>
      <c r="BA124" s="3" t="e">
        <f t="shared" ca="1" si="210"/>
        <v>#N/A</v>
      </c>
      <c r="BB124" s="3" t="e">
        <f t="shared" ca="1" si="211"/>
        <v>#N/A</v>
      </c>
      <c r="BD124" s="3" t="e">
        <f t="shared" ca="1" si="212"/>
        <v>#N/A</v>
      </c>
      <c r="BE124" s="3" t="e">
        <f t="shared" ca="1" si="213"/>
        <v>#N/A</v>
      </c>
      <c r="BF124" s="3" t="e">
        <f t="shared" ca="1" si="214"/>
        <v>#N/A</v>
      </c>
      <c r="BG124" s="3" t="e">
        <f t="shared" ca="1" si="215"/>
        <v>#N/A</v>
      </c>
      <c r="BI124" s="3" t="e">
        <f t="shared" ca="1" si="216"/>
        <v>#N/A</v>
      </c>
      <c r="BJ124" s="3" t="e">
        <f t="shared" ca="1" si="217"/>
        <v>#N/A</v>
      </c>
      <c r="BK124" s="3" t="e">
        <f t="shared" ca="1" si="218"/>
        <v>#N/A</v>
      </c>
      <c r="BL124" s="3" t="e">
        <f t="shared" ca="1" si="219"/>
        <v>#N/A</v>
      </c>
      <c r="BN124" s="3" t="e">
        <f t="shared" ca="1" si="220"/>
        <v>#N/A</v>
      </c>
      <c r="BO124" s="3" t="e">
        <f t="shared" ca="1" si="221"/>
        <v>#N/A</v>
      </c>
      <c r="BP124" s="3" t="e">
        <f t="shared" ca="1" si="222"/>
        <v>#N/A</v>
      </c>
      <c r="BQ124" s="3" t="e">
        <f t="shared" ca="1" si="223"/>
        <v>#N/A</v>
      </c>
      <c r="BS124" s="11" t="e">
        <v>#N/A</v>
      </c>
      <c r="BT124" s="11" t="e">
        <v>#N/A</v>
      </c>
      <c r="BU124" s="11" t="e">
        <v>#N/A</v>
      </c>
      <c r="BV124" s="5">
        <v>4.0149999999999997</v>
      </c>
      <c r="BX124" s="3" t="e">
        <f t="shared" ca="1" si="224"/>
        <v>#N/A</v>
      </c>
      <c r="BY124" s="3" t="e">
        <f t="shared" ca="1" si="225"/>
        <v>#N/A</v>
      </c>
      <c r="BZ124" s="3" t="e">
        <f t="shared" ca="1" si="226"/>
        <v>#N/A</v>
      </c>
      <c r="CA124" s="3" t="e">
        <f t="shared" ca="1" si="227"/>
        <v>#N/A</v>
      </c>
      <c r="CC124" s="3" t="e">
        <f t="shared" ca="1" si="228"/>
        <v>#N/A</v>
      </c>
      <c r="CD124" s="3" t="e">
        <f t="shared" ca="1" si="229"/>
        <v>#N/A</v>
      </c>
      <c r="CE124" s="3" t="e">
        <f t="shared" ca="1" si="230"/>
        <v>#N/A</v>
      </c>
      <c r="CF124" s="3" t="e">
        <f t="shared" ca="1" si="231"/>
        <v>#N/A</v>
      </c>
      <c r="CH124" s="3" t="e">
        <f t="shared" ca="1" si="232"/>
        <v>#N/A</v>
      </c>
      <c r="CI124" s="3" t="e">
        <f t="shared" ca="1" si="233"/>
        <v>#N/A</v>
      </c>
      <c r="CJ124" s="3" t="e">
        <f t="shared" ca="1" si="234"/>
        <v>#N/A</v>
      </c>
      <c r="CK124" s="3" t="e">
        <f t="shared" ca="1" si="235"/>
        <v>#N/A</v>
      </c>
      <c r="CM124" s="3" t="e">
        <f t="shared" ca="1" si="236"/>
        <v>#N/A</v>
      </c>
      <c r="CN124" s="3" t="e">
        <f t="shared" ca="1" si="237"/>
        <v>#N/A</v>
      </c>
      <c r="CO124" s="3" t="e">
        <f t="shared" ca="1" si="238"/>
        <v>#N/A</v>
      </c>
      <c r="CP124" s="3" t="e">
        <f t="shared" ca="1" si="239"/>
        <v>#N/A</v>
      </c>
      <c r="CR124" s="11" t="e">
        <v>#N/A</v>
      </c>
      <c r="CS124" s="11" t="e">
        <v>#N/A</v>
      </c>
      <c r="CT124" s="11" t="e">
        <v>#N/A</v>
      </c>
      <c r="CU124" s="5">
        <v>4.0149999999999997</v>
      </c>
    </row>
    <row r="125" spans="1:99" s="5" customFormat="1" x14ac:dyDescent="0.35">
      <c r="A125" s="4" t="s">
        <v>139</v>
      </c>
      <c r="B125" s="4">
        <v>6.333333333333333</v>
      </c>
      <c r="C125" s="4" t="s">
        <v>168</v>
      </c>
      <c r="D125" s="4" t="s">
        <v>404</v>
      </c>
      <c r="E125" s="3"/>
      <c r="F125" s="5" t="e">
        <v>#N/A</v>
      </c>
      <c r="G125" s="5">
        <v>4.0259999999999998</v>
      </c>
      <c r="H125" s="5">
        <v>4.0110000000000001</v>
      </c>
      <c r="I125" s="5">
        <v>3.0439999999999996</v>
      </c>
      <c r="K125" s="3" t="e">
        <f t="shared" ca="1" si="180"/>
        <v>#N/A</v>
      </c>
      <c r="L125" s="3">
        <f t="shared" ca="1" si="181"/>
        <v>0.97267759562841538</v>
      </c>
      <c r="M125" s="3">
        <f t="shared" ca="1" si="182"/>
        <v>0.9970082273747195</v>
      </c>
      <c r="N125" s="3">
        <f t="shared" ca="1" si="183"/>
        <v>0.99080157687253612</v>
      </c>
      <c r="P125" s="3" t="e">
        <f t="shared" ca="1" si="184"/>
        <v>#N/A</v>
      </c>
      <c r="Q125" s="3">
        <f t="shared" ca="1" si="185"/>
        <v>0.91455525629452794</v>
      </c>
      <c r="R125" s="3">
        <f t="shared" ca="1" si="186"/>
        <v>0.90177010441102812</v>
      </c>
      <c r="S125" s="3">
        <f t="shared" ca="1" si="187"/>
        <v>0.8814060884930498</v>
      </c>
      <c r="U125" s="3" t="e">
        <f t="shared" ca="1" si="188"/>
        <v>#N/A</v>
      </c>
      <c r="V125" s="3">
        <f t="shared" ca="1" si="189"/>
        <v>3.2290114257327374</v>
      </c>
      <c r="W125" s="3">
        <f t="shared" ca="1" si="190"/>
        <v>1.7452006980802792</v>
      </c>
      <c r="X125" s="3">
        <f t="shared" ca="1" si="191"/>
        <v>2.2996057818659663</v>
      </c>
      <c r="Z125" s="3" t="e">
        <f t="shared" ca="1" si="192"/>
        <v>#N/A</v>
      </c>
      <c r="AA125" s="3">
        <f t="shared" ca="1" si="193"/>
        <v>0.97267759562841538</v>
      </c>
      <c r="AB125" s="3">
        <f t="shared" ca="1" si="194"/>
        <v>0.88057840937422083</v>
      </c>
      <c r="AC125" s="3">
        <f t="shared" ca="1" si="195"/>
        <v>0.99080157687253612</v>
      </c>
      <c r="AE125" s="3" t="e">
        <f t="shared" ca="1" si="196"/>
        <v>#N/A</v>
      </c>
      <c r="AF125" s="3">
        <f t="shared" ca="1" si="197"/>
        <v>0.91455525629452794</v>
      </c>
      <c r="AG125" s="3">
        <f t="shared" ca="1" si="198"/>
        <v>0.82697580066725251</v>
      </c>
      <c r="AH125" s="3">
        <f t="shared" ca="1" si="199"/>
        <v>0.8814060884930498</v>
      </c>
      <c r="AJ125" s="3" t="e">
        <f t="shared" ca="1" si="200"/>
        <v>#N/A</v>
      </c>
      <c r="AK125" s="3">
        <f t="shared" ca="1" si="201"/>
        <v>3.2290114257327374</v>
      </c>
      <c r="AL125" s="3">
        <f t="shared" ca="1" si="202"/>
        <v>1.4958863126402393</v>
      </c>
      <c r="AM125" s="3">
        <f t="shared" ca="1" si="203"/>
        <v>2.2996057818659663</v>
      </c>
      <c r="AO125" s="3" t="e">
        <f t="shared" ca="1" si="204"/>
        <v>#N/A</v>
      </c>
      <c r="AP125" s="3">
        <f t="shared" ca="1" si="205"/>
        <v>0.24838549428713363</v>
      </c>
      <c r="AQ125" s="3">
        <f t="shared" ca="1" si="206"/>
        <v>0.74794315632011965</v>
      </c>
      <c r="AR125" s="3">
        <f t="shared" ca="1" si="207"/>
        <v>0.65703022339027606</v>
      </c>
      <c r="AT125" s="5">
        <v>8.0000003799796104E-3</v>
      </c>
      <c r="AU125" s="5">
        <v>1.0000000474974513E-3</v>
      </c>
      <c r="AV125" s="5">
        <v>1.2000000104308128E-2</v>
      </c>
      <c r="AW125" s="5">
        <v>1.4999999664723873E-2</v>
      </c>
      <c r="AY125" s="3" t="e">
        <f t="shared" ca="1" si="208"/>
        <v>#N/A</v>
      </c>
      <c r="AZ125" s="3">
        <f t="shared" ca="1" si="209"/>
        <v>0.19076005961251868</v>
      </c>
      <c r="BA125" s="3">
        <f t="shared" ca="1" si="210"/>
        <v>0.34106207928197463</v>
      </c>
      <c r="BB125" s="3">
        <f t="shared" ca="1" si="211"/>
        <v>0.41557161629434947</v>
      </c>
      <c r="BD125" s="3" t="e">
        <f t="shared" ca="1" si="212"/>
        <v>#N/A</v>
      </c>
      <c r="BE125" s="3">
        <f t="shared" ca="1" si="213"/>
        <v>0.21112759463892491</v>
      </c>
      <c r="BF125" s="3">
        <f t="shared" ca="1" si="214"/>
        <v>0.22463225212753399</v>
      </c>
      <c r="BG125" s="3">
        <f t="shared" ca="1" si="215"/>
        <v>0.58574245663778313</v>
      </c>
      <c r="BI125" s="3" t="e">
        <f t="shared" ca="1" si="216"/>
        <v>#N/A</v>
      </c>
      <c r="BJ125" s="3">
        <f t="shared" ca="1" si="217"/>
        <v>0.99354197714853454</v>
      </c>
      <c r="BK125" s="3">
        <f t="shared" ca="1" si="218"/>
        <v>0.74794315632011965</v>
      </c>
      <c r="BL125" s="3">
        <f t="shared" ca="1" si="219"/>
        <v>1.3140604467805521</v>
      </c>
      <c r="BN125" s="3" t="e">
        <f t="shared" ca="1" si="220"/>
        <v>#N/A</v>
      </c>
      <c r="BO125" s="3">
        <f t="shared" ca="1" si="221"/>
        <v>0.7451564828614009</v>
      </c>
      <c r="BP125" s="3">
        <f t="shared" ca="1" si="222"/>
        <v>0.99725754176015957</v>
      </c>
      <c r="BQ125" s="3">
        <f t="shared" ca="1" si="223"/>
        <v>1.3140604467805521</v>
      </c>
      <c r="BS125" s="5">
        <v>8.0000003799796104E-3</v>
      </c>
      <c r="BT125" s="5">
        <v>0.36800000071525574</v>
      </c>
      <c r="BU125" s="5">
        <v>0.51200002431869507</v>
      </c>
      <c r="BV125" s="5">
        <v>1.4999999664723873E-2</v>
      </c>
      <c r="BX125" s="3" t="e">
        <f t="shared" ca="1" si="224"/>
        <v>#N/A</v>
      </c>
      <c r="BY125" s="3">
        <f t="shared" ca="1" si="225"/>
        <v>0</v>
      </c>
      <c r="BZ125" s="3">
        <f t="shared" ca="1" si="226"/>
        <v>0</v>
      </c>
      <c r="CA125" s="3">
        <f t="shared" ca="1" si="227"/>
        <v>0</v>
      </c>
      <c r="CC125" s="3" t="e">
        <f t="shared" ca="1" si="228"/>
        <v>#N/A</v>
      </c>
      <c r="CD125" s="3">
        <f t="shared" ca="1" si="229"/>
        <v>0</v>
      </c>
      <c r="CE125" s="3">
        <f t="shared" ca="1" si="230"/>
        <v>0</v>
      </c>
      <c r="CF125" s="3">
        <f t="shared" ca="1" si="231"/>
        <v>0</v>
      </c>
      <c r="CH125" s="3" t="e">
        <f t="shared" ca="1" si="232"/>
        <v>#N/A</v>
      </c>
      <c r="CI125" s="3">
        <f t="shared" ca="1" si="233"/>
        <v>0</v>
      </c>
      <c r="CJ125" s="3">
        <f t="shared" ca="1" si="234"/>
        <v>0</v>
      </c>
      <c r="CK125" s="3">
        <f t="shared" ca="1" si="235"/>
        <v>0</v>
      </c>
      <c r="CM125" s="3" t="e">
        <f t="shared" ca="1" si="236"/>
        <v>#N/A</v>
      </c>
      <c r="CN125" s="3">
        <f t="shared" ca="1" si="237"/>
        <v>0</v>
      </c>
      <c r="CO125" s="3">
        <f t="shared" ca="1" si="238"/>
        <v>0</v>
      </c>
      <c r="CP125" s="3">
        <f t="shared" ca="1" si="239"/>
        <v>0</v>
      </c>
      <c r="CR125" s="5">
        <v>4.0110000000000001</v>
      </c>
      <c r="CS125" s="5">
        <v>4.0259999999999998</v>
      </c>
      <c r="CT125" s="5">
        <v>4.0110000000000001</v>
      </c>
      <c r="CU125" s="5">
        <v>4.01</v>
      </c>
    </row>
    <row r="126" spans="1:99" s="5" customFormat="1" x14ac:dyDescent="0.35">
      <c r="A126" s="4" t="s">
        <v>161</v>
      </c>
      <c r="B126" s="4">
        <v>6.416666666666667</v>
      </c>
      <c r="C126" s="4" t="s">
        <v>168</v>
      </c>
      <c r="D126" s="4" t="s">
        <v>404</v>
      </c>
      <c r="E126" s="3"/>
      <c r="F126" s="5">
        <v>4.016</v>
      </c>
      <c r="G126" s="5" t="e">
        <v>#N/A</v>
      </c>
      <c r="H126" s="5">
        <v>4.0110000000000001</v>
      </c>
      <c r="I126" s="5">
        <v>4.0129999999999999</v>
      </c>
      <c r="K126" s="3">
        <f t="shared" ca="1" si="180"/>
        <v>0.9957669322709165</v>
      </c>
      <c r="L126" s="3" t="e">
        <f t="shared" ca="1" si="181"/>
        <v>#N/A</v>
      </c>
      <c r="M126" s="3">
        <f t="shared" ca="1" si="182"/>
        <v>0.9970082273747195</v>
      </c>
      <c r="N126" s="3">
        <f t="shared" ca="1" si="183"/>
        <v>0.99651133815100923</v>
      </c>
      <c r="P126" s="3">
        <f t="shared" ca="1" si="184"/>
        <v>0.3568226744261277</v>
      </c>
      <c r="Q126" s="3" t="e">
        <f t="shared" ca="1" si="185"/>
        <v>#N/A</v>
      </c>
      <c r="R126" s="3">
        <f t="shared" ca="1" si="186"/>
        <v>0.69384205909002394</v>
      </c>
      <c r="S126" s="3">
        <f t="shared" ca="1" si="187"/>
        <v>0.9421879059428323</v>
      </c>
      <c r="U126" s="3">
        <f t="shared" ca="1" si="188"/>
        <v>1.4940239043824701</v>
      </c>
      <c r="V126" s="3" t="e">
        <f t="shared" ca="1" si="189"/>
        <v>#N/A</v>
      </c>
      <c r="W126" s="3">
        <f t="shared" ca="1" si="190"/>
        <v>2.7424582398404387</v>
      </c>
      <c r="X126" s="3">
        <f t="shared" ca="1" si="191"/>
        <v>1.9935210565661601</v>
      </c>
      <c r="Z126" s="3">
        <f t="shared" ca="1" si="192"/>
        <v>0.91708167330677293</v>
      </c>
      <c r="AA126" s="3" t="e">
        <f t="shared" ca="1" si="193"/>
        <v>#N/A</v>
      </c>
      <c r="AB126" s="3">
        <f t="shared" ca="1" si="194"/>
        <v>0.90575916230366493</v>
      </c>
      <c r="AC126" s="3">
        <f t="shared" ca="1" si="195"/>
        <v>0.99651133815100923</v>
      </c>
      <c r="AE126" s="3">
        <f t="shared" ca="1" si="196"/>
        <v>0.30702187779890111</v>
      </c>
      <c r="AF126" s="3" t="e">
        <f t="shared" ca="1" si="197"/>
        <v>#N/A</v>
      </c>
      <c r="AG126" s="3">
        <f t="shared" ca="1" si="198"/>
        <v>0.69384205909002394</v>
      </c>
      <c r="AH126" s="3">
        <f t="shared" ca="1" si="199"/>
        <v>0.9421879059428323</v>
      </c>
      <c r="AJ126" s="3">
        <f t="shared" ca="1" si="200"/>
        <v>1.2450199203187251</v>
      </c>
      <c r="AK126" s="3" t="e">
        <f t="shared" ca="1" si="201"/>
        <v>#N/A</v>
      </c>
      <c r="AL126" s="3">
        <f t="shared" ca="1" si="202"/>
        <v>2.7424582398404387</v>
      </c>
      <c r="AM126" s="3">
        <f t="shared" ca="1" si="203"/>
        <v>1.9935210565661601</v>
      </c>
      <c r="AO126" s="3">
        <f t="shared" ca="1" si="204"/>
        <v>0.74701195219123506</v>
      </c>
      <c r="AP126" s="3" t="e">
        <f t="shared" ca="1" si="205"/>
        <v>#N/A</v>
      </c>
      <c r="AQ126" s="3">
        <f t="shared" ca="1" si="206"/>
        <v>0.24931438544003989</v>
      </c>
      <c r="AR126" s="3">
        <f t="shared" ca="1" si="207"/>
        <v>0.24919013207077001</v>
      </c>
      <c r="AT126" s="5">
        <v>0.70200002193450928</v>
      </c>
      <c r="AU126" s="11" t="e">
        <v>#N/A</v>
      </c>
      <c r="AV126" s="5">
        <v>0.36700001358985901</v>
      </c>
      <c r="AW126" s="5">
        <v>2.4000000208616257E-2</v>
      </c>
      <c r="AY126" s="3">
        <f t="shared" ca="1" si="208"/>
        <v>0.80502988047808766</v>
      </c>
      <c r="AZ126" s="3" t="e">
        <f t="shared" ca="1" si="209"/>
        <v>#N/A</v>
      </c>
      <c r="BA126" s="3">
        <f t="shared" ca="1" si="210"/>
        <v>0.45674395412615315</v>
      </c>
      <c r="BB126" s="3">
        <f t="shared" ca="1" si="211"/>
        <v>0.52329927734861703</v>
      </c>
      <c r="BD126" s="3">
        <f t="shared" ca="1" si="212"/>
        <v>0.30702187779890111</v>
      </c>
      <c r="BE126" s="3" t="e">
        <f t="shared" ca="1" si="213"/>
        <v>#N/A</v>
      </c>
      <c r="BF126" s="3">
        <f t="shared" ca="1" si="214"/>
        <v>0.3323361883137298</v>
      </c>
      <c r="BG126" s="3">
        <f t="shared" ca="1" si="215"/>
        <v>0.50211812741079742</v>
      </c>
      <c r="BI126" s="3">
        <f t="shared" ca="1" si="216"/>
        <v>1.2450199203187251</v>
      </c>
      <c r="BJ126" s="3" t="e">
        <f t="shared" ca="1" si="217"/>
        <v>#N/A</v>
      </c>
      <c r="BK126" s="3">
        <f t="shared" ca="1" si="218"/>
        <v>1.7452006980802792</v>
      </c>
      <c r="BL126" s="3">
        <f t="shared" ca="1" si="219"/>
        <v>1.2459506603538499</v>
      </c>
      <c r="BN126" s="3">
        <f t="shared" ca="1" si="220"/>
        <v>0.99601593625498008</v>
      </c>
      <c r="BO126" s="3" t="e">
        <f t="shared" ca="1" si="221"/>
        <v>#N/A</v>
      </c>
      <c r="BP126" s="3">
        <f t="shared" ca="1" si="222"/>
        <v>0.99725754176015957</v>
      </c>
      <c r="BQ126" s="3">
        <f t="shared" ca="1" si="223"/>
        <v>0.49838026414154002</v>
      </c>
      <c r="BS126" s="5">
        <v>0.70200002193450928</v>
      </c>
      <c r="BT126" s="11" t="e">
        <v>#N/A</v>
      </c>
      <c r="BU126" s="5">
        <v>0.36700001358985901</v>
      </c>
      <c r="BV126" s="5">
        <v>0.87400001287460327</v>
      </c>
      <c r="BX126" s="3">
        <f t="shared" ca="1" si="224"/>
        <v>0</v>
      </c>
      <c r="BY126" s="3" t="e">
        <f t="shared" ca="1" si="225"/>
        <v>#N/A</v>
      </c>
      <c r="BZ126" s="3">
        <f t="shared" ca="1" si="226"/>
        <v>0</v>
      </c>
      <c r="CA126" s="3">
        <f t="shared" ca="1" si="227"/>
        <v>0</v>
      </c>
      <c r="CC126" s="3">
        <f t="shared" ca="1" si="228"/>
        <v>0</v>
      </c>
      <c r="CD126" s="3" t="e">
        <f t="shared" ca="1" si="229"/>
        <v>#N/A</v>
      </c>
      <c r="CE126" s="3">
        <f t="shared" ca="1" si="230"/>
        <v>0</v>
      </c>
      <c r="CF126" s="3">
        <f t="shared" ca="1" si="231"/>
        <v>0</v>
      </c>
      <c r="CH126" s="3">
        <f t="shared" ca="1" si="232"/>
        <v>0</v>
      </c>
      <c r="CI126" s="3" t="e">
        <f t="shared" ca="1" si="233"/>
        <v>#N/A</v>
      </c>
      <c r="CJ126" s="3">
        <f t="shared" ca="1" si="234"/>
        <v>0</v>
      </c>
      <c r="CK126" s="3">
        <f t="shared" ca="1" si="235"/>
        <v>0</v>
      </c>
      <c r="CM126" s="3">
        <f t="shared" ca="1" si="236"/>
        <v>0.49800796812749004</v>
      </c>
      <c r="CN126" s="3" t="e">
        <f t="shared" ca="1" si="237"/>
        <v>#N/A</v>
      </c>
      <c r="CO126" s="3">
        <f t="shared" ca="1" si="238"/>
        <v>0</v>
      </c>
      <c r="CP126" s="3">
        <f t="shared" ca="1" si="239"/>
        <v>0</v>
      </c>
      <c r="CR126" s="5">
        <v>4.016</v>
      </c>
      <c r="CS126" s="11" t="e">
        <v>#N/A</v>
      </c>
      <c r="CT126" s="5">
        <v>4.0110000000000001</v>
      </c>
      <c r="CU126" s="5">
        <v>4.0129999999999999</v>
      </c>
    </row>
    <row r="127" spans="1:99" s="5" customFormat="1" x14ac:dyDescent="0.35">
      <c r="A127" s="4" t="s">
        <v>101</v>
      </c>
      <c r="B127" s="4">
        <v>6.583333333333333</v>
      </c>
      <c r="C127" s="4" t="s">
        <v>168</v>
      </c>
      <c r="D127" s="4" t="s">
        <v>404</v>
      </c>
      <c r="E127" s="3"/>
      <c r="F127" s="5">
        <v>3.98</v>
      </c>
      <c r="G127" s="5">
        <v>4.01</v>
      </c>
      <c r="H127" s="5">
        <v>4.0090000000000003</v>
      </c>
      <c r="I127" s="5">
        <v>4.0010000000000003</v>
      </c>
      <c r="K127" s="3">
        <f t="shared" ca="1" si="180"/>
        <v>0.99221105527638187</v>
      </c>
      <c r="L127" s="3">
        <f t="shared" ca="1" si="181"/>
        <v>0.99326683291770579</v>
      </c>
      <c r="M127" s="3">
        <f t="shared" ca="1" si="182"/>
        <v>0.99750561237216262</v>
      </c>
      <c r="N127" s="3">
        <f t="shared" ca="1" si="183"/>
        <v>0.99525118720319916</v>
      </c>
      <c r="P127" s="3">
        <f t="shared" ca="1" si="184"/>
        <v>0.97537691138647309</v>
      </c>
      <c r="Q127" s="3">
        <f t="shared" ca="1" si="185"/>
        <v>0.90199495500831539</v>
      </c>
      <c r="R127" s="3">
        <f t="shared" ca="1" si="186"/>
        <v>0.8348715769200884</v>
      </c>
      <c r="S127" s="3">
        <f t="shared" ca="1" si="187"/>
        <v>0.96225940339105231</v>
      </c>
      <c r="U127" s="3">
        <f t="shared" ca="1" si="188"/>
        <v>1.256281407035176</v>
      </c>
      <c r="V127" s="3">
        <f t="shared" ca="1" si="189"/>
        <v>3.7406483790523692</v>
      </c>
      <c r="W127" s="3">
        <f t="shared" ca="1" si="190"/>
        <v>3.2427039161885753</v>
      </c>
      <c r="X127" s="3">
        <f t="shared" ca="1" si="191"/>
        <v>2.2494376405898522</v>
      </c>
      <c r="Z127" s="3">
        <f t="shared" ca="1" si="192"/>
        <v>0.99221105527638187</v>
      </c>
      <c r="AA127" s="3">
        <f t="shared" ca="1" si="193"/>
        <v>0.99326683291770579</v>
      </c>
      <c r="AB127" s="3">
        <f t="shared" ca="1" si="194"/>
        <v>0.8311299575954102</v>
      </c>
      <c r="AC127" s="3">
        <f t="shared" ca="1" si="195"/>
        <v>0.99525118720319916</v>
      </c>
      <c r="AE127" s="3">
        <f t="shared" ca="1" si="196"/>
        <v>0.97537691138647309</v>
      </c>
      <c r="AF127" s="3">
        <f t="shared" ca="1" si="197"/>
        <v>0.90199495500831539</v>
      </c>
      <c r="AG127" s="3">
        <f t="shared" ca="1" si="198"/>
        <v>0.73908707631083304</v>
      </c>
      <c r="AH127" s="3">
        <f t="shared" ca="1" si="199"/>
        <v>0.96225940339105231</v>
      </c>
      <c r="AJ127" s="3">
        <f t="shared" ca="1" si="200"/>
        <v>1.256281407035176</v>
      </c>
      <c r="AK127" s="3">
        <f t="shared" ca="1" si="201"/>
        <v>3.7406483790523692</v>
      </c>
      <c r="AL127" s="3">
        <f t="shared" ca="1" si="202"/>
        <v>2.9932651534048387</v>
      </c>
      <c r="AM127" s="3">
        <f t="shared" ca="1" si="203"/>
        <v>2.2494376405898522</v>
      </c>
      <c r="AO127" s="3">
        <f t="shared" ca="1" si="204"/>
        <v>0.25125628140703515</v>
      </c>
      <c r="AP127" s="3">
        <f t="shared" ca="1" si="205"/>
        <v>0.24937655860349128</v>
      </c>
      <c r="AQ127" s="3">
        <f t="shared" ca="1" si="206"/>
        <v>0.49887752556747317</v>
      </c>
      <c r="AR127" s="3">
        <f t="shared" ca="1" si="207"/>
        <v>0.2499375156210947</v>
      </c>
      <c r="AT127" s="5">
        <v>2.4000000208616257E-2</v>
      </c>
      <c r="AU127" s="5">
        <v>1.2000000104308128E-2</v>
      </c>
      <c r="AV127" s="5">
        <v>0</v>
      </c>
      <c r="AW127" s="5">
        <v>1.4000000432133675E-2</v>
      </c>
      <c r="AY127" s="3">
        <f t="shared" ca="1" si="208"/>
        <v>0.90427135678391957</v>
      </c>
      <c r="AZ127" s="3">
        <f t="shared" ca="1" si="209"/>
        <v>0.3743142144638405</v>
      </c>
      <c r="BA127" s="3">
        <f t="shared" ca="1" si="210"/>
        <v>0.27837365926664992</v>
      </c>
      <c r="BB127" s="3">
        <f t="shared" ca="1" si="211"/>
        <v>0.59135216195951001</v>
      </c>
      <c r="BD127" s="3">
        <f t="shared" ca="1" si="212"/>
        <v>0.89597992561570361</v>
      </c>
      <c r="BE127" s="3">
        <f t="shared" ca="1" si="213"/>
        <v>0.40748124417298454</v>
      </c>
      <c r="BF127" s="3">
        <f t="shared" ca="1" si="214"/>
        <v>0.2614118625291656</v>
      </c>
      <c r="BG127" s="3">
        <f t="shared" ca="1" si="215"/>
        <v>0.58735311552751834</v>
      </c>
      <c r="BI127" s="3">
        <f t="shared" ca="1" si="216"/>
        <v>1.0050251256281406</v>
      </c>
      <c r="BJ127" s="3">
        <f t="shared" ca="1" si="217"/>
        <v>1.745635910224439</v>
      </c>
      <c r="BK127" s="3">
        <f t="shared" ca="1" si="218"/>
        <v>1.2471938139186829</v>
      </c>
      <c r="BL127" s="3">
        <f t="shared" ca="1" si="219"/>
        <v>1.2496875781054735</v>
      </c>
      <c r="BN127" s="3">
        <f t="shared" ca="1" si="220"/>
        <v>0.25125628140703515</v>
      </c>
      <c r="BO127" s="3">
        <f t="shared" ca="1" si="221"/>
        <v>1.2468827930174564</v>
      </c>
      <c r="BP127" s="3">
        <f t="shared" ca="1" si="222"/>
        <v>1.4966325767024193</v>
      </c>
      <c r="BQ127" s="3">
        <f t="shared" ca="1" si="223"/>
        <v>0.99975006248437881</v>
      </c>
      <c r="BS127" s="5">
        <v>0.35699999332427979</v>
      </c>
      <c r="BT127" s="5">
        <v>1.2000000104308128E-2</v>
      </c>
      <c r="BU127" s="5">
        <v>0.41600000858306885</v>
      </c>
      <c r="BV127" s="5">
        <v>0.47999998927116394</v>
      </c>
      <c r="BX127" s="3">
        <f t="shared" ca="1" si="224"/>
        <v>0</v>
      </c>
      <c r="BY127" s="3">
        <f t="shared" ca="1" si="225"/>
        <v>0</v>
      </c>
      <c r="BZ127" s="3">
        <f t="shared" ca="1" si="226"/>
        <v>0</v>
      </c>
      <c r="CA127" s="3">
        <f t="shared" ca="1" si="227"/>
        <v>0</v>
      </c>
      <c r="CC127" s="3">
        <f t="shared" ca="1" si="228"/>
        <v>0</v>
      </c>
      <c r="CD127" s="3">
        <f t="shared" ca="1" si="229"/>
        <v>0</v>
      </c>
      <c r="CE127" s="3">
        <f t="shared" ca="1" si="230"/>
        <v>0</v>
      </c>
      <c r="CF127" s="3">
        <f t="shared" ca="1" si="231"/>
        <v>0</v>
      </c>
      <c r="CH127" s="3">
        <f t="shared" ca="1" si="232"/>
        <v>0</v>
      </c>
      <c r="CI127" s="3">
        <f t="shared" ca="1" si="233"/>
        <v>0</v>
      </c>
      <c r="CJ127" s="3">
        <f t="shared" ca="1" si="234"/>
        <v>0</v>
      </c>
      <c r="CK127" s="3">
        <f t="shared" ca="1" si="235"/>
        <v>0</v>
      </c>
      <c r="CM127" s="3">
        <f t="shared" ca="1" si="236"/>
        <v>0</v>
      </c>
      <c r="CN127" s="3">
        <f t="shared" ca="1" si="237"/>
        <v>0</v>
      </c>
      <c r="CO127" s="3">
        <f t="shared" ca="1" si="238"/>
        <v>0</v>
      </c>
      <c r="CP127" s="3">
        <f t="shared" ca="1" si="239"/>
        <v>0</v>
      </c>
      <c r="CR127" s="5">
        <v>3.98</v>
      </c>
      <c r="CS127" s="5">
        <v>4.01</v>
      </c>
      <c r="CT127" s="5">
        <v>4.0090000000000003</v>
      </c>
      <c r="CU127" s="5">
        <v>4.0010000000000003</v>
      </c>
    </row>
    <row r="128" spans="1:99" s="5" customFormat="1" x14ac:dyDescent="0.35">
      <c r="A128" s="4" t="s">
        <v>145</v>
      </c>
      <c r="B128" s="4">
        <v>6.583333333333333</v>
      </c>
      <c r="C128" s="4" t="s">
        <v>168</v>
      </c>
      <c r="D128" s="4" t="s">
        <v>404</v>
      </c>
      <c r="E128" s="3"/>
      <c r="F128" s="5">
        <v>4.016</v>
      </c>
      <c r="G128" s="5">
        <v>4.0629999999999997</v>
      </c>
      <c r="H128" s="5">
        <v>4.0019999999999998</v>
      </c>
      <c r="I128" s="5">
        <v>4.0259999999999998</v>
      </c>
      <c r="K128" s="3">
        <f t="shared" ca="1" si="180"/>
        <v>0.99576693227091639</v>
      </c>
      <c r="L128" s="3">
        <f t="shared" ca="1" si="181"/>
        <v>0.9965542702436625</v>
      </c>
      <c r="M128" s="3">
        <f t="shared" ca="1" si="182"/>
        <v>0.9952523738130935</v>
      </c>
      <c r="N128" s="3">
        <f t="shared" ca="1" si="183"/>
        <v>0.99726775956284175</v>
      </c>
      <c r="P128" s="3">
        <f t="shared" ca="1" si="184"/>
        <v>0.66384468394595075</v>
      </c>
      <c r="Q128" s="3">
        <f t="shared" ca="1" si="185"/>
        <v>0.97194191702434563</v>
      </c>
      <c r="R128" s="3">
        <f t="shared" ca="1" si="186"/>
        <v>0.81959025383271145</v>
      </c>
      <c r="S128" s="3">
        <f t="shared" ca="1" si="187"/>
        <v>0.81520128747197573</v>
      </c>
      <c r="U128" s="3">
        <f t="shared" ca="1" si="188"/>
        <v>2.241035856573705</v>
      </c>
      <c r="V128" s="3">
        <f t="shared" ca="1" si="189"/>
        <v>1.7228648781688409</v>
      </c>
      <c r="W128" s="3">
        <f t="shared" ca="1" si="190"/>
        <v>2.2488755622188905</v>
      </c>
      <c r="X128" s="3">
        <f t="shared" ca="1" si="191"/>
        <v>2.4838549428713366</v>
      </c>
      <c r="Z128" s="3">
        <f t="shared" ca="1" si="192"/>
        <v>0.80054780876494025</v>
      </c>
      <c r="AA128" s="3">
        <f t="shared" ca="1" si="193"/>
        <v>0.9965542702436625</v>
      </c>
      <c r="AB128" s="3">
        <f t="shared" ca="1" si="194"/>
        <v>0.9952523738130935</v>
      </c>
      <c r="AC128" s="3">
        <f t="shared" ca="1" si="195"/>
        <v>0.79855936413313489</v>
      </c>
      <c r="AE128" s="3">
        <f t="shared" ca="1" si="196"/>
        <v>0.66384468394595075</v>
      </c>
      <c r="AF128" s="3">
        <f t="shared" ca="1" si="197"/>
        <v>0.97194191702434563</v>
      </c>
      <c r="AG128" s="3">
        <f t="shared" ca="1" si="198"/>
        <v>0.81959025383271145</v>
      </c>
      <c r="AH128" s="3">
        <f t="shared" ca="1" si="199"/>
        <v>0.72006963913306277</v>
      </c>
      <c r="AJ128" s="3">
        <f t="shared" ca="1" si="200"/>
        <v>2.241035856573705</v>
      </c>
      <c r="AK128" s="3">
        <f t="shared" ca="1" si="201"/>
        <v>1.7228648781688409</v>
      </c>
      <c r="AL128" s="3">
        <f t="shared" ca="1" si="202"/>
        <v>2.2488755622188905</v>
      </c>
      <c r="AM128" s="3">
        <f t="shared" ca="1" si="203"/>
        <v>1.9870839542970691</v>
      </c>
      <c r="AO128" s="3">
        <f t="shared" ca="1" si="204"/>
        <v>0.74701195219123506</v>
      </c>
      <c r="AP128" s="3">
        <f t="shared" ca="1" si="205"/>
        <v>0.24612355402412012</v>
      </c>
      <c r="AQ128" s="3">
        <f t="shared" ca="1" si="206"/>
        <v>0.24987506246876562</v>
      </c>
      <c r="AR128" s="3">
        <f t="shared" ca="1" si="207"/>
        <v>0.49677098857426727</v>
      </c>
      <c r="AT128" s="5">
        <v>8.999999612569809E-3</v>
      </c>
      <c r="AU128" s="5">
        <v>4.0000001899898052E-3</v>
      </c>
      <c r="AV128" s="5">
        <v>1.4999999664723873E-2</v>
      </c>
      <c r="AW128" s="5">
        <v>9.9999997764825821E-3</v>
      </c>
      <c r="AY128" s="3">
        <f t="shared" ca="1" si="208"/>
        <v>0.43525896414342635</v>
      </c>
      <c r="AZ128" s="3">
        <f t="shared" ca="1" si="209"/>
        <v>0.63573714004430237</v>
      </c>
      <c r="BA128" s="3">
        <f t="shared" ca="1" si="210"/>
        <v>0.14167916041979015</v>
      </c>
      <c r="BB128" s="3">
        <f t="shared" ca="1" si="211"/>
        <v>0.3390461997019375</v>
      </c>
      <c r="BD128" s="3">
        <f t="shared" ca="1" si="212"/>
        <v>0.42305776916177151</v>
      </c>
      <c r="BE128" s="3">
        <f t="shared" ca="1" si="213"/>
        <v>0.55771596672908741</v>
      </c>
      <c r="BF128" s="3">
        <f t="shared" ca="1" si="214"/>
        <v>0.12468768917638502</v>
      </c>
      <c r="BG128" s="3">
        <f t="shared" ca="1" si="215"/>
        <v>0.38102338755835485</v>
      </c>
      <c r="BI128" s="3">
        <f t="shared" ca="1" si="216"/>
        <v>1.2450199203187251</v>
      </c>
      <c r="BJ128" s="3">
        <f t="shared" ca="1" si="217"/>
        <v>0.98449421609648047</v>
      </c>
      <c r="BK128" s="3">
        <f t="shared" ca="1" si="218"/>
        <v>0.49975012493753124</v>
      </c>
      <c r="BL128" s="3">
        <f t="shared" ca="1" si="219"/>
        <v>0.7451564828614009</v>
      </c>
      <c r="BN128" s="3">
        <f t="shared" ca="1" si="220"/>
        <v>0.74701195219123506</v>
      </c>
      <c r="BO128" s="3">
        <f t="shared" ca="1" si="221"/>
        <v>0.73837066207236035</v>
      </c>
      <c r="BP128" s="3">
        <f t="shared" ca="1" si="222"/>
        <v>0.74962518740629691</v>
      </c>
      <c r="BQ128" s="3">
        <f t="shared" ca="1" si="223"/>
        <v>0.99354197714853454</v>
      </c>
      <c r="BS128" s="5">
        <v>0.55900001525878906</v>
      </c>
      <c r="BT128" s="5">
        <v>0.50400000810623169</v>
      </c>
      <c r="BU128" s="5">
        <v>0.68199998140335083</v>
      </c>
      <c r="BV128" s="5">
        <v>0.57599997520446777</v>
      </c>
      <c r="BX128" s="3">
        <f t="shared" ca="1" si="224"/>
        <v>0</v>
      </c>
      <c r="BY128" s="3">
        <f t="shared" ca="1" si="225"/>
        <v>0</v>
      </c>
      <c r="BZ128" s="3">
        <f t="shared" ca="1" si="226"/>
        <v>0</v>
      </c>
      <c r="CA128" s="3">
        <f t="shared" ca="1" si="227"/>
        <v>5.7873820168902135E-2</v>
      </c>
      <c r="CC128" s="3">
        <f t="shared" ca="1" si="228"/>
        <v>0</v>
      </c>
      <c r="CD128" s="3">
        <f t="shared" ca="1" si="229"/>
        <v>0</v>
      </c>
      <c r="CE128" s="3">
        <f t="shared" ca="1" si="230"/>
        <v>0</v>
      </c>
      <c r="CF128" s="3">
        <f t="shared" ca="1" si="231"/>
        <v>0</v>
      </c>
      <c r="CH128" s="3">
        <f t="shared" ca="1" si="232"/>
        <v>0</v>
      </c>
      <c r="CI128" s="3">
        <f t="shared" ca="1" si="233"/>
        <v>0</v>
      </c>
      <c r="CJ128" s="3">
        <f t="shared" ca="1" si="234"/>
        <v>0</v>
      </c>
      <c r="CK128" s="3">
        <f t="shared" ca="1" si="235"/>
        <v>0</v>
      </c>
      <c r="CM128" s="3">
        <f t="shared" ca="1" si="236"/>
        <v>0</v>
      </c>
      <c r="CN128" s="3">
        <f t="shared" ca="1" si="237"/>
        <v>0</v>
      </c>
      <c r="CO128" s="3">
        <f t="shared" ca="1" si="238"/>
        <v>0</v>
      </c>
      <c r="CP128" s="3">
        <f t="shared" ca="1" si="239"/>
        <v>0.24838549428713363</v>
      </c>
      <c r="CR128" s="5">
        <v>4.016</v>
      </c>
      <c r="CS128" s="5">
        <v>4.0629999999999997</v>
      </c>
      <c r="CT128" s="5">
        <v>4.0019999999999998</v>
      </c>
      <c r="CU128" s="5">
        <v>4.0259999999999998</v>
      </c>
    </row>
    <row r="129" spans="1:99" s="5" customFormat="1" x14ac:dyDescent="0.35">
      <c r="A129" s="4" t="s">
        <v>144</v>
      </c>
      <c r="B129" s="4">
        <v>6.833333333333333</v>
      </c>
      <c r="C129" s="4" t="s">
        <v>168</v>
      </c>
      <c r="D129" s="4" t="s">
        <v>404</v>
      </c>
      <c r="E129" s="3"/>
      <c r="F129" s="5" t="e">
        <v>#N/A</v>
      </c>
      <c r="G129" s="5" t="e">
        <v>#N/A</v>
      </c>
      <c r="H129" s="11" t="e">
        <v>#N/A</v>
      </c>
      <c r="I129" s="5">
        <v>4.0110000000000001</v>
      </c>
      <c r="K129" s="3" t="e">
        <f t="shared" ca="1" si="180"/>
        <v>#N/A</v>
      </c>
      <c r="L129" s="3" t="e">
        <f t="shared" ca="1" si="181"/>
        <v>#N/A</v>
      </c>
      <c r="M129" s="3" t="e">
        <f t="shared" ca="1" si="182"/>
        <v>#N/A</v>
      </c>
      <c r="N129" s="3">
        <f t="shared" ca="1" si="183"/>
        <v>0.93467963101470941</v>
      </c>
      <c r="P129" s="3" t="e">
        <f t="shared" ca="1" si="184"/>
        <v>#N/A</v>
      </c>
      <c r="Q129" s="3" t="e">
        <f t="shared" ca="1" si="185"/>
        <v>#N/A</v>
      </c>
      <c r="R129" s="3" t="e">
        <f t="shared" ca="1" si="186"/>
        <v>#N/A</v>
      </c>
      <c r="S129" s="3">
        <f t="shared" ca="1" si="187"/>
        <v>0.7102967007027633</v>
      </c>
      <c r="U129" s="3" t="e">
        <f t="shared" ca="1" si="188"/>
        <v>#N/A</v>
      </c>
      <c r="V129" s="3" t="e">
        <f t="shared" ca="1" si="189"/>
        <v>#N/A</v>
      </c>
      <c r="W129" s="3" t="e">
        <f t="shared" ca="1" si="190"/>
        <v>#N/A</v>
      </c>
      <c r="X129" s="3">
        <f t="shared" ca="1" si="191"/>
        <v>2.2438294689603588</v>
      </c>
      <c r="Z129" s="3" t="e">
        <f t="shared" ca="1" si="192"/>
        <v>#N/A</v>
      </c>
      <c r="AA129" s="3" t="e">
        <f t="shared" ca="1" si="193"/>
        <v>#N/A</v>
      </c>
      <c r="AB129" s="3" t="e">
        <f t="shared" ca="1" si="194"/>
        <v>#N/A</v>
      </c>
      <c r="AC129" s="3">
        <f t="shared" ca="1" si="195"/>
        <v>0.93467963101470941</v>
      </c>
      <c r="AE129" s="3" t="e">
        <f t="shared" ca="1" si="196"/>
        <v>#N/A</v>
      </c>
      <c r="AF129" s="3" t="e">
        <f t="shared" ca="1" si="197"/>
        <v>#N/A</v>
      </c>
      <c r="AG129" s="3" t="e">
        <f t="shared" ca="1" si="198"/>
        <v>#N/A</v>
      </c>
      <c r="AH129" s="3">
        <f t="shared" ca="1" si="199"/>
        <v>0.7102967007027633</v>
      </c>
      <c r="AJ129" s="3" t="e">
        <f t="shared" ca="1" si="200"/>
        <v>#N/A</v>
      </c>
      <c r="AK129" s="3" t="e">
        <f t="shared" ca="1" si="201"/>
        <v>#N/A</v>
      </c>
      <c r="AL129" s="3" t="e">
        <f t="shared" ca="1" si="202"/>
        <v>#N/A</v>
      </c>
      <c r="AM129" s="3">
        <f t="shared" ca="1" si="203"/>
        <v>2.2438294689603588</v>
      </c>
      <c r="AO129" s="3" t="e">
        <f t="shared" ca="1" si="204"/>
        <v>#N/A</v>
      </c>
      <c r="AP129" s="3" t="e">
        <f t="shared" ca="1" si="205"/>
        <v>#N/A</v>
      </c>
      <c r="AQ129" s="3" t="e">
        <f t="shared" ca="1" si="206"/>
        <v>#N/A</v>
      </c>
      <c r="AR129" s="3">
        <f t="shared" ca="1" si="207"/>
        <v>0.24931438544003989</v>
      </c>
      <c r="AT129" s="5">
        <v>0.22300000488758087</v>
      </c>
      <c r="AU129" s="5">
        <v>1.2020000219345093</v>
      </c>
      <c r="AV129" s="11" t="e">
        <v>#N/A</v>
      </c>
      <c r="AW129" s="5">
        <v>0.25600001215934753</v>
      </c>
      <c r="AY129" s="3" t="e">
        <f t="shared" ca="1" si="208"/>
        <v>#N/A</v>
      </c>
      <c r="AZ129" s="3" t="e">
        <f t="shared" ca="1" si="209"/>
        <v>#N/A</v>
      </c>
      <c r="BA129" s="3" t="e">
        <f t="shared" ca="1" si="210"/>
        <v>#N/A</v>
      </c>
      <c r="BB129" s="3">
        <f t="shared" ca="1" si="211"/>
        <v>0.34455248067813504</v>
      </c>
      <c r="BD129" s="3" t="e">
        <f t="shared" ca="1" si="212"/>
        <v>#N/A</v>
      </c>
      <c r="BE129" s="3" t="e">
        <f t="shared" ca="1" si="213"/>
        <v>#N/A</v>
      </c>
      <c r="BF129" s="3" t="e">
        <f t="shared" ca="1" si="214"/>
        <v>#N/A</v>
      </c>
      <c r="BG129" s="3">
        <f t="shared" ca="1" si="215"/>
        <v>0.35726747676875042</v>
      </c>
      <c r="BI129" s="3" t="e">
        <f t="shared" ca="1" si="216"/>
        <v>#N/A</v>
      </c>
      <c r="BJ129" s="3" t="e">
        <f t="shared" ca="1" si="217"/>
        <v>#N/A</v>
      </c>
      <c r="BK129" s="3" t="e">
        <f t="shared" ca="1" si="218"/>
        <v>#N/A</v>
      </c>
      <c r="BL129" s="3">
        <f t="shared" ca="1" si="219"/>
        <v>0.74794315632011965</v>
      </c>
      <c r="BN129" s="3" t="e">
        <f t="shared" ca="1" si="220"/>
        <v>#N/A</v>
      </c>
      <c r="BO129" s="3" t="e">
        <f t="shared" ca="1" si="221"/>
        <v>#N/A</v>
      </c>
      <c r="BP129" s="3" t="e">
        <f t="shared" ca="1" si="222"/>
        <v>#N/A</v>
      </c>
      <c r="BQ129" s="3">
        <f t="shared" ca="1" si="223"/>
        <v>0.74794315632011965</v>
      </c>
      <c r="BS129" s="5">
        <v>0.22300000488758087</v>
      </c>
      <c r="BT129" s="5">
        <v>1.3190000057220459</v>
      </c>
      <c r="BU129" s="11" t="e">
        <v>#N/A</v>
      </c>
      <c r="BV129" s="5">
        <v>1.0729999542236328</v>
      </c>
      <c r="BX129" s="3" t="e">
        <f t="shared" ca="1" si="224"/>
        <v>#N/A</v>
      </c>
      <c r="BY129" s="3" t="e">
        <f t="shared" ca="1" si="225"/>
        <v>#N/A</v>
      </c>
      <c r="BZ129" s="3" t="e">
        <f t="shared" ca="1" si="226"/>
        <v>#N/A</v>
      </c>
      <c r="CA129" s="3">
        <f t="shared" ca="1" si="227"/>
        <v>0.15382697581650467</v>
      </c>
      <c r="CC129" s="3" t="e">
        <f t="shared" ca="1" si="228"/>
        <v>#N/A</v>
      </c>
      <c r="CD129" s="3" t="e">
        <f t="shared" ca="1" si="229"/>
        <v>#N/A</v>
      </c>
      <c r="CE129" s="3" t="e">
        <f t="shared" ca="1" si="230"/>
        <v>#N/A</v>
      </c>
      <c r="CF129" s="3">
        <f t="shared" ca="1" si="231"/>
        <v>0.17003245081458118</v>
      </c>
      <c r="CH129" s="3" t="e">
        <f t="shared" ca="1" si="232"/>
        <v>#N/A</v>
      </c>
      <c r="CI129" s="3" t="e">
        <f t="shared" ca="1" si="233"/>
        <v>#N/A</v>
      </c>
      <c r="CJ129" s="3" t="e">
        <f t="shared" ca="1" si="234"/>
        <v>#N/A</v>
      </c>
      <c r="CK129" s="3">
        <f t="shared" ca="1" si="235"/>
        <v>0.74794315632011965</v>
      </c>
      <c r="CM129" s="3" t="e">
        <f t="shared" ca="1" si="236"/>
        <v>#N/A</v>
      </c>
      <c r="CN129" s="3" t="e">
        <f t="shared" ca="1" si="237"/>
        <v>#N/A</v>
      </c>
      <c r="CO129" s="3" t="e">
        <f t="shared" ca="1" si="238"/>
        <v>#N/A</v>
      </c>
      <c r="CP129" s="3">
        <f t="shared" ca="1" si="239"/>
        <v>0.99725754176015957</v>
      </c>
      <c r="CR129" s="5">
        <v>4.01</v>
      </c>
      <c r="CS129" s="5">
        <v>4.01</v>
      </c>
      <c r="CT129" s="11" t="e">
        <v>#N/A</v>
      </c>
      <c r="CU129" s="5">
        <v>3.0559999942779541</v>
      </c>
    </row>
    <row r="130" spans="1:99" s="5" customFormat="1" x14ac:dyDescent="0.35">
      <c r="A130" s="4" t="s">
        <v>162</v>
      </c>
      <c r="B130" s="4">
        <v>6.833333333333333</v>
      </c>
      <c r="C130" s="4" t="s">
        <v>168</v>
      </c>
      <c r="D130" s="4" t="s">
        <v>404</v>
      </c>
      <c r="E130" s="3"/>
      <c r="F130" s="5">
        <v>4.0149999999999997</v>
      </c>
      <c r="G130" s="5" t="e">
        <v>#N/A</v>
      </c>
      <c r="H130" s="5" t="e">
        <v>#N/A</v>
      </c>
      <c r="I130" s="5">
        <v>4.016</v>
      </c>
      <c r="K130" s="3">
        <f t="shared" ca="1" si="180"/>
        <v>0.98356164383561662</v>
      </c>
      <c r="L130" s="3" t="e">
        <f t="shared" ca="1" si="181"/>
        <v>#N/A</v>
      </c>
      <c r="M130" s="3" t="e">
        <f t="shared" ca="1" si="182"/>
        <v>#N/A</v>
      </c>
      <c r="N130" s="3">
        <f t="shared" ca="1" si="183"/>
        <v>0.91284860557768921</v>
      </c>
      <c r="P130" s="3">
        <f t="shared" ca="1" si="184"/>
        <v>0.83387299709875673</v>
      </c>
      <c r="Q130" s="3" t="e">
        <f t="shared" ca="1" si="185"/>
        <v>#N/A</v>
      </c>
      <c r="R130" s="3" t="e">
        <f t="shared" ca="1" si="186"/>
        <v>#N/A</v>
      </c>
      <c r="S130" s="3">
        <f t="shared" ca="1" si="187"/>
        <v>0.8508466059839227</v>
      </c>
      <c r="U130" s="3">
        <f t="shared" ca="1" si="188"/>
        <v>1.4943960149439603</v>
      </c>
      <c r="V130" s="3" t="e">
        <f t="shared" ca="1" si="189"/>
        <v>#N/A</v>
      </c>
      <c r="W130" s="3" t="e">
        <f t="shared" ca="1" si="190"/>
        <v>#N/A</v>
      </c>
      <c r="X130" s="3">
        <f t="shared" ca="1" si="191"/>
        <v>3.237051792828685</v>
      </c>
      <c r="Z130" s="3">
        <f t="shared" ca="1" si="192"/>
        <v>0.98356164383561662</v>
      </c>
      <c r="AA130" s="3" t="e">
        <f t="shared" ca="1" si="193"/>
        <v>#N/A</v>
      </c>
      <c r="AB130" s="3" t="e">
        <f t="shared" ca="1" si="194"/>
        <v>#N/A</v>
      </c>
      <c r="AC130" s="3">
        <f t="shared" ca="1" si="195"/>
        <v>0.85458167330677293</v>
      </c>
      <c r="AE130" s="3">
        <f t="shared" ca="1" si="196"/>
        <v>0.83387299709875673</v>
      </c>
      <c r="AF130" s="3" t="e">
        <f t="shared" ca="1" si="197"/>
        <v>#N/A</v>
      </c>
      <c r="AG130" s="3" t="e">
        <f t="shared" ca="1" si="198"/>
        <v>#N/A</v>
      </c>
      <c r="AH130" s="3">
        <f t="shared" ca="1" si="199"/>
        <v>0.8010457972977385</v>
      </c>
      <c r="AJ130" s="3">
        <f t="shared" ca="1" si="200"/>
        <v>1.4943960149439603</v>
      </c>
      <c r="AK130" s="3" t="e">
        <f t="shared" ca="1" si="201"/>
        <v>#N/A</v>
      </c>
      <c r="AL130" s="3" t="e">
        <f t="shared" ca="1" si="202"/>
        <v>#N/A</v>
      </c>
      <c r="AM130" s="3">
        <f t="shared" ca="1" si="203"/>
        <v>2.9880478087649402</v>
      </c>
      <c r="AO130" s="3">
        <f t="shared" ca="1" si="204"/>
        <v>0.24906600249066005</v>
      </c>
      <c r="AP130" s="3" t="e">
        <f t="shared" ca="1" si="205"/>
        <v>#N/A</v>
      </c>
      <c r="AQ130" s="3" t="e">
        <f t="shared" ca="1" si="206"/>
        <v>#N/A</v>
      </c>
      <c r="AR130" s="3">
        <f t="shared" ca="1" si="207"/>
        <v>0.24900398406374502</v>
      </c>
      <c r="AT130" s="5">
        <v>2.0000000949949026E-3</v>
      </c>
      <c r="AU130" s="11" t="e">
        <v>#N/A</v>
      </c>
      <c r="AV130" s="5">
        <v>6.0000000521540642E-3</v>
      </c>
      <c r="AW130" s="5">
        <v>8.999999612569809E-3</v>
      </c>
      <c r="AY130" s="3">
        <f t="shared" ca="1" si="208"/>
        <v>0.48567870485678721</v>
      </c>
      <c r="AZ130" s="3" t="e">
        <f t="shared" ca="1" si="209"/>
        <v>#N/A</v>
      </c>
      <c r="BA130" s="3" t="e">
        <f t="shared" ca="1" si="210"/>
        <v>#N/A</v>
      </c>
      <c r="BB130" s="3">
        <f t="shared" ca="1" si="211"/>
        <v>4.1334661354581671E-2</v>
      </c>
      <c r="BD130" s="3">
        <f t="shared" ca="1" si="212"/>
        <v>0.65554174905408591</v>
      </c>
      <c r="BE130" s="3" t="e">
        <f t="shared" ca="1" si="213"/>
        <v>#N/A</v>
      </c>
      <c r="BF130" s="3" t="e">
        <f t="shared" ca="1" si="214"/>
        <v>#N/A</v>
      </c>
      <c r="BG130" s="3">
        <f t="shared" ca="1" si="215"/>
        <v>3.3117533917446061E-2</v>
      </c>
      <c r="BI130" s="3">
        <f t="shared" ca="1" si="216"/>
        <v>0.9962640099626402</v>
      </c>
      <c r="BJ130" s="3" t="e">
        <f t="shared" ca="1" si="217"/>
        <v>#N/A</v>
      </c>
      <c r="BK130" s="3" t="e">
        <f t="shared" ca="1" si="218"/>
        <v>#N/A</v>
      </c>
      <c r="BL130" s="3">
        <f t="shared" ca="1" si="219"/>
        <v>0.24900398406374502</v>
      </c>
      <c r="BN130" s="3">
        <f t="shared" ca="1" si="220"/>
        <v>0.9962640099626402</v>
      </c>
      <c r="BO130" s="3" t="e">
        <f t="shared" ca="1" si="221"/>
        <v>#N/A</v>
      </c>
      <c r="BP130" s="3" t="e">
        <f t="shared" ca="1" si="222"/>
        <v>#N/A</v>
      </c>
      <c r="BQ130" s="3">
        <f t="shared" ca="1" si="223"/>
        <v>0.24900398406374502</v>
      </c>
      <c r="BS130" s="5">
        <v>2.0000000949949026E-3</v>
      </c>
      <c r="BT130" s="11" t="e">
        <v>#N/A</v>
      </c>
      <c r="BU130" s="5">
        <v>6.0000000521540642E-3</v>
      </c>
      <c r="BV130" s="5">
        <v>0.45899999141693115</v>
      </c>
      <c r="BX130" s="3">
        <f t="shared" ca="1" si="224"/>
        <v>1.6687422166874154E-2</v>
      </c>
      <c r="BY130" s="3" t="e">
        <f t="shared" ca="1" si="225"/>
        <v>#N/A</v>
      </c>
      <c r="BZ130" s="3" t="e">
        <f t="shared" ca="1" si="226"/>
        <v>#N/A</v>
      </c>
      <c r="CA130" s="3">
        <f t="shared" ca="1" si="227"/>
        <v>0</v>
      </c>
      <c r="CC130" s="3">
        <f t="shared" ca="1" si="228"/>
        <v>0</v>
      </c>
      <c r="CD130" s="3" t="e">
        <f t="shared" ca="1" si="229"/>
        <v>#N/A</v>
      </c>
      <c r="CE130" s="3" t="e">
        <f t="shared" ca="1" si="230"/>
        <v>#N/A</v>
      </c>
      <c r="CF130" s="3">
        <f t="shared" ca="1" si="231"/>
        <v>0</v>
      </c>
      <c r="CH130" s="3">
        <f t="shared" ca="1" si="232"/>
        <v>0</v>
      </c>
      <c r="CI130" s="3" t="e">
        <f t="shared" ca="1" si="233"/>
        <v>#N/A</v>
      </c>
      <c r="CJ130" s="3" t="e">
        <f t="shared" ca="1" si="234"/>
        <v>#N/A</v>
      </c>
      <c r="CK130" s="3">
        <f t="shared" ca="1" si="235"/>
        <v>0</v>
      </c>
      <c r="CM130" s="3">
        <f t="shared" ca="1" si="236"/>
        <v>0.4981320049813201</v>
      </c>
      <c r="CN130" s="3" t="e">
        <f t="shared" ca="1" si="237"/>
        <v>#N/A</v>
      </c>
      <c r="CO130" s="3" t="e">
        <f t="shared" ca="1" si="238"/>
        <v>#N/A</v>
      </c>
      <c r="CP130" s="3">
        <f t="shared" ca="1" si="239"/>
        <v>0</v>
      </c>
      <c r="CR130" s="5">
        <v>4.0149999999999997</v>
      </c>
      <c r="CS130" s="11" t="e">
        <v>#N/A</v>
      </c>
      <c r="CT130" s="5">
        <v>4.0419999999999998</v>
      </c>
      <c r="CU130" s="5">
        <v>4.016</v>
      </c>
    </row>
    <row r="131" spans="1:99" s="5" customFormat="1" x14ac:dyDescent="0.35">
      <c r="A131" s="4" t="s">
        <v>157</v>
      </c>
      <c r="B131" s="4">
        <v>7</v>
      </c>
      <c r="C131" s="4" t="s">
        <v>168</v>
      </c>
      <c r="D131" s="4" t="s">
        <v>404</v>
      </c>
      <c r="E131" s="3"/>
      <c r="F131" s="5" t="e">
        <v>#N/A</v>
      </c>
      <c r="G131" s="5" t="e">
        <v>#N/A</v>
      </c>
      <c r="H131" s="5" t="e">
        <v>#N/A</v>
      </c>
      <c r="I131" s="5" t="e">
        <v>#N/A</v>
      </c>
      <c r="K131" s="3" t="e">
        <f t="shared" ca="1" si="180"/>
        <v>#N/A</v>
      </c>
      <c r="L131" s="3" t="e">
        <f t="shared" ca="1" si="181"/>
        <v>#N/A</v>
      </c>
      <c r="M131" s="3" t="e">
        <f t="shared" ca="1" si="182"/>
        <v>#N/A</v>
      </c>
      <c r="N131" s="3" t="e">
        <f t="shared" ca="1" si="183"/>
        <v>#N/A</v>
      </c>
      <c r="P131" s="3" t="e">
        <f t="shared" ca="1" si="184"/>
        <v>#N/A</v>
      </c>
      <c r="Q131" s="3" t="e">
        <f t="shared" ca="1" si="185"/>
        <v>#N/A</v>
      </c>
      <c r="R131" s="3" t="e">
        <f t="shared" ca="1" si="186"/>
        <v>#N/A</v>
      </c>
      <c r="S131" s="3" t="e">
        <f t="shared" ca="1" si="187"/>
        <v>#N/A</v>
      </c>
      <c r="U131" s="3" t="e">
        <f t="shared" ca="1" si="188"/>
        <v>#N/A</v>
      </c>
      <c r="V131" s="3" t="e">
        <f t="shared" ca="1" si="189"/>
        <v>#N/A</v>
      </c>
      <c r="W131" s="3" t="e">
        <f t="shared" ca="1" si="190"/>
        <v>#N/A</v>
      </c>
      <c r="X131" s="3" t="e">
        <f t="shared" ca="1" si="191"/>
        <v>#N/A</v>
      </c>
      <c r="Z131" s="3" t="e">
        <f t="shared" ca="1" si="192"/>
        <v>#N/A</v>
      </c>
      <c r="AA131" s="3" t="e">
        <f t="shared" ca="1" si="193"/>
        <v>#N/A</v>
      </c>
      <c r="AB131" s="3" t="e">
        <f t="shared" ca="1" si="194"/>
        <v>#N/A</v>
      </c>
      <c r="AC131" s="3" t="e">
        <f t="shared" ca="1" si="195"/>
        <v>#N/A</v>
      </c>
      <c r="AE131" s="3" t="e">
        <f t="shared" ca="1" si="196"/>
        <v>#N/A</v>
      </c>
      <c r="AF131" s="3" t="e">
        <f t="shared" ca="1" si="197"/>
        <v>#N/A</v>
      </c>
      <c r="AG131" s="3" t="e">
        <f t="shared" ca="1" si="198"/>
        <v>#N/A</v>
      </c>
      <c r="AH131" s="3" t="e">
        <f t="shared" ca="1" si="199"/>
        <v>#N/A</v>
      </c>
      <c r="AJ131" s="3" t="e">
        <f t="shared" ca="1" si="200"/>
        <v>#N/A</v>
      </c>
      <c r="AK131" s="3" t="e">
        <f t="shared" ca="1" si="201"/>
        <v>#N/A</v>
      </c>
      <c r="AL131" s="3" t="e">
        <f t="shared" ca="1" si="202"/>
        <v>#N/A</v>
      </c>
      <c r="AM131" s="3" t="e">
        <f t="shared" ca="1" si="203"/>
        <v>#N/A</v>
      </c>
      <c r="AO131" s="3" t="e">
        <f t="shared" ca="1" si="204"/>
        <v>#N/A</v>
      </c>
      <c r="AP131" s="3" t="e">
        <f t="shared" ca="1" si="205"/>
        <v>#N/A</v>
      </c>
      <c r="AQ131" s="3" t="e">
        <f t="shared" ca="1" si="206"/>
        <v>#N/A</v>
      </c>
      <c r="AR131" s="3" t="e">
        <f t="shared" ca="1" si="207"/>
        <v>#N/A</v>
      </c>
      <c r="AT131" s="5">
        <v>0.19699999690055847</v>
      </c>
      <c r="AU131" s="11" t="e">
        <v>#N/A</v>
      </c>
      <c r="AV131" s="11" t="e">
        <v>#N/A</v>
      </c>
      <c r="AW131" s="11" t="e">
        <v>#N/A</v>
      </c>
      <c r="AY131" s="3" t="e">
        <f t="shared" ca="1" si="208"/>
        <v>#N/A</v>
      </c>
      <c r="AZ131" s="3" t="e">
        <f t="shared" ca="1" si="209"/>
        <v>#N/A</v>
      </c>
      <c r="BA131" s="3" t="e">
        <f t="shared" ca="1" si="210"/>
        <v>#N/A</v>
      </c>
      <c r="BB131" s="3" t="e">
        <f t="shared" ca="1" si="211"/>
        <v>#N/A</v>
      </c>
      <c r="BD131" s="3" t="e">
        <f t="shared" ca="1" si="212"/>
        <v>#N/A</v>
      </c>
      <c r="BE131" s="3" t="e">
        <f t="shared" ca="1" si="213"/>
        <v>#N/A</v>
      </c>
      <c r="BF131" s="3" t="e">
        <f t="shared" ca="1" si="214"/>
        <v>#N/A</v>
      </c>
      <c r="BG131" s="3" t="e">
        <f t="shared" ca="1" si="215"/>
        <v>#N/A</v>
      </c>
      <c r="BI131" s="3" t="e">
        <f t="shared" ca="1" si="216"/>
        <v>#N/A</v>
      </c>
      <c r="BJ131" s="3" t="e">
        <f t="shared" ca="1" si="217"/>
        <v>#N/A</v>
      </c>
      <c r="BK131" s="3" t="e">
        <f t="shared" ca="1" si="218"/>
        <v>#N/A</v>
      </c>
      <c r="BL131" s="3" t="e">
        <f t="shared" ca="1" si="219"/>
        <v>#N/A</v>
      </c>
      <c r="BN131" s="3" t="e">
        <f t="shared" ca="1" si="220"/>
        <v>#N/A</v>
      </c>
      <c r="BO131" s="3" t="e">
        <f t="shared" ca="1" si="221"/>
        <v>#N/A</v>
      </c>
      <c r="BP131" s="3" t="e">
        <f t="shared" ca="1" si="222"/>
        <v>#N/A</v>
      </c>
      <c r="BQ131" s="3" t="e">
        <f t="shared" ca="1" si="223"/>
        <v>#N/A</v>
      </c>
      <c r="BS131" s="5">
        <v>1.1130000352859497</v>
      </c>
      <c r="BT131" s="11" t="e">
        <v>#N/A</v>
      </c>
      <c r="BU131" s="11" t="e">
        <v>#N/A</v>
      </c>
      <c r="BV131" s="11" t="e">
        <v>#N/A</v>
      </c>
      <c r="BX131" s="3" t="e">
        <f t="shared" ca="1" si="224"/>
        <v>#N/A</v>
      </c>
      <c r="BY131" s="3" t="e">
        <f t="shared" ca="1" si="225"/>
        <v>#N/A</v>
      </c>
      <c r="BZ131" s="3" t="e">
        <f t="shared" ca="1" si="226"/>
        <v>#N/A</v>
      </c>
      <c r="CA131" s="3" t="e">
        <f t="shared" ca="1" si="227"/>
        <v>#N/A</v>
      </c>
      <c r="CC131" s="3" t="e">
        <f t="shared" ca="1" si="228"/>
        <v>#N/A</v>
      </c>
      <c r="CD131" s="3" t="e">
        <f t="shared" ca="1" si="229"/>
        <v>#N/A</v>
      </c>
      <c r="CE131" s="3" t="e">
        <f t="shared" ca="1" si="230"/>
        <v>#N/A</v>
      </c>
      <c r="CF131" s="3" t="e">
        <f t="shared" ca="1" si="231"/>
        <v>#N/A</v>
      </c>
      <c r="CH131" s="3" t="e">
        <f t="shared" ca="1" si="232"/>
        <v>#N/A</v>
      </c>
      <c r="CI131" s="3" t="e">
        <f t="shared" ca="1" si="233"/>
        <v>#N/A</v>
      </c>
      <c r="CJ131" s="3" t="e">
        <f t="shared" ca="1" si="234"/>
        <v>#N/A</v>
      </c>
      <c r="CK131" s="3" t="e">
        <f t="shared" ca="1" si="235"/>
        <v>#N/A</v>
      </c>
      <c r="CM131" s="3" t="e">
        <f t="shared" ca="1" si="236"/>
        <v>#N/A</v>
      </c>
      <c r="CN131" s="3" t="e">
        <f t="shared" ca="1" si="237"/>
        <v>#N/A</v>
      </c>
      <c r="CO131" s="3" t="e">
        <f t="shared" ca="1" si="238"/>
        <v>#N/A</v>
      </c>
      <c r="CP131" s="3" t="e">
        <f t="shared" ca="1" si="239"/>
        <v>#N/A</v>
      </c>
      <c r="CR131" s="5">
        <v>4.0289999999999999</v>
      </c>
      <c r="CS131" s="11" t="e">
        <v>#N/A</v>
      </c>
      <c r="CT131" s="11" t="e">
        <v>#N/A</v>
      </c>
      <c r="CU131" s="11" t="e">
        <v>#N/A</v>
      </c>
    </row>
    <row r="132" spans="1:99" s="5" customFormat="1" x14ac:dyDescent="0.35">
      <c r="A132" s="4" t="s">
        <v>95</v>
      </c>
      <c r="B132" s="4">
        <v>7.25</v>
      </c>
      <c r="C132" s="4" t="s">
        <v>168</v>
      </c>
      <c r="D132" s="4" t="s">
        <v>404</v>
      </c>
      <c r="E132" s="3"/>
      <c r="F132" s="5" t="e">
        <v>#N/A</v>
      </c>
      <c r="G132" s="11" t="e">
        <v>#N/A</v>
      </c>
      <c r="H132" s="11" t="e">
        <v>#N/A</v>
      </c>
      <c r="I132" s="5" t="e">
        <v>#N/A</v>
      </c>
      <c r="K132" s="3" t="e">
        <f t="shared" ref="K132:K168" ca="1" si="240">INDIRECT("'Data_Netteyage'!" &amp; LEFT(ADDRESS(1,COLUMN(),4),LEN(ADDRESS(1,COLUMN(),4))-1) &amp; ROW())/F132</f>
        <v>#N/A</v>
      </c>
      <c r="L132" s="3" t="e">
        <f t="shared" ref="L132:L168" ca="1" si="241">INDIRECT("'Data_Netteyage'!" &amp; LEFT(ADDRESS(1,COLUMN(),4),LEN(ADDRESS(1,COLUMN(),4))-1) &amp; ROW())/G132</f>
        <v>#N/A</v>
      </c>
      <c r="M132" s="3" t="e">
        <f t="shared" ref="M132:M168" ca="1" si="242">INDIRECT("'Data_Netteyage'!" &amp; LEFT(ADDRESS(1,COLUMN(),4),LEN(ADDRESS(1,COLUMN(),4))-1) &amp; ROW())/H132</f>
        <v>#N/A</v>
      </c>
      <c r="N132" s="3" t="e">
        <f t="shared" ref="N132:N168" ca="1" si="243">INDIRECT("'Data_Netteyage'!" &amp; LEFT(ADDRESS(1,COLUMN(),4),LEN(ADDRESS(1,COLUMN(),4))-1) &amp; ROW())/I132</f>
        <v>#N/A</v>
      </c>
      <c r="P132" s="3" t="e">
        <f t="shared" ref="P132:P168" ca="1" si="244">INDIRECT("'Data_Netteyage'!" &amp; LEFT(ADDRESS(1,COLUMN(),4),LEN(ADDRESS(1,COLUMN(),4))-1) &amp; ROW())/F132</f>
        <v>#N/A</v>
      </c>
      <c r="Q132" s="3" t="e">
        <f t="shared" ref="Q132:Q168" ca="1" si="245">INDIRECT("'Data_Netteyage'!" &amp; LEFT(ADDRESS(1,COLUMN(),4),LEN(ADDRESS(1,COLUMN(),4))-1) &amp; ROW())/G132</f>
        <v>#N/A</v>
      </c>
      <c r="R132" s="3" t="e">
        <f t="shared" ref="R132:R168" ca="1" si="246">INDIRECT("'Data_Netteyage'!" &amp; LEFT(ADDRESS(1,COLUMN(),4),LEN(ADDRESS(1,COLUMN(),4))-1) &amp; ROW())/H132</f>
        <v>#N/A</v>
      </c>
      <c r="S132" s="3" t="e">
        <f t="shared" ref="S132:S168" ca="1" si="247">INDIRECT("'Data_Netteyage'!" &amp; LEFT(ADDRESS(1,COLUMN(),4),LEN(ADDRESS(1,COLUMN(),4))-1) &amp; ROW())/I132</f>
        <v>#N/A</v>
      </c>
      <c r="U132" s="3" t="e">
        <f t="shared" ref="U132:U168" ca="1" si="248">INDIRECT("'Data_Netteyage'!" &amp; LEFT(ADDRESS(1,COLUMN(),4),LEN(ADDRESS(1,COLUMN(),4))-1) &amp; ROW())/F132</f>
        <v>#N/A</v>
      </c>
      <c r="V132" s="3" t="e">
        <f t="shared" ref="V132:V168" ca="1" si="249">INDIRECT("'Data_Netteyage'!" &amp; LEFT(ADDRESS(1,COLUMN(),4),LEN(ADDRESS(1,COLUMN(),4))-1) &amp; ROW())/G132</f>
        <v>#N/A</v>
      </c>
      <c r="W132" s="3" t="e">
        <f t="shared" ref="W132:W168" ca="1" si="250">INDIRECT("'Data_Netteyage'!" &amp; LEFT(ADDRESS(1,COLUMN(),4),LEN(ADDRESS(1,COLUMN(),4))-1) &amp; ROW())/H132</f>
        <v>#N/A</v>
      </c>
      <c r="X132" s="3" t="e">
        <f t="shared" ref="X132:X168" ca="1" si="251">INDIRECT("'Data_Netteyage'!" &amp; LEFT(ADDRESS(1,COLUMN(),4),LEN(ADDRESS(1,COLUMN(),4))-1) &amp; ROW())/I132</f>
        <v>#N/A</v>
      </c>
      <c r="Z132" s="3" t="e">
        <f t="shared" ref="Z132:Z168" ca="1" si="252">INDIRECT("'Data_Netteyage'!" &amp; LEFT(ADDRESS(1,COLUMN(),4),LEN(ADDRESS(1,COLUMN(),4))-1) &amp; ROW())/F132</f>
        <v>#N/A</v>
      </c>
      <c r="AA132" s="3" t="e">
        <f t="shared" ref="AA132:AA168" ca="1" si="253">INDIRECT("'Data_Netteyage'!" &amp; LEFT(ADDRESS(1,COLUMN(),4),LEN(ADDRESS(1,COLUMN(),4))-1) &amp; ROW())/G132</f>
        <v>#N/A</v>
      </c>
      <c r="AB132" s="3" t="e">
        <f t="shared" ref="AB132:AB168" ca="1" si="254">INDIRECT("'Data_Netteyage'!" &amp; LEFT(ADDRESS(1,COLUMN(),4),LEN(ADDRESS(1,COLUMN(),4))-1) &amp; ROW())/H132</f>
        <v>#N/A</v>
      </c>
      <c r="AC132" s="3" t="e">
        <f t="shared" ref="AC132:AC168" ca="1" si="255">INDIRECT("'Data_Netteyage'!" &amp; LEFT(ADDRESS(1,COLUMN(),4),LEN(ADDRESS(1,COLUMN(),4))-1) &amp; ROW())/I132</f>
        <v>#N/A</v>
      </c>
      <c r="AE132" s="3" t="e">
        <f t="shared" ref="AE132:AE168" ca="1" si="256">INDIRECT("'Data_Netteyage'!" &amp; LEFT(ADDRESS(1,COLUMN(),4),LEN(ADDRESS(1,COLUMN(),4))-1) &amp; ROW())/F132</f>
        <v>#N/A</v>
      </c>
      <c r="AF132" s="3" t="e">
        <f t="shared" ref="AF132:AF168" ca="1" si="257">INDIRECT("'Data_Netteyage'!" &amp; LEFT(ADDRESS(1,COLUMN(),4),LEN(ADDRESS(1,COLUMN(),4))-1) &amp; ROW())/G132</f>
        <v>#N/A</v>
      </c>
      <c r="AG132" s="3" t="e">
        <f t="shared" ref="AG132:AG168" ca="1" si="258">INDIRECT("'Data_Netteyage'!" &amp; LEFT(ADDRESS(1,COLUMN(),4),LEN(ADDRESS(1,COLUMN(),4))-1) &amp; ROW())/H132</f>
        <v>#N/A</v>
      </c>
      <c r="AH132" s="3" t="e">
        <f t="shared" ref="AH132:AH168" ca="1" si="259">INDIRECT("'Data_Netteyage'!" &amp; LEFT(ADDRESS(1,COLUMN(),4),LEN(ADDRESS(1,COLUMN(),4))-1) &amp; ROW())/I132</f>
        <v>#N/A</v>
      </c>
      <c r="AJ132" s="3" t="e">
        <f t="shared" ref="AJ132:AJ168" ca="1" si="260">INDIRECT("'Data_Netteyage'!" &amp; LEFT(ADDRESS(1,COLUMN(),4),LEN(ADDRESS(1,COLUMN(),4))-1) &amp; ROW())/F132</f>
        <v>#N/A</v>
      </c>
      <c r="AK132" s="3" t="e">
        <f t="shared" ref="AK132:AK168" ca="1" si="261">INDIRECT("'Data_Netteyage'!" &amp; LEFT(ADDRESS(1,COLUMN(),4),LEN(ADDRESS(1,COLUMN(),4))-1) &amp; ROW())/G132</f>
        <v>#N/A</v>
      </c>
      <c r="AL132" s="3" t="e">
        <f t="shared" ref="AL132:AL168" ca="1" si="262">INDIRECT("'Data_Netteyage'!" &amp; LEFT(ADDRESS(1,COLUMN(),4),LEN(ADDRESS(1,COLUMN(),4))-1) &amp; ROW())/H132</f>
        <v>#N/A</v>
      </c>
      <c r="AM132" s="3" t="e">
        <f t="shared" ref="AM132:AM168" ca="1" si="263">INDIRECT("'Data_Netteyage'!" &amp; LEFT(ADDRESS(1,COLUMN(),4),LEN(ADDRESS(1,COLUMN(),4))-1) &amp; ROW())/I132</f>
        <v>#N/A</v>
      </c>
      <c r="AO132" s="3" t="e">
        <f t="shared" ref="AO132:AO168" ca="1" si="264">INDIRECT("'Data_Netteyage'!" &amp; LEFT(ADDRESS(1,COLUMN(),4),LEN(ADDRESS(1,COLUMN(),4))-1) &amp; ROW())/F132</f>
        <v>#N/A</v>
      </c>
      <c r="AP132" s="3" t="e">
        <f t="shared" ref="AP132:AP168" ca="1" si="265">INDIRECT("'Data_Netteyage'!" &amp; LEFT(ADDRESS(1,COLUMN(),4),LEN(ADDRESS(1,COLUMN(),4))-1) &amp; ROW())/G132</f>
        <v>#N/A</v>
      </c>
      <c r="AQ132" s="3" t="e">
        <f t="shared" ref="AQ132:AQ168" ca="1" si="266">INDIRECT("'Data_Netteyage'!" &amp; LEFT(ADDRESS(1,COLUMN(),4),LEN(ADDRESS(1,COLUMN(),4))-1) &amp; ROW())/H132</f>
        <v>#N/A</v>
      </c>
      <c r="AR132" s="3" t="e">
        <f t="shared" ref="AR132:AR168" ca="1" si="267">INDIRECT("'Data_Netteyage'!" &amp; LEFT(ADDRESS(1,COLUMN(),4),LEN(ADDRESS(1,COLUMN(),4))-1) &amp; ROW())/I132</f>
        <v>#N/A</v>
      </c>
      <c r="AT132" s="11" t="e">
        <v>#N/A</v>
      </c>
      <c r="AU132" s="11" t="e">
        <v>#N/A</v>
      </c>
      <c r="AV132" s="11" t="e">
        <v>#N/A</v>
      </c>
      <c r="AW132" s="5">
        <v>2.0190000534057617</v>
      </c>
      <c r="AY132" s="3" t="e">
        <f t="shared" ref="AY132:AY168" ca="1" si="268">INDIRECT("'Data_Netteyage'!" &amp; LEFT(ADDRESS(1,COLUMN(),4),LEN(ADDRESS(1,COLUMN(),4))-1) &amp; ROW())/F132</f>
        <v>#N/A</v>
      </c>
      <c r="AZ132" s="3" t="e">
        <f t="shared" ref="AZ132:AZ168" ca="1" si="269">INDIRECT("'Data_Netteyage'!" &amp; LEFT(ADDRESS(1,COLUMN(),4),LEN(ADDRESS(1,COLUMN(),4))-1) &amp; ROW())/G132</f>
        <v>#N/A</v>
      </c>
      <c r="BA132" s="3" t="e">
        <f t="shared" ref="BA132:BA168" ca="1" si="270">INDIRECT("'Data_Netteyage'!" &amp; LEFT(ADDRESS(1,COLUMN(),4),LEN(ADDRESS(1,COLUMN(),4))-1) &amp; ROW())/H132</f>
        <v>#N/A</v>
      </c>
      <c r="BB132" s="3" t="e">
        <f t="shared" ref="BB132:BB168" ca="1" si="271">INDIRECT("'Data_Netteyage'!" &amp; LEFT(ADDRESS(1,COLUMN(),4),LEN(ADDRESS(1,COLUMN(),4))-1) &amp; ROW())/I132</f>
        <v>#N/A</v>
      </c>
      <c r="BD132" s="3" t="e">
        <f t="shared" ref="BD132:BD168" ca="1" si="272">INDIRECT("'Data_Netteyage'!" &amp; LEFT(ADDRESS(1,COLUMN(),4),LEN(ADDRESS(1,COLUMN(),4))-1) &amp; ROW())/F132</f>
        <v>#N/A</v>
      </c>
      <c r="BE132" s="3" t="e">
        <f t="shared" ref="BE132:BE168" ca="1" si="273">INDIRECT("'Data_Netteyage'!" &amp; LEFT(ADDRESS(1,COLUMN(),4),LEN(ADDRESS(1,COLUMN(),4))-1) &amp; ROW())/G132</f>
        <v>#N/A</v>
      </c>
      <c r="BF132" s="3" t="e">
        <f t="shared" ref="BF132:BF168" ca="1" si="274">INDIRECT("'Data_Netteyage'!" &amp; LEFT(ADDRESS(1,COLUMN(),4),LEN(ADDRESS(1,COLUMN(),4))-1) &amp; ROW())/H132</f>
        <v>#N/A</v>
      </c>
      <c r="BG132" s="3" t="e">
        <f t="shared" ref="BG132:BG168" ca="1" si="275">INDIRECT("'Data_Netteyage'!" &amp; LEFT(ADDRESS(1,COLUMN(),4),LEN(ADDRESS(1,COLUMN(),4))-1) &amp; ROW())/I132</f>
        <v>#N/A</v>
      </c>
      <c r="BI132" s="3" t="e">
        <f t="shared" ref="BI132:BI168" ca="1" si="276">INDIRECT("'Data_Netteyage'!" &amp; LEFT(ADDRESS(1,COLUMN(),4),LEN(ADDRESS(1,COLUMN(),4))-1) &amp; ROW())/F132</f>
        <v>#N/A</v>
      </c>
      <c r="BJ132" s="3" t="e">
        <f t="shared" ref="BJ132:BJ168" ca="1" si="277">INDIRECT("'Data_Netteyage'!" &amp; LEFT(ADDRESS(1,COLUMN(),4),LEN(ADDRESS(1,COLUMN(),4))-1) &amp; ROW())/G132</f>
        <v>#N/A</v>
      </c>
      <c r="BK132" s="3" t="e">
        <f t="shared" ref="BK132:BK168" ca="1" si="278">INDIRECT("'Data_Netteyage'!" &amp; LEFT(ADDRESS(1,COLUMN(),4),LEN(ADDRESS(1,COLUMN(),4))-1) &amp; ROW())/H132</f>
        <v>#N/A</v>
      </c>
      <c r="BL132" s="3" t="e">
        <f t="shared" ref="BL132:BL168" ca="1" si="279">INDIRECT("'Data_Netteyage'!" &amp; LEFT(ADDRESS(1,COLUMN(),4),LEN(ADDRESS(1,COLUMN(),4))-1) &amp; ROW())/I132</f>
        <v>#N/A</v>
      </c>
      <c r="BN132" s="3" t="e">
        <f t="shared" ref="BN132:BN168" ca="1" si="280">INDIRECT("'Data_Netteyage'!" &amp; LEFT(ADDRESS(1,COLUMN(),4),LEN(ADDRESS(1,COLUMN(),4))-1) &amp; ROW())/F132</f>
        <v>#N/A</v>
      </c>
      <c r="BO132" s="3" t="e">
        <f t="shared" ref="BO132:BO168" ca="1" si="281">INDIRECT("'Data_Netteyage'!" &amp; LEFT(ADDRESS(1,COLUMN(),4),LEN(ADDRESS(1,COLUMN(),4))-1) &amp; ROW())/G132</f>
        <v>#N/A</v>
      </c>
      <c r="BP132" s="3" t="e">
        <f t="shared" ref="BP132:BP168" ca="1" si="282">INDIRECT("'Data_Netteyage'!" &amp; LEFT(ADDRESS(1,COLUMN(),4),LEN(ADDRESS(1,COLUMN(),4))-1) &amp; ROW())/H132</f>
        <v>#N/A</v>
      </c>
      <c r="BQ132" s="3" t="e">
        <f t="shared" ref="BQ132:BQ168" ca="1" si="283">INDIRECT("'Data_Netteyage'!" &amp; LEFT(ADDRESS(1,COLUMN(),4),LEN(ADDRESS(1,COLUMN(),4))-1) &amp; ROW())/I132</f>
        <v>#N/A</v>
      </c>
      <c r="BS132" s="11" t="e">
        <v>#N/A</v>
      </c>
      <c r="BT132" s="11" t="e">
        <v>#N/A</v>
      </c>
      <c r="BU132" s="11" t="e">
        <v>#N/A</v>
      </c>
      <c r="BV132" s="5">
        <v>3.7679998874664307</v>
      </c>
      <c r="BX132" s="3" t="e">
        <f t="shared" ref="BX132:BX168" ca="1" si="284">INDIRECT("'Data_Netteyage'!" &amp; LEFT(ADDRESS(1,COLUMN(),4),LEN(ADDRESS(1,COLUMN(),4))-1) &amp; ROW())/F132</f>
        <v>#N/A</v>
      </c>
      <c r="BY132" s="3" t="e">
        <f t="shared" ref="BY132:BY168" ca="1" si="285">INDIRECT("'Data_Netteyage'!" &amp; LEFT(ADDRESS(1,COLUMN(),4),LEN(ADDRESS(1,COLUMN(),4))-1) &amp; ROW())/G132</f>
        <v>#N/A</v>
      </c>
      <c r="BZ132" s="3" t="e">
        <f t="shared" ref="BZ132:BZ168" ca="1" si="286">INDIRECT("'Data_Netteyage'!" &amp; LEFT(ADDRESS(1,COLUMN(),4),LEN(ADDRESS(1,COLUMN(),4))-1) &amp; ROW())/H132</f>
        <v>#N/A</v>
      </c>
      <c r="CA132" s="3" t="e">
        <f t="shared" ref="CA132:CA168" ca="1" si="287">INDIRECT("'Data_Netteyage'!" &amp; LEFT(ADDRESS(1,COLUMN(),4),LEN(ADDRESS(1,COLUMN(),4))-1) &amp; ROW())/I132</f>
        <v>#N/A</v>
      </c>
      <c r="CC132" s="3" t="e">
        <f t="shared" ref="CC132:CC168" ca="1" si="288">INDIRECT("'Data_Netteyage'!" &amp; LEFT(ADDRESS(1,COLUMN(),4),LEN(ADDRESS(1,COLUMN(),4))-1) &amp; ROW())/F132</f>
        <v>#N/A</v>
      </c>
      <c r="CD132" s="3" t="e">
        <f t="shared" ref="CD132:CD168" ca="1" si="289">INDIRECT("'Data_Netteyage'!" &amp; LEFT(ADDRESS(1,COLUMN(),4),LEN(ADDRESS(1,COLUMN(),4))-1) &amp; ROW())/G132</f>
        <v>#N/A</v>
      </c>
      <c r="CE132" s="3" t="e">
        <f t="shared" ref="CE132:CE168" ca="1" si="290">INDIRECT("'Data_Netteyage'!" &amp; LEFT(ADDRESS(1,COLUMN(),4),LEN(ADDRESS(1,COLUMN(),4))-1) &amp; ROW())/H132</f>
        <v>#N/A</v>
      </c>
      <c r="CF132" s="3" t="e">
        <f t="shared" ref="CF132:CF168" ca="1" si="291">INDIRECT("'Data_Netteyage'!" &amp; LEFT(ADDRESS(1,COLUMN(),4),LEN(ADDRESS(1,COLUMN(),4))-1) &amp; ROW())/I132</f>
        <v>#N/A</v>
      </c>
      <c r="CH132" s="3" t="e">
        <f t="shared" ref="CH132:CH168" ca="1" si="292">INDIRECT("'Data_Netteyage'!" &amp; LEFT(ADDRESS(1,COLUMN(),4),LEN(ADDRESS(1,COLUMN(),4))-1) &amp; ROW())/F132</f>
        <v>#N/A</v>
      </c>
      <c r="CI132" s="3" t="e">
        <f t="shared" ref="CI132:CI168" ca="1" si="293">INDIRECT("'Data_Netteyage'!" &amp; LEFT(ADDRESS(1,COLUMN(),4),LEN(ADDRESS(1,COLUMN(),4))-1) &amp; ROW())/G132</f>
        <v>#N/A</v>
      </c>
      <c r="CJ132" s="3" t="e">
        <f t="shared" ref="CJ132:CJ168" ca="1" si="294">INDIRECT("'Data_Netteyage'!" &amp; LEFT(ADDRESS(1,COLUMN(),4),LEN(ADDRESS(1,COLUMN(),4))-1) &amp; ROW())/H132</f>
        <v>#N/A</v>
      </c>
      <c r="CK132" s="3" t="e">
        <f t="shared" ref="CK132:CK168" ca="1" si="295">INDIRECT("'Data_Netteyage'!" &amp; LEFT(ADDRESS(1,COLUMN(),4),LEN(ADDRESS(1,COLUMN(),4))-1) &amp; ROW())/I132</f>
        <v>#N/A</v>
      </c>
      <c r="CM132" s="3" t="e">
        <f t="shared" ref="CM132:CM168" ca="1" si="296">INDIRECT("'Data_Netteyage'!" &amp; LEFT(ADDRESS(1,COLUMN(),4),LEN(ADDRESS(1,COLUMN(),4))-1) &amp; ROW())/F132</f>
        <v>#N/A</v>
      </c>
      <c r="CN132" s="3" t="e">
        <f t="shared" ref="CN132:CN168" ca="1" si="297">INDIRECT("'Data_Netteyage'!" &amp; LEFT(ADDRESS(1,COLUMN(),4),LEN(ADDRESS(1,COLUMN(),4))-1) &amp; ROW())/G132</f>
        <v>#N/A</v>
      </c>
      <c r="CO132" s="3" t="e">
        <f t="shared" ref="CO132:CO168" ca="1" si="298">INDIRECT("'Data_Netteyage'!" &amp; LEFT(ADDRESS(1,COLUMN(),4),LEN(ADDRESS(1,COLUMN(),4))-1) &amp; ROW())/H132</f>
        <v>#N/A</v>
      </c>
      <c r="CP132" s="3" t="e">
        <f t="shared" ref="CP132:CP168" ca="1" si="299">INDIRECT("'Data_Netteyage'!" &amp; LEFT(ADDRESS(1,COLUMN(),4),LEN(ADDRESS(1,COLUMN(),4))-1) &amp; ROW())/I132</f>
        <v>#N/A</v>
      </c>
      <c r="CR132" s="11" t="e">
        <v>#N/A</v>
      </c>
      <c r="CS132" s="11" t="e">
        <v>#N/A</v>
      </c>
      <c r="CT132" s="11" t="e">
        <v>#N/A</v>
      </c>
      <c r="CU132" s="5">
        <v>3.6019999980926514</v>
      </c>
    </row>
    <row r="133" spans="1:99" s="5" customFormat="1" x14ac:dyDescent="0.35">
      <c r="A133" s="4" t="s">
        <v>97</v>
      </c>
      <c r="B133" s="4">
        <v>7.25</v>
      </c>
      <c r="C133" s="4" t="s">
        <v>168</v>
      </c>
      <c r="D133" s="4" t="s">
        <v>404</v>
      </c>
      <c r="E133" s="3"/>
      <c r="F133" s="11" t="e">
        <v>#N/A</v>
      </c>
      <c r="G133" s="5" t="e">
        <v>#N/A</v>
      </c>
      <c r="H133" s="5">
        <v>3.0319999999999996</v>
      </c>
      <c r="I133" s="5" t="e">
        <v>#N/A</v>
      </c>
      <c r="K133" s="3" t="e">
        <f t="shared" ca="1" si="240"/>
        <v>#N/A</v>
      </c>
      <c r="L133" s="3" t="e">
        <f t="shared" ca="1" si="241"/>
        <v>#N/A</v>
      </c>
      <c r="M133" s="3">
        <f t="shared" ca="1" si="242"/>
        <v>0.99472295514511888</v>
      </c>
      <c r="N133" s="3" t="e">
        <f t="shared" ca="1" si="243"/>
        <v>#N/A</v>
      </c>
      <c r="P133" s="3" t="e">
        <f t="shared" ca="1" si="244"/>
        <v>#N/A</v>
      </c>
      <c r="Q133" s="3" t="e">
        <f t="shared" ca="1" si="245"/>
        <v>#N/A</v>
      </c>
      <c r="R133" s="3">
        <f t="shared" ca="1" si="246"/>
        <v>0.96141159691722555</v>
      </c>
      <c r="S133" s="3" t="e">
        <f t="shared" ca="1" si="247"/>
        <v>#N/A</v>
      </c>
      <c r="U133" s="3" t="e">
        <f t="shared" ca="1" si="248"/>
        <v>#N/A</v>
      </c>
      <c r="V133" s="3" t="e">
        <f t="shared" ca="1" si="249"/>
        <v>#N/A</v>
      </c>
      <c r="W133" s="3">
        <f t="shared" ca="1" si="250"/>
        <v>1.3192612137203168</v>
      </c>
      <c r="X133" s="3" t="e">
        <f t="shared" ca="1" si="251"/>
        <v>#N/A</v>
      </c>
      <c r="Z133" s="3" t="e">
        <f t="shared" ca="1" si="252"/>
        <v>#N/A</v>
      </c>
      <c r="AA133" s="3" t="e">
        <f t="shared" ca="1" si="253"/>
        <v>#N/A</v>
      </c>
      <c r="AB133" s="3">
        <f t="shared" ca="1" si="254"/>
        <v>0.97823218997361494</v>
      </c>
      <c r="AC133" s="3" t="e">
        <f t="shared" ca="1" si="255"/>
        <v>#N/A</v>
      </c>
      <c r="AE133" s="3" t="e">
        <f t="shared" ca="1" si="256"/>
        <v>#N/A</v>
      </c>
      <c r="AF133" s="3" t="e">
        <f t="shared" ca="1" si="257"/>
        <v>#N/A</v>
      </c>
      <c r="AG133" s="3">
        <f t="shared" ca="1" si="258"/>
        <v>0.96141159691722555</v>
      </c>
      <c r="AH133" s="3" t="e">
        <f t="shared" ca="1" si="259"/>
        <v>#N/A</v>
      </c>
      <c r="AJ133" s="3" t="e">
        <f t="shared" ca="1" si="260"/>
        <v>#N/A</v>
      </c>
      <c r="AK133" s="3" t="e">
        <f t="shared" ca="1" si="261"/>
        <v>#N/A</v>
      </c>
      <c r="AL133" s="3">
        <f t="shared" ca="1" si="262"/>
        <v>1.3192612137203168</v>
      </c>
      <c r="AM133" s="3" t="e">
        <f t="shared" ca="1" si="263"/>
        <v>#N/A</v>
      </c>
      <c r="AO133" s="3" t="e">
        <f t="shared" ca="1" si="264"/>
        <v>#N/A</v>
      </c>
      <c r="AP133" s="3" t="e">
        <f t="shared" ca="1" si="265"/>
        <v>#N/A</v>
      </c>
      <c r="AQ133" s="3">
        <f t="shared" ca="1" si="266"/>
        <v>0.3298153034300792</v>
      </c>
      <c r="AR133" s="3" t="e">
        <f t="shared" ca="1" si="267"/>
        <v>#N/A</v>
      </c>
      <c r="AT133" s="11" t="e">
        <v>#N/A</v>
      </c>
      <c r="AU133" s="11" t="e">
        <v>#N/A</v>
      </c>
      <c r="AV133" s="5">
        <v>1.0279999971389771</v>
      </c>
      <c r="AW133" s="11" t="e">
        <v>#N/A</v>
      </c>
      <c r="AY133" s="3" t="e">
        <f t="shared" ca="1" si="268"/>
        <v>#N/A</v>
      </c>
      <c r="AZ133" s="3" t="e">
        <f t="shared" ca="1" si="269"/>
        <v>#N/A</v>
      </c>
      <c r="BA133" s="3">
        <f t="shared" ca="1" si="270"/>
        <v>0.54419525065963081</v>
      </c>
      <c r="BB133" s="3" t="e">
        <f t="shared" ca="1" si="271"/>
        <v>#N/A</v>
      </c>
      <c r="BD133" s="3" t="e">
        <f t="shared" ca="1" si="272"/>
        <v>#N/A</v>
      </c>
      <c r="BE133" s="3" t="e">
        <f t="shared" ca="1" si="273"/>
        <v>#N/A</v>
      </c>
      <c r="BF133" s="3">
        <f t="shared" ca="1" si="274"/>
        <v>0.56596308710707222</v>
      </c>
      <c r="BG133" s="3" t="e">
        <f t="shared" ca="1" si="275"/>
        <v>#N/A</v>
      </c>
      <c r="BI133" s="3" t="e">
        <f t="shared" ca="1" si="276"/>
        <v>#N/A</v>
      </c>
      <c r="BJ133" s="3" t="e">
        <f t="shared" ca="1" si="277"/>
        <v>#N/A</v>
      </c>
      <c r="BK133" s="3">
        <f t="shared" ca="1" si="278"/>
        <v>0.6596306068601584</v>
      </c>
      <c r="BL133" s="3" t="e">
        <f t="shared" ca="1" si="279"/>
        <v>#N/A</v>
      </c>
      <c r="BN133" s="3" t="e">
        <f t="shared" ca="1" si="280"/>
        <v>#N/A</v>
      </c>
      <c r="BO133" s="3" t="e">
        <f t="shared" ca="1" si="281"/>
        <v>#N/A</v>
      </c>
      <c r="BP133" s="3">
        <f t="shared" ca="1" si="282"/>
        <v>0.3298153034300792</v>
      </c>
      <c r="BQ133" s="3" t="e">
        <f t="shared" ca="1" si="283"/>
        <v>#N/A</v>
      </c>
      <c r="BS133" s="11" t="e">
        <v>#N/A</v>
      </c>
      <c r="BT133" s="11" t="e">
        <v>#N/A</v>
      </c>
      <c r="BU133" s="5">
        <v>2.2609999179840088</v>
      </c>
      <c r="BV133" s="11" t="e">
        <v>#N/A</v>
      </c>
      <c r="BX133" s="3" t="e">
        <f t="shared" ca="1" si="284"/>
        <v>#N/A</v>
      </c>
      <c r="BY133" s="3" t="e">
        <f t="shared" ca="1" si="285"/>
        <v>#N/A</v>
      </c>
      <c r="BZ133" s="3">
        <f t="shared" ca="1" si="286"/>
        <v>0</v>
      </c>
      <c r="CA133" s="3" t="e">
        <f t="shared" ca="1" si="287"/>
        <v>#N/A</v>
      </c>
      <c r="CC133" s="3" t="e">
        <f t="shared" ca="1" si="288"/>
        <v>#N/A</v>
      </c>
      <c r="CD133" s="3" t="e">
        <f t="shared" ca="1" si="289"/>
        <v>#N/A</v>
      </c>
      <c r="CE133" s="3">
        <f t="shared" ca="1" si="290"/>
        <v>0</v>
      </c>
      <c r="CF133" s="3" t="e">
        <f t="shared" ca="1" si="291"/>
        <v>#N/A</v>
      </c>
      <c r="CH133" s="3" t="e">
        <f t="shared" ca="1" si="292"/>
        <v>#N/A</v>
      </c>
      <c r="CI133" s="3" t="e">
        <f t="shared" ca="1" si="293"/>
        <v>#N/A</v>
      </c>
      <c r="CJ133" s="3">
        <f t="shared" ca="1" si="294"/>
        <v>0</v>
      </c>
      <c r="CK133" s="3" t="e">
        <f t="shared" ca="1" si="295"/>
        <v>#N/A</v>
      </c>
      <c r="CM133" s="3" t="e">
        <f t="shared" ca="1" si="296"/>
        <v>#N/A</v>
      </c>
      <c r="CN133" s="3" t="e">
        <f t="shared" ca="1" si="297"/>
        <v>#N/A</v>
      </c>
      <c r="CO133" s="3">
        <f t="shared" ca="1" si="298"/>
        <v>0</v>
      </c>
      <c r="CP133" s="3" t="e">
        <f t="shared" ca="1" si="299"/>
        <v>#N/A</v>
      </c>
      <c r="CR133" s="11" t="e">
        <v>#N/A</v>
      </c>
      <c r="CS133" s="11" t="e">
        <v>#N/A</v>
      </c>
      <c r="CT133" s="5">
        <v>4.01</v>
      </c>
      <c r="CU133" s="11" t="e">
        <v>#N/A</v>
      </c>
    </row>
    <row r="134" spans="1:99" s="5" customFormat="1" x14ac:dyDescent="0.35">
      <c r="A134" s="4" t="s">
        <v>126</v>
      </c>
      <c r="B134" s="4">
        <v>7.25</v>
      </c>
      <c r="C134" s="4" t="s">
        <v>168</v>
      </c>
      <c r="D134" s="4" t="s">
        <v>404</v>
      </c>
      <c r="E134" s="3"/>
      <c r="F134" s="5" t="e">
        <v>#N/A</v>
      </c>
      <c r="G134" s="5">
        <v>4.016</v>
      </c>
      <c r="H134" s="5">
        <v>4.0259999999999998</v>
      </c>
      <c r="I134" s="5">
        <v>4.01</v>
      </c>
      <c r="K134" s="3" t="e">
        <f t="shared" ca="1" si="240"/>
        <v>#N/A</v>
      </c>
      <c r="L134" s="3">
        <f t="shared" ca="1" si="241"/>
        <v>0.85881474103585675</v>
      </c>
      <c r="M134" s="3">
        <f t="shared" ca="1" si="242"/>
        <v>0.99751614505712871</v>
      </c>
      <c r="N134" s="3">
        <f t="shared" ca="1" si="243"/>
        <v>0.89750623441396515</v>
      </c>
      <c r="P134" s="3" t="e">
        <f t="shared" ca="1" si="244"/>
        <v>#N/A</v>
      </c>
      <c r="Q134" s="3">
        <f t="shared" ca="1" si="245"/>
        <v>0.97061750165741534</v>
      </c>
      <c r="R134" s="3">
        <f t="shared" ca="1" si="246"/>
        <v>0.71584704617511208</v>
      </c>
      <c r="S134" s="3">
        <f t="shared" ca="1" si="247"/>
        <v>0.73541143439951684</v>
      </c>
      <c r="U134" s="3" t="e">
        <f t="shared" ca="1" si="248"/>
        <v>#N/A</v>
      </c>
      <c r="V134" s="3">
        <f t="shared" ca="1" si="249"/>
        <v>1.7430278884462151</v>
      </c>
      <c r="W134" s="3">
        <f t="shared" ca="1" si="250"/>
        <v>1.4903129657228018</v>
      </c>
      <c r="X134" s="3">
        <f t="shared" ca="1" si="251"/>
        <v>2.4937655860349128</v>
      </c>
      <c r="Z134" s="3" t="e">
        <f t="shared" ca="1" si="252"/>
        <v>#N/A</v>
      </c>
      <c r="AA134" s="3">
        <f t="shared" ca="1" si="253"/>
        <v>0.9957669322709165</v>
      </c>
      <c r="AB134" s="3">
        <f t="shared" ca="1" si="254"/>
        <v>0.81520119225037257</v>
      </c>
      <c r="AC134" s="3">
        <f t="shared" ca="1" si="255"/>
        <v>0.49027431421446388</v>
      </c>
      <c r="AE134" s="3" t="e">
        <f t="shared" ca="1" si="256"/>
        <v>#N/A</v>
      </c>
      <c r="AF134" s="3">
        <f t="shared" ca="1" si="257"/>
        <v>0.97061750165741534</v>
      </c>
      <c r="AG134" s="3">
        <f t="shared" ca="1" si="258"/>
        <v>0.71584704617511208</v>
      </c>
      <c r="AH134" s="3">
        <f t="shared" ca="1" si="259"/>
        <v>0.41970073284948262</v>
      </c>
      <c r="AJ134" s="3" t="e">
        <f t="shared" ca="1" si="260"/>
        <v>#N/A</v>
      </c>
      <c r="AK134" s="3">
        <f t="shared" ca="1" si="261"/>
        <v>1.7430278884462151</v>
      </c>
      <c r="AL134" s="3">
        <f t="shared" ca="1" si="262"/>
        <v>1.4903129657228018</v>
      </c>
      <c r="AM134" s="3">
        <f t="shared" ca="1" si="263"/>
        <v>1.745635910224439</v>
      </c>
      <c r="AO134" s="3" t="e">
        <f t="shared" ca="1" si="264"/>
        <v>#N/A</v>
      </c>
      <c r="AP134" s="3">
        <f t="shared" ca="1" si="265"/>
        <v>0.24900398406374502</v>
      </c>
      <c r="AQ134" s="3">
        <f t="shared" ca="1" si="266"/>
        <v>0.49677098857426727</v>
      </c>
      <c r="AR134" s="3">
        <f t="shared" ca="1" si="267"/>
        <v>1.4962593516209477</v>
      </c>
      <c r="AT134" s="11" t="e">
        <v>#N/A</v>
      </c>
      <c r="AU134" s="5">
        <v>2.0000000949949026E-3</v>
      </c>
      <c r="AV134" s="5">
        <v>0.27700001001358032</v>
      </c>
      <c r="AW134" s="5">
        <v>0.43200001120567322</v>
      </c>
      <c r="AY134" s="3" t="e">
        <f t="shared" ca="1" si="268"/>
        <v>#N/A</v>
      </c>
      <c r="AZ134" s="3">
        <f t="shared" ca="1" si="269"/>
        <v>0</v>
      </c>
      <c r="BA134" s="3">
        <f t="shared" ca="1" si="270"/>
        <v>4.9677098857426716E-2</v>
      </c>
      <c r="BB134" s="3">
        <f t="shared" ca="1" si="271"/>
        <v>8.2294264339151917E-3</v>
      </c>
      <c r="BD134" s="3" t="e">
        <f t="shared" ca="1" si="272"/>
        <v>#N/A</v>
      </c>
      <c r="BE134" s="3">
        <f t="shared" ca="1" si="273"/>
        <v>0</v>
      </c>
      <c r="BF134" s="3">
        <f t="shared" ca="1" si="274"/>
        <v>6.2096373571783409E-2</v>
      </c>
      <c r="BG134" s="3">
        <f t="shared" ca="1" si="275"/>
        <v>0</v>
      </c>
      <c r="BI134" s="3" t="e">
        <f t="shared" ca="1" si="276"/>
        <v>#N/A</v>
      </c>
      <c r="BJ134" s="3">
        <f t="shared" ca="1" si="277"/>
        <v>0</v>
      </c>
      <c r="BK134" s="3">
        <f t="shared" ca="1" si="278"/>
        <v>0.24838549428713363</v>
      </c>
      <c r="BL134" s="3">
        <f t="shared" ca="1" si="279"/>
        <v>0</v>
      </c>
      <c r="BN134" s="3" t="e">
        <f t="shared" ca="1" si="280"/>
        <v>#N/A</v>
      </c>
      <c r="BO134" s="3">
        <f t="shared" ca="1" si="281"/>
        <v>0</v>
      </c>
      <c r="BP134" s="3">
        <f t="shared" ca="1" si="282"/>
        <v>0.24838549428713363</v>
      </c>
      <c r="BQ134" s="3">
        <f t="shared" ca="1" si="283"/>
        <v>0.49875311720698257</v>
      </c>
      <c r="BS134" s="11" t="e">
        <v>#N/A</v>
      </c>
      <c r="BT134" s="5">
        <v>4.016</v>
      </c>
      <c r="BU134" s="5">
        <v>0.27700001001358032</v>
      </c>
      <c r="BV134" s="5">
        <v>4.01</v>
      </c>
      <c r="BX134" s="3" t="e">
        <f t="shared" ca="1" si="284"/>
        <v>#N/A</v>
      </c>
      <c r="BY134" s="3">
        <f t="shared" ca="1" si="285"/>
        <v>0.24875498007968133</v>
      </c>
      <c r="BZ134" s="3">
        <f t="shared" ca="1" si="286"/>
        <v>9.9602583209140561E-2</v>
      </c>
      <c r="CA134" s="3">
        <f t="shared" ca="1" si="287"/>
        <v>8.304239401496262E-2</v>
      </c>
      <c r="CC134" s="3" t="e">
        <f t="shared" ca="1" si="288"/>
        <v>#N/A</v>
      </c>
      <c r="CD134" s="3">
        <f t="shared" ca="1" si="289"/>
        <v>0.37300794485555699</v>
      </c>
      <c r="CE134" s="3">
        <f t="shared" ca="1" si="290"/>
        <v>8.2712385468499558E-2</v>
      </c>
      <c r="CF134" s="3">
        <f t="shared" ca="1" si="291"/>
        <v>0.12892770796939917</v>
      </c>
      <c r="CH134" s="3" t="e">
        <f t="shared" ca="1" si="292"/>
        <v>#N/A</v>
      </c>
      <c r="CI134" s="3">
        <f t="shared" ca="1" si="293"/>
        <v>0.99601593625498008</v>
      </c>
      <c r="CJ134" s="3">
        <f t="shared" ca="1" si="294"/>
        <v>0.24838549428713363</v>
      </c>
      <c r="CK134" s="3">
        <f t="shared" ca="1" si="295"/>
        <v>0.49875311720698257</v>
      </c>
      <c r="CM134" s="3" t="e">
        <f t="shared" ca="1" si="296"/>
        <v>#N/A</v>
      </c>
      <c r="CN134" s="3">
        <f t="shared" ca="1" si="297"/>
        <v>1.9920318725099602</v>
      </c>
      <c r="CO134" s="3">
        <f t="shared" ca="1" si="298"/>
        <v>0.99354197714853454</v>
      </c>
      <c r="CP134" s="3">
        <f t="shared" ca="1" si="299"/>
        <v>1.2468827930174564</v>
      </c>
      <c r="CR134" s="11" t="e">
        <v>#N/A</v>
      </c>
      <c r="CS134" s="5">
        <v>1.3190000057220459</v>
      </c>
      <c r="CT134" s="5">
        <v>1.9759999513626099</v>
      </c>
      <c r="CU134" s="5">
        <v>0.43200001120567322</v>
      </c>
    </row>
    <row r="135" spans="1:99" s="5" customFormat="1" x14ac:dyDescent="0.35">
      <c r="A135" s="4" t="s">
        <v>163</v>
      </c>
      <c r="B135" s="4">
        <v>7.333333333333333</v>
      </c>
      <c r="C135" s="4" t="s">
        <v>168</v>
      </c>
      <c r="D135" s="4" t="s">
        <v>404</v>
      </c>
      <c r="E135" s="3"/>
      <c r="F135" s="5" t="e">
        <v>#N/A</v>
      </c>
      <c r="G135" s="5" t="e">
        <v>#N/A</v>
      </c>
      <c r="H135" s="5">
        <v>3.1019999999999994</v>
      </c>
      <c r="I135" s="11" t="e">
        <v>#N/A</v>
      </c>
      <c r="K135" s="3" t="e">
        <f t="shared" ca="1" si="240"/>
        <v>#N/A</v>
      </c>
      <c r="L135" s="3" t="e">
        <f t="shared" ca="1" si="241"/>
        <v>#N/A</v>
      </c>
      <c r="M135" s="3">
        <f t="shared" ca="1" si="242"/>
        <v>0.9078014184397164</v>
      </c>
      <c r="N135" s="3" t="e">
        <f t="shared" ca="1" si="243"/>
        <v>#N/A</v>
      </c>
      <c r="P135" s="3" t="e">
        <f t="shared" ca="1" si="244"/>
        <v>#N/A</v>
      </c>
      <c r="Q135" s="3" t="e">
        <f t="shared" ca="1" si="245"/>
        <v>#N/A</v>
      </c>
      <c r="R135" s="3">
        <f t="shared" ca="1" si="246"/>
        <v>0.8916827765378087</v>
      </c>
      <c r="S135" s="3" t="e">
        <f t="shared" ca="1" si="247"/>
        <v>#N/A</v>
      </c>
      <c r="U135" s="3" t="e">
        <f t="shared" ca="1" si="248"/>
        <v>#N/A</v>
      </c>
      <c r="V135" s="3" t="e">
        <f t="shared" ca="1" si="249"/>
        <v>#N/A</v>
      </c>
      <c r="W135" s="3">
        <f t="shared" ca="1" si="250"/>
        <v>0.64474532559638953</v>
      </c>
      <c r="X135" s="3" t="e">
        <f t="shared" ca="1" si="251"/>
        <v>#N/A</v>
      </c>
      <c r="Z135" s="3" t="e">
        <f t="shared" ca="1" si="252"/>
        <v>#N/A</v>
      </c>
      <c r="AA135" s="3" t="e">
        <f t="shared" ca="1" si="253"/>
        <v>#N/A</v>
      </c>
      <c r="AB135" s="3">
        <f t="shared" ca="1" si="254"/>
        <v>0.9078014184397164</v>
      </c>
      <c r="AC135" s="3" t="e">
        <f t="shared" ca="1" si="255"/>
        <v>#N/A</v>
      </c>
      <c r="AE135" s="3" t="e">
        <f t="shared" ca="1" si="256"/>
        <v>#N/A</v>
      </c>
      <c r="AF135" s="3" t="e">
        <f t="shared" ca="1" si="257"/>
        <v>#N/A</v>
      </c>
      <c r="AG135" s="3">
        <f t="shared" ca="1" si="258"/>
        <v>0.8916827765378087</v>
      </c>
      <c r="AH135" s="3" t="e">
        <f t="shared" ca="1" si="259"/>
        <v>#N/A</v>
      </c>
      <c r="AJ135" s="3" t="e">
        <f t="shared" ca="1" si="260"/>
        <v>#N/A</v>
      </c>
      <c r="AK135" s="3" t="e">
        <f t="shared" ca="1" si="261"/>
        <v>#N/A</v>
      </c>
      <c r="AL135" s="3">
        <f t="shared" ca="1" si="262"/>
        <v>0.64474532559638953</v>
      </c>
      <c r="AM135" s="3" t="e">
        <f t="shared" ca="1" si="263"/>
        <v>#N/A</v>
      </c>
      <c r="AO135" s="3" t="e">
        <f t="shared" ca="1" si="264"/>
        <v>#N/A</v>
      </c>
      <c r="AP135" s="3" t="e">
        <f t="shared" ca="1" si="265"/>
        <v>#N/A</v>
      </c>
      <c r="AQ135" s="3">
        <f t="shared" ca="1" si="266"/>
        <v>0.32237266279819476</v>
      </c>
      <c r="AR135" s="3" t="e">
        <f t="shared" ca="1" si="267"/>
        <v>#N/A</v>
      </c>
      <c r="AT135" s="5">
        <v>1.0950000286102295</v>
      </c>
      <c r="AU135" s="5">
        <v>9.9999997764825821E-3</v>
      </c>
      <c r="AV135" s="5">
        <v>0.93800002336502075</v>
      </c>
      <c r="AW135" s="11" t="e">
        <v>#N/A</v>
      </c>
      <c r="AY135" s="3" t="e">
        <f t="shared" ca="1" si="268"/>
        <v>#N/A</v>
      </c>
      <c r="AZ135" s="3" t="e">
        <f t="shared" ca="1" si="269"/>
        <v>#N/A</v>
      </c>
      <c r="BA135" s="3">
        <f t="shared" ca="1" si="270"/>
        <v>0.85396518375241792</v>
      </c>
      <c r="BB135" s="3" t="e">
        <f t="shared" ca="1" si="271"/>
        <v>#N/A</v>
      </c>
      <c r="BD135" s="3" t="e">
        <f t="shared" ca="1" si="272"/>
        <v>#N/A</v>
      </c>
      <c r="BE135" s="3" t="e">
        <f t="shared" ca="1" si="273"/>
        <v>#N/A</v>
      </c>
      <c r="BF135" s="3">
        <f t="shared" ca="1" si="274"/>
        <v>0.8916827765378087</v>
      </c>
      <c r="BG135" s="3" t="e">
        <f t="shared" ca="1" si="275"/>
        <v>#N/A</v>
      </c>
      <c r="BI135" s="3" t="e">
        <f t="shared" ca="1" si="276"/>
        <v>#N/A</v>
      </c>
      <c r="BJ135" s="3" t="e">
        <f t="shared" ca="1" si="277"/>
        <v>#N/A</v>
      </c>
      <c r="BK135" s="3">
        <f t="shared" ca="1" si="278"/>
        <v>0.64474532559638953</v>
      </c>
      <c r="BL135" s="3" t="e">
        <f t="shared" ca="1" si="279"/>
        <v>#N/A</v>
      </c>
      <c r="BN135" s="3" t="e">
        <f t="shared" ca="1" si="280"/>
        <v>#N/A</v>
      </c>
      <c r="BO135" s="3" t="e">
        <f t="shared" ca="1" si="281"/>
        <v>#N/A</v>
      </c>
      <c r="BP135" s="3">
        <f t="shared" ca="1" si="282"/>
        <v>0.64474532559638953</v>
      </c>
      <c r="BQ135" s="3" t="e">
        <f t="shared" ca="1" si="283"/>
        <v>#N/A</v>
      </c>
      <c r="BS135" s="5">
        <v>2.2119998931884766</v>
      </c>
      <c r="BT135" s="5">
        <v>0.37700000405311584</v>
      </c>
      <c r="BU135" s="5">
        <v>0.93800002336502075</v>
      </c>
      <c r="BV135" s="11" t="e">
        <v>#N/A</v>
      </c>
      <c r="BX135" s="3" t="e">
        <f t="shared" ca="1" si="284"/>
        <v>#N/A</v>
      </c>
      <c r="BY135" s="3" t="e">
        <f t="shared" ca="1" si="285"/>
        <v>#N/A</v>
      </c>
      <c r="BZ135" s="3">
        <f t="shared" ca="1" si="286"/>
        <v>0</v>
      </c>
      <c r="CA135" s="3" t="e">
        <f t="shared" ca="1" si="287"/>
        <v>#N/A</v>
      </c>
      <c r="CC135" s="3" t="e">
        <f t="shared" ca="1" si="288"/>
        <v>#N/A</v>
      </c>
      <c r="CD135" s="3" t="e">
        <f t="shared" ca="1" si="289"/>
        <v>#N/A</v>
      </c>
      <c r="CE135" s="3">
        <f t="shared" ca="1" si="290"/>
        <v>0</v>
      </c>
      <c r="CF135" s="3" t="e">
        <f t="shared" ca="1" si="291"/>
        <v>#N/A</v>
      </c>
      <c r="CH135" s="3" t="e">
        <f t="shared" ca="1" si="292"/>
        <v>#N/A</v>
      </c>
      <c r="CI135" s="3" t="e">
        <f t="shared" ca="1" si="293"/>
        <v>#N/A</v>
      </c>
      <c r="CJ135" s="3">
        <f t="shared" ca="1" si="294"/>
        <v>0</v>
      </c>
      <c r="CK135" s="3" t="e">
        <f t="shared" ca="1" si="295"/>
        <v>#N/A</v>
      </c>
      <c r="CM135" s="3" t="e">
        <f t="shared" ca="1" si="296"/>
        <v>#N/A</v>
      </c>
      <c r="CN135" s="3" t="e">
        <f t="shared" ca="1" si="297"/>
        <v>#N/A</v>
      </c>
      <c r="CO135" s="3">
        <f t="shared" ca="1" si="298"/>
        <v>0.32237266279819476</v>
      </c>
      <c r="CP135" s="3" t="e">
        <f t="shared" ca="1" si="299"/>
        <v>#N/A</v>
      </c>
      <c r="CR135" s="5">
        <v>1.0950000286102295</v>
      </c>
      <c r="CS135" s="5">
        <v>4.0110000000000001</v>
      </c>
      <c r="CT135" s="5">
        <v>4.0069999999999997</v>
      </c>
      <c r="CU135" s="11" t="e">
        <v>#N/A</v>
      </c>
    </row>
    <row r="136" spans="1:99" s="5" customFormat="1" x14ac:dyDescent="0.35">
      <c r="A136" s="4" t="s">
        <v>141</v>
      </c>
      <c r="B136" s="4">
        <v>7.75</v>
      </c>
      <c r="C136" s="4" t="s">
        <v>168</v>
      </c>
      <c r="D136" s="4" t="s">
        <v>404</v>
      </c>
      <c r="E136" s="3"/>
      <c r="F136" s="5">
        <v>4.0110000000000001</v>
      </c>
      <c r="G136" s="5">
        <v>4.01</v>
      </c>
      <c r="H136" s="5">
        <v>4.016</v>
      </c>
      <c r="I136" s="5">
        <v>4.0460000000000003</v>
      </c>
      <c r="K136" s="3">
        <f t="shared" ca="1" si="240"/>
        <v>0.99650959860383947</v>
      </c>
      <c r="L136" s="3">
        <f t="shared" ca="1" si="241"/>
        <v>0.99276807980049886</v>
      </c>
      <c r="M136" s="3">
        <f t="shared" ca="1" si="242"/>
        <v>0.99576693227091639</v>
      </c>
      <c r="N136" s="3">
        <f t="shared" ca="1" si="243"/>
        <v>0.99555116164112711</v>
      </c>
      <c r="P136" s="3">
        <f t="shared" ca="1" si="244"/>
        <v>0.60259289553096851</v>
      </c>
      <c r="Q136" s="3">
        <f t="shared" ca="1" si="245"/>
        <v>0.44014959263979947</v>
      </c>
      <c r="R136" s="3">
        <f t="shared" ca="1" si="246"/>
        <v>0.84238043759923531</v>
      </c>
      <c r="S136" s="3">
        <f t="shared" ca="1" si="247"/>
        <v>0.85145824527146052</v>
      </c>
      <c r="U136" s="3">
        <f t="shared" ca="1" si="248"/>
        <v>3.4904013961605584</v>
      </c>
      <c r="V136" s="3">
        <f t="shared" ca="1" si="249"/>
        <v>2.4937655860349128</v>
      </c>
      <c r="W136" s="3">
        <f t="shared" ca="1" si="250"/>
        <v>1.9920318725099602</v>
      </c>
      <c r="X136" s="3">
        <f t="shared" ca="1" si="251"/>
        <v>2.4715768660405337</v>
      </c>
      <c r="Z136" s="3">
        <f t="shared" ca="1" si="252"/>
        <v>0.85140862627773617</v>
      </c>
      <c r="AA136" s="3">
        <f t="shared" ca="1" si="253"/>
        <v>0.90124688279301768</v>
      </c>
      <c r="AB136" s="3">
        <f t="shared" ca="1" si="254"/>
        <v>0.98754980079681276</v>
      </c>
      <c r="AC136" s="3">
        <f t="shared" ca="1" si="255"/>
        <v>0.99555116164112711</v>
      </c>
      <c r="AE136" s="3">
        <f t="shared" ca="1" si="256"/>
        <v>0.60259289553096851</v>
      </c>
      <c r="AF136" s="3">
        <f t="shared" ca="1" si="257"/>
        <v>0.44014959263979947</v>
      </c>
      <c r="AG136" s="3">
        <f t="shared" ca="1" si="258"/>
        <v>0.84238043759923531</v>
      </c>
      <c r="AH136" s="3">
        <f t="shared" ca="1" si="259"/>
        <v>0.85145824527146052</v>
      </c>
      <c r="AJ136" s="3">
        <f t="shared" ca="1" si="260"/>
        <v>3.4904013961605584</v>
      </c>
      <c r="AK136" s="3">
        <f t="shared" ca="1" si="261"/>
        <v>2.4937655860349128</v>
      </c>
      <c r="AL136" s="3">
        <f t="shared" ca="1" si="262"/>
        <v>1.9920318725099602</v>
      </c>
      <c r="AM136" s="3">
        <f t="shared" ca="1" si="263"/>
        <v>2.4715768660405337</v>
      </c>
      <c r="AO136" s="3">
        <f t="shared" ca="1" si="264"/>
        <v>2.9917726252804786</v>
      </c>
      <c r="AP136" s="3">
        <f t="shared" ca="1" si="265"/>
        <v>1.4962593516209477</v>
      </c>
      <c r="AQ136" s="3">
        <f t="shared" ca="1" si="266"/>
        <v>0.24900398406374502</v>
      </c>
      <c r="AR136" s="3">
        <f t="shared" ca="1" si="267"/>
        <v>0.24715768660405338</v>
      </c>
      <c r="AT136" s="5">
        <v>2.0000000949949026E-3</v>
      </c>
      <c r="AU136" s="5">
        <v>0.68000000715255737</v>
      </c>
      <c r="AV136" s="5">
        <v>0</v>
      </c>
      <c r="AW136" s="5">
        <v>4.0000001899898052E-3</v>
      </c>
      <c r="AY136" s="3">
        <f t="shared" ca="1" si="268"/>
        <v>0.35776614310645705</v>
      </c>
      <c r="AZ136" s="3">
        <f t="shared" ca="1" si="269"/>
        <v>0.18678304239401522</v>
      </c>
      <c r="BA136" s="3">
        <f t="shared" ca="1" si="270"/>
        <v>0.31972111553784854</v>
      </c>
      <c r="BB136" s="3">
        <f t="shared" ca="1" si="271"/>
        <v>0.12728620860108766</v>
      </c>
      <c r="BD136" s="3">
        <f t="shared" ca="1" si="272"/>
        <v>0.33258538803713067</v>
      </c>
      <c r="BE136" s="3">
        <f t="shared" ca="1" si="273"/>
        <v>0.10798007175512148</v>
      </c>
      <c r="BF136" s="3">
        <f t="shared" ca="1" si="274"/>
        <v>0.45642424449027774</v>
      </c>
      <c r="BG136" s="3">
        <f t="shared" ca="1" si="275"/>
        <v>0.27483941833394265</v>
      </c>
      <c r="BI136" s="3">
        <f t="shared" ca="1" si="276"/>
        <v>1.9945150835203191</v>
      </c>
      <c r="BJ136" s="3">
        <f t="shared" ca="1" si="277"/>
        <v>0.49875311720698257</v>
      </c>
      <c r="BK136" s="3">
        <f t="shared" ca="1" si="278"/>
        <v>0.74701195219123506</v>
      </c>
      <c r="BL136" s="3">
        <f t="shared" ca="1" si="279"/>
        <v>0.74147305981216016</v>
      </c>
      <c r="BN136" s="3">
        <f t="shared" ca="1" si="280"/>
        <v>4.2383445524806778</v>
      </c>
      <c r="BO136" s="3">
        <f t="shared" ca="1" si="281"/>
        <v>2.2443890274314215</v>
      </c>
      <c r="BP136" s="3">
        <f t="shared" ca="1" si="282"/>
        <v>2.4900398406374502</v>
      </c>
      <c r="BQ136" s="3">
        <f t="shared" ca="1" si="283"/>
        <v>2.4715768660405337</v>
      </c>
      <c r="BS136" s="5">
        <v>0.9179999828338623</v>
      </c>
      <c r="BT136" s="5">
        <v>2.9279999732971191</v>
      </c>
      <c r="BU136" s="5">
        <v>0.88400000333786011</v>
      </c>
      <c r="BV136" s="5">
        <v>0.2720000147819519</v>
      </c>
      <c r="BX136" s="3">
        <f t="shared" ca="1" si="284"/>
        <v>0</v>
      </c>
      <c r="BY136" s="3">
        <f t="shared" ca="1" si="285"/>
        <v>2.4937655860349149E-2</v>
      </c>
      <c r="BZ136" s="3">
        <f t="shared" ca="1" si="286"/>
        <v>9.9850597609561706E-2</v>
      </c>
      <c r="CA136" s="3">
        <f t="shared" ca="1" si="287"/>
        <v>0</v>
      </c>
      <c r="CC136" s="3">
        <f t="shared" ca="1" si="288"/>
        <v>0</v>
      </c>
      <c r="CD136" s="3">
        <f t="shared" ca="1" si="289"/>
        <v>2.4937632077947223E-2</v>
      </c>
      <c r="CE136" s="3">
        <f t="shared" ca="1" si="290"/>
        <v>4.1583679111830266E-2</v>
      </c>
      <c r="CF136" s="3">
        <f t="shared" ca="1" si="291"/>
        <v>0</v>
      </c>
      <c r="CH136" s="3">
        <f t="shared" ca="1" si="292"/>
        <v>0</v>
      </c>
      <c r="CI136" s="3">
        <f t="shared" ca="1" si="293"/>
        <v>0.24937655860349128</v>
      </c>
      <c r="CJ136" s="3">
        <f t="shared" ca="1" si="294"/>
        <v>0.24900398406374502</v>
      </c>
      <c r="CK136" s="3">
        <f t="shared" ca="1" si="295"/>
        <v>0</v>
      </c>
      <c r="CM136" s="3">
        <f t="shared" ca="1" si="296"/>
        <v>0</v>
      </c>
      <c r="CN136" s="3">
        <f t="shared" ca="1" si="297"/>
        <v>0.74812967581047385</v>
      </c>
      <c r="CO136" s="3">
        <f t="shared" ca="1" si="298"/>
        <v>0.74701195219123506</v>
      </c>
      <c r="CP136" s="3">
        <f t="shared" ca="1" si="299"/>
        <v>0</v>
      </c>
      <c r="CR136" s="5">
        <v>4.0110000000000001</v>
      </c>
      <c r="CS136" s="5">
        <v>3.8110001087188721</v>
      </c>
      <c r="CT136" s="5">
        <v>3.3829998970031738</v>
      </c>
      <c r="CU136" s="5">
        <v>4.0460000000000003</v>
      </c>
    </row>
    <row r="137" spans="1:99" s="5" customFormat="1" x14ac:dyDescent="0.35">
      <c r="A137" s="4" t="s">
        <v>154</v>
      </c>
      <c r="B137" s="4">
        <v>7.916666666666667</v>
      </c>
      <c r="C137" s="4" t="s">
        <v>168</v>
      </c>
      <c r="D137" s="4" t="s">
        <v>404</v>
      </c>
      <c r="E137" s="3"/>
      <c r="F137" s="5">
        <v>4.016</v>
      </c>
      <c r="G137" s="5">
        <v>4.0270000000000001</v>
      </c>
      <c r="H137" s="5">
        <v>4.01</v>
      </c>
      <c r="I137" s="5" t="e">
        <v>#N/A</v>
      </c>
      <c r="K137" s="3">
        <f t="shared" ca="1" si="240"/>
        <v>0.99601593625498008</v>
      </c>
      <c r="L137" s="3">
        <f t="shared" ca="1" si="241"/>
        <v>0.99304693320089399</v>
      </c>
      <c r="M137" s="3">
        <f t="shared" ca="1" si="242"/>
        <v>0.99301745635910232</v>
      </c>
      <c r="N137" s="3" t="e">
        <f t="shared" ca="1" si="243"/>
        <v>#N/A</v>
      </c>
      <c r="P137" s="3">
        <f t="shared" ca="1" si="244"/>
        <v>0.78486048999572711</v>
      </c>
      <c r="Q137" s="3">
        <f t="shared" ca="1" si="245"/>
        <v>0.6828904878102966</v>
      </c>
      <c r="R137" s="3">
        <f t="shared" ca="1" si="246"/>
        <v>0.73541141256801512</v>
      </c>
      <c r="S137" s="3" t="e">
        <f t="shared" ca="1" si="247"/>
        <v>#N/A</v>
      </c>
      <c r="U137" s="3">
        <f t="shared" ca="1" si="248"/>
        <v>2.739043824701195</v>
      </c>
      <c r="V137" s="3">
        <f t="shared" ca="1" si="249"/>
        <v>2.9798857710454429</v>
      </c>
      <c r="W137" s="3">
        <f t="shared" ca="1" si="250"/>
        <v>2.4937655860349128</v>
      </c>
      <c r="X137" s="3" t="e">
        <f t="shared" ca="1" si="251"/>
        <v>#N/A</v>
      </c>
      <c r="Z137" s="3">
        <f t="shared" ca="1" si="252"/>
        <v>0.99601593625498008</v>
      </c>
      <c r="AA137" s="3">
        <f t="shared" ca="1" si="253"/>
        <v>0.95157685622051158</v>
      </c>
      <c r="AB137" s="3">
        <f t="shared" ca="1" si="254"/>
        <v>0.82668329177057376</v>
      </c>
      <c r="AC137" s="3" t="e">
        <f t="shared" ca="1" si="255"/>
        <v>#N/A</v>
      </c>
      <c r="AE137" s="3">
        <f t="shared" ca="1" si="256"/>
        <v>0.78486048999572711</v>
      </c>
      <c r="AF137" s="3">
        <f t="shared" ca="1" si="257"/>
        <v>0.6828904878102966</v>
      </c>
      <c r="AG137" s="3">
        <f t="shared" ca="1" si="258"/>
        <v>0.73541141256801512</v>
      </c>
      <c r="AH137" s="3" t="e">
        <f t="shared" ca="1" si="259"/>
        <v>#N/A</v>
      </c>
      <c r="AJ137" s="3">
        <f t="shared" ca="1" si="260"/>
        <v>2.739043824701195</v>
      </c>
      <c r="AK137" s="3">
        <f t="shared" ca="1" si="261"/>
        <v>2.9798857710454429</v>
      </c>
      <c r="AL137" s="3">
        <f t="shared" ca="1" si="262"/>
        <v>2.4937655860349128</v>
      </c>
      <c r="AM137" s="3" t="e">
        <f t="shared" ca="1" si="263"/>
        <v>#N/A</v>
      </c>
      <c r="AO137" s="3">
        <f t="shared" ca="1" si="264"/>
        <v>0.24900398406374502</v>
      </c>
      <c r="AP137" s="3">
        <f t="shared" ca="1" si="265"/>
        <v>0.49664762850757388</v>
      </c>
      <c r="AQ137" s="3">
        <f t="shared" ca="1" si="266"/>
        <v>0.74812967581047385</v>
      </c>
      <c r="AR137" s="3" t="e">
        <f t="shared" ca="1" si="267"/>
        <v>#N/A</v>
      </c>
      <c r="AT137" s="5">
        <v>8.0000003799796104E-3</v>
      </c>
      <c r="AU137" s="5">
        <v>1.2000000104308128E-2</v>
      </c>
      <c r="AV137" s="5">
        <v>1.6000000759959221E-2</v>
      </c>
      <c r="AW137" s="5">
        <v>1.0000000474974513E-3</v>
      </c>
      <c r="AY137" s="3">
        <f t="shared" ca="1" si="268"/>
        <v>0.3027888446215139</v>
      </c>
      <c r="AZ137" s="3">
        <f t="shared" ca="1" si="269"/>
        <v>0.21554507077228702</v>
      </c>
      <c r="BA137" s="3">
        <f t="shared" ca="1" si="270"/>
        <v>0.36533665835411472</v>
      </c>
      <c r="BB137" s="3" t="e">
        <f t="shared" ca="1" si="271"/>
        <v>#N/A</v>
      </c>
      <c r="BD137" s="3">
        <f t="shared" ca="1" si="272"/>
        <v>0.37350595035438106</v>
      </c>
      <c r="BE137" s="3">
        <f t="shared" ca="1" si="273"/>
        <v>0.16563192383657474</v>
      </c>
      <c r="BF137" s="3">
        <f t="shared" ca="1" si="274"/>
        <v>0.22867831803319461</v>
      </c>
      <c r="BG137" s="3" t="e">
        <f t="shared" ca="1" si="275"/>
        <v>#N/A</v>
      </c>
      <c r="BI137" s="3">
        <f t="shared" ca="1" si="276"/>
        <v>1.2450199203187251</v>
      </c>
      <c r="BJ137" s="3">
        <f t="shared" ca="1" si="277"/>
        <v>0.99329525701514776</v>
      </c>
      <c r="BK137" s="3">
        <f t="shared" ca="1" si="278"/>
        <v>0.49875311720698257</v>
      </c>
      <c r="BL137" s="3" t="e">
        <f t="shared" ca="1" si="279"/>
        <v>#N/A</v>
      </c>
      <c r="BN137" s="3">
        <f t="shared" ca="1" si="280"/>
        <v>1.7430278884462151</v>
      </c>
      <c r="BO137" s="3">
        <f t="shared" ca="1" si="281"/>
        <v>2.4832381425378691</v>
      </c>
      <c r="BP137" s="3">
        <f t="shared" ca="1" si="282"/>
        <v>1.745635910224439</v>
      </c>
      <c r="BQ137" s="3" t="e">
        <f t="shared" ca="1" si="283"/>
        <v>#N/A</v>
      </c>
      <c r="BS137" s="5">
        <v>8.0000003799796104E-3</v>
      </c>
      <c r="BT137" s="5">
        <v>0.87900000810623169</v>
      </c>
      <c r="BU137" s="5">
        <v>0.44900000095367432</v>
      </c>
      <c r="BV137" s="5">
        <v>0.51800000667572021</v>
      </c>
      <c r="BX137" s="3">
        <f t="shared" ca="1" si="284"/>
        <v>4.2330677290837518E-3</v>
      </c>
      <c r="BY137" s="3">
        <f t="shared" ca="1" si="285"/>
        <v>1.2664514526943173E-2</v>
      </c>
      <c r="BZ137" s="3">
        <f t="shared" ca="1" si="286"/>
        <v>2.4688279301745632E-2</v>
      </c>
      <c r="CA137" s="3" t="e">
        <f t="shared" ca="1" si="287"/>
        <v>#N/A</v>
      </c>
      <c r="CC137" s="3">
        <f t="shared" ca="1" si="288"/>
        <v>0</v>
      </c>
      <c r="CD137" s="3">
        <f t="shared" ca="1" si="289"/>
        <v>0</v>
      </c>
      <c r="CE137" s="3">
        <f t="shared" ca="1" si="290"/>
        <v>0</v>
      </c>
      <c r="CF137" s="3" t="e">
        <f t="shared" ca="1" si="291"/>
        <v>#N/A</v>
      </c>
      <c r="CH137" s="3">
        <f t="shared" ca="1" si="292"/>
        <v>0</v>
      </c>
      <c r="CI137" s="3">
        <f t="shared" ca="1" si="293"/>
        <v>0</v>
      </c>
      <c r="CJ137" s="3">
        <f t="shared" ca="1" si="294"/>
        <v>0</v>
      </c>
      <c r="CK137" s="3" t="e">
        <f t="shared" ca="1" si="295"/>
        <v>#N/A</v>
      </c>
      <c r="CM137" s="3">
        <f t="shared" ca="1" si="296"/>
        <v>0.49800796812749004</v>
      </c>
      <c r="CN137" s="3">
        <f t="shared" ca="1" si="297"/>
        <v>0.99329525701514776</v>
      </c>
      <c r="CO137" s="3">
        <f t="shared" ca="1" si="298"/>
        <v>0.49875311720698257</v>
      </c>
      <c r="CP137" s="3" t="e">
        <f t="shared" ca="1" si="299"/>
        <v>#N/A</v>
      </c>
      <c r="CR137" s="5">
        <v>4.016</v>
      </c>
      <c r="CS137" s="5">
        <v>4.0270000000000001</v>
      </c>
      <c r="CT137" s="5">
        <v>4.01</v>
      </c>
      <c r="CU137" s="5">
        <v>4.0030000000000001</v>
      </c>
    </row>
    <row r="138" spans="1:99" s="5" customFormat="1" x14ac:dyDescent="0.35">
      <c r="A138" s="4" t="s">
        <v>146</v>
      </c>
      <c r="B138" s="4">
        <v>8.25</v>
      </c>
      <c r="C138" s="4" t="s">
        <v>167</v>
      </c>
      <c r="D138" s="4" t="s">
        <v>404</v>
      </c>
      <c r="E138" s="3"/>
      <c r="F138" s="11" t="e">
        <v>#N/A</v>
      </c>
      <c r="G138" s="5">
        <v>4.0259999999999998</v>
      </c>
      <c r="H138" s="5" t="e">
        <v>#N/A</v>
      </c>
      <c r="I138" s="5" t="e">
        <v>#N/A</v>
      </c>
      <c r="K138" s="3" t="e">
        <f t="shared" ca="1" si="240"/>
        <v>#N/A</v>
      </c>
      <c r="L138" s="3">
        <f t="shared" ca="1" si="241"/>
        <v>0.93119721808246392</v>
      </c>
      <c r="M138" s="3" t="e">
        <f t="shared" ca="1" si="242"/>
        <v>#N/A</v>
      </c>
      <c r="N138" s="3" t="e">
        <f t="shared" ca="1" si="243"/>
        <v>#N/A</v>
      </c>
      <c r="P138" s="3" t="e">
        <f t="shared" ca="1" si="244"/>
        <v>#N/A</v>
      </c>
      <c r="Q138" s="3">
        <f t="shared" ca="1" si="245"/>
        <v>0.4056135087953654</v>
      </c>
      <c r="R138" s="3" t="e">
        <f t="shared" ca="1" si="246"/>
        <v>#N/A</v>
      </c>
      <c r="S138" s="3" t="e">
        <f t="shared" ca="1" si="247"/>
        <v>#N/A</v>
      </c>
      <c r="U138" s="3" t="e">
        <f t="shared" ca="1" si="248"/>
        <v>#N/A</v>
      </c>
      <c r="V138" s="3">
        <f t="shared" ca="1" si="249"/>
        <v>1.4903129657228018</v>
      </c>
      <c r="W138" s="3" t="e">
        <f t="shared" ca="1" si="250"/>
        <v>#N/A</v>
      </c>
      <c r="X138" s="3" t="e">
        <f t="shared" ca="1" si="251"/>
        <v>#N/A</v>
      </c>
      <c r="Z138" s="3" t="e">
        <f t="shared" ca="1" si="252"/>
        <v>#N/A</v>
      </c>
      <c r="AA138" s="3">
        <f t="shared" ca="1" si="253"/>
        <v>0.8775459513164432</v>
      </c>
      <c r="AB138" s="3" t="e">
        <f t="shared" ca="1" si="254"/>
        <v>#N/A</v>
      </c>
      <c r="AC138" s="3" t="e">
        <f t="shared" ca="1" si="255"/>
        <v>#N/A</v>
      </c>
      <c r="AE138" s="3" t="e">
        <f t="shared" ca="1" si="256"/>
        <v>#N/A</v>
      </c>
      <c r="AF138" s="3">
        <f t="shared" ca="1" si="257"/>
        <v>0.4056135087953654</v>
      </c>
      <c r="AG138" s="3" t="e">
        <f t="shared" ca="1" si="258"/>
        <v>#N/A</v>
      </c>
      <c r="AH138" s="3" t="e">
        <f t="shared" ca="1" si="259"/>
        <v>#N/A</v>
      </c>
      <c r="AJ138" s="3" t="e">
        <f t="shared" ca="1" si="260"/>
        <v>#N/A</v>
      </c>
      <c r="AK138" s="3">
        <f t="shared" ca="1" si="261"/>
        <v>1.4903129657228018</v>
      </c>
      <c r="AL138" s="3" t="e">
        <f t="shared" ca="1" si="262"/>
        <v>#N/A</v>
      </c>
      <c r="AM138" s="3" t="e">
        <f t="shared" ca="1" si="263"/>
        <v>#N/A</v>
      </c>
      <c r="AO138" s="3" t="e">
        <f t="shared" ca="1" si="264"/>
        <v>#N/A</v>
      </c>
      <c r="AP138" s="3">
        <f t="shared" ca="1" si="265"/>
        <v>0.99354197714853454</v>
      </c>
      <c r="AQ138" s="3" t="e">
        <f t="shared" ca="1" si="266"/>
        <v>#N/A</v>
      </c>
      <c r="AR138" s="3" t="e">
        <f t="shared" ca="1" si="267"/>
        <v>#N/A</v>
      </c>
      <c r="AT138" s="11" t="e">
        <v>#N/A</v>
      </c>
      <c r="AU138" s="5">
        <v>0.43200001120567322</v>
      </c>
      <c r="AV138" s="11" t="e">
        <v>#N/A</v>
      </c>
      <c r="AW138" s="5">
        <v>2.0000000949949026E-3</v>
      </c>
      <c r="AY138" s="3" t="e">
        <f t="shared" ca="1" si="268"/>
        <v>#N/A</v>
      </c>
      <c r="AZ138" s="3">
        <f t="shared" ca="1" si="269"/>
        <v>6.2096373571783464E-2</v>
      </c>
      <c r="BA138" s="3" t="e">
        <f t="shared" ca="1" si="270"/>
        <v>#N/A</v>
      </c>
      <c r="BB138" s="3" t="e">
        <f t="shared" ca="1" si="271"/>
        <v>#N/A</v>
      </c>
      <c r="BD138" s="3" t="e">
        <f t="shared" ca="1" si="272"/>
        <v>#N/A</v>
      </c>
      <c r="BE138" s="3">
        <f t="shared" ca="1" si="273"/>
        <v>2.8812709105766894E-2</v>
      </c>
      <c r="BF138" s="3" t="e">
        <f t="shared" ca="1" si="274"/>
        <v>#N/A</v>
      </c>
      <c r="BG138" s="3" t="e">
        <f t="shared" ca="1" si="275"/>
        <v>#N/A</v>
      </c>
      <c r="BI138" s="3" t="e">
        <f t="shared" ca="1" si="276"/>
        <v>#N/A</v>
      </c>
      <c r="BJ138" s="3">
        <f t="shared" ca="1" si="277"/>
        <v>0.24838549428713363</v>
      </c>
      <c r="BK138" s="3" t="e">
        <f t="shared" ca="1" si="278"/>
        <v>#N/A</v>
      </c>
      <c r="BL138" s="3" t="e">
        <f t="shared" ca="1" si="279"/>
        <v>#N/A</v>
      </c>
      <c r="BN138" s="3" t="e">
        <f t="shared" ca="1" si="280"/>
        <v>#N/A</v>
      </c>
      <c r="BO138" s="3">
        <f t="shared" ca="1" si="281"/>
        <v>3.2290114257327374</v>
      </c>
      <c r="BP138" s="3" t="e">
        <f t="shared" ca="1" si="282"/>
        <v>#N/A</v>
      </c>
      <c r="BQ138" s="3" t="e">
        <f t="shared" ca="1" si="283"/>
        <v>#N/A</v>
      </c>
      <c r="BS138" s="11" t="e">
        <v>#N/A</v>
      </c>
      <c r="BT138" s="5">
        <v>0.43200001120567322</v>
      </c>
      <c r="BU138" s="11" t="e">
        <v>#N/A</v>
      </c>
      <c r="BV138" s="5">
        <v>4.0110000000000001</v>
      </c>
      <c r="BX138" s="3" t="e">
        <f t="shared" ca="1" si="284"/>
        <v>#N/A</v>
      </c>
      <c r="BY138" s="3">
        <f t="shared" ca="1" si="285"/>
        <v>0</v>
      </c>
      <c r="BZ138" s="3" t="e">
        <f t="shared" ca="1" si="286"/>
        <v>#N/A</v>
      </c>
      <c r="CA138" s="3" t="e">
        <f t="shared" ca="1" si="287"/>
        <v>#N/A</v>
      </c>
      <c r="CC138" s="3" t="e">
        <f t="shared" ca="1" si="288"/>
        <v>#N/A</v>
      </c>
      <c r="CD138" s="3">
        <f t="shared" ca="1" si="289"/>
        <v>0</v>
      </c>
      <c r="CE138" s="3" t="e">
        <f t="shared" ca="1" si="290"/>
        <v>#N/A</v>
      </c>
      <c r="CF138" s="3" t="e">
        <f t="shared" ca="1" si="291"/>
        <v>#N/A</v>
      </c>
      <c r="CH138" s="3" t="e">
        <f t="shared" ca="1" si="292"/>
        <v>#N/A</v>
      </c>
      <c r="CI138" s="3">
        <f t="shared" ca="1" si="293"/>
        <v>0</v>
      </c>
      <c r="CJ138" s="3" t="e">
        <f t="shared" ca="1" si="294"/>
        <v>#N/A</v>
      </c>
      <c r="CK138" s="3" t="e">
        <f t="shared" ca="1" si="295"/>
        <v>#N/A</v>
      </c>
      <c r="CM138" s="3" t="e">
        <f t="shared" ca="1" si="296"/>
        <v>#N/A</v>
      </c>
      <c r="CN138" s="3">
        <f t="shared" ca="1" si="297"/>
        <v>0</v>
      </c>
      <c r="CO138" s="3" t="e">
        <f t="shared" ca="1" si="298"/>
        <v>#N/A</v>
      </c>
      <c r="CP138" s="3" t="e">
        <f t="shared" ca="1" si="299"/>
        <v>#N/A</v>
      </c>
      <c r="CR138" s="11" t="e">
        <v>#N/A</v>
      </c>
      <c r="CS138" s="5">
        <v>4.0259999999999998</v>
      </c>
      <c r="CT138" s="11" t="e">
        <v>#N/A</v>
      </c>
      <c r="CU138" s="5">
        <v>4.0110000000000001</v>
      </c>
    </row>
    <row r="139" spans="1:99" s="5" customFormat="1" x14ac:dyDescent="0.35">
      <c r="A139" s="4" t="s">
        <v>109</v>
      </c>
      <c r="B139" s="4">
        <v>8.3333333333333339</v>
      </c>
      <c r="C139" s="4" t="s">
        <v>168</v>
      </c>
      <c r="D139" s="4" t="s">
        <v>404</v>
      </c>
      <c r="E139" s="3"/>
      <c r="F139" s="5">
        <v>4.0149999999999997</v>
      </c>
      <c r="G139" s="5" t="e">
        <v>#N/A</v>
      </c>
      <c r="H139" s="5">
        <v>3.0640000000000001</v>
      </c>
      <c r="I139" s="11" t="e">
        <v>#N/A</v>
      </c>
      <c r="K139" s="3">
        <f t="shared" ca="1" si="240"/>
        <v>0.66002490660024915</v>
      </c>
      <c r="L139" s="3" t="e">
        <f t="shared" ca="1" si="241"/>
        <v>#N/A</v>
      </c>
      <c r="M139" s="3">
        <f t="shared" ca="1" si="242"/>
        <v>0.95169712793733674</v>
      </c>
      <c r="N139" s="3" t="e">
        <f t="shared" ca="1" si="243"/>
        <v>#N/A</v>
      </c>
      <c r="P139" s="3">
        <f t="shared" ca="1" si="244"/>
        <v>0.29090910147908022</v>
      </c>
      <c r="Q139" s="3" t="e">
        <f t="shared" ca="1" si="245"/>
        <v>#N/A</v>
      </c>
      <c r="R139" s="3">
        <f t="shared" ca="1" si="246"/>
        <v>0.73433424807098924</v>
      </c>
      <c r="S139" s="3" t="e">
        <f t="shared" ca="1" si="247"/>
        <v>#N/A</v>
      </c>
      <c r="U139" s="3">
        <f t="shared" ca="1" si="248"/>
        <v>1.2453300124533002</v>
      </c>
      <c r="V139" s="3" t="e">
        <f t="shared" ca="1" si="249"/>
        <v>#N/A</v>
      </c>
      <c r="W139" s="3">
        <f t="shared" ca="1" si="250"/>
        <v>3.2637075718015667</v>
      </c>
      <c r="X139" s="3" t="e">
        <f t="shared" ca="1" si="251"/>
        <v>#N/A</v>
      </c>
      <c r="Z139" s="3">
        <f t="shared" ca="1" si="252"/>
        <v>0.43561643835616443</v>
      </c>
      <c r="AA139" s="3" t="e">
        <f t="shared" ca="1" si="253"/>
        <v>#N/A</v>
      </c>
      <c r="AB139" s="3">
        <f t="shared" ca="1" si="254"/>
        <v>0.63087467362924277</v>
      </c>
      <c r="AC139" s="3" t="e">
        <f t="shared" ca="1" si="255"/>
        <v>#N/A</v>
      </c>
      <c r="AE139" s="3">
        <f t="shared" ca="1" si="256"/>
        <v>0.29090910147908022</v>
      </c>
      <c r="AF139" s="3" t="e">
        <f t="shared" ca="1" si="257"/>
        <v>#N/A</v>
      </c>
      <c r="AG139" s="3">
        <f t="shared" ca="1" si="258"/>
        <v>0.57114886948091093</v>
      </c>
      <c r="AH139" s="3" t="e">
        <f t="shared" ca="1" si="259"/>
        <v>#N/A</v>
      </c>
      <c r="AJ139" s="3">
        <f t="shared" ca="1" si="260"/>
        <v>1.2453300124533002</v>
      </c>
      <c r="AK139" s="3" t="e">
        <f t="shared" ca="1" si="261"/>
        <v>#N/A</v>
      </c>
      <c r="AL139" s="3">
        <f t="shared" ca="1" si="262"/>
        <v>2.2845953002610964</v>
      </c>
      <c r="AM139" s="3" t="e">
        <f t="shared" ca="1" si="263"/>
        <v>#N/A</v>
      </c>
      <c r="AO139" s="3">
        <f t="shared" ca="1" si="264"/>
        <v>0.24906600249066005</v>
      </c>
      <c r="AP139" s="3" t="e">
        <f t="shared" ca="1" si="265"/>
        <v>#N/A</v>
      </c>
      <c r="AQ139" s="3">
        <f t="shared" ca="1" si="266"/>
        <v>0.65274151436031336</v>
      </c>
      <c r="AR139" s="3" t="e">
        <f t="shared" ca="1" si="267"/>
        <v>#N/A</v>
      </c>
      <c r="AT139" s="5">
        <v>0.91200000047683716</v>
      </c>
      <c r="AU139" s="5">
        <v>2.5559999942779541</v>
      </c>
      <c r="AV139" s="5">
        <v>1.0000000474974513E-3</v>
      </c>
      <c r="AW139" s="11" t="e">
        <v>#N/A</v>
      </c>
      <c r="AY139" s="3">
        <f t="shared" ca="1" si="268"/>
        <v>3.3125778331257731E-2</v>
      </c>
      <c r="AZ139" s="3" t="e">
        <f t="shared" ca="1" si="269"/>
        <v>#N/A</v>
      </c>
      <c r="BA139" s="3">
        <f t="shared" ca="1" si="270"/>
        <v>2.7088772845953062E-2</v>
      </c>
      <c r="BB139" s="3" t="e">
        <f t="shared" ca="1" si="271"/>
        <v>#N/A</v>
      </c>
      <c r="BD139" s="3">
        <f t="shared" ca="1" si="272"/>
        <v>2.9140747944414989E-2</v>
      </c>
      <c r="BE139" s="3" t="e">
        <f t="shared" ca="1" si="273"/>
        <v>#N/A</v>
      </c>
      <c r="BF139" s="3">
        <f t="shared" ca="1" si="274"/>
        <v>0</v>
      </c>
      <c r="BG139" s="3" t="e">
        <f t="shared" ca="1" si="275"/>
        <v>#N/A</v>
      </c>
      <c r="BI139" s="3">
        <f t="shared" ca="1" si="276"/>
        <v>0.24906600249066005</v>
      </c>
      <c r="BJ139" s="3" t="e">
        <f t="shared" ca="1" si="277"/>
        <v>#N/A</v>
      </c>
      <c r="BK139" s="3">
        <f t="shared" ca="1" si="278"/>
        <v>0</v>
      </c>
      <c r="BL139" s="3" t="e">
        <f t="shared" ca="1" si="279"/>
        <v>#N/A</v>
      </c>
      <c r="BN139" s="3">
        <f t="shared" ca="1" si="280"/>
        <v>0.24906600249066005</v>
      </c>
      <c r="BO139" s="3" t="e">
        <f t="shared" ca="1" si="281"/>
        <v>#N/A</v>
      </c>
      <c r="BP139" s="3">
        <f t="shared" ca="1" si="282"/>
        <v>0.65274151436031336</v>
      </c>
      <c r="BQ139" s="3" t="e">
        <f t="shared" ca="1" si="283"/>
        <v>#N/A</v>
      </c>
      <c r="BS139" s="5">
        <v>1.8789999485015869</v>
      </c>
      <c r="BT139" s="5">
        <v>3.8389999866485596</v>
      </c>
      <c r="BU139" s="5">
        <v>4.0140000000000002</v>
      </c>
      <c r="BV139" s="11" t="e">
        <v>#N/A</v>
      </c>
      <c r="BX139" s="3">
        <f t="shared" ca="1" si="284"/>
        <v>0.10809464508094645</v>
      </c>
      <c r="BY139" s="3" t="e">
        <f t="shared" ca="1" si="285"/>
        <v>#N/A</v>
      </c>
      <c r="BZ139" s="3">
        <f t="shared" ca="1" si="286"/>
        <v>3.8185378590078325E-2</v>
      </c>
      <c r="CA139" s="3" t="e">
        <f t="shared" ca="1" si="287"/>
        <v>#N/A</v>
      </c>
      <c r="CC139" s="3">
        <f t="shared" ca="1" si="288"/>
        <v>0.16189292537171399</v>
      </c>
      <c r="CD139" s="3" t="e">
        <f t="shared" ca="1" si="289"/>
        <v>#N/A</v>
      </c>
      <c r="CE139" s="3">
        <f t="shared" ca="1" si="290"/>
        <v>3.2637122405726977E-2</v>
      </c>
      <c r="CF139" s="3" t="e">
        <f t="shared" ca="1" si="291"/>
        <v>#N/A</v>
      </c>
      <c r="CH139" s="3">
        <f t="shared" ca="1" si="292"/>
        <v>0.4981320049813201</v>
      </c>
      <c r="CI139" s="3" t="e">
        <f t="shared" ca="1" si="293"/>
        <v>#N/A</v>
      </c>
      <c r="CJ139" s="3">
        <f t="shared" ca="1" si="294"/>
        <v>0.32637075718015668</v>
      </c>
      <c r="CK139" s="3" t="e">
        <f t="shared" ca="1" si="295"/>
        <v>#N/A</v>
      </c>
      <c r="CM139" s="3">
        <f t="shared" ca="1" si="296"/>
        <v>0.4981320049813201</v>
      </c>
      <c r="CN139" s="3" t="e">
        <f t="shared" ca="1" si="297"/>
        <v>#N/A</v>
      </c>
      <c r="CO139" s="3">
        <f t="shared" ca="1" si="298"/>
        <v>0.32637075718015668</v>
      </c>
      <c r="CP139" s="3" t="e">
        <f t="shared" ca="1" si="299"/>
        <v>#N/A</v>
      </c>
      <c r="CR139" s="5">
        <v>1.1619999408721924</v>
      </c>
      <c r="CS139" s="5">
        <v>3.4730000495910645</v>
      </c>
      <c r="CT139" s="5">
        <v>2.5499999523162842</v>
      </c>
      <c r="CU139" s="11" t="e">
        <v>#N/A</v>
      </c>
    </row>
    <row r="140" spans="1:99" s="5" customFormat="1" x14ac:dyDescent="0.35">
      <c r="A140" s="4" t="s">
        <v>165</v>
      </c>
      <c r="B140" s="4">
        <v>8.3333333333333339</v>
      </c>
      <c r="C140" s="4" t="s">
        <v>168</v>
      </c>
      <c r="D140" s="4" t="s">
        <v>404</v>
      </c>
      <c r="E140" s="3"/>
      <c r="F140" s="5">
        <v>4.01</v>
      </c>
      <c r="G140" s="11" t="e">
        <v>#N/A</v>
      </c>
      <c r="H140" s="5" t="e">
        <v>#N/A</v>
      </c>
      <c r="I140" s="5" t="e">
        <v>#N/A</v>
      </c>
      <c r="K140" s="3">
        <f t="shared" ca="1" si="240"/>
        <v>0.88503740648379059</v>
      </c>
      <c r="L140" s="3" t="e">
        <f t="shared" ca="1" si="241"/>
        <v>#N/A</v>
      </c>
      <c r="M140" s="3" t="e">
        <f t="shared" ca="1" si="242"/>
        <v>#N/A</v>
      </c>
      <c r="N140" s="3" t="e">
        <f t="shared" ca="1" si="243"/>
        <v>#N/A</v>
      </c>
      <c r="P140" s="3">
        <f t="shared" ca="1" si="244"/>
        <v>0.81820449109033611</v>
      </c>
      <c r="Q140" s="3" t="e">
        <f t="shared" ca="1" si="245"/>
        <v>#N/A</v>
      </c>
      <c r="R140" s="3" t="e">
        <f t="shared" ca="1" si="246"/>
        <v>#N/A</v>
      </c>
      <c r="S140" s="3" t="e">
        <f t="shared" ca="1" si="247"/>
        <v>#N/A</v>
      </c>
      <c r="U140" s="3">
        <f t="shared" ca="1" si="248"/>
        <v>2.2443890274314215</v>
      </c>
      <c r="V140" s="3" t="e">
        <f t="shared" ca="1" si="249"/>
        <v>#N/A</v>
      </c>
      <c r="W140" s="3" t="e">
        <f t="shared" ca="1" si="250"/>
        <v>#N/A</v>
      </c>
      <c r="X140" s="3" t="e">
        <f t="shared" ca="1" si="251"/>
        <v>#N/A</v>
      </c>
      <c r="Z140" s="3">
        <f t="shared" ca="1" si="252"/>
        <v>0.78528678304239408</v>
      </c>
      <c r="AA140" s="3" t="e">
        <f t="shared" ca="1" si="253"/>
        <v>#N/A</v>
      </c>
      <c r="AB140" s="3" t="e">
        <f t="shared" ca="1" si="254"/>
        <v>#N/A</v>
      </c>
      <c r="AC140" s="3" t="e">
        <f t="shared" ca="1" si="255"/>
        <v>#N/A</v>
      </c>
      <c r="AE140" s="3">
        <f t="shared" ca="1" si="256"/>
        <v>0.74339152274286369</v>
      </c>
      <c r="AF140" s="3" t="e">
        <f t="shared" ca="1" si="257"/>
        <v>#N/A</v>
      </c>
      <c r="AG140" s="3" t="e">
        <f t="shared" ca="1" si="258"/>
        <v>#N/A</v>
      </c>
      <c r="AH140" s="3" t="e">
        <f t="shared" ca="1" si="259"/>
        <v>#N/A</v>
      </c>
      <c r="AJ140" s="3">
        <f t="shared" ca="1" si="260"/>
        <v>1.9950124688279303</v>
      </c>
      <c r="AK140" s="3" t="e">
        <f t="shared" ca="1" si="261"/>
        <v>#N/A</v>
      </c>
      <c r="AL140" s="3" t="e">
        <f t="shared" ca="1" si="262"/>
        <v>#N/A</v>
      </c>
      <c r="AM140" s="3" t="e">
        <f t="shared" ca="1" si="263"/>
        <v>#N/A</v>
      </c>
      <c r="AO140" s="3">
        <f t="shared" ca="1" si="264"/>
        <v>0.24937655860349128</v>
      </c>
      <c r="AP140" s="3" t="e">
        <f t="shared" ca="1" si="265"/>
        <v>#N/A</v>
      </c>
      <c r="AQ140" s="3" t="e">
        <f t="shared" ca="1" si="266"/>
        <v>#N/A</v>
      </c>
      <c r="AR140" s="3" t="e">
        <f t="shared" ca="1" si="267"/>
        <v>#N/A</v>
      </c>
      <c r="AT140" s="5">
        <v>0.43599998950958252</v>
      </c>
      <c r="AU140" s="11" t="e">
        <v>#N/A</v>
      </c>
      <c r="AV140" s="11" t="e">
        <v>#N/A</v>
      </c>
      <c r="AW140" s="5">
        <v>1.8830000162124634</v>
      </c>
      <c r="AY140" s="3">
        <f t="shared" ca="1" si="268"/>
        <v>0.15386533665835411</v>
      </c>
      <c r="AZ140" s="3" t="e">
        <f t="shared" ca="1" si="269"/>
        <v>#N/A</v>
      </c>
      <c r="BA140" s="3" t="e">
        <f t="shared" ca="1" si="270"/>
        <v>#N/A</v>
      </c>
      <c r="BB140" s="3" t="e">
        <f t="shared" ca="1" si="271"/>
        <v>#N/A</v>
      </c>
      <c r="BD140" s="3">
        <f t="shared" ca="1" si="272"/>
        <v>0.14114712836439175</v>
      </c>
      <c r="BE140" s="3" t="e">
        <f t="shared" ca="1" si="273"/>
        <v>#N/A</v>
      </c>
      <c r="BF140" s="3" t="e">
        <f t="shared" ca="1" si="274"/>
        <v>#N/A</v>
      </c>
      <c r="BG140" s="3" t="e">
        <f t="shared" ca="1" si="275"/>
        <v>#N/A</v>
      </c>
      <c r="BI140" s="3">
        <f t="shared" ca="1" si="276"/>
        <v>0.74812967581047385</v>
      </c>
      <c r="BJ140" s="3" t="e">
        <f t="shared" ca="1" si="277"/>
        <v>#N/A</v>
      </c>
      <c r="BK140" s="3" t="e">
        <f t="shared" ca="1" si="278"/>
        <v>#N/A</v>
      </c>
      <c r="BL140" s="3" t="e">
        <f t="shared" ca="1" si="279"/>
        <v>#N/A</v>
      </c>
      <c r="BN140" s="3">
        <f t="shared" ca="1" si="280"/>
        <v>0.99750623441396513</v>
      </c>
      <c r="BO140" s="3" t="e">
        <f t="shared" ca="1" si="281"/>
        <v>#N/A</v>
      </c>
      <c r="BP140" s="3" t="e">
        <f t="shared" ca="1" si="282"/>
        <v>#N/A</v>
      </c>
      <c r="BQ140" s="3" t="e">
        <f t="shared" ca="1" si="283"/>
        <v>#N/A</v>
      </c>
      <c r="BS140" s="5">
        <v>0.43599998950958252</v>
      </c>
      <c r="BT140" s="11" t="e">
        <v>#N/A</v>
      </c>
      <c r="BU140" s="11" t="e">
        <v>#N/A</v>
      </c>
      <c r="BV140" s="5">
        <v>4.01</v>
      </c>
      <c r="BX140" s="3">
        <f t="shared" ca="1" si="284"/>
        <v>0</v>
      </c>
      <c r="BY140" s="3" t="e">
        <f t="shared" ca="1" si="285"/>
        <v>#N/A</v>
      </c>
      <c r="BZ140" s="3" t="e">
        <f t="shared" ca="1" si="286"/>
        <v>#N/A</v>
      </c>
      <c r="CA140" s="3" t="e">
        <f t="shared" ca="1" si="287"/>
        <v>#N/A</v>
      </c>
      <c r="CC140" s="3">
        <f t="shared" ca="1" si="288"/>
        <v>0</v>
      </c>
      <c r="CD140" s="3" t="e">
        <f t="shared" ca="1" si="289"/>
        <v>#N/A</v>
      </c>
      <c r="CE140" s="3" t="e">
        <f t="shared" ca="1" si="290"/>
        <v>#N/A</v>
      </c>
      <c r="CF140" s="3" t="e">
        <f t="shared" ca="1" si="291"/>
        <v>#N/A</v>
      </c>
      <c r="CH140" s="3">
        <f t="shared" ca="1" si="292"/>
        <v>0</v>
      </c>
      <c r="CI140" s="3" t="e">
        <f t="shared" ca="1" si="293"/>
        <v>#N/A</v>
      </c>
      <c r="CJ140" s="3" t="e">
        <f t="shared" ca="1" si="294"/>
        <v>#N/A</v>
      </c>
      <c r="CK140" s="3" t="e">
        <f t="shared" ca="1" si="295"/>
        <v>#N/A</v>
      </c>
      <c r="CM140" s="3">
        <f t="shared" ca="1" si="296"/>
        <v>0.24937655860349128</v>
      </c>
      <c r="CN140" s="3" t="e">
        <f t="shared" ca="1" si="297"/>
        <v>#N/A</v>
      </c>
      <c r="CO140" s="3" t="e">
        <f t="shared" ca="1" si="298"/>
        <v>#N/A</v>
      </c>
      <c r="CP140" s="3" t="e">
        <f t="shared" ca="1" si="299"/>
        <v>#N/A</v>
      </c>
      <c r="CR140" s="5">
        <v>4.01</v>
      </c>
      <c r="CS140" s="11" t="e">
        <v>#N/A</v>
      </c>
      <c r="CT140" s="11" t="e">
        <v>#N/A</v>
      </c>
      <c r="CU140" s="5">
        <v>2.4159998893737793</v>
      </c>
    </row>
    <row r="141" spans="1:99" s="5" customFormat="1" x14ac:dyDescent="0.35">
      <c r="A141" s="4" t="s">
        <v>100</v>
      </c>
      <c r="B141" s="4">
        <v>8.5</v>
      </c>
      <c r="C141" s="4" t="s">
        <v>168</v>
      </c>
      <c r="D141" s="4" t="s">
        <v>404</v>
      </c>
      <c r="E141" s="3"/>
      <c r="F141" s="5">
        <v>4.01</v>
      </c>
      <c r="G141" s="5" t="e">
        <v>#N/A</v>
      </c>
      <c r="H141" s="5">
        <v>4.0039999999999996</v>
      </c>
      <c r="I141" s="5">
        <v>4.0090000000000003</v>
      </c>
      <c r="K141" s="3">
        <f t="shared" ca="1" si="240"/>
        <v>0.98054862842892776</v>
      </c>
      <c r="L141" s="3" t="e">
        <f t="shared" ca="1" si="241"/>
        <v>#N/A</v>
      </c>
      <c r="M141" s="3">
        <f t="shared" ca="1" si="242"/>
        <v>0.94880119880119884</v>
      </c>
      <c r="N141" s="3">
        <f t="shared" ca="1" si="243"/>
        <v>0.99351459216762283</v>
      </c>
      <c r="P141" s="3">
        <f t="shared" ca="1" si="244"/>
        <v>0.93117211376342401</v>
      </c>
      <c r="Q141" s="3" t="e">
        <f t="shared" ca="1" si="245"/>
        <v>#N/A</v>
      </c>
      <c r="R141" s="3">
        <f t="shared" ca="1" si="246"/>
        <v>0.84915079853751452</v>
      </c>
      <c r="S141" s="3">
        <f t="shared" ca="1" si="247"/>
        <v>0.99351461795566376</v>
      </c>
      <c r="U141" s="3">
        <f t="shared" ca="1" si="248"/>
        <v>1.9950124688279303</v>
      </c>
      <c r="V141" s="3" t="e">
        <f t="shared" ca="1" si="249"/>
        <v>#N/A</v>
      </c>
      <c r="W141" s="3">
        <f t="shared" ca="1" si="250"/>
        <v>2.9970029970029972</v>
      </c>
      <c r="X141" s="3">
        <f t="shared" ca="1" si="251"/>
        <v>0.24943876278373658</v>
      </c>
      <c r="Z141" s="3">
        <f t="shared" ca="1" si="252"/>
        <v>0.98054862842892776</v>
      </c>
      <c r="AA141" s="3" t="e">
        <f t="shared" ca="1" si="253"/>
        <v>#N/A</v>
      </c>
      <c r="AB141" s="3">
        <f t="shared" ca="1" si="254"/>
        <v>0.94880119880119884</v>
      </c>
      <c r="AC141" s="3">
        <f t="shared" ca="1" si="255"/>
        <v>0.99351459216762283</v>
      </c>
      <c r="AE141" s="3">
        <f t="shared" ca="1" si="256"/>
        <v>0.93117211376342401</v>
      </c>
      <c r="AF141" s="3" t="e">
        <f t="shared" ca="1" si="257"/>
        <v>#N/A</v>
      </c>
      <c r="AG141" s="3">
        <f t="shared" ca="1" si="258"/>
        <v>0.84915079853751452</v>
      </c>
      <c r="AH141" s="3">
        <f t="shared" ca="1" si="259"/>
        <v>0.99351461795566376</v>
      </c>
      <c r="AJ141" s="3">
        <f t="shared" ca="1" si="260"/>
        <v>1.9950124688279303</v>
      </c>
      <c r="AK141" s="3" t="e">
        <f t="shared" ca="1" si="261"/>
        <v>#N/A</v>
      </c>
      <c r="AL141" s="3">
        <f t="shared" ca="1" si="262"/>
        <v>2.9970029970029972</v>
      </c>
      <c r="AM141" s="3">
        <f t="shared" ca="1" si="263"/>
        <v>0.24943876278373658</v>
      </c>
      <c r="AO141" s="3">
        <f t="shared" ca="1" si="264"/>
        <v>0.24937655860349128</v>
      </c>
      <c r="AP141" s="3" t="e">
        <f t="shared" ca="1" si="265"/>
        <v>#N/A</v>
      </c>
      <c r="AQ141" s="3">
        <f t="shared" ca="1" si="266"/>
        <v>0.24975024975024979</v>
      </c>
      <c r="AR141" s="3">
        <f t="shared" ca="1" si="267"/>
        <v>0.24943876278373658</v>
      </c>
      <c r="AT141" s="5">
        <v>0.12999999523162842</v>
      </c>
      <c r="AU141" s="5">
        <v>1.8890000581741333</v>
      </c>
      <c r="AV141" s="5">
        <v>0.15999999642372131</v>
      </c>
      <c r="AW141" s="5">
        <v>8.999999612569809E-3</v>
      </c>
      <c r="AY141" s="3">
        <f t="shared" ca="1" si="268"/>
        <v>0.39875311720698259</v>
      </c>
      <c r="AZ141" s="3" t="e">
        <f t="shared" ca="1" si="269"/>
        <v>#N/A</v>
      </c>
      <c r="BA141" s="3">
        <f t="shared" ca="1" si="270"/>
        <v>0.56993006993007</v>
      </c>
      <c r="BB141" s="3">
        <f t="shared" ca="1" si="271"/>
        <v>0</v>
      </c>
      <c r="BD141" s="3">
        <f t="shared" ca="1" si="272"/>
        <v>0.40723194653851136</v>
      </c>
      <c r="BE141" s="3" t="e">
        <f t="shared" ca="1" si="273"/>
        <v>#N/A</v>
      </c>
      <c r="BF141" s="3">
        <f t="shared" ca="1" si="274"/>
        <v>0.53271728676634955</v>
      </c>
      <c r="BG141" s="3">
        <f t="shared" ca="1" si="275"/>
        <v>0</v>
      </c>
      <c r="BI141" s="3">
        <f t="shared" ca="1" si="276"/>
        <v>0.49875311720698257</v>
      </c>
      <c r="BJ141" s="3" t="e">
        <f t="shared" ca="1" si="277"/>
        <v>#N/A</v>
      </c>
      <c r="BK141" s="3">
        <f t="shared" ca="1" si="278"/>
        <v>1.4985014985014986</v>
      </c>
      <c r="BL141" s="3">
        <f t="shared" ca="1" si="279"/>
        <v>0</v>
      </c>
      <c r="BN141" s="3">
        <f t="shared" ca="1" si="280"/>
        <v>0.74812967581047385</v>
      </c>
      <c r="BO141" s="3" t="e">
        <f t="shared" ca="1" si="281"/>
        <v>#N/A</v>
      </c>
      <c r="BP141" s="3">
        <f t="shared" ca="1" si="282"/>
        <v>0.7492507492507493</v>
      </c>
      <c r="BQ141" s="3">
        <f t="shared" ca="1" si="283"/>
        <v>0</v>
      </c>
      <c r="BS141" s="5">
        <v>0.36399999260902405</v>
      </c>
      <c r="BT141" s="5">
        <v>3.1059999465942383</v>
      </c>
      <c r="BU141" s="5">
        <v>0.59399998188018799</v>
      </c>
      <c r="BV141" s="5">
        <v>4.0090000000000003</v>
      </c>
      <c r="BX141" s="3">
        <f t="shared" ca="1" si="284"/>
        <v>1.670822942643398E-2</v>
      </c>
      <c r="BY141" s="3" t="e">
        <f t="shared" ca="1" si="285"/>
        <v>#N/A</v>
      </c>
      <c r="BZ141" s="3">
        <f t="shared" ca="1" si="286"/>
        <v>1.2487512487512486E-2</v>
      </c>
      <c r="CA141" s="3">
        <f t="shared" ca="1" si="287"/>
        <v>0.99351459216762283</v>
      </c>
      <c r="CC141" s="3">
        <f t="shared" ca="1" si="288"/>
        <v>0.12892767080939618</v>
      </c>
      <c r="CD141" s="3" t="e">
        <f t="shared" ca="1" si="289"/>
        <v>#N/A</v>
      </c>
      <c r="CE141" s="3">
        <f t="shared" ca="1" si="290"/>
        <v>0</v>
      </c>
      <c r="CF141" s="3">
        <f t="shared" ca="1" si="291"/>
        <v>0.99351461795566376</v>
      </c>
      <c r="CH141" s="3">
        <f t="shared" ca="1" si="292"/>
        <v>0.24937655860349128</v>
      </c>
      <c r="CI141" s="3" t="e">
        <f t="shared" ca="1" si="293"/>
        <v>#N/A</v>
      </c>
      <c r="CJ141" s="3">
        <f t="shared" ca="1" si="294"/>
        <v>0</v>
      </c>
      <c r="CK141" s="3">
        <f t="shared" ca="1" si="295"/>
        <v>0.24943876278373658</v>
      </c>
      <c r="CM141" s="3">
        <f t="shared" ca="1" si="296"/>
        <v>0.49875311720698257</v>
      </c>
      <c r="CN141" s="3" t="e">
        <f t="shared" ca="1" si="297"/>
        <v>#N/A</v>
      </c>
      <c r="CO141" s="3">
        <f t="shared" ca="1" si="298"/>
        <v>0.24975024975024979</v>
      </c>
      <c r="CP141" s="3">
        <f t="shared" ca="1" si="299"/>
        <v>0.24943876278373658</v>
      </c>
      <c r="CR141" s="5">
        <v>3.2130000591278076</v>
      </c>
      <c r="CS141" s="5">
        <v>4.0030000000000001</v>
      </c>
      <c r="CT141" s="5">
        <v>4.0039999999999996</v>
      </c>
      <c r="CU141" s="5">
        <v>8.999999612569809E-3</v>
      </c>
    </row>
    <row r="142" spans="1:99" s="5" customFormat="1" x14ac:dyDescent="0.35">
      <c r="A142" s="4" t="s">
        <v>120</v>
      </c>
      <c r="B142" s="4">
        <v>8.5</v>
      </c>
      <c r="C142" s="4" t="s">
        <v>168</v>
      </c>
      <c r="D142" s="4" t="s">
        <v>404</v>
      </c>
      <c r="E142" s="3"/>
      <c r="F142" s="5" t="e">
        <v>#N/A</v>
      </c>
      <c r="G142" s="5" t="e">
        <v>#N/A</v>
      </c>
      <c r="H142" s="5" t="e">
        <v>#N/A</v>
      </c>
      <c r="I142" s="5" t="e">
        <v>#N/A</v>
      </c>
      <c r="K142" s="3" t="e">
        <f t="shared" ca="1" si="240"/>
        <v>#N/A</v>
      </c>
      <c r="L142" s="3" t="e">
        <f t="shared" ca="1" si="241"/>
        <v>#N/A</v>
      </c>
      <c r="M142" s="3" t="e">
        <f t="shared" ca="1" si="242"/>
        <v>#N/A</v>
      </c>
      <c r="N142" s="3" t="e">
        <f t="shared" ca="1" si="243"/>
        <v>#N/A</v>
      </c>
      <c r="P142" s="3" t="e">
        <f t="shared" ca="1" si="244"/>
        <v>#N/A</v>
      </c>
      <c r="Q142" s="3" t="e">
        <f t="shared" ca="1" si="245"/>
        <v>#N/A</v>
      </c>
      <c r="R142" s="3" t="e">
        <f t="shared" ca="1" si="246"/>
        <v>#N/A</v>
      </c>
      <c r="S142" s="3" t="e">
        <f t="shared" ca="1" si="247"/>
        <v>#N/A</v>
      </c>
      <c r="U142" s="3" t="e">
        <f t="shared" ca="1" si="248"/>
        <v>#N/A</v>
      </c>
      <c r="V142" s="3" t="e">
        <f t="shared" ca="1" si="249"/>
        <v>#N/A</v>
      </c>
      <c r="W142" s="3" t="e">
        <f t="shared" ca="1" si="250"/>
        <v>#N/A</v>
      </c>
      <c r="X142" s="3" t="e">
        <f t="shared" ca="1" si="251"/>
        <v>#N/A</v>
      </c>
      <c r="Z142" s="3" t="e">
        <f t="shared" ca="1" si="252"/>
        <v>#N/A</v>
      </c>
      <c r="AA142" s="3" t="e">
        <f t="shared" ca="1" si="253"/>
        <v>#N/A</v>
      </c>
      <c r="AB142" s="3" t="e">
        <f t="shared" ca="1" si="254"/>
        <v>#N/A</v>
      </c>
      <c r="AC142" s="3" t="e">
        <f t="shared" ca="1" si="255"/>
        <v>#N/A</v>
      </c>
      <c r="AE142" s="3" t="e">
        <f t="shared" ca="1" si="256"/>
        <v>#N/A</v>
      </c>
      <c r="AF142" s="3" t="e">
        <f t="shared" ca="1" si="257"/>
        <v>#N/A</v>
      </c>
      <c r="AG142" s="3" t="e">
        <f t="shared" ca="1" si="258"/>
        <v>#N/A</v>
      </c>
      <c r="AH142" s="3" t="e">
        <f t="shared" ca="1" si="259"/>
        <v>#N/A</v>
      </c>
      <c r="AJ142" s="3" t="e">
        <f t="shared" ca="1" si="260"/>
        <v>#N/A</v>
      </c>
      <c r="AK142" s="3" t="e">
        <f t="shared" ca="1" si="261"/>
        <v>#N/A</v>
      </c>
      <c r="AL142" s="3" t="e">
        <f t="shared" ca="1" si="262"/>
        <v>#N/A</v>
      </c>
      <c r="AM142" s="3" t="e">
        <f t="shared" ca="1" si="263"/>
        <v>#N/A</v>
      </c>
      <c r="AO142" s="3" t="e">
        <f t="shared" ca="1" si="264"/>
        <v>#N/A</v>
      </c>
      <c r="AP142" s="3" t="e">
        <f t="shared" ca="1" si="265"/>
        <v>#N/A</v>
      </c>
      <c r="AQ142" s="3" t="e">
        <f t="shared" ca="1" si="266"/>
        <v>#N/A</v>
      </c>
      <c r="AR142" s="3" t="e">
        <f t="shared" ca="1" si="267"/>
        <v>#N/A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Y142" s="3" t="e">
        <f t="shared" ca="1" si="268"/>
        <v>#N/A</v>
      </c>
      <c r="AZ142" s="3" t="e">
        <f t="shared" ca="1" si="269"/>
        <v>#N/A</v>
      </c>
      <c r="BA142" s="3" t="e">
        <f t="shared" ca="1" si="270"/>
        <v>#N/A</v>
      </c>
      <c r="BB142" s="3" t="e">
        <f t="shared" ca="1" si="271"/>
        <v>#N/A</v>
      </c>
      <c r="BD142" s="3" t="e">
        <f t="shared" ca="1" si="272"/>
        <v>#N/A</v>
      </c>
      <c r="BE142" s="3" t="e">
        <f t="shared" ca="1" si="273"/>
        <v>#N/A</v>
      </c>
      <c r="BF142" s="3" t="e">
        <f t="shared" ca="1" si="274"/>
        <v>#N/A</v>
      </c>
      <c r="BG142" s="3" t="e">
        <f t="shared" ca="1" si="275"/>
        <v>#N/A</v>
      </c>
      <c r="BI142" s="3" t="e">
        <f t="shared" ca="1" si="276"/>
        <v>#N/A</v>
      </c>
      <c r="BJ142" s="3" t="e">
        <f t="shared" ca="1" si="277"/>
        <v>#N/A</v>
      </c>
      <c r="BK142" s="3" t="e">
        <f t="shared" ca="1" si="278"/>
        <v>#N/A</v>
      </c>
      <c r="BL142" s="3" t="e">
        <f t="shared" ca="1" si="279"/>
        <v>#N/A</v>
      </c>
      <c r="BN142" s="3" t="e">
        <f t="shared" ca="1" si="280"/>
        <v>#N/A</v>
      </c>
      <c r="BO142" s="3" t="e">
        <f t="shared" ca="1" si="281"/>
        <v>#N/A</v>
      </c>
      <c r="BP142" s="3" t="e">
        <f t="shared" ca="1" si="282"/>
        <v>#N/A</v>
      </c>
      <c r="BQ142" s="3" t="e">
        <f t="shared" ca="1" si="283"/>
        <v>#N/A</v>
      </c>
      <c r="BS142" s="11" t="e">
        <v>#N/A</v>
      </c>
      <c r="BT142" s="11" t="e">
        <v>#N/A</v>
      </c>
      <c r="BU142" s="11" t="e">
        <v>#N/A</v>
      </c>
      <c r="BV142" s="11" t="e">
        <v>#N/A</v>
      </c>
      <c r="BX142" s="3" t="e">
        <f t="shared" ca="1" si="284"/>
        <v>#N/A</v>
      </c>
      <c r="BY142" s="3" t="e">
        <f t="shared" ca="1" si="285"/>
        <v>#N/A</v>
      </c>
      <c r="BZ142" s="3" t="e">
        <f t="shared" ca="1" si="286"/>
        <v>#N/A</v>
      </c>
      <c r="CA142" s="3" t="e">
        <f t="shared" ca="1" si="287"/>
        <v>#N/A</v>
      </c>
      <c r="CC142" s="3" t="e">
        <f t="shared" ca="1" si="288"/>
        <v>#N/A</v>
      </c>
      <c r="CD142" s="3" t="e">
        <f t="shared" ca="1" si="289"/>
        <v>#N/A</v>
      </c>
      <c r="CE142" s="3" t="e">
        <f t="shared" ca="1" si="290"/>
        <v>#N/A</v>
      </c>
      <c r="CF142" s="3" t="e">
        <f t="shared" ca="1" si="291"/>
        <v>#N/A</v>
      </c>
      <c r="CH142" s="3" t="e">
        <f t="shared" ca="1" si="292"/>
        <v>#N/A</v>
      </c>
      <c r="CI142" s="3" t="e">
        <f t="shared" ca="1" si="293"/>
        <v>#N/A</v>
      </c>
      <c r="CJ142" s="3" t="e">
        <f t="shared" ca="1" si="294"/>
        <v>#N/A</v>
      </c>
      <c r="CK142" s="3" t="e">
        <f t="shared" ca="1" si="295"/>
        <v>#N/A</v>
      </c>
      <c r="CM142" s="3" t="e">
        <f t="shared" ca="1" si="296"/>
        <v>#N/A</v>
      </c>
      <c r="CN142" s="3" t="e">
        <f t="shared" ca="1" si="297"/>
        <v>#N/A</v>
      </c>
      <c r="CO142" s="3" t="e">
        <f t="shared" ca="1" si="298"/>
        <v>#N/A</v>
      </c>
      <c r="CP142" s="3" t="e">
        <f t="shared" ca="1" si="299"/>
        <v>#N/A</v>
      </c>
      <c r="CR142" s="11" t="e">
        <v>#N/A</v>
      </c>
      <c r="CS142" s="11" t="e">
        <v>#N/A</v>
      </c>
      <c r="CT142" s="11" t="e">
        <v>#N/A</v>
      </c>
      <c r="CU142" s="11" t="e">
        <v>#N/A</v>
      </c>
    </row>
    <row r="143" spans="1:99" s="5" customFormat="1" x14ac:dyDescent="0.35">
      <c r="A143" s="4" t="s">
        <v>130</v>
      </c>
      <c r="B143" s="4">
        <v>8.5</v>
      </c>
      <c r="C143" s="4" t="s">
        <v>168</v>
      </c>
      <c r="D143" s="4" t="s">
        <v>404</v>
      </c>
      <c r="E143" s="3"/>
      <c r="F143" s="5" t="e">
        <v>#N/A</v>
      </c>
      <c r="G143" s="5">
        <v>4.01</v>
      </c>
      <c r="H143" s="5">
        <v>4.032</v>
      </c>
      <c r="I143" s="5">
        <v>4.01</v>
      </c>
      <c r="K143" s="3" t="e">
        <f t="shared" ca="1" si="240"/>
        <v>#N/A</v>
      </c>
      <c r="L143" s="3">
        <f t="shared" ca="1" si="241"/>
        <v>0.94763092269326699</v>
      </c>
      <c r="M143" s="3">
        <f t="shared" ca="1" si="242"/>
        <v>0.82638888888888906</v>
      </c>
      <c r="N143" s="3">
        <f t="shared" ca="1" si="243"/>
        <v>0.78952618453865342</v>
      </c>
      <c r="P143" s="3" t="e">
        <f t="shared" ca="1" si="244"/>
        <v>#N/A</v>
      </c>
      <c r="Q143" s="3">
        <f t="shared" ca="1" si="245"/>
        <v>0.46982551156136759</v>
      </c>
      <c r="R143" s="3">
        <f t="shared" ca="1" si="246"/>
        <v>0.85987101100193009</v>
      </c>
      <c r="S143" s="3">
        <f t="shared" ca="1" si="247"/>
        <v>0.7351620564065372</v>
      </c>
      <c r="U143" s="3" t="e">
        <f t="shared" ca="1" si="248"/>
        <v>#N/A</v>
      </c>
      <c r="V143" s="3">
        <f t="shared" ca="1" si="249"/>
        <v>1.745635910224439</v>
      </c>
      <c r="W143" s="3">
        <f t="shared" ca="1" si="250"/>
        <v>2.2321428571428572</v>
      </c>
      <c r="X143" s="3">
        <f t="shared" ca="1" si="251"/>
        <v>1.745635910224439</v>
      </c>
      <c r="Z143" s="3" t="e">
        <f t="shared" ca="1" si="252"/>
        <v>#N/A</v>
      </c>
      <c r="AA143" s="3">
        <f t="shared" ca="1" si="253"/>
        <v>0.56508728179551138</v>
      </c>
      <c r="AB143" s="3">
        <f t="shared" ca="1" si="254"/>
        <v>0.60739087301587302</v>
      </c>
      <c r="AC143" s="3">
        <f t="shared" ca="1" si="255"/>
        <v>0.673067331670823</v>
      </c>
      <c r="AE143" s="3" t="e">
        <f t="shared" ca="1" si="256"/>
        <v>#N/A</v>
      </c>
      <c r="AF143" s="3">
        <f t="shared" ca="1" si="257"/>
        <v>0.43241901885244322</v>
      </c>
      <c r="AG143" s="3">
        <f t="shared" ca="1" si="258"/>
        <v>0.55431545756402467</v>
      </c>
      <c r="AH143" s="3">
        <f t="shared" ca="1" si="259"/>
        <v>0.6521196761853677</v>
      </c>
      <c r="AJ143" s="3" t="e">
        <f t="shared" ca="1" si="260"/>
        <v>#N/A</v>
      </c>
      <c r="AK143" s="3">
        <f t="shared" ca="1" si="261"/>
        <v>1.4962593516209477</v>
      </c>
      <c r="AL143" s="3">
        <f t="shared" ca="1" si="262"/>
        <v>1.4880952380952381</v>
      </c>
      <c r="AM143" s="3">
        <f t="shared" ca="1" si="263"/>
        <v>1.4962593516209477</v>
      </c>
      <c r="AO143" s="3" t="e">
        <f t="shared" ca="1" si="264"/>
        <v>#N/A</v>
      </c>
      <c r="AP143" s="3">
        <f t="shared" ca="1" si="265"/>
        <v>0.49875311720698257</v>
      </c>
      <c r="AQ143" s="3">
        <f t="shared" ca="1" si="266"/>
        <v>0.49603174603174605</v>
      </c>
      <c r="AR143" s="3">
        <f t="shared" ca="1" si="267"/>
        <v>0.49875311720698257</v>
      </c>
      <c r="AT143" s="5">
        <v>1.0000000474974513E-3</v>
      </c>
      <c r="AU143" s="5">
        <v>0.74400001764297485</v>
      </c>
      <c r="AV143" s="5">
        <v>0.47999998927116394</v>
      </c>
      <c r="AW143" s="5">
        <v>1.3000000268220901E-2</v>
      </c>
      <c r="AY143" s="3" t="e">
        <f t="shared" ca="1" si="268"/>
        <v>#N/A</v>
      </c>
      <c r="AZ143" s="3">
        <f t="shared" ca="1" si="269"/>
        <v>0.32817955112219444</v>
      </c>
      <c r="BA143" s="3">
        <f t="shared" ca="1" si="270"/>
        <v>0.28124999999999994</v>
      </c>
      <c r="BB143" s="3">
        <f t="shared" ca="1" si="271"/>
        <v>0.24912718204488776</v>
      </c>
      <c r="BD143" s="3" t="e">
        <f t="shared" ca="1" si="272"/>
        <v>#N/A</v>
      </c>
      <c r="BE143" s="3">
        <f t="shared" ca="1" si="273"/>
        <v>0.32418958861334368</v>
      </c>
      <c r="BF143" s="3">
        <f t="shared" ca="1" si="274"/>
        <v>0.35987103298779516</v>
      </c>
      <c r="BG143" s="3">
        <f t="shared" ca="1" si="275"/>
        <v>0.27406483219746047</v>
      </c>
      <c r="BI143" s="3" t="e">
        <f t="shared" ca="1" si="276"/>
        <v>#N/A</v>
      </c>
      <c r="BJ143" s="3">
        <f t="shared" ca="1" si="277"/>
        <v>0.74812967581047385</v>
      </c>
      <c r="BK143" s="3">
        <f t="shared" ca="1" si="278"/>
        <v>0.74404761904761907</v>
      </c>
      <c r="BL143" s="3">
        <f t="shared" ca="1" si="279"/>
        <v>0.99750623441396513</v>
      </c>
      <c r="BN143" s="3" t="e">
        <f t="shared" ca="1" si="280"/>
        <v>#N/A</v>
      </c>
      <c r="BO143" s="3">
        <f t="shared" ca="1" si="281"/>
        <v>0.49875311720698257</v>
      </c>
      <c r="BP143" s="3">
        <f t="shared" ca="1" si="282"/>
        <v>0.99206349206349209</v>
      </c>
      <c r="BQ143" s="3">
        <f t="shared" ca="1" si="283"/>
        <v>0.49875311720698257</v>
      </c>
      <c r="BS143" s="5">
        <v>0.58399999141693115</v>
      </c>
      <c r="BT143" s="5">
        <v>0.74400001764297485</v>
      </c>
      <c r="BU143" s="5">
        <v>0.47999998927116394</v>
      </c>
      <c r="BV143" s="5">
        <v>0.66299998760223389</v>
      </c>
      <c r="BX143" s="3" t="e">
        <f t="shared" ca="1" si="284"/>
        <v>#N/A</v>
      </c>
      <c r="BY143" s="3">
        <f t="shared" ca="1" si="285"/>
        <v>3.9900249376558644E-3</v>
      </c>
      <c r="BZ143" s="3">
        <f t="shared" ca="1" si="286"/>
        <v>0</v>
      </c>
      <c r="CA143" s="3">
        <f t="shared" ca="1" si="287"/>
        <v>0</v>
      </c>
      <c r="CC143" s="3" t="e">
        <f t="shared" ca="1" si="288"/>
        <v>#N/A</v>
      </c>
      <c r="CD143" s="3">
        <f t="shared" ca="1" si="289"/>
        <v>0</v>
      </c>
      <c r="CE143" s="3">
        <f t="shared" ca="1" si="290"/>
        <v>0</v>
      </c>
      <c r="CF143" s="3">
        <f t="shared" ca="1" si="291"/>
        <v>0</v>
      </c>
      <c r="CH143" s="3" t="e">
        <f t="shared" ca="1" si="292"/>
        <v>#N/A</v>
      </c>
      <c r="CI143" s="3">
        <f t="shared" ca="1" si="293"/>
        <v>0</v>
      </c>
      <c r="CJ143" s="3">
        <f t="shared" ca="1" si="294"/>
        <v>0</v>
      </c>
      <c r="CK143" s="3">
        <f t="shared" ca="1" si="295"/>
        <v>0</v>
      </c>
      <c r="CM143" s="3" t="e">
        <f t="shared" ca="1" si="296"/>
        <v>#N/A</v>
      </c>
      <c r="CN143" s="3">
        <f t="shared" ca="1" si="297"/>
        <v>1.2468827930174564</v>
      </c>
      <c r="CO143" s="3">
        <f t="shared" ca="1" si="298"/>
        <v>0</v>
      </c>
      <c r="CP143" s="3">
        <f t="shared" ca="1" si="299"/>
        <v>0</v>
      </c>
      <c r="CR143" s="5">
        <v>4.0309999999999997</v>
      </c>
      <c r="CS143" s="5">
        <v>4.01</v>
      </c>
      <c r="CT143" s="5">
        <v>4.032</v>
      </c>
      <c r="CU143" s="5">
        <v>4.01</v>
      </c>
    </row>
    <row r="144" spans="1:99" s="5" customFormat="1" x14ac:dyDescent="0.35">
      <c r="A144" s="4" t="s">
        <v>156</v>
      </c>
      <c r="B144" s="4">
        <v>8.5</v>
      </c>
      <c r="C144" s="4" t="s">
        <v>168</v>
      </c>
      <c r="D144" s="4" t="s">
        <v>404</v>
      </c>
      <c r="E144" s="3"/>
      <c r="F144" s="5" t="e">
        <v>#N/A</v>
      </c>
      <c r="G144" s="5" t="e">
        <v>#N/A</v>
      </c>
      <c r="H144" s="11" t="e">
        <v>#N/A</v>
      </c>
      <c r="I144" s="5" t="e">
        <v>#N/A</v>
      </c>
      <c r="K144" s="3" t="e">
        <f t="shared" ca="1" si="240"/>
        <v>#N/A</v>
      </c>
      <c r="L144" s="3" t="e">
        <f t="shared" ca="1" si="241"/>
        <v>#N/A</v>
      </c>
      <c r="M144" s="3" t="e">
        <f t="shared" ca="1" si="242"/>
        <v>#N/A</v>
      </c>
      <c r="N144" s="3" t="e">
        <f t="shared" ca="1" si="243"/>
        <v>#N/A</v>
      </c>
      <c r="P144" s="3" t="e">
        <f t="shared" ca="1" si="244"/>
        <v>#N/A</v>
      </c>
      <c r="Q144" s="3" t="e">
        <f t="shared" ca="1" si="245"/>
        <v>#N/A</v>
      </c>
      <c r="R144" s="3" t="e">
        <f t="shared" ca="1" si="246"/>
        <v>#N/A</v>
      </c>
      <c r="S144" s="3" t="e">
        <f t="shared" ca="1" si="247"/>
        <v>#N/A</v>
      </c>
      <c r="U144" s="3" t="e">
        <f t="shared" ca="1" si="248"/>
        <v>#N/A</v>
      </c>
      <c r="V144" s="3" t="e">
        <f t="shared" ca="1" si="249"/>
        <v>#N/A</v>
      </c>
      <c r="W144" s="3" t="e">
        <f t="shared" ca="1" si="250"/>
        <v>#N/A</v>
      </c>
      <c r="X144" s="3" t="e">
        <f t="shared" ca="1" si="251"/>
        <v>#N/A</v>
      </c>
      <c r="Z144" s="3" t="e">
        <f t="shared" ca="1" si="252"/>
        <v>#N/A</v>
      </c>
      <c r="AA144" s="3" t="e">
        <f t="shared" ca="1" si="253"/>
        <v>#N/A</v>
      </c>
      <c r="AB144" s="3" t="e">
        <f t="shared" ca="1" si="254"/>
        <v>#N/A</v>
      </c>
      <c r="AC144" s="3" t="e">
        <f t="shared" ca="1" si="255"/>
        <v>#N/A</v>
      </c>
      <c r="AE144" s="3" t="e">
        <f t="shared" ca="1" si="256"/>
        <v>#N/A</v>
      </c>
      <c r="AF144" s="3" t="e">
        <f t="shared" ca="1" si="257"/>
        <v>#N/A</v>
      </c>
      <c r="AG144" s="3" t="e">
        <f t="shared" ca="1" si="258"/>
        <v>#N/A</v>
      </c>
      <c r="AH144" s="3" t="e">
        <f t="shared" ca="1" si="259"/>
        <v>#N/A</v>
      </c>
      <c r="AJ144" s="3" t="e">
        <f t="shared" ca="1" si="260"/>
        <v>#N/A</v>
      </c>
      <c r="AK144" s="3" t="e">
        <f t="shared" ca="1" si="261"/>
        <v>#N/A</v>
      </c>
      <c r="AL144" s="3" t="e">
        <f t="shared" ca="1" si="262"/>
        <v>#N/A</v>
      </c>
      <c r="AM144" s="3" t="e">
        <f t="shared" ca="1" si="263"/>
        <v>#N/A</v>
      </c>
      <c r="AO144" s="3" t="e">
        <f t="shared" ca="1" si="264"/>
        <v>#N/A</v>
      </c>
      <c r="AP144" s="3" t="e">
        <f t="shared" ca="1" si="265"/>
        <v>#N/A</v>
      </c>
      <c r="AQ144" s="3" t="e">
        <f t="shared" ca="1" si="266"/>
        <v>#N/A</v>
      </c>
      <c r="AR144" s="3" t="e">
        <f t="shared" ca="1" si="267"/>
        <v>#N/A</v>
      </c>
      <c r="AT144" s="5">
        <v>1.5800000429153442</v>
      </c>
      <c r="AU144" s="5">
        <v>1.1230000257492065</v>
      </c>
      <c r="AV144" s="11" t="e">
        <v>#N/A</v>
      </c>
      <c r="AW144" s="11" t="e">
        <v>#N/A</v>
      </c>
      <c r="AY144" s="3" t="e">
        <f t="shared" ca="1" si="268"/>
        <v>#N/A</v>
      </c>
      <c r="AZ144" s="3" t="e">
        <f t="shared" ca="1" si="269"/>
        <v>#N/A</v>
      </c>
      <c r="BA144" s="3" t="e">
        <f t="shared" ca="1" si="270"/>
        <v>#N/A</v>
      </c>
      <c r="BB144" s="3" t="e">
        <f t="shared" ca="1" si="271"/>
        <v>#N/A</v>
      </c>
      <c r="BD144" s="3" t="e">
        <f t="shared" ca="1" si="272"/>
        <v>#N/A</v>
      </c>
      <c r="BE144" s="3" t="e">
        <f t="shared" ca="1" si="273"/>
        <v>#N/A</v>
      </c>
      <c r="BF144" s="3" t="e">
        <f t="shared" ca="1" si="274"/>
        <v>#N/A</v>
      </c>
      <c r="BG144" s="3" t="e">
        <f t="shared" ca="1" si="275"/>
        <v>#N/A</v>
      </c>
      <c r="BI144" s="3" t="e">
        <f t="shared" ca="1" si="276"/>
        <v>#N/A</v>
      </c>
      <c r="BJ144" s="3" t="e">
        <f t="shared" ca="1" si="277"/>
        <v>#N/A</v>
      </c>
      <c r="BK144" s="3" t="e">
        <f t="shared" ca="1" si="278"/>
        <v>#N/A</v>
      </c>
      <c r="BL144" s="3" t="e">
        <f t="shared" ca="1" si="279"/>
        <v>#N/A</v>
      </c>
      <c r="BN144" s="3" t="e">
        <f t="shared" ca="1" si="280"/>
        <v>#N/A</v>
      </c>
      <c r="BO144" s="3" t="e">
        <f t="shared" ca="1" si="281"/>
        <v>#N/A</v>
      </c>
      <c r="BP144" s="3" t="e">
        <f t="shared" ca="1" si="282"/>
        <v>#N/A</v>
      </c>
      <c r="BQ144" s="3" t="e">
        <f t="shared" ca="1" si="283"/>
        <v>#N/A</v>
      </c>
      <c r="BS144" s="5">
        <v>4.0129999999999999</v>
      </c>
      <c r="BT144" s="5">
        <v>4.016</v>
      </c>
      <c r="BU144" s="11" t="e">
        <v>#N/A</v>
      </c>
      <c r="BV144" s="11" t="e">
        <v>#N/A</v>
      </c>
      <c r="BX144" s="3" t="e">
        <f t="shared" ca="1" si="284"/>
        <v>#N/A</v>
      </c>
      <c r="BY144" s="3" t="e">
        <f t="shared" ca="1" si="285"/>
        <v>#N/A</v>
      </c>
      <c r="BZ144" s="3" t="e">
        <f t="shared" ca="1" si="286"/>
        <v>#N/A</v>
      </c>
      <c r="CA144" s="3" t="e">
        <f t="shared" ca="1" si="287"/>
        <v>#N/A</v>
      </c>
      <c r="CC144" s="3" t="e">
        <f t="shared" ca="1" si="288"/>
        <v>#N/A</v>
      </c>
      <c r="CD144" s="3" t="e">
        <f t="shared" ca="1" si="289"/>
        <v>#N/A</v>
      </c>
      <c r="CE144" s="3" t="e">
        <f t="shared" ca="1" si="290"/>
        <v>#N/A</v>
      </c>
      <c r="CF144" s="3" t="e">
        <f t="shared" ca="1" si="291"/>
        <v>#N/A</v>
      </c>
      <c r="CH144" s="3" t="e">
        <f t="shared" ca="1" si="292"/>
        <v>#N/A</v>
      </c>
      <c r="CI144" s="3" t="e">
        <f t="shared" ca="1" si="293"/>
        <v>#N/A</v>
      </c>
      <c r="CJ144" s="3" t="e">
        <f t="shared" ca="1" si="294"/>
        <v>#N/A</v>
      </c>
      <c r="CK144" s="3" t="e">
        <f t="shared" ca="1" si="295"/>
        <v>#N/A</v>
      </c>
      <c r="CM144" s="3" t="e">
        <f t="shared" ca="1" si="296"/>
        <v>#N/A</v>
      </c>
      <c r="CN144" s="3" t="e">
        <f t="shared" ca="1" si="297"/>
        <v>#N/A</v>
      </c>
      <c r="CO144" s="3" t="e">
        <f t="shared" ca="1" si="298"/>
        <v>#N/A</v>
      </c>
      <c r="CP144" s="3" t="e">
        <f t="shared" ca="1" si="299"/>
        <v>#N/A</v>
      </c>
      <c r="CR144" s="5">
        <v>1.5800000429153442</v>
      </c>
      <c r="CS144" s="5">
        <v>4.016</v>
      </c>
      <c r="CT144" s="11" t="e">
        <v>#N/A</v>
      </c>
      <c r="CU144" s="11" t="e">
        <v>#N/A</v>
      </c>
    </row>
    <row r="145" spans="1:99" s="5" customFormat="1" x14ac:dyDescent="0.35">
      <c r="A145" s="4" t="s">
        <v>116</v>
      </c>
      <c r="B145" s="4">
        <v>8.5833333333333339</v>
      </c>
      <c r="C145" s="4" t="s">
        <v>168</v>
      </c>
      <c r="D145" s="4" t="s">
        <v>404</v>
      </c>
      <c r="E145" s="3"/>
      <c r="F145" s="5">
        <v>4.0060000000000002</v>
      </c>
      <c r="G145" s="5">
        <v>4.016</v>
      </c>
      <c r="H145" s="5">
        <v>4.016</v>
      </c>
      <c r="I145" s="5">
        <v>4.0129999999999999</v>
      </c>
      <c r="K145" s="3">
        <f t="shared" ca="1" si="240"/>
        <v>0.93185222166749859</v>
      </c>
      <c r="L145" s="3">
        <f t="shared" ca="1" si="241"/>
        <v>0.77166334661354585</v>
      </c>
      <c r="M145" s="3">
        <f t="shared" ca="1" si="242"/>
        <v>0.82569721115537842</v>
      </c>
      <c r="N145" s="3">
        <f t="shared" ca="1" si="243"/>
        <v>0.89683528532270118</v>
      </c>
      <c r="P145" s="3">
        <f t="shared" ca="1" si="244"/>
        <v>0.81902149463973517</v>
      </c>
      <c r="Q145" s="3">
        <f t="shared" ca="1" si="245"/>
        <v>0.7422808038286004</v>
      </c>
      <c r="R145" s="3">
        <f t="shared" ca="1" si="246"/>
        <v>0.68451197765975358</v>
      </c>
      <c r="S145" s="3">
        <f t="shared" ca="1" si="247"/>
        <v>0.5766259385200917</v>
      </c>
      <c r="U145" s="3">
        <f t="shared" ca="1" si="248"/>
        <v>2.4962556165751373</v>
      </c>
      <c r="V145" s="3">
        <f t="shared" ca="1" si="249"/>
        <v>2.9880478087649402</v>
      </c>
      <c r="W145" s="3">
        <f t="shared" ca="1" si="250"/>
        <v>1.7430278884462151</v>
      </c>
      <c r="X145" s="3">
        <f t="shared" ca="1" si="251"/>
        <v>1.74433092449539</v>
      </c>
      <c r="Z145" s="3">
        <f t="shared" ca="1" si="252"/>
        <v>0.93185222166749859</v>
      </c>
      <c r="AA145" s="3">
        <f t="shared" ca="1" si="253"/>
        <v>0.84238047808764949</v>
      </c>
      <c r="AB145" s="3">
        <f t="shared" ca="1" si="254"/>
        <v>0.82569721115537842</v>
      </c>
      <c r="AC145" s="3">
        <f t="shared" ca="1" si="255"/>
        <v>0.72663842511836529</v>
      </c>
      <c r="AE145" s="3">
        <f t="shared" ca="1" si="256"/>
        <v>0.81902149463973517</v>
      </c>
      <c r="AF145" s="3">
        <f t="shared" ca="1" si="257"/>
        <v>0.7422808038286004</v>
      </c>
      <c r="AG145" s="3">
        <f t="shared" ca="1" si="258"/>
        <v>0.68451197765975358</v>
      </c>
      <c r="AH145" s="3">
        <f t="shared" ca="1" si="259"/>
        <v>0.4438076000275411</v>
      </c>
      <c r="AJ145" s="3">
        <f t="shared" ca="1" si="260"/>
        <v>2.4962556165751373</v>
      </c>
      <c r="AK145" s="3">
        <f t="shared" ca="1" si="261"/>
        <v>2.9880478087649402</v>
      </c>
      <c r="AL145" s="3">
        <f t="shared" ca="1" si="262"/>
        <v>1.7430278884462151</v>
      </c>
      <c r="AM145" s="3">
        <f t="shared" ca="1" si="263"/>
        <v>1.4951407924246201</v>
      </c>
      <c r="AO145" s="3">
        <f t="shared" ca="1" si="264"/>
        <v>0.24962556165751371</v>
      </c>
      <c r="AP145" s="3">
        <f t="shared" ca="1" si="265"/>
        <v>0.24900398406374502</v>
      </c>
      <c r="AQ145" s="3">
        <f t="shared" ca="1" si="266"/>
        <v>0.24900398406374502</v>
      </c>
      <c r="AR145" s="3">
        <f t="shared" ca="1" si="267"/>
        <v>0.49838026414154002</v>
      </c>
      <c r="AT145" s="5">
        <v>0.28099998831748962</v>
      </c>
      <c r="AU145" s="5">
        <v>0.6679999828338623</v>
      </c>
      <c r="AV145" s="5">
        <v>0.38199999928474426</v>
      </c>
      <c r="AW145" s="5">
        <v>0.41100001335144043</v>
      </c>
      <c r="AY145" s="3">
        <f t="shared" ca="1" si="268"/>
        <v>0.32001997004493249</v>
      </c>
      <c r="AZ145" s="3">
        <f t="shared" ca="1" si="269"/>
        <v>0.26967131474103595</v>
      </c>
      <c r="BA145" s="3">
        <f t="shared" ca="1" si="270"/>
        <v>0.35682270916334663</v>
      </c>
      <c r="BB145" s="3">
        <f t="shared" ca="1" si="271"/>
        <v>0.33192125591826571</v>
      </c>
      <c r="BD145" s="3">
        <f t="shared" ca="1" si="272"/>
        <v>0.31577635424409695</v>
      </c>
      <c r="BE145" s="3">
        <f t="shared" ca="1" si="273"/>
        <v>0.25722108395451093</v>
      </c>
      <c r="BF145" s="3">
        <f t="shared" ca="1" si="274"/>
        <v>0.36080678798762927</v>
      </c>
      <c r="BG145" s="3">
        <f t="shared" ca="1" si="275"/>
        <v>0.33192123049011918</v>
      </c>
      <c r="BI145" s="3">
        <f t="shared" ca="1" si="276"/>
        <v>0.74887668497254112</v>
      </c>
      <c r="BJ145" s="3">
        <f t="shared" ca="1" si="277"/>
        <v>0.74701195219123506</v>
      </c>
      <c r="BK145" s="3">
        <f t="shared" ca="1" si="278"/>
        <v>0.74701195219123506</v>
      </c>
      <c r="BL145" s="3">
        <f t="shared" ca="1" si="279"/>
        <v>0.99676052828308004</v>
      </c>
      <c r="BN145" s="3">
        <f t="shared" ca="1" si="280"/>
        <v>0.49925112331502741</v>
      </c>
      <c r="BO145" s="3">
        <f t="shared" ca="1" si="281"/>
        <v>0.99601593625498008</v>
      </c>
      <c r="BP145" s="3">
        <f t="shared" ca="1" si="282"/>
        <v>0.74701195219123506</v>
      </c>
      <c r="BQ145" s="3">
        <f t="shared" ca="1" si="283"/>
        <v>0.99676052828308004</v>
      </c>
      <c r="BS145" s="5">
        <v>0.28099998831748962</v>
      </c>
      <c r="BT145" s="5">
        <v>0.6679999828338623</v>
      </c>
      <c r="BU145" s="5">
        <v>0.7149999737739563</v>
      </c>
      <c r="BV145" s="5">
        <v>0.59399998188018799</v>
      </c>
      <c r="BX145" s="3">
        <f t="shared" ca="1" si="284"/>
        <v>0.31228157763354963</v>
      </c>
      <c r="BY145" s="3">
        <f t="shared" ca="1" si="285"/>
        <v>5.378486055776889E-2</v>
      </c>
      <c r="BZ145" s="3">
        <f t="shared" ca="1" si="286"/>
        <v>0.1576195219123506</v>
      </c>
      <c r="CA145" s="3">
        <f t="shared" ca="1" si="287"/>
        <v>0</v>
      </c>
      <c r="CC145" s="3">
        <f t="shared" ca="1" si="288"/>
        <v>0.37443837224395643</v>
      </c>
      <c r="CD145" s="3">
        <f t="shared" ca="1" si="289"/>
        <v>4.9800808686184216E-2</v>
      </c>
      <c r="CE145" s="3">
        <f t="shared" ca="1" si="290"/>
        <v>0.21588645014629895</v>
      </c>
      <c r="CF145" s="3">
        <f t="shared" ca="1" si="291"/>
        <v>0</v>
      </c>
      <c r="CH145" s="3">
        <f t="shared" ca="1" si="292"/>
        <v>0.99850224663005482</v>
      </c>
      <c r="CI145" s="3">
        <f t="shared" ca="1" si="293"/>
        <v>0.24900398406374502</v>
      </c>
      <c r="CJ145" s="3">
        <f t="shared" ca="1" si="294"/>
        <v>0.24900398406374502</v>
      </c>
      <c r="CK145" s="3">
        <f t="shared" ca="1" si="295"/>
        <v>0</v>
      </c>
      <c r="CM145" s="3">
        <f t="shared" ca="1" si="296"/>
        <v>0.74887668497254112</v>
      </c>
      <c r="CN145" s="3">
        <f t="shared" ca="1" si="297"/>
        <v>0.99601593625498008</v>
      </c>
      <c r="CO145" s="3">
        <f t="shared" ca="1" si="298"/>
        <v>0.74701195219123506</v>
      </c>
      <c r="CP145" s="3">
        <f t="shared" ca="1" si="299"/>
        <v>0</v>
      </c>
      <c r="CR145" s="5">
        <v>1.4809999465942383</v>
      </c>
      <c r="CS145" s="5">
        <v>3.4839999675750732</v>
      </c>
      <c r="CT145" s="5">
        <v>1.4650000333786011</v>
      </c>
      <c r="CU145" s="5">
        <v>4.0129999999999999</v>
      </c>
    </row>
    <row r="146" spans="1:99" s="5" customFormat="1" x14ac:dyDescent="0.35">
      <c r="A146" s="4" t="s">
        <v>150</v>
      </c>
      <c r="B146" s="4">
        <v>8.5833333333333339</v>
      </c>
      <c r="C146" s="4" t="s">
        <v>168</v>
      </c>
      <c r="D146" s="4" t="s">
        <v>404</v>
      </c>
      <c r="E146" s="3"/>
      <c r="F146" s="5" t="e">
        <v>#N/A</v>
      </c>
      <c r="G146" s="5" t="e">
        <v>#N/A</v>
      </c>
      <c r="H146" s="5" t="e">
        <v>#N/A</v>
      </c>
      <c r="I146" s="11" t="e">
        <v>#N/A</v>
      </c>
      <c r="K146" s="3" t="e">
        <f t="shared" ca="1" si="240"/>
        <v>#N/A</v>
      </c>
      <c r="L146" s="3" t="e">
        <f t="shared" ca="1" si="241"/>
        <v>#N/A</v>
      </c>
      <c r="M146" s="3" t="e">
        <f t="shared" ca="1" si="242"/>
        <v>#N/A</v>
      </c>
      <c r="N146" s="3" t="e">
        <f t="shared" ca="1" si="243"/>
        <v>#N/A</v>
      </c>
      <c r="P146" s="3" t="e">
        <f t="shared" ca="1" si="244"/>
        <v>#N/A</v>
      </c>
      <c r="Q146" s="3" t="e">
        <f t="shared" ca="1" si="245"/>
        <v>#N/A</v>
      </c>
      <c r="R146" s="3" t="e">
        <f t="shared" ca="1" si="246"/>
        <v>#N/A</v>
      </c>
      <c r="S146" s="3" t="e">
        <f t="shared" ca="1" si="247"/>
        <v>#N/A</v>
      </c>
      <c r="U146" s="3" t="e">
        <f t="shared" ca="1" si="248"/>
        <v>#N/A</v>
      </c>
      <c r="V146" s="3" t="e">
        <f t="shared" ca="1" si="249"/>
        <v>#N/A</v>
      </c>
      <c r="W146" s="3" t="e">
        <f t="shared" ca="1" si="250"/>
        <v>#N/A</v>
      </c>
      <c r="X146" s="3" t="e">
        <f t="shared" ca="1" si="251"/>
        <v>#N/A</v>
      </c>
      <c r="Z146" s="3" t="e">
        <f t="shared" ca="1" si="252"/>
        <v>#N/A</v>
      </c>
      <c r="AA146" s="3" t="e">
        <f t="shared" ca="1" si="253"/>
        <v>#N/A</v>
      </c>
      <c r="AB146" s="3" t="e">
        <f t="shared" ca="1" si="254"/>
        <v>#N/A</v>
      </c>
      <c r="AC146" s="3" t="e">
        <f t="shared" ca="1" si="255"/>
        <v>#N/A</v>
      </c>
      <c r="AE146" s="3" t="e">
        <f t="shared" ca="1" si="256"/>
        <v>#N/A</v>
      </c>
      <c r="AF146" s="3" t="e">
        <f t="shared" ca="1" si="257"/>
        <v>#N/A</v>
      </c>
      <c r="AG146" s="3" t="e">
        <f t="shared" ca="1" si="258"/>
        <v>#N/A</v>
      </c>
      <c r="AH146" s="3" t="e">
        <f t="shared" ca="1" si="259"/>
        <v>#N/A</v>
      </c>
      <c r="AJ146" s="3" t="e">
        <f t="shared" ca="1" si="260"/>
        <v>#N/A</v>
      </c>
      <c r="AK146" s="3" t="e">
        <f t="shared" ca="1" si="261"/>
        <v>#N/A</v>
      </c>
      <c r="AL146" s="3" t="e">
        <f t="shared" ca="1" si="262"/>
        <v>#N/A</v>
      </c>
      <c r="AM146" s="3" t="e">
        <f t="shared" ca="1" si="263"/>
        <v>#N/A</v>
      </c>
      <c r="AO146" s="3" t="e">
        <f t="shared" ca="1" si="264"/>
        <v>#N/A</v>
      </c>
      <c r="AP146" s="3" t="e">
        <f t="shared" ca="1" si="265"/>
        <v>#N/A</v>
      </c>
      <c r="AQ146" s="3" t="e">
        <f t="shared" ca="1" si="266"/>
        <v>#N/A</v>
      </c>
      <c r="AR146" s="3" t="e">
        <f t="shared" ca="1" si="267"/>
        <v>#N/A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Y146" s="3" t="e">
        <f t="shared" ca="1" si="268"/>
        <v>#N/A</v>
      </c>
      <c r="AZ146" s="3" t="e">
        <f t="shared" ca="1" si="269"/>
        <v>#N/A</v>
      </c>
      <c r="BA146" s="3" t="e">
        <f t="shared" ca="1" si="270"/>
        <v>#N/A</v>
      </c>
      <c r="BB146" s="3" t="e">
        <f t="shared" ca="1" si="271"/>
        <v>#N/A</v>
      </c>
      <c r="BD146" s="3" t="e">
        <f t="shared" ca="1" si="272"/>
        <v>#N/A</v>
      </c>
      <c r="BE146" s="3" t="e">
        <f t="shared" ca="1" si="273"/>
        <v>#N/A</v>
      </c>
      <c r="BF146" s="3" t="e">
        <f t="shared" ca="1" si="274"/>
        <v>#N/A</v>
      </c>
      <c r="BG146" s="3" t="e">
        <f t="shared" ca="1" si="275"/>
        <v>#N/A</v>
      </c>
      <c r="BI146" s="3" t="e">
        <f t="shared" ca="1" si="276"/>
        <v>#N/A</v>
      </c>
      <c r="BJ146" s="3" t="e">
        <f t="shared" ca="1" si="277"/>
        <v>#N/A</v>
      </c>
      <c r="BK146" s="3" t="e">
        <f t="shared" ca="1" si="278"/>
        <v>#N/A</v>
      </c>
      <c r="BL146" s="3" t="e">
        <f t="shared" ca="1" si="279"/>
        <v>#N/A</v>
      </c>
      <c r="BN146" s="3" t="e">
        <f t="shared" ca="1" si="280"/>
        <v>#N/A</v>
      </c>
      <c r="BO146" s="3" t="e">
        <f t="shared" ca="1" si="281"/>
        <v>#N/A</v>
      </c>
      <c r="BP146" s="3" t="e">
        <f t="shared" ca="1" si="282"/>
        <v>#N/A</v>
      </c>
      <c r="BQ146" s="3" t="e">
        <f t="shared" ca="1" si="283"/>
        <v>#N/A</v>
      </c>
      <c r="BS146" s="11" t="e">
        <v>#N/A</v>
      </c>
      <c r="BT146" s="11" t="e">
        <v>#N/A</v>
      </c>
      <c r="BU146" s="11" t="e">
        <v>#N/A</v>
      </c>
      <c r="BV146" s="11" t="e">
        <v>#N/A</v>
      </c>
      <c r="BX146" s="3" t="e">
        <f t="shared" ca="1" si="284"/>
        <v>#N/A</v>
      </c>
      <c r="BY146" s="3" t="e">
        <f t="shared" ca="1" si="285"/>
        <v>#N/A</v>
      </c>
      <c r="BZ146" s="3" t="e">
        <f t="shared" ca="1" si="286"/>
        <v>#N/A</v>
      </c>
      <c r="CA146" s="3" t="e">
        <f t="shared" ca="1" si="287"/>
        <v>#N/A</v>
      </c>
      <c r="CC146" s="3" t="e">
        <f t="shared" ca="1" si="288"/>
        <v>#N/A</v>
      </c>
      <c r="CD146" s="3" t="e">
        <f t="shared" ca="1" si="289"/>
        <v>#N/A</v>
      </c>
      <c r="CE146" s="3" t="e">
        <f t="shared" ca="1" si="290"/>
        <v>#N/A</v>
      </c>
      <c r="CF146" s="3" t="e">
        <f t="shared" ca="1" si="291"/>
        <v>#N/A</v>
      </c>
      <c r="CH146" s="3" t="e">
        <f t="shared" ca="1" si="292"/>
        <v>#N/A</v>
      </c>
      <c r="CI146" s="3" t="e">
        <f t="shared" ca="1" si="293"/>
        <v>#N/A</v>
      </c>
      <c r="CJ146" s="3" t="e">
        <f t="shared" ca="1" si="294"/>
        <v>#N/A</v>
      </c>
      <c r="CK146" s="3" t="e">
        <f t="shared" ca="1" si="295"/>
        <v>#N/A</v>
      </c>
      <c r="CM146" s="3" t="e">
        <f t="shared" ca="1" si="296"/>
        <v>#N/A</v>
      </c>
      <c r="CN146" s="3" t="e">
        <f t="shared" ca="1" si="297"/>
        <v>#N/A</v>
      </c>
      <c r="CO146" s="3" t="e">
        <f t="shared" ca="1" si="298"/>
        <v>#N/A</v>
      </c>
      <c r="CP146" s="3" t="e">
        <f t="shared" ca="1" si="299"/>
        <v>#N/A</v>
      </c>
      <c r="CR146" s="11" t="e">
        <v>#N/A</v>
      </c>
      <c r="CS146" s="11" t="e">
        <v>#N/A</v>
      </c>
      <c r="CT146" s="11" t="e">
        <v>#N/A</v>
      </c>
      <c r="CU146" s="11" t="e">
        <v>#N/A</v>
      </c>
    </row>
    <row r="147" spans="1:99" s="5" customFormat="1" x14ac:dyDescent="0.35">
      <c r="A147" s="4" t="s">
        <v>121</v>
      </c>
      <c r="B147" s="4">
        <v>9.3333333333333339</v>
      </c>
      <c r="C147" s="4" t="s">
        <v>168</v>
      </c>
      <c r="D147" s="4" t="s">
        <v>404</v>
      </c>
      <c r="E147" s="3"/>
      <c r="F147" s="5">
        <v>4.0019999999999998</v>
      </c>
      <c r="G147" s="5">
        <v>4.016</v>
      </c>
      <c r="H147" s="5">
        <v>4.0250000000000004</v>
      </c>
      <c r="I147" s="5" t="e">
        <v>#N/A</v>
      </c>
      <c r="K147" s="3">
        <f t="shared" ca="1" si="240"/>
        <v>0.99925037481259382</v>
      </c>
      <c r="L147" s="3">
        <f t="shared" ca="1" si="241"/>
        <v>0.9957669322709165</v>
      </c>
      <c r="M147" s="3">
        <f t="shared" ca="1" si="242"/>
        <v>0.88596273291925465</v>
      </c>
      <c r="N147" s="3" t="e">
        <f t="shared" ca="1" si="243"/>
        <v>#N/A</v>
      </c>
      <c r="P147" s="3">
        <f t="shared" ca="1" si="244"/>
        <v>0.94077957360407172</v>
      </c>
      <c r="Q147" s="3">
        <f t="shared" ca="1" si="245"/>
        <v>0.91708170356037855</v>
      </c>
      <c r="R147" s="3">
        <f t="shared" ca="1" si="246"/>
        <v>0.8526707806202195</v>
      </c>
      <c r="S147" s="3" t="e">
        <f t="shared" ca="1" si="247"/>
        <v>#N/A</v>
      </c>
      <c r="U147" s="3">
        <f t="shared" ca="1" si="248"/>
        <v>1.2493753123438283</v>
      </c>
      <c r="V147" s="3">
        <f t="shared" ca="1" si="249"/>
        <v>1.7430278884462151</v>
      </c>
      <c r="W147" s="3">
        <f t="shared" ca="1" si="250"/>
        <v>1.7391304347826086</v>
      </c>
      <c r="X147" s="3" t="e">
        <f t="shared" ca="1" si="251"/>
        <v>#N/A</v>
      </c>
      <c r="Z147" s="3">
        <f t="shared" ca="1" si="252"/>
        <v>0.99925037481259382</v>
      </c>
      <c r="AA147" s="3">
        <f t="shared" ca="1" si="253"/>
        <v>0.9957669322709165</v>
      </c>
      <c r="AB147" s="3">
        <f t="shared" ca="1" si="254"/>
        <v>0.88596273291925465</v>
      </c>
      <c r="AC147" s="3" t="e">
        <f t="shared" ca="1" si="255"/>
        <v>#N/A</v>
      </c>
      <c r="AE147" s="3">
        <f t="shared" ca="1" si="256"/>
        <v>0.94077957360407172</v>
      </c>
      <c r="AF147" s="3">
        <f t="shared" ca="1" si="257"/>
        <v>0.91708170356037855</v>
      </c>
      <c r="AG147" s="3">
        <f t="shared" ca="1" si="258"/>
        <v>0.8526707806202195</v>
      </c>
      <c r="AH147" s="3" t="e">
        <f t="shared" ca="1" si="259"/>
        <v>#N/A</v>
      </c>
      <c r="AJ147" s="3">
        <f t="shared" ca="1" si="260"/>
        <v>1.2493753123438283</v>
      </c>
      <c r="AK147" s="3">
        <f t="shared" ca="1" si="261"/>
        <v>1.7430278884462151</v>
      </c>
      <c r="AL147" s="3">
        <f t="shared" ca="1" si="262"/>
        <v>1.7391304347826086</v>
      </c>
      <c r="AM147" s="3" t="e">
        <f t="shared" ca="1" si="263"/>
        <v>#N/A</v>
      </c>
      <c r="AO147" s="3">
        <f t="shared" ca="1" si="264"/>
        <v>0.24987506246876562</v>
      </c>
      <c r="AP147" s="3">
        <f t="shared" ca="1" si="265"/>
        <v>0.24900398406374502</v>
      </c>
      <c r="AQ147" s="3">
        <f t="shared" ca="1" si="266"/>
        <v>0.24844720496894407</v>
      </c>
      <c r="AR147" s="3" t="e">
        <f t="shared" ca="1" si="267"/>
        <v>#N/A</v>
      </c>
      <c r="AT147" s="5">
        <v>1.0000000474974513E-3</v>
      </c>
      <c r="AU147" s="5">
        <v>2.0000000949949026E-3</v>
      </c>
      <c r="AV147" s="5">
        <v>0.48399999737739563</v>
      </c>
      <c r="AW147" s="5">
        <v>1.8940000534057617</v>
      </c>
      <c r="AY147" s="3">
        <f t="shared" ca="1" si="268"/>
        <v>0.61619190404797597</v>
      </c>
      <c r="AZ147" s="3">
        <f t="shared" ca="1" si="269"/>
        <v>0.23655378486055781</v>
      </c>
      <c r="BA147" s="3">
        <f t="shared" ca="1" si="270"/>
        <v>0.27329192546583864</v>
      </c>
      <c r="BB147" s="3" t="e">
        <f t="shared" ca="1" si="271"/>
        <v>#N/A</v>
      </c>
      <c r="BD147" s="3">
        <f t="shared" ca="1" si="272"/>
        <v>0.74512738993262007</v>
      </c>
      <c r="BE147" s="3">
        <f t="shared" ca="1" si="273"/>
        <v>0.35308770449512983</v>
      </c>
      <c r="BF147" s="3">
        <f t="shared" ca="1" si="274"/>
        <v>0.48869570589954064</v>
      </c>
      <c r="BG147" s="3" t="e">
        <f t="shared" ca="1" si="275"/>
        <v>#N/A</v>
      </c>
      <c r="BI147" s="3">
        <f t="shared" ca="1" si="276"/>
        <v>0.74962518740629691</v>
      </c>
      <c r="BJ147" s="3">
        <f t="shared" ca="1" si="277"/>
        <v>0.49800796812749004</v>
      </c>
      <c r="BK147" s="3">
        <f t="shared" ca="1" si="278"/>
        <v>0.49689440993788814</v>
      </c>
      <c r="BL147" s="3" t="e">
        <f t="shared" ca="1" si="279"/>
        <v>#N/A</v>
      </c>
      <c r="BN147" s="3">
        <f t="shared" ca="1" si="280"/>
        <v>0.74962518740629691</v>
      </c>
      <c r="BO147" s="3">
        <f t="shared" ca="1" si="281"/>
        <v>0.24900398406374502</v>
      </c>
      <c r="BP147" s="3">
        <f t="shared" ca="1" si="282"/>
        <v>0.49689440993788814</v>
      </c>
      <c r="BQ147" s="3" t="e">
        <f t="shared" ca="1" si="283"/>
        <v>#N/A</v>
      </c>
      <c r="BS147" s="5">
        <v>0.98400002717971802</v>
      </c>
      <c r="BT147" s="5">
        <v>1.1009999513626099</v>
      </c>
      <c r="BU147" s="5">
        <v>0.48399999737739563</v>
      </c>
      <c r="BV147" s="5">
        <v>4.016</v>
      </c>
      <c r="BX147" s="3">
        <f t="shared" ca="1" si="284"/>
        <v>0</v>
      </c>
      <c r="BY147" s="3">
        <f t="shared" ca="1" si="285"/>
        <v>0.30303784860557764</v>
      </c>
      <c r="BZ147" s="3">
        <f t="shared" ca="1" si="286"/>
        <v>0.18608695652173915</v>
      </c>
      <c r="CA147" s="3" t="e">
        <f t="shared" ca="1" si="287"/>
        <v>#N/A</v>
      </c>
      <c r="CC147" s="3">
        <f t="shared" ca="1" si="288"/>
        <v>0</v>
      </c>
      <c r="CD147" s="3">
        <f t="shared" ca="1" si="289"/>
        <v>0.41484060346852036</v>
      </c>
      <c r="CE147" s="3">
        <f t="shared" ca="1" si="290"/>
        <v>0.26484471670589088</v>
      </c>
      <c r="CF147" s="3" t="e">
        <f t="shared" ca="1" si="291"/>
        <v>#N/A</v>
      </c>
      <c r="CH147" s="3">
        <f t="shared" ca="1" si="292"/>
        <v>0</v>
      </c>
      <c r="CI147" s="3">
        <f t="shared" ca="1" si="293"/>
        <v>0.49800796812749004</v>
      </c>
      <c r="CJ147" s="3">
        <f t="shared" ca="1" si="294"/>
        <v>0.49689440993788814</v>
      </c>
      <c r="CK147" s="3" t="e">
        <f t="shared" ca="1" si="295"/>
        <v>#N/A</v>
      </c>
      <c r="CM147" s="3">
        <f t="shared" ca="1" si="296"/>
        <v>0.49975012493753124</v>
      </c>
      <c r="CN147" s="3">
        <f t="shared" ca="1" si="297"/>
        <v>0.49800796812749004</v>
      </c>
      <c r="CO147" s="3">
        <f t="shared" ca="1" si="298"/>
        <v>0.49689440993788814</v>
      </c>
      <c r="CP147" s="3" t="e">
        <f t="shared" ca="1" si="299"/>
        <v>#N/A</v>
      </c>
      <c r="CR147" s="5">
        <v>4.0019999999999998</v>
      </c>
      <c r="CS147" s="5">
        <v>2.0000000949949026E-3</v>
      </c>
      <c r="CT147" s="5">
        <v>2.5169999599456787</v>
      </c>
      <c r="CU147" s="5">
        <v>4.016</v>
      </c>
    </row>
    <row r="148" spans="1:99" s="5" customFormat="1" x14ac:dyDescent="0.35">
      <c r="A148" s="4" t="s">
        <v>133</v>
      </c>
      <c r="B148" s="4">
        <v>9.4166666666666661</v>
      </c>
      <c r="C148" s="4" t="s">
        <v>167</v>
      </c>
      <c r="D148" s="4" t="s">
        <v>404</v>
      </c>
      <c r="E148" s="3"/>
      <c r="F148" s="5">
        <v>3.0390000000000001</v>
      </c>
      <c r="G148" s="5">
        <v>4.0190000000000001</v>
      </c>
      <c r="H148" s="5">
        <v>4.016</v>
      </c>
      <c r="I148" s="5">
        <v>4.008</v>
      </c>
      <c r="K148" s="3">
        <f t="shared" ca="1" si="240"/>
        <v>0.99802566633761114</v>
      </c>
      <c r="L148" s="3">
        <f t="shared" ca="1" si="241"/>
        <v>0.99502363772082603</v>
      </c>
      <c r="M148" s="3">
        <f t="shared" ca="1" si="242"/>
        <v>0.98730079681274896</v>
      </c>
      <c r="N148" s="3">
        <f t="shared" ca="1" si="243"/>
        <v>0.9977544910179641</v>
      </c>
      <c r="P148" s="3">
        <f t="shared" ca="1" si="244"/>
        <v>0.66864100603896093</v>
      </c>
      <c r="Q148" s="3">
        <f t="shared" ca="1" si="245"/>
        <v>0.99079371421869256</v>
      </c>
      <c r="R148" s="3">
        <f t="shared" ca="1" si="246"/>
        <v>0.75074693696402695</v>
      </c>
      <c r="S148" s="3">
        <f t="shared" ca="1" si="247"/>
        <v>0.7771956258009145</v>
      </c>
      <c r="U148" s="3">
        <f t="shared" ca="1" si="248"/>
        <v>1.9743336623889436</v>
      </c>
      <c r="V148" s="3">
        <f t="shared" ca="1" si="249"/>
        <v>0.49763622791739237</v>
      </c>
      <c r="W148" s="3">
        <f t="shared" ca="1" si="250"/>
        <v>1.7430278884462151</v>
      </c>
      <c r="X148" s="3">
        <f t="shared" ca="1" si="251"/>
        <v>1.7465069860279441</v>
      </c>
      <c r="Z148" s="3">
        <f t="shared" ca="1" si="252"/>
        <v>0.91543270812767341</v>
      </c>
      <c r="AA148" s="3">
        <f t="shared" ca="1" si="253"/>
        <v>0.99502363772082603</v>
      </c>
      <c r="AB148" s="3">
        <f t="shared" ca="1" si="254"/>
        <v>0.79233067729083662</v>
      </c>
      <c r="AC148" s="3">
        <f t="shared" ca="1" si="255"/>
        <v>0.97679640718562888</v>
      </c>
      <c r="AE148" s="3">
        <f t="shared" ca="1" si="256"/>
        <v>0.66864100603896093</v>
      </c>
      <c r="AF148" s="3">
        <f t="shared" ca="1" si="257"/>
        <v>0.99079371421869256</v>
      </c>
      <c r="AG148" s="3">
        <f t="shared" ca="1" si="258"/>
        <v>0.75074693696402695</v>
      </c>
      <c r="AH148" s="3">
        <f t="shared" ca="1" si="259"/>
        <v>0.7771956258009145</v>
      </c>
      <c r="AJ148" s="3">
        <f t="shared" ca="1" si="260"/>
        <v>1.9743336623889436</v>
      </c>
      <c r="AK148" s="3">
        <f t="shared" ca="1" si="261"/>
        <v>0.49763622791739237</v>
      </c>
      <c r="AL148" s="3">
        <f t="shared" ca="1" si="262"/>
        <v>1.7430278884462151</v>
      </c>
      <c r="AM148" s="3">
        <f t="shared" ca="1" si="263"/>
        <v>1.7465069860279441</v>
      </c>
      <c r="AO148" s="3">
        <f t="shared" ca="1" si="264"/>
        <v>0.65811122079631457</v>
      </c>
      <c r="AP148" s="3">
        <f t="shared" ca="1" si="265"/>
        <v>0.24881811395869619</v>
      </c>
      <c r="AQ148" s="3">
        <f t="shared" ca="1" si="266"/>
        <v>0.99601593625498008</v>
      </c>
      <c r="AR148" s="3">
        <f t="shared" ca="1" si="267"/>
        <v>0.49900199600798401</v>
      </c>
      <c r="AT148" s="5">
        <v>6.0000000521540642E-3</v>
      </c>
      <c r="AU148" s="5">
        <v>8.999999612569809E-3</v>
      </c>
      <c r="AV148" s="5">
        <v>1.3000000268220901E-2</v>
      </c>
      <c r="AW148" s="5">
        <v>7.0000002160668373E-3</v>
      </c>
      <c r="AY148" s="3">
        <f t="shared" ca="1" si="268"/>
        <v>0.50444225074037496</v>
      </c>
      <c r="AZ148" s="3">
        <f t="shared" ca="1" si="269"/>
        <v>0.85817367504354314</v>
      </c>
      <c r="BA148" s="3">
        <f t="shared" ca="1" si="270"/>
        <v>0.29457171314741037</v>
      </c>
      <c r="BB148" s="3">
        <f t="shared" ca="1" si="271"/>
        <v>0.31162674650698607</v>
      </c>
      <c r="BD148" s="3">
        <f t="shared" ca="1" si="272"/>
        <v>0.50444223750388784</v>
      </c>
      <c r="BE148" s="3">
        <f t="shared" ca="1" si="273"/>
        <v>0.8539437476483468</v>
      </c>
      <c r="BF148" s="3">
        <f t="shared" ca="1" si="274"/>
        <v>0.24900393953836297</v>
      </c>
      <c r="BG148" s="3">
        <f t="shared" ca="1" si="275"/>
        <v>0.44885228649190739</v>
      </c>
      <c r="BI148" s="3">
        <f t="shared" ca="1" si="276"/>
        <v>0.98716683119447179</v>
      </c>
      <c r="BJ148" s="3">
        <f t="shared" ca="1" si="277"/>
        <v>0.24881811395869619</v>
      </c>
      <c r="BK148" s="3">
        <f t="shared" ca="1" si="278"/>
        <v>0.49800796812749004</v>
      </c>
      <c r="BL148" s="3">
        <f t="shared" ca="1" si="279"/>
        <v>0.99800399201596801</v>
      </c>
      <c r="BN148" s="3">
        <f t="shared" ca="1" si="280"/>
        <v>0.98716683119447179</v>
      </c>
      <c r="BO148" s="3">
        <f t="shared" ca="1" si="281"/>
        <v>0.24881811395869619</v>
      </c>
      <c r="BP148" s="3">
        <f t="shared" ca="1" si="282"/>
        <v>0.74701195219123506</v>
      </c>
      <c r="BQ148" s="3">
        <f t="shared" ca="1" si="283"/>
        <v>1.2475049900199602</v>
      </c>
      <c r="BS148" s="5">
        <v>6.0000000521540642E-3</v>
      </c>
      <c r="BT148" s="5">
        <v>0.57599997520446777</v>
      </c>
      <c r="BU148" s="5">
        <v>0.74599999189376831</v>
      </c>
      <c r="BV148" s="5">
        <v>7.0000002160668373E-3</v>
      </c>
      <c r="BX148" s="3">
        <f t="shared" ca="1" si="284"/>
        <v>0.20302731161566306</v>
      </c>
      <c r="BY148" s="3">
        <f t="shared" ca="1" si="285"/>
        <v>0</v>
      </c>
      <c r="BZ148" s="3">
        <f t="shared" ca="1" si="286"/>
        <v>0.23630478087649409</v>
      </c>
      <c r="CA148" s="3">
        <f t="shared" ca="1" si="287"/>
        <v>0.13323353293413173</v>
      </c>
      <c r="CC148" s="3">
        <f t="shared" ca="1" si="288"/>
        <v>3.817043009460188E-2</v>
      </c>
      <c r="CD148" s="3">
        <f t="shared" ca="1" si="289"/>
        <v>0</v>
      </c>
      <c r="CE148" s="3">
        <f t="shared" ca="1" si="290"/>
        <v>0.26120518545705484</v>
      </c>
      <c r="CF148" s="3">
        <f t="shared" ca="1" si="291"/>
        <v>0.1122754609989311</v>
      </c>
      <c r="CH148" s="3">
        <f t="shared" ca="1" si="292"/>
        <v>0.32905561039815728</v>
      </c>
      <c r="CI148" s="3">
        <f t="shared" ca="1" si="293"/>
        <v>0</v>
      </c>
      <c r="CJ148" s="3">
        <f t="shared" ca="1" si="294"/>
        <v>0.49800796812749004</v>
      </c>
      <c r="CK148" s="3">
        <f t="shared" ca="1" si="295"/>
        <v>0.249500998003992</v>
      </c>
      <c r="CM148" s="3">
        <f t="shared" ca="1" si="296"/>
        <v>0.98716683119447179</v>
      </c>
      <c r="CN148" s="3">
        <f t="shared" ca="1" si="297"/>
        <v>0</v>
      </c>
      <c r="CO148" s="3">
        <f t="shared" ca="1" si="298"/>
        <v>0.74701195219123506</v>
      </c>
      <c r="CP148" s="3">
        <f t="shared" ca="1" si="299"/>
        <v>1.2475049900199602</v>
      </c>
      <c r="CR148" s="5">
        <v>2.7390000820159912</v>
      </c>
      <c r="CS148" s="5">
        <v>4.0190000000000001</v>
      </c>
      <c r="CT148" s="5">
        <v>2.9289999008178711</v>
      </c>
      <c r="CU148" s="5">
        <v>2.2070000171661377</v>
      </c>
    </row>
    <row r="149" spans="1:99" s="5" customFormat="1" x14ac:dyDescent="0.35">
      <c r="A149" s="4" t="s">
        <v>155</v>
      </c>
      <c r="B149" s="4">
        <v>9.4166666666666661</v>
      </c>
      <c r="C149" s="4" t="s">
        <v>168</v>
      </c>
      <c r="D149" s="4" t="s">
        <v>404</v>
      </c>
      <c r="E149" s="3"/>
      <c r="F149" s="5" t="e">
        <v>#N/A</v>
      </c>
      <c r="G149" s="5">
        <v>4.0140000000000002</v>
      </c>
      <c r="H149" s="5">
        <v>4.0069999999999997</v>
      </c>
      <c r="I149" s="5">
        <v>4.0149999999999997</v>
      </c>
      <c r="K149" s="3" t="e">
        <f t="shared" ca="1" si="240"/>
        <v>#N/A</v>
      </c>
      <c r="L149" s="3">
        <f t="shared" ca="1" si="241"/>
        <v>0.99651220727453904</v>
      </c>
      <c r="M149" s="3">
        <f t="shared" ca="1" si="242"/>
        <v>0.99800349388570009</v>
      </c>
      <c r="N149" s="3">
        <f t="shared" ca="1" si="243"/>
        <v>0.91731008717310092</v>
      </c>
      <c r="P149" s="3" t="e">
        <f t="shared" ca="1" si="244"/>
        <v>#N/A</v>
      </c>
      <c r="Q149" s="3">
        <f t="shared" ca="1" si="245"/>
        <v>0.97135023696985656</v>
      </c>
      <c r="R149" s="3">
        <f t="shared" ca="1" si="246"/>
        <v>0.95208384499180676</v>
      </c>
      <c r="S149" s="3">
        <f t="shared" ca="1" si="247"/>
        <v>0.84657531746594727</v>
      </c>
      <c r="U149" s="3" t="e">
        <f t="shared" ca="1" si="248"/>
        <v>#N/A</v>
      </c>
      <c r="V149" s="3">
        <f t="shared" ca="1" si="249"/>
        <v>1.7438963627304434</v>
      </c>
      <c r="W149" s="3">
        <f t="shared" ca="1" si="250"/>
        <v>1.4973795857249814</v>
      </c>
      <c r="X149" s="3">
        <f t="shared" ca="1" si="251"/>
        <v>2.4906600249066004</v>
      </c>
      <c r="Z149" s="3" t="e">
        <f t="shared" ca="1" si="252"/>
        <v>#N/A</v>
      </c>
      <c r="AA149" s="3">
        <f t="shared" ca="1" si="253"/>
        <v>0.99651220727453904</v>
      </c>
      <c r="AB149" s="3">
        <f t="shared" ca="1" si="254"/>
        <v>0.99800349388570009</v>
      </c>
      <c r="AC149" s="3">
        <f t="shared" ca="1" si="255"/>
        <v>0.87173100871731013</v>
      </c>
      <c r="AE149" s="3" t="e">
        <f t="shared" ca="1" si="256"/>
        <v>#N/A</v>
      </c>
      <c r="AF149" s="3">
        <f t="shared" ca="1" si="257"/>
        <v>0.97135023696985656</v>
      </c>
      <c r="AG149" s="3">
        <f t="shared" ca="1" si="258"/>
        <v>0.95208384499180676</v>
      </c>
      <c r="AH149" s="3">
        <f t="shared" ca="1" si="259"/>
        <v>0.84657531746594727</v>
      </c>
      <c r="AJ149" s="3" t="e">
        <f t="shared" ca="1" si="260"/>
        <v>#N/A</v>
      </c>
      <c r="AK149" s="3">
        <f t="shared" ca="1" si="261"/>
        <v>1.7438963627304434</v>
      </c>
      <c r="AL149" s="3">
        <f t="shared" ca="1" si="262"/>
        <v>1.4973795857249814</v>
      </c>
      <c r="AM149" s="3">
        <f t="shared" ca="1" si="263"/>
        <v>2.4906600249066004</v>
      </c>
      <c r="AO149" s="3" t="e">
        <f t="shared" ca="1" si="264"/>
        <v>#N/A</v>
      </c>
      <c r="AP149" s="3">
        <f t="shared" ca="1" si="265"/>
        <v>0.24912805181863476</v>
      </c>
      <c r="AQ149" s="3">
        <f t="shared" ca="1" si="266"/>
        <v>0.24956326428749689</v>
      </c>
      <c r="AR149" s="3">
        <f t="shared" ca="1" si="267"/>
        <v>0.4981320049813201</v>
      </c>
      <c r="AT149" s="5">
        <v>1.3000000268220901E-2</v>
      </c>
      <c r="AU149" s="5">
        <v>1.3000000268220901E-2</v>
      </c>
      <c r="AV149" s="5">
        <v>7.0000002160668373E-3</v>
      </c>
      <c r="AW149" s="5">
        <v>0.32699999213218689</v>
      </c>
      <c r="AY149" s="3" t="e">
        <f t="shared" ca="1" si="268"/>
        <v>#N/A</v>
      </c>
      <c r="AZ149" s="3">
        <f t="shared" ca="1" si="269"/>
        <v>4.5590433482810118E-2</v>
      </c>
      <c r="BA149" s="3">
        <f t="shared" ca="1" si="270"/>
        <v>0</v>
      </c>
      <c r="BB149" s="3">
        <f t="shared" ca="1" si="271"/>
        <v>1.6687422166874154E-2</v>
      </c>
      <c r="BD149" s="3" t="e">
        <f t="shared" ca="1" si="272"/>
        <v>#N/A</v>
      </c>
      <c r="BE149" s="3">
        <f t="shared" ca="1" si="273"/>
        <v>0</v>
      </c>
      <c r="BF149" s="3">
        <f t="shared" ca="1" si="274"/>
        <v>0</v>
      </c>
      <c r="BG149" s="3">
        <f t="shared" ca="1" si="275"/>
        <v>0</v>
      </c>
      <c r="BI149" s="3" t="e">
        <f t="shared" ca="1" si="276"/>
        <v>#N/A</v>
      </c>
      <c r="BJ149" s="3">
        <f t="shared" ca="1" si="277"/>
        <v>0</v>
      </c>
      <c r="BK149" s="3">
        <f t="shared" ca="1" si="278"/>
        <v>0</v>
      </c>
      <c r="BL149" s="3">
        <f t="shared" ca="1" si="279"/>
        <v>0</v>
      </c>
      <c r="BN149" s="3" t="e">
        <f t="shared" ca="1" si="280"/>
        <v>#N/A</v>
      </c>
      <c r="BO149" s="3">
        <f t="shared" ca="1" si="281"/>
        <v>0.24912805181863476</v>
      </c>
      <c r="BP149" s="3">
        <f t="shared" ca="1" si="282"/>
        <v>0</v>
      </c>
      <c r="BQ149" s="3">
        <f t="shared" ca="1" si="283"/>
        <v>0.4981320049813201</v>
      </c>
      <c r="BS149" s="5">
        <v>4.0309999999999997</v>
      </c>
      <c r="BT149" s="5">
        <v>4.0140000000000002</v>
      </c>
      <c r="BU149" s="5">
        <v>4.0069999999999997</v>
      </c>
      <c r="BV149" s="5">
        <v>4.0149999999999997</v>
      </c>
      <c r="BX149" s="3" t="e">
        <f t="shared" ca="1" si="284"/>
        <v>#N/A</v>
      </c>
      <c r="BY149" s="3">
        <f t="shared" ca="1" si="285"/>
        <v>0.14125560538116591</v>
      </c>
      <c r="BZ149" s="3">
        <f t="shared" ca="1" si="286"/>
        <v>0.22435737459445973</v>
      </c>
      <c r="CA149" s="3">
        <f t="shared" ca="1" si="287"/>
        <v>7.0734744707347447E-2</v>
      </c>
      <c r="CC149" s="3" t="e">
        <f t="shared" ca="1" si="288"/>
        <v>#N/A</v>
      </c>
      <c r="CD149" s="3">
        <f t="shared" ca="1" si="289"/>
        <v>0.12855006054259083</v>
      </c>
      <c r="CE149" s="3">
        <f t="shared" ca="1" si="290"/>
        <v>0.2328425546815665</v>
      </c>
      <c r="CF149" s="3">
        <f t="shared" ca="1" si="291"/>
        <v>5.8281443929612861E-2</v>
      </c>
      <c r="CH149" s="3" t="e">
        <f t="shared" ca="1" si="292"/>
        <v>#N/A</v>
      </c>
      <c r="CI149" s="3">
        <f t="shared" ca="1" si="293"/>
        <v>0.49825610363726952</v>
      </c>
      <c r="CJ149" s="3">
        <f t="shared" ca="1" si="294"/>
        <v>0.49912652857499379</v>
      </c>
      <c r="CK149" s="3">
        <f t="shared" ca="1" si="295"/>
        <v>0.24906600249066005</v>
      </c>
      <c r="CM149" s="3" t="e">
        <f t="shared" ca="1" si="296"/>
        <v>#N/A</v>
      </c>
      <c r="CN149" s="3">
        <f t="shared" ca="1" si="297"/>
        <v>0.74738415545590431</v>
      </c>
      <c r="CO149" s="3">
        <f t="shared" ca="1" si="298"/>
        <v>0.74868979286249071</v>
      </c>
      <c r="CP149" s="3">
        <f t="shared" ca="1" si="299"/>
        <v>0.24906600249066005</v>
      </c>
      <c r="CR149" s="5">
        <v>1.3000000268220901E-2</v>
      </c>
      <c r="CS149" s="5">
        <v>0.47999998927116394</v>
      </c>
      <c r="CT149" s="5">
        <v>7.0000002160668373E-3</v>
      </c>
      <c r="CU149" s="5">
        <v>0.32699999213218689</v>
      </c>
    </row>
    <row r="150" spans="1:99" s="5" customFormat="1" x14ac:dyDescent="0.35">
      <c r="A150" s="4" t="s">
        <v>158</v>
      </c>
      <c r="B150" s="4">
        <v>9.5</v>
      </c>
      <c r="C150" s="4" t="s">
        <v>168</v>
      </c>
      <c r="D150" s="4" t="s">
        <v>404</v>
      </c>
      <c r="E150" s="3"/>
      <c r="F150" s="5">
        <v>4.0069999999999997</v>
      </c>
      <c r="G150" s="5" t="e">
        <v>#N/A</v>
      </c>
      <c r="H150" s="5" t="e">
        <v>#N/A</v>
      </c>
      <c r="I150" s="5">
        <v>3.1980000000000004</v>
      </c>
      <c r="K150" s="3">
        <f t="shared" ca="1" si="240"/>
        <v>0.98153231844272537</v>
      </c>
      <c r="L150" s="3" t="e">
        <f t="shared" ca="1" si="241"/>
        <v>#N/A</v>
      </c>
      <c r="M150" s="3" t="e">
        <f t="shared" ca="1" si="242"/>
        <v>#N/A</v>
      </c>
      <c r="N150" s="3">
        <f t="shared" ca="1" si="243"/>
        <v>0.96904315196998114</v>
      </c>
      <c r="P150" s="3">
        <f t="shared" ca="1" si="244"/>
        <v>0.71924134981075905</v>
      </c>
      <c r="Q150" s="3" t="e">
        <f t="shared" ca="1" si="245"/>
        <v>#N/A</v>
      </c>
      <c r="R150" s="3" t="e">
        <f t="shared" ca="1" si="246"/>
        <v>#N/A</v>
      </c>
      <c r="S150" s="3">
        <f t="shared" ca="1" si="247"/>
        <v>0.28142592100294922</v>
      </c>
      <c r="U150" s="3">
        <f t="shared" ca="1" si="248"/>
        <v>1.9965061142999752</v>
      </c>
      <c r="V150" s="3" t="e">
        <f t="shared" ca="1" si="249"/>
        <v>#N/A</v>
      </c>
      <c r="W150" s="3" t="e">
        <f t="shared" ca="1" si="250"/>
        <v>#N/A</v>
      </c>
      <c r="X150" s="3">
        <f t="shared" ca="1" si="251"/>
        <v>2.188868042526579</v>
      </c>
      <c r="Z150" s="3">
        <f t="shared" ca="1" si="252"/>
        <v>0.57000249563264282</v>
      </c>
      <c r="AA150" s="3" t="e">
        <f t="shared" ca="1" si="253"/>
        <v>#N/A</v>
      </c>
      <c r="AB150" s="3" t="e">
        <f t="shared" ca="1" si="254"/>
        <v>#N/A</v>
      </c>
      <c r="AC150" s="3">
        <f t="shared" ca="1" si="255"/>
        <v>0.27642276422764206</v>
      </c>
      <c r="AE150" s="3">
        <f t="shared" ca="1" si="256"/>
        <v>0.47816327601738162</v>
      </c>
      <c r="AF150" s="3" t="e">
        <f t="shared" ca="1" si="257"/>
        <v>#N/A</v>
      </c>
      <c r="AG150" s="3" t="e">
        <f t="shared" ca="1" si="258"/>
        <v>#N/A</v>
      </c>
      <c r="AH150" s="3">
        <f t="shared" ca="1" si="259"/>
        <v>0.13570978613180096</v>
      </c>
      <c r="AJ150" s="3">
        <f t="shared" ca="1" si="260"/>
        <v>1.2478163214374844</v>
      </c>
      <c r="AK150" s="3" t="e">
        <f t="shared" ca="1" si="261"/>
        <v>#N/A</v>
      </c>
      <c r="AL150" s="3" t="e">
        <f t="shared" ca="1" si="262"/>
        <v>#N/A</v>
      </c>
      <c r="AM150" s="3">
        <f t="shared" ca="1" si="263"/>
        <v>0.9380863039399624</v>
      </c>
      <c r="AO150" s="3">
        <f t="shared" ca="1" si="264"/>
        <v>0.49912652857499379</v>
      </c>
      <c r="AP150" s="3" t="e">
        <f t="shared" ca="1" si="265"/>
        <v>#N/A</v>
      </c>
      <c r="AQ150" s="3" t="e">
        <f t="shared" ca="1" si="266"/>
        <v>#N/A</v>
      </c>
      <c r="AR150" s="3">
        <f t="shared" ca="1" si="267"/>
        <v>4.6904315196998114</v>
      </c>
      <c r="AT150" s="5">
        <v>0.30000001192092896</v>
      </c>
      <c r="AU150" s="5">
        <v>0.32300001382827759</v>
      </c>
      <c r="AV150" s="5">
        <v>2.5380001068115234</v>
      </c>
      <c r="AW150" s="5">
        <v>0.5820000171661377</v>
      </c>
      <c r="AY150" s="3">
        <f t="shared" ca="1" si="268"/>
        <v>0.25779885200898428</v>
      </c>
      <c r="AZ150" s="3" t="e">
        <f t="shared" ca="1" si="269"/>
        <v>#N/A</v>
      </c>
      <c r="BA150" s="3" t="e">
        <f t="shared" ca="1" si="270"/>
        <v>#N/A</v>
      </c>
      <c r="BB150" s="3">
        <f t="shared" ca="1" si="271"/>
        <v>0.14102564102564091</v>
      </c>
      <c r="BD150" s="3">
        <f t="shared" ca="1" si="272"/>
        <v>0.22036436641189505</v>
      </c>
      <c r="BE150" s="3" t="e">
        <f t="shared" ca="1" si="273"/>
        <v>#N/A</v>
      </c>
      <c r="BF150" s="3" t="e">
        <f t="shared" ca="1" si="274"/>
        <v>#N/A</v>
      </c>
      <c r="BG150" s="3">
        <f t="shared" ca="1" si="275"/>
        <v>9.9124462623906312E-2</v>
      </c>
      <c r="BI150" s="3">
        <f t="shared" ca="1" si="276"/>
        <v>0.49912652857499379</v>
      </c>
      <c r="BJ150" s="3" t="e">
        <f t="shared" ca="1" si="277"/>
        <v>#N/A</v>
      </c>
      <c r="BK150" s="3" t="e">
        <f t="shared" ca="1" si="278"/>
        <v>#N/A</v>
      </c>
      <c r="BL150" s="3">
        <f t="shared" ca="1" si="279"/>
        <v>0.62539086929330823</v>
      </c>
      <c r="BN150" s="3">
        <f t="shared" ca="1" si="280"/>
        <v>0.74868979286249071</v>
      </c>
      <c r="BO150" s="3" t="e">
        <f t="shared" ca="1" si="281"/>
        <v>#N/A</v>
      </c>
      <c r="BP150" s="3" t="e">
        <f t="shared" ca="1" si="282"/>
        <v>#N/A</v>
      </c>
      <c r="BQ150" s="3">
        <f t="shared" ca="1" si="283"/>
        <v>4.3777360850531579</v>
      </c>
      <c r="BS150" s="5">
        <v>0.30000001192092896</v>
      </c>
      <c r="BT150" s="5">
        <v>1.0729999542236328</v>
      </c>
      <c r="BU150" s="5">
        <v>3.7209999561309814</v>
      </c>
      <c r="BV150" s="5">
        <v>0.5820000171661377</v>
      </c>
      <c r="BX150" s="3">
        <f t="shared" ca="1" si="284"/>
        <v>5.8397803843274268E-2</v>
      </c>
      <c r="BY150" s="3" t="e">
        <f t="shared" ca="1" si="285"/>
        <v>#N/A</v>
      </c>
      <c r="BZ150" s="3" t="e">
        <f t="shared" ca="1" si="286"/>
        <v>#N/A</v>
      </c>
      <c r="CA150" s="3">
        <f t="shared" ca="1" si="287"/>
        <v>5.00312695434647E-3</v>
      </c>
      <c r="CC150" s="3">
        <f t="shared" ca="1" si="288"/>
        <v>5.8148250575073945E-2</v>
      </c>
      <c r="CD150" s="3" t="e">
        <f t="shared" ca="1" si="289"/>
        <v>#N/A</v>
      </c>
      <c r="CE150" s="3" t="e">
        <f t="shared" ca="1" si="290"/>
        <v>#N/A</v>
      </c>
      <c r="CF150" s="3">
        <f t="shared" ca="1" si="291"/>
        <v>0</v>
      </c>
      <c r="CH150" s="3">
        <f t="shared" ca="1" si="292"/>
        <v>0.49912652857499379</v>
      </c>
      <c r="CI150" s="3" t="e">
        <f t="shared" ca="1" si="293"/>
        <v>#N/A</v>
      </c>
      <c r="CJ150" s="3" t="e">
        <f t="shared" ca="1" si="294"/>
        <v>#N/A</v>
      </c>
      <c r="CK150" s="3">
        <f t="shared" ca="1" si="295"/>
        <v>0</v>
      </c>
      <c r="CM150" s="3">
        <f t="shared" ca="1" si="296"/>
        <v>0.24956326428749689</v>
      </c>
      <c r="CN150" s="3" t="e">
        <f t="shared" ca="1" si="297"/>
        <v>#N/A</v>
      </c>
      <c r="CO150" s="3" t="e">
        <f t="shared" ca="1" si="298"/>
        <v>#N/A</v>
      </c>
      <c r="CP150" s="3">
        <f t="shared" ca="1" si="299"/>
        <v>0.31269543464665411</v>
      </c>
      <c r="CR150" s="5">
        <v>3.749000072479248</v>
      </c>
      <c r="CS150" s="5">
        <v>4.0069999999999997</v>
      </c>
      <c r="CT150" s="5">
        <v>2.7039999961853027</v>
      </c>
      <c r="CU150" s="5">
        <v>4.01</v>
      </c>
    </row>
    <row r="151" spans="1:99" s="5" customFormat="1" x14ac:dyDescent="0.35">
      <c r="A151" s="4" t="s">
        <v>128</v>
      </c>
      <c r="B151" s="4">
        <v>9.8333333333333339</v>
      </c>
      <c r="C151" s="4" t="s">
        <v>168</v>
      </c>
      <c r="D151" s="4" t="s">
        <v>404</v>
      </c>
      <c r="E151" s="3"/>
      <c r="F151" s="5">
        <v>3.0269999999999997</v>
      </c>
      <c r="G151" s="5" t="e">
        <v>#N/A</v>
      </c>
      <c r="H151" s="5">
        <v>3.1230000000000002</v>
      </c>
      <c r="I151" s="5" t="e">
        <v>#N/A</v>
      </c>
      <c r="K151" s="3">
        <f t="shared" ca="1" si="240"/>
        <v>0.8863561281797161</v>
      </c>
      <c r="L151" s="3" t="e">
        <f t="shared" ca="1" si="241"/>
        <v>#N/A</v>
      </c>
      <c r="M151" s="3">
        <f t="shared" ca="1" si="242"/>
        <v>0.98751200768491842</v>
      </c>
      <c r="N151" s="3" t="e">
        <f t="shared" ca="1" si="243"/>
        <v>#N/A</v>
      </c>
      <c r="P151" s="3">
        <f t="shared" ca="1" si="244"/>
        <v>0.81466799488073938</v>
      </c>
      <c r="Q151" s="3" t="e">
        <f t="shared" ca="1" si="245"/>
        <v>#N/A</v>
      </c>
      <c r="R151" s="3">
        <f t="shared" ca="1" si="246"/>
        <v>0.73615119476712287</v>
      </c>
      <c r="S151" s="3" t="e">
        <f t="shared" ca="1" si="247"/>
        <v>#N/A</v>
      </c>
      <c r="U151" s="3">
        <f t="shared" ca="1" si="248"/>
        <v>1.6518004625041296</v>
      </c>
      <c r="V151" s="3" t="e">
        <f t="shared" ca="1" si="249"/>
        <v>#N/A</v>
      </c>
      <c r="W151" s="3">
        <f t="shared" ca="1" si="250"/>
        <v>2.2414345180915785</v>
      </c>
      <c r="X151" s="3" t="e">
        <f t="shared" ca="1" si="251"/>
        <v>#N/A</v>
      </c>
      <c r="Z151" s="3">
        <f t="shared" ca="1" si="252"/>
        <v>0.86983812355467482</v>
      </c>
      <c r="AA151" s="3" t="e">
        <f t="shared" ca="1" si="253"/>
        <v>#N/A</v>
      </c>
      <c r="AB151" s="3">
        <f t="shared" ca="1" si="254"/>
        <v>0.76336855587576058</v>
      </c>
      <c r="AC151" s="3" t="e">
        <f t="shared" ca="1" si="255"/>
        <v>#N/A</v>
      </c>
      <c r="AE151" s="3">
        <f t="shared" ca="1" si="256"/>
        <v>0.81466799488073938</v>
      </c>
      <c r="AF151" s="3" t="e">
        <f t="shared" ca="1" si="257"/>
        <v>#N/A</v>
      </c>
      <c r="AG151" s="3">
        <f t="shared" ca="1" si="258"/>
        <v>0.73615119476712287</v>
      </c>
      <c r="AH151" s="3" t="e">
        <f t="shared" ca="1" si="259"/>
        <v>#N/A</v>
      </c>
      <c r="AJ151" s="3">
        <f t="shared" ca="1" si="260"/>
        <v>1.6518004625041296</v>
      </c>
      <c r="AK151" s="3" t="e">
        <f t="shared" ca="1" si="261"/>
        <v>#N/A</v>
      </c>
      <c r="AL151" s="3">
        <f t="shared" ca="1" si="262"/>
        <v>2.2414345180915785</v>
      </c>
      <c r="AM151" s="3" t="e">
        <f t="shared" ca="1" si="263"/>
        <v>#N/A</v>
      </c>
      <c r="AO151" s="3">
        <f t="shared" ca="1" si="264"/>
        <v>0.66072018500165186</v>
      </c>
      <c r="AP151" s="3" t="e">
        <f t="shared" ca="1" si="265"/>
        <v>#N/A</v>
      </c>
      <c r="AQ151" s="3">
        <f t="shared" ca="1" si="266"/>
        <v>0.96061479346781931</v>
      </c>
      <c r="AR151" s="3" t="e">
        <f t="shared" ca="1" si="267"/>
        <v>#N/A</v>
      </c>
      <c r="AT151" s="5">
        <v>0.32800000905990601</v>
      </c>
      <c r="AU151" s="11" t="e">
        <v>#N/A</v>
      </c>
      <c r="AV151" s="5">
        <v>1.0999999940395355E-2</v>
      </c>
      <c r="AW151" s="5">
        <v>0.22100000083446503</v>
      </c>
      <c r="AY151" s="3">
        <f t="shared" ca="1" si="268"/>
        <v>0.6498183019491246</v>
      </c>
      <c r="AZ151" s="3" t="e">
        <f t="shared" ca="1" si="269"/>
        <v>#N/A</v>
      </c>
      <c r="BA151" s="3">
        <f t="shared" ca="1" si="270"/>
        <v>0.170989433237272</v>
      </c>
      <c r="BB151" s="3" t="e">
        <f t="shared" ca="1" si="271"/>
        <v>#N/A</v>
      </c>
      <c r="BD151" s="3">
        <f t="shared" ca="1" si="272"/>
        <v>0.64420217643841138</v>
      </c>
      <c r="BE151" s="3" t="e">
        <f t="shared" ca="1" si="273"/>
        <v>#N/A</v>
      </c>
      <c r="BF151" s="3">
        <f t="shared" ca="1" si="274"/>
        <v>0.20268972661302059</v>
      </c>
      <c r="BG151" s="3" t="e">
        <f t="shared" ca="1" si="275"/>
        <v>#N/A</v>
      </c>
      <c r="BI151" s="3">
        <f t="shared" ca="1" si="276"/>
        <v>0.99108027750247785</v>
      </c>
      <c r="BJ151" s="3" t="e">
        <f t="shared" ca="1" si="277"/>
        <v>#N/A</v>
      </c>
      <c r="BK151" s="3">
        <f t="shared" ca="1" si="278"/>
        <v>0.64040986231187957</v>
      </c>
      <c r="BL151" s="3" t="e">
        <f t="shared" ca="1" si="279"/>
        <v>#N/A</v>
      </c>
      <c r="BN151" s="3">
        <f t="shared" ca="1" si="280"/>
        <v>0.99108027750247785</v>
      </c>
      <c r="BO151" s="3" t="e">
        <f t="shared" ca="1" si="281"/>
        <v>#N/A</v>
      </c>
      <c r="BP151" s="3">
        <f t="shared" ca="1" si="282"/>
        <v>0.64040986231187957</v>
      </c>
      <c r="BQ151" s="3" t="e">
        <f t="shared" ca="1" si="283"/>
        <v>#N/A</v>
      </c>
      <c r="BS151" s="5">
        <v>0.32800000905990601</v>
      </c>
      <c r="BT151" s="11" t="e">
        <v>#N/A</v>
      </c>
      <c r="BU151" s="5">
        <v>0.56099998950958252</v>
      </c>
      <c r="BV151" s="5">
        <v>0.68800002336502075</v>
      </c>
      <c r="BX151" s="3">
        <f t="shared" ca="1" si="284"/>
        <v>0</v>
      </c>
      <c r="BY151" s="3" t="e">
        <f t="shared" ca="1" si="285"/>
        <v>#N/A</v>
      </c>
      <c r="BZ151" s="3">
        <f t="shared" ca="1" si="286"/>
        <v>8.5174511687479984E-2</v>
      </c>
      <c r="CA151" s="3" t="e">
        <f t="shared" ca="1" si="287"/>
        <v>#N/A</v>
      </c>
      <c r="CC151" s="3">
        <f t="shared" ca="1" si="288"/>
        <v>0</v>
      </c>
      <c r="CD151" s="3" t="e">
        <f t="shared" ca="1" si="289"/>
        <v>#N/A</v>
      </c>
      <c r="CE151" s="3">
        <f t="shared" ca="1" si="290"/>
        <v>0.10150501142508549</v>
      </c>
      <c r="CF151" s="3" t="e">
        <f t="shared" ca="1" si="291"/>
        <v>#N/A</v>
      </c>
      <c r="CH151" s="3">
        <f t="shared" ca="1" si="292"/>
        <v>0</v>
      </c>
      <c r="CI151" s="3" t="e">
        <f t="shared" ca="1" si="293"/>
        <v>#N/A</v>
      </c>
      <c r="CJ151" s="3">
        <f t="shared" ca="1" si="294"/>
        <v>0.32020493115593979</v>
      </c>
      <c r="CK151" s="3" t="e">
        <f t="shared" ca="1" si="295"/>
        <v>#N/A</v>
      </c>
      <c r="CM151" s="3">
        <f t="shared" ca="1" si="296"/>
        <v>0</v>
      </c>
      <c r="CN151" s="3" t="e">
        <f t="shared" ca="1" si="297"/>
        <v>#N/A</v>
      </c>
      <c r="CO151" s="3">
        <f t="shared" ca="1" si="298"/>
        <v>0.64040986231187957</v>
      </c>
      <c r="CP151" s="3" t="e">
        <f t="shared" ca="1" si="299"/>
        <v>#N/A</v>
      </c>
      <c r="CR151" s="5">
        <v>4.01</v>
      </c>
      <c r="CS151" s="11" t="e">
        <v>#N/A</v>
      </c>
      <c r="CT151" s="5">
        <v>2.2769999504089355</v>
      </c>
      <c r="CU151" s="5">
        <v>4.0149999999999997</v>
      </c>
    </row>
    <row r="152" spans="1:99" s="5" customFormat="1" x14ac:dyDescent="0.35">
      <c r="A152" s="4" t="s">
        <v>129</v>
      </c>
      <c r="B152" s="4">
        <v>9.8333333333333339</v>
      </c>
      <c r="C152" s="4" t="s">
        <v>168</v>
      </c>
      <c r="D152" s="4" t="s">
        <v>404</v>
      </c>
      <c r="E152" s="3"/>
      <c r="F152" s="5">
        <v>4.01</v>
      </c>
      <c r="G152" s="5" t="e">
        <v>#N/A</v>
      </c>
      <c r="H152" s="5">
        <v>4.0149999999999997</v>
      </c>
      <c r="I152" s="5" t="e">
        <v>#N/A</v>
      </c>
      <c r="K152" s="3">
        <f t="shared" ca="1" si="240"/>
        <v>0.94738154613466341</v>
      </c>
      <c r="L152" s="3" t="e">
        <f t="shared" ca="1" si="241"/>
        <v>#N/A</v>
      </c>
      <c r="M152" s="3">
        <f t="shared" ca="1" si="242"/>
        <v>0.8259028642590287</v>
      </c>
      <c r="N152" s="3" t="e">
        <f t="shared" ca="1" si="243"/>
        <v>#N/A</v>
      </c>
      <c r="P152" s="3">
        <f t="shared" ca="1" si="244"/>
        <v>0.84339139862287971</v>
      </c>
      <c r="Q152" s="3" t="e">
        <f t="shared" ca="1" si="245"/>
        <v>#N/A</v>
      </c>
      <c r="R152" s="3">
        <f t="shared" ca="1" si="246"/>
        <v>0.59701127103375617</v>
      </c>
      <c r="S152" s="3" t="e">
        <f t="shared" ca="1" si="247"/>
        <v>#N/A</v>
      </c>
      <c r="U152" s="3">
        <f t="shared" ca="1" si="248"/>
        <v>3.491271820448878</v>
      </c>
      <c r="V152" s="3" t="e">
        <f t="shared" ca="1" si="249"/>
        <v>#N/A</v>
      </c>
      <c r="W152" s="3">
        <f t="shared" ca="1" si="250"/>
        <v>2.4906600249066004</v>
      </c>
      <c r="X152" s="3" t="e">
        <f t="shared" ca="1" si="251"/>
        <v>#N/A</v>
      </c>
      <c r="Z152" s="3">
        <f t="shared" ca="1" si="252"/>
        <v>0.94738154613466341</v>
      </c>
      <c r="AA152" s="3" t="e">
        <f t="shared" ca="1" si="253"/>
        <v>#N/A</v>
      </c>
      <c r="AB152" s="3">
        <f t="shared" ca="1" si="254"/>
        <v>0.8094645080946451</v>
      </c>
      <c r="AC152" s="3" t="e">
        <f t="shared" ca="1" si="255"/>
        <v>#N/A</v>
      </c>
      <c r="AE152" s="3">
        <f t="shared" ca="1" si="256"/>
        <v>0.84339139862287971</v>
      </c>
      <c r="AF152" s="3" t="e">
        <f t="shared" ca="1" si="257"/>
        <v>#N/A</v>
      </c>
      <c r="AG152" s="3">
        <f t="shared" ca="1" si="258"/>
        <v>0.59701127103375617</v>
      </c>
      <c r="AH152" s="3" t="e">
        <f t="shared" ca="1" si="259"/>
        <v>#N/A</v>
      </c>
      <c r="AJ152" s="3">
        <f t="shared" ca="1" si="260"/>
        <v>3.491271820448878</v>
      </c>
      <c r="AK152" s="3" t="e">
        <f t="shared" ca="1" si="261"/>
        <v>#N/A</v>
      </c>
      <c r="AL152" s="3">
        <f t="shared" ca="1" si="262"/>
        <v>2.4906600249066004</v>
      </c>
      <c r="AM152" s="3" t="e">
        <f t="shared" ca="1" si="263"/>
        <v>#N/A</v>
      </c>
      <c r="AO152" s="3">
        <f t="shared" ca="1" si="264"/>
        <v>0.24937655860349128</v>
      </c>
      <c r="AP152" s="3" t="e">
        <f t="shared" ca="1" si="265"/>
        <v>#N/A</v>
      </c>
      <c r="AQ152" s="3">
        <f t="shared" ca="1" si="266"/>
        <v>0.4981320049813201</v>
      </c>
      <c r="AR152" s="3" t="e">
        <f t="shared" ca="1" si="267"/>
        <v>#N/A</v>
      </c>
      <c r="AT152" s="5">
        <v>1.4999999664723873E-2</v>
      </c>
      <c r="AU152" s="11" t="e">
        <v>#N/A</v>
      </c>
      <c r="AV152" s="5">
        <v>0.72000002861022949</v>
      </c>
      <c r="AW152" s="11" t="e">
        <v>#N/A</v>
      </c>
      <c r="AY152" s="3">
        <f t="shared" ca="1" si="268"/>
        <v>0.42394014962593524</v>
      </c>
      <c r="AZ152" s="3" t="e">
        <f t="shared" ca="1" si="269"/>
        <v>#N/A</v>
      </c>
      <c r="BA152" s="3">
        <f t="shared" ca="1" si="270"/>
        <v>0.53125778331257789</v>
      </c>
      <c r="BB152" s="3" t="e">
        <f t="shared" ca="1" si="271"/>
        <v>#N/A</v>
      </c>
      <c r="BD152" s="3">
        <f t="shared" ca="1" si="272"/>
        <v>0.36982538694158162</v>
      </c>
      <c r="BE152" s="3" t="e">
        <f t="shared" ca="1" si="273"/>
        <v>#N/A</v>
      </c>
      <c r="BF152" s="3">
        <f t="shared" ca="1" si="274"/>
        <v>0.39775851060860185</v>
      </c>
      <c r="BG152" s="3" t="e">
        <f t="shared" ca="1" si="275"/>
        <v>#N/A</v>
      </c>
      <c r="BI152" s="3">
        <f t="shared" ca="1" si="276"/>
        <v>1.4962593516209477</v>
      </c>
      <c r="BJ152" s="3" t="e">
        <f t="shared" ca="1" si="277"/>
        <v>#N/A</v>
      </c>
      <c r="BK152" s="3">
        <f t="shared" ca="1" si="278"/>
        <v>1.4943960149439603</v>
      </c>
      <c r="BL152" s="3" t="e">
        <f t="shared" ca="1" si="279"/>
        <v>#N/A</v>
      </c>
      <c r="BN152" s="3">
        <f t="shared" ca="1" si="280"/>
        <v>1.2468827930174564</v>
      </c>
      <c r="BO152" s="3" t="e">
        <f t="shared" ca="1" si="281"/>
        <v>#N/A</v>
      </c>
      <c r="BP152" s="3">
        <f t="shared" ca="1" si="282"/>
        <v>0.9962640099626402</v>
      </c>
      <c r="BQ152" s="3" t="e">
        <f t="shared" ca="1" si="283"/>
        <v>#N/A</v>
      </c>
      <c r="BS152" s="5">
        <v>0.39800000190734863</v>
      </c>
      <c r="BT152" s="11" t="e">
        <v>#N/A</v>
      </c>
      <c r="BU152" s="5">
        <v>0.72000002861022949</v>
      </c>
      <c r="BV152" s="11" t="e">
        <v>#N/A</v>
      </c>
      <c r="BX152" s="3">
        <f t="shared" ca="1" si="284"/>
        <v>7.4563591022443934E-2</v>
      </c>
      <c r="BY152" s="3" t="e">
        <f t="shared" ca="1" si="285"/>
        <v>#N/A</v>
      </c>
      <c r="BZ152" s="3">
        <f t="shared" ca="1" si="286"/>
        <v>2.0672478206724829E-2</v>
      </c>
      <c r="CA152" s="3" t="e">
        <f t="shared" ca="1" si="287"/>
        <v>#N/A</v>
      </c>
      <c r="CC152" s="3">
        <f t="shared" ca="1" si="288"/>
        <v>7.0573564182195875E-2</v>
      </c>
      <c r="CD152" s="3" t="e">
        <f t="shared" ca="1" si="289"/>
        <v>#N/A</v>
      </c>
      <c r="CE152" s="3">
        <f t="shared" ca="1" si="290"/>
        <v>0</v>
      </c>
      <c r="CF152" s="3" t="e">
        <f t="shared" ca="1" si="291"/>
        <v>#N/A</v>
      </c>
      <c r="CH152" s="3">
        <f t="shared" ca="1" si="292"/>
        <v>0.24937655860349128</v>
      </c>
      <c r="CI152" s="3" t="e">
        <f t="shared" ca="1" si="293"/>
        <v>#N/A</v>
      </c>
      <c r="CJ152" s="3">
        <f t="shared" ca="1" si="294"/>
        <v>0</v>
      </c>
      <c r="CK152" s="3" t="e">
        <f t="shared" ca="1" si="295"/>
        <v>#N/A</v>
      </c>
      <c r="CM152" s="3">
        <f t="shared" ca="1" si="296"/>
        <v>0.74812967581047385</v>
      </c>
      <c r="CN152" s="3" t="e">
        <f t="shared" ca="1" si="297"/>
        <v>#N/A</v>
      </c>
      <c r="CO152" s="3">
        <f t="shared" ca="1" si="298"/>
        <v>0.4981320049813201</v>
      </c>
      <c r="CP152" s="3" t="e">
        <f t="shared" ca="1" si="299"/>
        <v>#N/A</v>
      </c>
      <c r="CR152" s="5">
        <v>3.497999906539917</v>
      </c>
      <c r="CS152" s="11" t="e">
        <v>#N/A</v>
      </c>
      <c r="CT152" s="5">
        <v>4.0149999999999997</v>
      </c>
      <c r="CU152" s="11" t="e">
        <v>#N/A</v>
      </c>
    </row>
    <row r="153" spans="1:99" s="5" customFormat="1" x14ac:dyDescent="0.35">
      <c r="A153" s="4" t="s">
        <v>152</v>
      </c>
      <c r="B153" s="4">
        <v>10.083333333333334</v>
      </c>
      <c r="C153" s="4" t="s">
        <v>168</v>
      </c>
      <c r="D153" s="4" t="s">
        <v>404</v>
      </c>
      <c r="E153" s="3"/>
      <c r="F153" s="11" t="e">
        <v>#N/A</v>
      </c>
      <c r="G153" s="5">
        <v>4.008</v>
      </c>
      <c r="H153" s="5">
        <v>4.016</v>
      </c>
      <c r="I153" s="5" t="e">
        <v>#N/A</v>
      </c>
      <c r="K153" s="3" t="e">
        <f t="shared" ca="1" si="240"/>
        <v>#N/A</v>
      </c>
      <c r="L153" s="3">
        <f t="shared" ca="1" si="241"/>
        <v>0.99800399201596801</v>
      </c>
      <c r="M153" s="3">
        <f t="shared" ca="1" si="242"/>
        <v>0.99576693227091639</v>
      </c>
      <c r="N153" s="3" t="e">
        <f t="shared" ca="1" si="243"/>
        <v>#N/A</v>
      </c>
      <c r="P153" s="3" t="e">
        <f t="shared" ca="1" si="244"/>
        <v>#N/A</v>
      </c>
      <c r="Q153" s="3">
        <f t="shared" ca="1" si="245"/>
        <v>0.99376250618879136</v>
      </c>
      <c r="R153" s="3">
        <f t="shared" ca="1" si="246"/>
        <v>0.98730080164560818</v>
      </c>
      <c r="S153" s="3" t="e">
        <f t="shared" ca="1" si="247"/>
        <v>#N/A</v>
      </c>
      <c r="U153" s="3" t="e">
        <f t="shared" ca="1" si="248"/>
        <v>#N/A</v>
      </c>
      <c r="V153" s="3">
        <f t="shared" ca="1" si="249"/>
        <v>0.49900199600798401</v>
      </c>
      <c r="W153" s="3">
        <f t="shared" ca="1" si="250"/>
        <v>0.74701195219123506</v>
      </c>
      <c r="X153" s="3" t="e">
        <f t="shared" ca="1" si="251"/>
        <v>#N/A</v>
      </c>
      <c r="Z153" s="3" t="e">
        <f t="shared" ca="1" si="252"/>
        <v>#N/A</v>
      </c>
      <c r="AA153" s="3">
        <f t="shared" ca="1" si="253"/>
        <v>0.99800399201596801</v>
      </c>
      <c r="AB153" s="3">
        <f t="shared" ca="1" si="254"/>
        <v>0.99576693227091639</v>
      </c>
      <c r="AC153" s="3" t="e">
        <f t="shared" ca="1" si="255"/>
        <v>#N/A</v>
      </c>
      <c r="AE153" s="3" t="e">
        <f t="shared" ca="1" si="256"/>
        <v>#N/A</v>
      </c>
      <c r="AF153" s="3">
        <f t="shared" ca="1" si="257"/>
        <v>0.99376250618879136</v>
      </c>
      <c r="AG153" s="3">
        <f t="shared" ca="1" si="258"/>
        <v>0.98730080164560818</v>
      </c>
      <c r="AH153" s="3" t="e">
        <f t="shared" ca="1" si="259"/>
        <v>#N/A</v>
      </c>
      <c r="AJ153" s="3" t="e">
        <f t="shared" ca="1" si="260"/>
        <v>#N/A</v>
      </c>
      <c r="AK153" s="3">
        <f t="shared" ca="1" si="261"/>
        <v>0.49900199600798401</v>
      </c>
      <c r="AL153" s="3">
        <f t="shared" ca="1" si="262"/>
        <v>0.74701195219123506</v>
      </c>
      <c r="AM153" s="3" t="e">
        <f t="shared" ca="1" si="263"/>
        <v>#N/A</v>
      </c>
      <c r="AO153" s="3" t="e">
        <f t="shared" ca="1" si="264"/>
        <v>#N/A</v>
      </c>
      <c r="AP153" s="3">
        <f t="shared" ca="1" si="265"/>
        <v>0.249500998003992</v>
      </c>
      <c r="AQ153" s="3">
        <f t="shared" ca="1" si="266"/>
        <v>0.24900398406374502</v>
      </c>
      <c r="AR153" s="3" t="e">
        <f t="shared" ca="1" si="267"/>
        <v>#N/A</v>
      </c>
      <c r="AT153" s="11" t="e">
        <v>#N/A</v>
      </c>
      <c r="AU153" s="5">
        <v>4.999999888241291E-3</v>
      </c>
      <c r="AV153" s="5">
        <v>1.4999999664723873E-2</v>
      </c>
      <c r="AW153" s="5">
        <v>8.0000003799796104E-3</v>
      </c>
      <c r="AY153" s="3" t="e">
        <f t="shared" ca="1" si="268"/>
        <v>#N/A</v>
      </c>
      <c r="AZ153" s="3">
        <f t="shared" ca="1" si="269"/>
        <v>0.89396207584830334</v>
      </c>
      <c r="BA153" s="3">
        <f t="shared" ca="1" si="270"/>
        <v>0.80901394422310757</v>
      </c>
      <c r="BB153" s="3" t="e">
        <f t="shared" ca="1" si="271"/>
        <v>#N/A</v>
      </c>
      <c r="BD153" s="3" t="e">
        <f t="shared" ca="1" si="272"/>
        <v>#N/A</v>
      </c>
      <c r="BE153" s="3">
        <f t="shared" ca="1" si="273"/>
        <v>0.881487053787399</v>
      </c>
      <c r="BF153" s="3">
        <f t="shared" ca="1" si="274"/>
        <v>0.80478087483174299</v>
      </c>
      <c r="BG153" s="3" t="e">
        <f t="shared" ca="1" si="275"/>
        <v>#N/A</v>
      </c>
      <c r="BI153" s="3" t="e">
        <f t="shared" ca="1" si="276"/>
        <v>#N/A</v>
      </c>
      <c r="BJ153" s="3">
        <f t="shared" ca="1" si="277"/>
        <v>0.249500998003992</v>
      </c>
      <c r="BK153" s="3">
        <f t="shared" ca="1" si="278"/>
        <v>0.49800796812749004</v>
      </c>
      <c r="BL153" s="3" t="e">
        <f t="shared" ca="1" si="279"/>
        <v>#N/A</v>
      </c>
      <c r="BN153" s="3" t="e">
        <f t="shared" ca="1" si="280"/>
        <v>#N/A</v>
      </c>
      <c r="BO153" s="3">
        <f t="shared" ca="1" si="281"/>
        <v>0.249500998003992</v>
      </c>
      <c r="BP153" s="3">
        <f t="shared" ca="1" si="282"/>
        <v>0.24900398406374502</v>
      </c>
      <c r="BQ153" s="3" t="e">
        <f t="shared" ca="1" si="283"/>
        <v>#N/A</v>
      </c>
      <c r="BS153" s="11" t="e">
        <v>#N/A</v>
      </c>
      <c r="BT153" s="5">
        <v>0.47200000286102295</v>
      </c>
      <c r="BU153" s="5">
        <v>0.76499998569488525</v>
      </c>
      <c r="BV153" s="5">
        <v>0.45800000429153442</v>
      </c>
      <c r="BX153" s="3" t="e">
        <f t="shared" ca="1" si="284"/>
        <v>#N/A</v>
      </c>
      <c r="BY153" s="3">
        <f t="shared" ca="1" si="285"/>
        <v>0</v>
      </c>
      <c r="BZ153" s="3">
        <f t="shared" ca="1" si="286"/>
        <v>0</v>
      </c>
      <c r="CA153" s="3" t="e">
        <f t="shared" ca="1" si="287"/>
        <v>#N/A</v>
      </c>
      <c r="CC153" s="3" t="e">
        <f t="shared" ca="1" si="288"/>
        <v>#N/A</v>
      </c>
      <c r="CD153" s="3">
        <f t="shared" ca="1" si="289"/>
        <v>0</v>
      </c>
      <c r="CE153" s="3">
        <f t="shared" ca="1" si="290"/>
        <v>0</v>
      </c>
      <c r="CF153" s="3" t="e">
        <f t="shared" ca="1" si="291"/>
        <v>#N/A</v>
      </c>
      <c r="CH153" s="3" t="e">
        <f t="shared" ca="1" si="292"/>
        <v>#N/A</v>
      </c>
      <c r="CI153" s="3">
        <f t="shared" ca="1" si="293"/>
        <v>0</v>
      </c>
      <c r="CJ153" s="3">
        <f t="shared" ca="1" si="294"/>
        <v>0</v>
      </c>
      <c r="CK153" s="3" t="e">
        <f t="shared" ca="1" si="295"/>
        <v>#N/A</v>
      </c>
      <c r="CM153" s="3" t="e">
        <f t="shared" ca="1" si="296"/>
        <v>#N/A</v>
      </c>
      <c r="CN153" s="3">
        <f t="shared" ca="1" si="297"/>
        <v>0</v>
      </c>
      <c r="CO153" s="3">
        <f t="shared" ca="1" si="298"/>
        <v>0</v>
      </c>
      <c r="CP153" s="3" t="e">
        <f t="shared" ca="1" si="299"/>
        <v>#N/A</v>
      </c>
      <c r="CR153" s="11" t="e">
        <v>#N/A</v>
      </c>
      <c r="CS153" s="5">
        <v>4.008</v>
      </c>
      <c r="CT153" s="5">
        <v>4.016</v>
      </c>
      <c r="CU153" s="5">
        <v>4.0119999999999996</v>
      </c>
    </row>
    <row r="154" spans="1:99" s="5" customFormat="1" x14ac:dyDescent="0.35">
      <c r="A154" s="4" t="s">
        <v>117</v>
      </c>
      <c r="B154" s="4">
        <v>10.25</v>
      </c>
      <c r="C154" s="4" t="s">
        <v>168</v>
      </c>
      <c r="D154" s="4" t="s">
        <v>404</v>
      </c>
      <c r="E154" s="3"/>
      <c r="F154" s="5">
        <v>4.0060000000000002</v>
      </c>
      <c r="G154" s="5">
        <v>4.0060000000000002</v>
      </c>
      <c r="H154" s="5">
        <v>4.0140000000000002</v>
      </c>
      <c r="I154" s="5">
        <v>4.016</v>
      </c>
      <c r="K154" s="3">
        <f t="shared" ca="1" si="240"/>
        <v>0.99825262106839729</v>
      </c>
      <c r="L154" s="3">
        <f t="shared" ca="1" si="241"/>
        <v>0.98577134298552171</v>
      </c>
      <c r="M154" s="3">
        <f t="shared" ca="1" si="242"/>
        <v>0.9962630792227205</v>
      </c>
      <c r="N154" s="3">
        <f t="shared" ca="1" si="243"/>
        <v>0.9711155378486056</v>
      </c>
      <c r="P154" s="3">
        <f t="shared" ca="1" si="244"/>
        <v>0.9236145516763582</v>
      </c>
      <c r="Q154" s="3">
        <f t="shared" ca="1" si="245"/>
        <v>0.92311538625703826</v>
      </c>
      <c r="R154" s="3">
        <f t="shared" ca="1" si="246"/>
        <v>0.95914292887528851</v>
      </c>
      <c r="S154" s="3">
        <f t="shared" ca="1" si="247"/>
        <v>0.90861558683209154</v>
      </c>
      <c r="U154" s="3">
        <f t="shared" ca="1" si="248"/>
        <v>3.2451323015476783</v>
      </c>
      <c r="V154" s="3">
        <f t="shared" ca="1" si="249"/>
        <v>2.9955067398901645</v>
      </c>
      <c r="W154" s="3">
        <f t="shared" ca="1" si="250"/>
        <v>2.4912805181863478</v>
      </c>
      <c r="X154" s="3">
        <f t="shared" ca="1" si="251"/>
        <v>3.237051792828685</v>
      </c>
      <c r="Z154" s="3">
        <f t="shared" ca="1" si="252"/>
        <v>0.99825262106839729</v>
      </c>
      <c r="AA154" s="3">
        <f t="shared" ca="1" si="253"/>
        <v>0.98577134298552171</v>
      </c>
      <c r="AB154" s="3">
        <f t="shared" ca="1" si="254"/>
        <v>0.9962630792227205</v>
      </c>
      <c r="AC154" s="3">
        <f t="shared" ca="1" si="255"/>
        <v>0.9711155378486056</v>
      </c>
      <c r="AE154" s="3">
        <f t="shared" ca="1" si="256"/>
        <v>0.9236145516763582</v>
      </c>
      <c r="AF154" s="3">
        <f t="shared" ca="1" si="257"/>
        <v>0.92311538625703826</v>
      </c>
      <c r="AG154" s="3">
        <f t="shared" ca="1" si="258"/>
        <v>0.95914292887528851</v>
      </c>
      <c r="AH154" s="3">
        <f t="shared" ca="1" si="259"/>
        <v>0.90861558683209154</v>
      </c>
      <c r="AJ154" s="3">
        <f t="shared" ca="1" si="260"/>
        <v>3.2451323015476783</v>
      </c>
      <c r="AK154" s="3">
        <f t="shared" ca="1" si="261"/>
        <v>2.9955067398901645</v>
      </c>
      <c r="AL154" s="3">
        <f t="shared" ca="1" si="262"/>
        <v>2.4912805181863478</v>
      </c>
      <c r="AM154" s="3">
        <f t="shared" ca="1" si="263"/>
        <v>3.237051792828685</v>
      </c>
      <c r="AO154" s="3">
        <f t="shared" ca="1" si="264"/>
        <v>0.24962556165751371</v>
      </c>
      <c r="AP154" s="3">
        <f t="shared" ca="1" si="265"/>
        <v>0.24962556165751371</v>
      </c>
      <c r="AQ154" s="3">
        <f t="shared" ca="1" si="266"/>
        <v>0.24912805181863476</v>
      </c>
      <c r="AR154" s="3">
        <f t="shared" ca="1" si="267"/>
        <v>0.24900398406374502</v>
      </c>
      <c r="AT154" s="5">
        <v>4.999999888241291E-3</v>
      </c>
      <c r="AU154" s="5">
        <v>5.9000000357627869E-2</v>
      </c>
      <c r="AV154" s="5">
        <v>9.9999997764825821E-3</v>
      </c>
      <c r="AW154" s="5">
        <v>7.0000002160668373E-3</v>
      </c>
      <c r="AY154" s="3">
        <f t="shared" ca="1" si="268"/>
        <v>0.191462805791313</v>
      </c>
      <c r="AZ154" s="3">
        <f t="shared" ca="1" si="269"/>
        <v>0.19545681477783317</v>
      </c>
      <c r="BA154" s="3">
        <f t="shared" ca="1" si="270"/>
        <v>0.21973094170403601</v>
      </c>
      <c r="BB154" s="3">
        <f t="shared" ca="1" si="271"/>
        <v>0.23232071713147404</v>
      </c>
      <c r="BD154" s="3">
        <f t="shared" ca="1" si="272"/>
        <v>0.15826261436350036</v>
      </c>
      <c r="BE154" s="3">
        <f t="shared" ca="1" si="273"/>
        <v>9.5856201630857535E-2</v>
      </c>
      <c r="BF154" s="3">
        <f t="shared" ca="1" si="274"/>
        <v>0.20328842708585745</v>
      </c>
      <c r="BG154" s="3">
        <f t="shared" ca="1" si="275"/>
        <v>0.2031872620383107</v>
      </c>
      <c r="BI154" s="3">
        <f t="shared" ca="1" si="276"/>
        <v>0.49925112331502741</v>
      </c>
      <c r="BJ154" s="3">
        <f t="shared" ca="1" si="277"/>
        <v>0.24962556165751371</v>
      </c>
      <c r="BK154" s="3">
        <f t="shared" ca="1" si="278"/>
        <v>0.49825610363726952</v>
      </c>
      <c r="BL154" s="3">
        <f t="shared" ca="1" si="279"/>
        <v>0.74701195219123506</v>
      </c>
      <c r="BN154" s="3">
        <f t="shared" ca="1" si="280"/>
        <v>0.99850224663005482</v>
      </c>
      <c r="BO154" s="3">
        <f t="shared" ca="1" si="281"/>
        <v>0.74887668497254112</v>
      </c>
      <c r="BP154" s="3">
        <f t="shared" ca="1" si="282"/>
        <v>0.74738415545590431</v>
      </c>
      <c r="BQ154" s="3">
        <f t="shared" ca="1" si="283"/>
        <v>0.74701195219123506</v>
      </c>
      <c r="BS154" s="5">
        <v>0.43799999356269836</v>
      </c>
      <c r="BT154" s="5">
        <v>1.6080000400543213</v>
      </c>
      <c r="BU154" s="5">
        <v>2.8090000152587891</v>
      </c>
      <c r="BV154" s="5">
        <v>0.75700002908706665</v>
      </c>
      <c r="BX154" s="3">
        <f t="shared" ca="1" si="284"/>
        <v>0.18696954568147789</v>
      </c>
      <c r="BY154" s="3">
        <f t="shared" ca="1" si="285"/>
        <v>0.10409385921118318</v>
      </c>
      <c r="BZ154" s="3">
        <f t="shared" ca="1" si="286"/>
        <v>9.9900348779272605E-2</v>
      </c>
      <c r="CA154" s="3">
        <f t="shared" ca="1" si="287"/>
        <v>0.24078685258964133</v>
      </c>
      <c r="CC154" s="3">
        <f t="shared" ca="1" si="288"/>
        <v>0.22466295490369639</v>
      </c>
      <c r="CD154" s="3">
        <f t="shared" ca="1" si="289"/>
        <v>0.12456317335977235</v>
      </c>
      <c r="CE154" s="3">
        <f t="shared" ca="1" si="290"/>
        <v>9.5416077583894601E-2</v>
      </c>
      <c r="CF154" s="3">
        <f t="shared" ca="1" si="291"/>
        <v>0.29880477025533519</v>
      </c>
      <c r="CH154" s="3">
        <f t="shared" ca="1" si="292"/>
        <v>0.49925112331502741</v>
      </c>
      <c r="CI154" s="3">
        <f t="shared" ca="1" si="293"/>
        <v>0.49925112331502741</v>
      </c>
      <c r="CJ154" s="3">
        <f t="shared" ca="1" si="294"/>
        <v>0.49825610363726952</v>
      </c>
      <c r="CK154" s="3">
        <f t="shared" ca="1" si="295"/>
        <v>0.74701195219123506</v>
      </c>
      <c r="CM154" s="3">
        <f t="shared" ca="1" si="296"/>
        <v>0.49925112331502741</v>
      </c>
      <c r="CN154" s="3">
        <f t="shared" ca="1" si="297"/>
        <v>0.49925112331502741</v>
      </c>
      <c r="CO154" s="3">
        <f t="shared" ca="1" si="298"/>
        <v>0.49825610363726952</v>
      </c>
      <c r="CP154" s="3">
        <f t="shared" ca="1" si="299"/>
        <v>0.74701195219123506</v>
      </c>
      <c r="CR154" s="5">
        <v>0.93800002336502075</v>
      </c>
      <c r="CS154" s="5">
        <v>2.2920000553131104</v>
      </c>
      <c r="CT154" s="5">
        <v>0.87699997425079346</v>
      </c>
      <c r="CU154" s="5">
        <v>7.0000002160668373E-3</v>
      </c>
    </row>
    <row r="155" spans="1:99" s="5" customFormat="1" x14ac:dyDescent="0.35">
      <c r="A155" s="4" t="s">
        <v>123</v>
      </c>
      <c r="B155" s="4">
        <v>10.25</v>
      </c>
      <c r="C155" s="4" t="s">
        <v>167</v>
      </c>
      <c r="D155" s="4" t="s">
        <v>404</v>
      </c>
      <c r="E155" s="3"/>
      <c r="F155" s="5">
        <v>3.2450000000000001</v>
      </c>
      <c r="G155" s="5" t="e">
        <v>#N/A</v>
      </c>
      <c r="H155" s="5" t="e">
        <v>#N/A</v>
      </c>
      <c r="I155" s="5">
        <v>4.0149999999999997</v>
      </c>
      <c r="K155" s="3">
        <f t="shared" ca="1" si="240"/>
        <v>0.92942989214175653</v>
      </c>
      <c r="L155" s="3" t="e">
        <f t="shared" ca="1" si="241"/>
        <v>#N/A</v>
      </c>
      <c r="M155" s="3" t="e">
        <f t="shared" ca="1" si="242"/>
        <v>#N/A</v>
      </c>
      <c r="N155" s="3">
        <f t="shared" ca="1" si="243"/>
        <v>0.91282689912826909</v>
      </c>
      <c r="P155" s="3">
        <f t="shared" ca="1" si="244"/>
        <v>0.82249616621455346</v>
      </c>
      <c r="Q155" s="3" t="e">
        <f t="shared" ca="1" si="245"/>
        <v>#N/A</v>
      </c>
      <c r="R155" s="3" t="e">
        <f t="shared" ca="1" si="246"/>
        <v>#N/A</v>
      </c>
      <c r="S155" s="3">
        <f t="shared" ca="1" si="247"/>
        <v>0.80996270791382752</v>
      </c>
      <c r="U155" s="3">
        <f t="shared" ca="1" si="248"/>
        <v>3.0816640986132509</v>
      </c>
      <c r="V155" s="3" t="e">
        <f t="shared" ca="1" si="249"/>
        <v>#N/A</v>
      </c>
      <c r="W155" s="3" t="e">
        <f t="shared" ca="1" si="250"/>
        <v>#N/A</v>
      </c>
      <c r="X155" s="3">
        <f t="shared" ca="1" si="251"/>
        <v>3.9850560398505608</v>
      </c>
      <c r="Z155" s="3">
        <f t="shared" ca="1" si="252"/>
        <v>0.92942989214175653</v>
      </c>
      <c r="AA155" s="3" t="e">
        <f t="shared" ca="1" si="253"/>
        <v>#N/A</v>
      </c>
      <c r="AB155" s="3" t="e">
        <f t="shared" ca="1" si="254"/>
        <v>#N/A</v>
      </c>
      <c r="AC155" s="3">
        <f t="shared" ca="1" si="255"/>
        <v>0.91282689912826909</v>
      </c>
      <c r="AE155" s="3">
        <f t="shared" ca="1" si="256"/>
        <v>0.82249616621455346</v>
      </c>
      <c r="AF155" s="3" t="e">
        <f t="shared" ca="1" si="257"/>
        <v>#N/A</v>
      </c>
      <c r="AG155" s="3" t="e">
        <f t="shared" ca="1" si="258"/>
        <v>#N/A</v>
      </c>
      <c r="AH155" s="3">
        <f t="shared" ca="1" si="259"/>
        <v>0.80996270791382752</v>
      </c>
      <c r="AJ155" s="3">
        <f t="shared" ca="1" si="260"/>
        <v>3.0816640986132509</v>
      </c>
      <c r="AK155" s="3" t="e">
        <f t="shared" ca="1" si="261"/>
        <v>#N/A</v>
      </c>
      <c r="AL155" s="3" t="e">
        <f t="shared" ca="1" si="262"/>
        <v>#N/A</v>
      </c>
      <c r="AM155" s="3">
        <f t="shared" ca="1" si="263"/>
        <v>3.9850560398505608</v>
      </c>
      <c r="AO155" s="3">
        <f t="shared" ca="1" si="264"/>
        <v>0.61633281972265019</v>
      </c>
      <c r="AP155" s="3" t="e">
        <f t="shared" ca="1" si="265"/>
        <v>#N/A</v>
      </c>
      <c r="AQ155" s="3" t="e">
        <f t="shared" ca="1" si="266"/>
        <v>#N/A</v>
      </c>
      <c r="AR155" s="3">
        <f t="shared" ca="1" si="267"/>
        <v>0.24906600249066005</v>
      </c>
      <c r="AT155" s="5">
        <v>0.29600000381469727</v>
      </c>
      <c r="AU155" s="5">
        <v>0.22100000083446503</v>
      </c>
      <c r="AV155" s="5">
        <v>0.37700000405311584</v>
      </c>
      <c r="AW155" s="5">
        <v>0.35600000619888306</v>
      </c>
      <c r="AY155" s="3">
        <f t="shared" ca="1" si="268"/>
        <v>0.55963020030816635</v>
      </c>
      <c r="AZ155" s="3" t="e">
        <f t="shared" ca="1" si="269"/>
        <v>#N/A</v>
      </c>
      <c r="BA155" s="3" t="e">
        <f t="shared" ca="1" si="270"/>
        <v>#N/A</v>
      </c>
      <c r="BB155" s="3">
        <f t="shared" ca="1" si="271"/>
        <v>0.34819427148194265</v>
      </c>
      <c r="BD155" s="3">
        <f t="shared" ca="1" si="272"/>
        <v>0.48813559975940013</v>
      </c>
      <c r="BE155" s="3" t="e">
        <f t="shared" ca="1" si="273"/>
        <v>#N/A</v>
      </c>
      <c r="BF155" s="3" t="e">
        <f t="shared" ca="1" si="274"/>
        <v>#N/A</v>
      </c>
      <c r="BG155" s="3">
        <f t="shared" ca="1" si="275"/>
        <v>0.3070983613561723</v>
      </c>
      <c r="BI155" s="3">
        <f t="shared" ca="1" si="276"/>
        <v>0.92449922958397535</v>
      </c>
      <c r="BJ155" s="3" t="e">
        <f t="shared" ca="1" si="277"/>
        <v>#N/A</v>
      </c>
      <c r="BK155" s="3" t="e">
        <f t="shared" ca="1" si="278"/>
        <v>#N/A</v>
      </c>
      <c r="BL155" s="3">
        <f t="shared" ca="1" si="279"/>
        <v>1.2453300124533002</v>
      </c>
      <c r="BN155" s="3">
        <f t="shared" ca="1" si="280"/>
        <v>0.92449922958397535</v>
      </c>
      <c r="BO155" s="3" t="e">
        <f t="shared" ca="1" si="281"/>
        <v>#N/A</v>
      </c>
      <c r="BP155" s="3" t="e">
        <f t="shared" ca="1" si="282"/>
        <v>#N/A</v>
      </c>
      <c r="BQ155" s="3">
        <f t="shared" ca="1" si="283"/>
        <v>0.9962640099626402</v>
      </c>
      <c r="BS155" s="5">
        <v>0.42899999022483826</v>
      </c>
      <c r="BT155" s="5">
        <v>0.22100000083446503</v>
      </c>
      <c r="BU155" s="5">
        <v>0.37700000405311584</v>
      </c>
      <c r="BV155" s="5">
        <v>0.63999998569488525</v>
      </c>
      <c r="BX155" s="3">
        <f t="shared" ca="1" si="284"/>
        <v>0</v>
      </c>
      <c r="BY155" s="3" t="e">
        <f t="shared" ca="1" si="285"/>
        <v>#N/A</v>
      </c>
      <c r="BZ155" s="3" t="e">
        <f t="shared" ca="1" si="286"/>
        <v>#N/A</v>
      </c>
      <c r="CA155" s="3">
        <f t="shared" ca="1" si="287"/>
        <v>0</v>
      </c>
      <c r="CC155" s="3">
        <f t="shared" ca="1" si="288"/>
        <v>0</v>
      </c>
      <c r="CD155" s="3" t="e">
        <f t="shared" ca="1" si="289"/>
        <v>#N/A</v>
      </c>
      <c r="CE155" s="3" t="e">
        <f t="shared" ca="1" si="290"/>
        <v>#N/A</v>
      </c>
      <c r="CF155" s="3">
        <f t="shared" ca="1" si="291"/>
        <v>0</v>
      </c>
      <c r="CH155" s="3">
        <f t="shared" ca="1" si="292"/>
        <v>0</v>
      </c>
      <c r="CI155" s="3" t="e">
        <f t="shared" ca="1" si="293"/>
        <v>#N/A</v>
      </c>
      <c r="CJ155" s="3" t="e">
        <f t="shared" ca="1" si="294"/>
        <v>#N/A</v>
      </c>
      <c r="CK155" s="3">
        <f t="shared" ca="1" si="295"/>
        <v>0</v>
      </c>
      <c r="CM155" s="3">
        <f t="shared" ca="1" si="296"/>
        <v>0.92449922958397535</v>
      </c>
      <c r="CN155" s="3" t="e">
        <f t="shared" ca="1" si="297"/>
        <v>#N/A</v>
      </c>
      <c r="CO155" s="3" t="e">
        <f t="shared" ca="1" si="298"/>
        <v>#N/A</v>
      </c>
      <c r="CP155" s="3">
        <f t="shared" ca="1" si="299"/>
        <v>0</v>
      </c>
      <c r="CR155" s="5">
        <v>4.0110000000000001</v>
      </c>
      <c r="CS155" s="5">
        <v>4.0149999999999997</v>
      </c>
      <c r="CT155" s="5">
        <v>4.016</v>
      </c>
      <c r="CU155" s="5">
        <v>4.0149999999999997</v>
      </c>
    </row>
    <row r="156" spans="1:99" s="5" customFormat="1" x14ac:dyDescent="0.35">
      <c r="A156" s="4" t="s">
        <v>111</v>
      </c>
      <c r="B156" s="4">
        <v>10.416666666666666</v>
      </c>
      <c r="C156" s="4" t="s">
        <v>168</v>
      </c>
      <c r="D156" s="4" t="s">
        <v>404</v>
      </c>
      <c r="E156" s="3"/>
      <c r="F156" s="11" t="e">
        <v>#N/A</v>
      </c>
      <c r="G156" s="11" t="e">
        <v>#N/A</v>
      </c>
      <c r="H156" s="5" t="e">
        <v>#N/A</v>
      </c>
      <c r="I156" s="11" t="e">
        <v>#N/A</v>
      </c>
      <c r="K156" s="3" t="e">
        <f t="shared" ca="1" si="240"/>
        <v>#N/A</v>
      </c>
      <c r="L156" s="3" t="e">
        <f t="shared" ca="1" si="241"/>
        <v>#N/A</v>
      </c>
      <c r="M156" s="3" t="e">
        <f t="shared" ca="1" si="242"/>
        <v>#N/A</v>
      </c>
      <c r="N156" s="3" t="e">
        <f t="shared" ca="1" si="243"/>
        <v>#N/A</v>
      </c>
      <c r="P156" s="3" t="e">
        <f t="shared" ca="1" si="244"/>
        <v>#N/A</v>
      </c>
      <c r="Q156" s="3" t="e">
        <f t="shared" ca="1" si="245"/>
        <v>#N/A</v>
      </c>
      <c r="R156" s="3" t="e">
        <f t="shared" ca="1" si="246"/>
        <v>#N/A</v>
      </c>
      <c r="S156" s="3" t="e">
        <f t="shared" ca="1" si="247"/>
        <v>#N/A</v>
      </c>
      <c r="U156" s="3" t="e">
        <f t="shared" ca="1" si="248"/>
        <v>#N/A</v>
      </c>
      <c r="V156" s="3" t="e">
        <f t="shared" ca="1" si="249"/>
        <v>#N/A</v>
      </c>
      <c r="W156" s="3" t="e">
        <f t="shared" ca="1" si="250"/>
        <v>#N/A</v>
      </c>
      <c r="X156" s="3" t="e">
        <f t="shared" ca="1" si="251"/>
        <v>#N/A</v>
      </c>
      <c r="Z156" s="3" t="e">
        <f t="shared" ca="1" si="252"/>
        <v>#N/A</v>
      </c>
      <c r="AA156" s="3" t="e">
        <f t="shared" ca="1" si="253"/>
        <v>#N/A</v>
      </c>
      <c r="AB156" s="3" t="e">
        <f t="shared" ca="1" si="254"/>
        <v>#N/A</v>
      </c>
      <c r="AC156" s="3" t="e">
        <f t="shared" ca="1" si="255"/>
        <v>#N/A</v>
      </c>
      <c r="AE156" s="3" t="e">
        <f t="shared" ca="1" si="256"/>
        <v>#N/A</v>
      </c>
      <c r="AF156" s="3" t="e">
        <f t="shared" ca="1" si="257"/>
        <v>#N/A</v>
      </c>
      <c r="AG156" s="3" t="e">
        <f t="shared" ca="1" si="258"/>
        <v>#N/A</v>
      </c>
      <c r="AH156" s="3" t="e">
        <f t="shared" ca="1" si="259"/>
        <v>#N/A</v>
      </c>
      <c r="AJ156" s="3" t="e">
        <f t="shared" ca="1" si="260"/>
        <v>#N/A</v>
      </c>
      <c r="AK156" s="3" t="e">
        <f t="shared" ca="1" si="261"/>
        <v>#N/A</v>
      </c>
      <c r="AL156" s="3" t="e">
        <f t="shared" ca="1" si="262"/>
        <v>#N/A</v>
      </c>
      <c r="AM156" s="3" t="e">
        <f t="shared" ca="1" si="263"/>
        <v>#N/A</v>
      </c>
      <c r="AO156" s="3" t="e">
        <f t="shared" ca="1" si="264"/>
        <v>#N/A</v>
      </c>
      <c r="AP156" s="3" t="e">
        <f t="shared" ca="1" si="265"/>
        <v>#N/A</v>
      </c>
      <c r="AQ156" s="3" t="e">
        <f t="shared" ca="1" si="266"/>
        <v>#N/A</v>
      </c>
      <c r="AR156" s="3" t="e">
        <f t="shared" ca="1" si="267"/>
        <v>#N/A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Y156" s="3" t="e">
        <f t="shared" ca="1" si="268"/>
        <v>#N/A</v>
      </c>
      <c r="AZ156" s="3" t="e">
        <f t="shared" ca="1" si="269"/>
        <v>#N/A</v>
      </c>
      <c r="BA156" s="3" t="e">
        <f t="shared" ca="1" si="270"/>
        <v>#N/A</v>
      </c>
      <c r="BB156" s="3" t="e">
        <f t="shared" ca="1" si="271"/>
        <v>#N/A</v>
      </c>
      <c r="BD156" s="3" t="e">
        <f t="shared" ca="1" si="272"/>
        <v>#N/A</v>
      </c>
      <c r="BE156" s="3" t="e">
        <f t="shared" ca="1" si="273"/>
        <v>#N/A</v>
      </c>
      <c r="BF156" s="3" t="e">
        <f t="shared" ca="1" si="274"/>
        <v>#N/A</v>
      </c>
      <c r="BG156" s="3" t="e">
        <f t="shared" ca="1" si="275"/>
        <v>#N/A</v>
      </c>
      <c r="BI156" s="3" t="e">
        <f t="shared" ca="1" si="276"/>
        <v>#N/A</v>
      </c>
      <c r="BJ156" s="3" t="e">
        <f t="shared" ca="1" si="277"/>
        <v>#N/A</v>
      </c>
      <c r="BK156" s="3" t="e">
        <f t="shared" ca="1" si="278"/>
        <v>#N/A</v>
      </c>
      <c r="BL156" s="3" t="e">
        <f t="shared" ca="1" si="279"/>
        <v>#N/A</v>
      </c>
      <c r="BN156" s="3" t="e">
        <f t="shared" ca="1" si="280"/>
        <v>#N/A</v>
      </c>
      <c r="BO156" s="3" t="e">
        <f t="shared" ca="1" si="281"/>
        <v>#N/A</v>
      </c>
      <c r="BP156" s="3" t="e">
        <f t="shared" ca="1" si="282"/>
        <v>#N/A</v>
      </c>
      <c r="BQ156" s="3" t="e">
        <f t="shared" ca="1" si="283"/>
        <v>#N/A</v>
      </c>
      <c r="BS156" s="11" t="e">
        <v>#N/A</v>
      </c>
      <c r="BT156" s="11" t="e">
        <v>#N/A</v>
      </c>
      <c r="BU156" s="11" t="e">
        <v>#N/A</v>
      </c>
      <c r="BV156" s="11" t="e">
        <v>#N/A</v>
      </c>
      <c r="BX156" s="3" t="e">
        <f t="shared" ca="1" si="284"/>
        <v>#N/A</v>
      </c>
      <c r="BY156" s="3" t="e">
        <f t="shared" ca="1" si="285"/>
        <v>#N/A</v>
      </c>
      <c r="BZ156" s="3" t="e">
        <f t="shared" ca="1" si="286"/>
        <v>#N/A</v>
      </c>
      <c r="CA156" s="3" t="e">
        <f t="shared" ca="1" si="287"/>
        <v>#N/A</v>
      </c>
      <c r="CC156" s="3" t="e">
        <f t="shared" ca="1" si="288"/>
        <v>#N/A</v>
      </c>
      <c r="CD156" s="3" t="e">
        <f t="shared" ca="1" si="289"/>
        <v>#N/A</v>
      </c>
      <c r="CE156" s="3" t="e">
        <f t="shared" ca="1" si="290"/>
        <v>#N/A</v>
      </c>
      <c r="CF156" s="3" t="e">
        <f t="shared" ca="1" si="291"/>
        <v>#N/A</v>
      </c>
      <c r="CH156" s="3" t="e">
        <f t="shared" ca="1" si="292"/>
        <v>#N/A</v>
      </c>
      <c r="CI156" s="3" t="e">
        <f t="shared" ca="1" si="293"/>
        <v>#N/A</v>
      </c>
      <c r="CJ156" s="3" t="e">
        <f t="shared" ca="1" si="294"/>
        <v>#N/A</v>
      </c>
      <c r="CK156" s="3" t="e">
        <f t="shared" ca="1" si="295"/>
        <v>#N/A</v>
      </c>
      <c r="CM156" s="3" t="e">
        <f t="shared" ca="1" si="296"/>
        <v>#N/A</v>
      </c>
      <c r="CN156" s="3" t="e">
        <f t="shared" ca="1" si="297"/>
        <v>#N/A</v>
      </c>
      <c r="CO156" s="3" t="e">
        <f t="shared" ca="1" si="298"/>
        <v>#N/A</v>
      </c>
      <c r="CP156" s="3" t="e">
        <f t="shared" ca="1" si="299"/>
        <v>#N/A</v>
      </c>
      <c r="CR156" s="11" t="e">
        <v>#N/A</v>
      </c>
      <c r="CS156" s="11" t="e">
        <v>#N/A</v>
      </c>
      <c r="CT156" s="11" t="e">
        <v>#N/A</v>
      </c>
      <c r="CU156" s="11" t="e">
        <v>#N/A</v>
      </c>
    </row>
    <row r="157" spans="1:99" s="5" customFormat="1" x14ac:dyDescent="0.35">
      <c r="A157" s="4" t="s">
        <v>132</v>
      </c>
      <c r="B157" s="4">
        <v>10.666666666666666</v>
      </c>
      <c r="C157" s="4" t="s">
        <v>168</v>
      </c>
      <c r="D157" s="4" t="s">
        <v>404</v>
      </c>
      <c r="E157" s="3"/>
      <c r="F157" s="5">
        <v>4.01</v>
      </c>
      <c r="G157" s="5">
        <v>3.0770000000000004</v>
      </c>
      <c r="H157" s="5">
        <v>4.0469999999999997</v>
      </c>
      <c r="I157" s="5" t="e">
        <v>#N/A</v>
      </c>
      <c r="K157" s="3">
        <f t="shared" ca="1" si="240"/>
        <v>0.93915211970074819</v>
      </c>
      <c r="L157" s="3">
        <f t="shared" ca="1" si="241"/>
        <v>0.80662983425414359</v>
      </c>
      <c r="M157" s="3">
        <f t="shared" ca="1" si="242"/>
        <v>0.99629355077835446</v>
      </c>
      <c r="N157" s="3" t="e">
        <f t="shared" ca="1" si="243"/>
        <v>#N/A</v>
      </c>
      <c r="P157" s="3">
        <f t="shared" ca="1" si="244"/>
        <v>0.80623442441819615</v>
      </c>
      <c r="Q157" s="3">
        <f t="shared" ca="1" si="245"/>
        <v>0.63340917476632974</v>
      </c>
      <c r="R157" s="3">
        <f t="shared" ca="1" si="246"/>
        <v>0.83963438032702642</v>
      </c>
      <c r="S157" s="3" t="e">
        <f t="shared" ca="1" si="247"/>
        <v>#N/A</v>
      </c>
      <c r="U157" s="3">
        <f t="shared" ca="1" si="248"/>
        <v>1.9950124688279303</v>
      </c>
      <c r="V157" s="3">
        <f t="shared" ca="1" si="249"/>
        <v>1.2999675008124796</v>
      </c>
      <c r="W157" s="3">
        <f t="shared" ca="1" si="250"/>
        <v>0.98838645910551037</v>
      </c>
      <c r="X157" s="3" t="e">
        <f t="shared" ca="1" si="251"/>
        <v>#N/A</v>
      </c>
      <c r="Z157" s="3">
        <f t="shared" ca="1" si="252"/>
        <v>0.19551122194513723</v>
      </c>
      <c r="AA157" s="3">
        <f t="shared" ca="1" si="253"/>
        <v>0.72018199545011374</v>
      </c>
      <c r="AB157" s="3">
        <f t="shared" ca="1" si="254"/>
        <v>0.83568075117370899</v>
      </c>
      <c r="AC157" s="3" t="e">
        <f t="shared" ca="1" si="255"/>
        <v>#N/A</v>
      </c>
      <c r="AE157" s="3">
        <f t="shared" ca="1" si="256"/>
        <v>0.23690774256451769</v>
      </c>
      <c r="AF157" s="3">
        <f t="shared" ca="1" si="257"/>
        <v>0.63340917476632974</v>
      </c>
      <c r="AG157" s="3">
        <f t="shared" ca="1" si="258"/>
        <v>0.83963438032702642</v>
      </c>
      <c r="AH157" s="3" t="e">
        <f t="shared" ca="1" si="259"/>
        <v>#N/A</v>
      </c>
      <c r="AJ157" s="3">
        <f t="shared" ca="1" si="260"/>
        <v>0.74812967581047385</v>
      </c>
      <c r="AK157" s="3">
        <f t="shared" ca="1" si="261"/>
        <v>1.2999675008124796</v>
      </c>
      <c r="AL157" s="3">
        <f t="shared" ca="1" si="262"/>
        <v>0.98838645910551037</v>
      </c>
      <c r="AM157" s="3" t="e">
        <f t="shared" ca="1" si="263"/>
        <v>#N/A</v>
      </c>
      <c r="AO157" s="3">
        <f t="shared" ca="1" si="264"/>
        <v>0.49875311720698257</v>
      </c>
      <c r="AP157" s="3">
        <f t="shared" ca="1" si="265"/>
        <v>1.2999675008124796</v>
      </c>
      <c r="AQ157" s="3">
        <f t="shared" ca="1" si="266"/>
        <v>0.98838645910551037</v>
      </c>
      <c r="AR157" s="3" t="e">
        <f t="shared" ca="1" si="267"/>
        <v>#N/A</v>
      </c>
      <c r="AT157" s="5">
        <v>2.0150001049041748</v>
      </c>
      <c r="AU157" s="5">
        <v>0.32699999213218689</v>
      </c>
      <c r="AV157" s="5">
        <v>1.0999999940395355E-2</v>
      </c>
      <c r="AW157" s="11" t="e">
        <v>#N/A</v>
      </c>
      <c r="AY157" s="3">
        <f t="shared" ca="1" si="268"/>
        <v>0</v>
      </c>
      <c r="AZ157" s="3">
        <f t="shared" ca="1" si="269"/>
        <v>0</v>
      </c>
      <c r="BA157" s="3">
        <f t="shared" ca="1" si="270"/>
        <v>0</v>
      </c>
      <c r="BB157" s="3" t="e">
        <f t="shared" ca="1" si="271"/>
        <v>#N/A</v>
      </c>
      <c r="BD157" s="3">
        <f t="shared" ca="1" si="272"/>
        <v>0</v>
      </c>
      <c r="BE157" s="3">
        <f t="shared" ca="1" si="273"/>
        <v>0</v>
      </c>
      <c r="BF157" s="3">
        <f t="shared" ca="1" si="274"/>
        <v>0</v>
      </c>
      <c r="BG157" s="3" t="e">
        <f t="shared" ca="1" si="275"/>
        <v>#N/A</v>
      </c>
      <c r="BI157" s="3">
        <f t="shared" ca="1" si="276"/>
        <v>0</v>
      </c>
      <c r="BJ157" s="3">
        <f t="shared" ca="1" si="277"/>
        <v>0</v>
      </c>
      <c r="BK157" s="3">
        <f t="shared" ca="1" si="278"/>
        <v>0</v>
      </c>
      <c r="BL157" s="3" t="e">
        <f t="shared" ca="1" si="279"/>
        <v>#N/A</v>
      </c>
      <c r="BN157" s="3">
        <f t="shared" ca="1" si="280"/>
        <v>0</v>
      </c>
      <c r="BO157" s="3">
        <f t="shared" ca="1" si="281"/>
        <v>0</v>
      </c>
      <c r="BP157" s="3">
        <f t="shared" ca="1" si="282"/>
        <v>0</v>
      </c>
      <c r="BQ157" s="3" t="e">
        <f t="shared" ca="1" si="283"/>
        <v>#N/A</v>
      </c>
      <c r="BS157" s="5">
        <v>4.01</v>
      </c>
      <c r="BT157" s="5">
        <v>4.0270000000000001</v>
      </c>
      <c r="BU157" s="5">
        <v>4.0469999999999997</v>
      </c>
      <c r="BV157" s="11" t="e">
        <v>#N/A</v>
      </c>
      <c r="BX157" s="3">
        <f t="shared" ca="1" si="284"/>
        <v>0</v>
      </c>
      <c r="BY157" s="3">
        <f t="shared" ca="1" si="285"/>
        <v>0</v>
      </c>
      <c r="BZ157" s="3">
        <f t="shared" ca="1" si="286"/>
        <v>0</v>
      </c>
      <c r="CA157" s="3" t="e">
        <f t="shared" ca="1" si="287"/>
        <v>#N/A</v>
      </c>
      <c r="CC157" s="3">
        <f t="shared" ca="1" si="288"/>
        <v>0</v>
      </c>
      <c r="CD157" s="3">
        <f t="shared" ca="1" si="289"/>
        <v>0</v>
      </c>
      <c r="CE157" s="3">
        <f t="shared" ca="1" si="290"/>
        <v>0</v>
      </c>
      <c r="CF157" s="3" t="e">
        <f t="shared" ca="1" si="291"/>
        <v>#N/A</v>
      </c>
      <c r="CH157" s="3">
        <f t="shared" ca="1" si="292"/>
        <v>0</v>
      </c>
      <c r="CI157" s="3">
        <f t="shared" ca="1" si="293"/>
        <v>0</v>
      </c>
      <c r="CJ157" s="3">
        <f t="shared" ca="1" si="294"/>
        <v>0</v>
      </c>
      <c r="CK157" s="3" t="e">
        <f t="shared" ca="1" si="295"/>
        <v>#N/A</v>
      </c>
      <c r="CM157" s="3">
        <f t="shared" ca="1" si="296"/>
        <v>0</v>
      </c>
      <c r="CN157" s="3">
        <f t="shared" ca="1" si="297"/>
        <v>0.64998375040623979</v>
      </c>
      <c r="CO157" s="3">
        <f t="shared" ca="1" si="298"/>
        <v>0</v>
      </c>
      <c r="CP157" s="3" t="e">
        <f t="shared" ca="1" si="299"/>
        <v>#N/A</v>
      </c>
      <c r="CR157" s="5">
        <v>4.01</v>
      </c>
      <c r="CS157" s="5">
        <v>4.0270000000000001</v>
      </c>
      <c r="CT157" s="5">
        <v>4.0469999999999997</v>
      </c>
      <c r="CU157" s="11" t="e">
        <v>#N/A</v>
      </c>
    </row>
    <row r="158" spans="1:99" s="5" customFormat="1" x14ac:dyDescent="0.35">
      <c r="A158" s="4" t="s">
        <v>137</v>
      </c>
      <c r="B158" s="4">
        <v>10.75</v>
      </c>
      <c r="C158" s="4" t="s">
        <v>168</v>
      </c>
      <c r="D158" s="4" t="s">
        <v>404</v>
      </c>
      <c r="E158" s="3"/>
      <c r="F158" s="5">
        <v>4.016</v>
      </c>
      <c r="G158" s="5">
        <v>4.01</v>
      </c>
      <c r="H158" s="5" t="e">
        <v>#N/A</v>
      </c>
      <c r="I158" s="5">
        <v>4.0149999999999997</v>
      </c>
      <c r="K158" s="3">
        <f t="shared" ca="1" si="240"/>
        <v>0.9952689243027889</v>
      </c>
      <c r="L158" s="3">
        <f t="shared" ca="1" si="241"/>
        <v>0.95162094763092275</v>
      </c>
      <c r="M158" s="3" t="e">
        <f t="shared" ca="1" si="242"/>
        <v>#N/A</v>
      </c>
      <c r="N158" s="3">
        <f t="shared" ca="1" si="243"/>
        <v>0.99601494396014945</v>
      </c>
      <c r="P158" s="3">
        <f t="shared" ca="1" si="244"/>
        <v>0.96240026279875779</v>
      </c>
      <c r="Q158" s="3">
        <f t="shared" ca="1" si="245"/>
        <v>0.63142141982206978</v>
      </c>
      <c r="R158" s="3" t="e">
        <f t="shared" ca="1" si="246"/>
        <v>#N/A</v>
      </c>
      <c r="S158" s="3">
        <f t="shared" ca="1" si="247"/>
        <v>0.75168117375146715</v>
      </c>
      <c r="U158" s="3">
        <f t="shared" ca="1" si="248"/>
        <v>1.9920318725099602</v>
      </c>
      <c r="V158" s="3">
        <f t="shared" ca="1" si="249"/>
        <v>1.9950124688279303</v>
      </c>
      <c r="W158" s="3" t="e">
        <f t="shared" ca="1" si="250"/>
        <v>#N/A</v>
      </c>
      <c r="X158" s="3">
        <f t="shared" ca="1" si="251"/>
        <v>2.4906600249066004</v>
      </c>
      <c r="Z158" s="3">
        <f t="shared" ca="1" si="252"/>
        <v>0.9952689243027889</v>
      </c>
      <c r="AA158" s="3">
        <f t="shared" ca="1" si="253"/>
        <v>0.88104738154613482</v>
      </c>
      <c r="AB158" s="3" t="e">
        <f t="shared" ca="1" si="254"/>
        <v>#N/A</v>
      </c>
      <c r="AC158" s="3">
        <f t="shared" ca="1" si="255"/>
        <v>0.9877957658779577</v>
      </c>
      <c r="AE158" s="3">
        <f t="shared" ca="1" si="256"/>
        <v>0.96240026279875779</v>
      </c>
      <c r="AF158" s="3">
        <f t="shared" ca="1" si="257"/>
        <v>0.63142141982206978</v>
      </c>
      <c r="AG158" s="3" t="e">
        <f t="shared" ca="1" si="258"/>
        <v>#N/A</v>
      </c>
      <c r="AH158" s="3">
        <f t="shared" ca="1" si="259"/>
        <v>0.75168117375146715</v>
      </c>
      <c r="AJ158" s="3">
        <f t="shared" ca="1" si="260"/>
        <v>1.9920318725099602</v>
      </c>
      <c r="AK158" s="3">
        <f t="shared" ca="1" si="261"/>
        <v>1.9950124688279303</v>
      </c>
      <c r="AL158" s="3" t="e">
        <f t="shared" ca="1" si="262"/>
        <v>#N/A</v>
      </c>
      <c r="AM158" s="3">
        <f t="shared" ca="1" si="263"/>
        <v>2.4906600249066004</v>
      </c>
      <c r="AO158" s="3">
        <f t="shared" ca="1" si="264"/>
        <v>0.24900398406374502</v>
      </c>
      <c r="AP158" s="3">
        <f t="shared" ca="1" si="265"/>
        <v>0.49875311720698257</v>
      </c>
      <c r="AQ158" s="3" t="e">
        <f t="shared" ca="1" si="266"/>
        <v>#N/A</v>
      </c>
      <c r="AR158" s="3">
        <f t="shared" ca="1" si="267"/>
        <v>0.4981320049813201</v>
      </c>
      <c r="AT158" s="5">
        <v>6.0000000521540642E-3</v>
      </c>
      <c r="AU158" s="5">
        <v>1.0999999940395355E-2</v>
      </c>
      <c r="AV158" s="11" t="e">
        <v>#N/A</v>
      </c>
      <c r="AW158" s="5">
        <v>4.999999888241291E-3</v>
      </c>
      <c r="AY158" s="3">
        <f t="shared" ca="1" si="268"/>
        <v>0.6927290836653387</v>
      </c>
      <c r="AZ158" s="3">
        <f t="shared" ca="1" si="269"/>
        <v>0.25336658354114716</v>
      </c>
      <c r="BA158" s="3" t="e">
        <f t="shared" ca="1" si="270"/>
        <v>#N/A</v>
      </c>
      <c r="BB158" s="3">
        <f t="shared" ca="1" si="271"/>
        <v>0.49414694894146932</v>
      </c>
      <c r="BD158" s="3">
        <f t="shared" ca="1" si="272"/>
        <v>0.73007952382016283</v>
      </c>
      <c r="BE158" s="3">
        <f t="shared" ca="1" si="273"/>
        <v>0.34912719282128868</v>
      </c>
      <c r="BF158" s="3" t="e">
        <f t="shared" ca="1" si="274"/>
        <v>#N/A</v>
      </c>
      <c r="BG158" s="3">
        <f t="shared" ca="1" si="275"/>
        <v>0.48592774983806303</v>
      </c>
      <c r="BI158" s="3">
        <f t="shared" ca="1" si="276"/>
        <v>1.2450199203187251</v>
      </c>
      <c r="BJ158" s="3">
        <f t="shared" ca="1" si="277"/>
        <v>0.49875311720698257</v>
      </c>
      <c r="BK158" s="3" t="e">
        <f t="shared" ca="1" si="278"/>
        <v>#N/A</v>
      </c>
      <c r="BL158" s="3">
        <f t="shared" ca="1" si="279"/>
        <v>1.7434620174346203</v>
      </c>
      <c r="BN158" s="3">
        <f t="shared" ca="1" si="280"/>
        <v>0.99601593625498008</v>
      </c>
      <c r="BO158" s="3">
        <f t="shared" ca="1" si="281"/>
        <v>0.49875311720698257</v>
      </c>
      <c r="BP158" s="3" t="e">
        <f t="shared" ca="1" si="282"/>
        <v>#N/A</v>
      </c>
      <c r="BQ158" s="3">
        <f t="shared" ca="1" si="283"/>
        <v>0.9962640099626402</v>
      </c>
      <c r="BS158" s="5">
        <v>6.0000000521540642E-3</v>
      </c>
      <c r="BT158" s="5">
        <v>1.0999999940395355E-2</v>
      </c>
      <c r="BU158" s="11" t="e">
        <v>#N/A</v>
      </c>
      <c r="BV158" s="5">
        <v>0.67100000381469727</v>
      </c>
      <c r="BX158" s="3">
        <f t="shared" ca="1" si="284"/>
        <v>2.9133466135458166E-2</v>
      </c>
      <c r="BY158" s="3">
        <f t="shared" ca="1" si="285"/>
        <v>0</v>
      </c>
      <c r="BZ158" s="3" t="e">
        <f t="shared" ca="1" si="286"/>
        <v>#N/A</v>
      </c>
      <c r="CA158" s="3">
        <f t="shared" ca="1" si="287"/>
        <v>0</v>
      </c>
      <c r="CC158" s="3">
        <f t="shared" ca="1" si="288"/>
        <v>0</v>
      </c>
      <c r="CD158" s="3">
        <f t="shared" ca="1" si="289"/>
        <v>0</v>
      </c>
      <c r="CE158" s="3" t="e">
        <f t="shared" ca="1" si="290"/>
        <v>#N/A</v>
      </c>
      <c r="CF158" s="3">
        <f t="shared" ca="1" si="291"/>
        <v>0</v>
      </c>
      <c r="CH158" s="3">
        <f t="shared" ca="1" si="292"/>
        <v>0</v>
      </c>
      <c r="CI158" s="3">
        <f t="shared" ca="1" si="293"/>
        <v>0</v>
      </c>
      <c r="CJ158" s="3" t="e">
        <f t="shared" ca="1" si="294"/>
        <v>#N/A</v>
      </c>
      <c r="CK158" s="3">
        <f t="shared" ca="1" si="295"/>
        <v>0</v>
      </c>
      <c r="CM158" s="3">
        <f t="shared" ca="1" si="296"/>
        <v>0.49800796812749004</v>
      </c>
      <c r="CN158" s="3">
        <f t="shared" ca="1" si="297"/>
        <v>0.24937655860349128</v>
      </c>
      <c r="CO158" s="3" t="e">
        <f t="shared" ca="1" si="298"/>
        <v>#N/A</v>
      </c>
      <c r="CP158" s="3">
        <f t="shared" ca="1" si="299"/>
        <v>0.24906600249066005</v>
      </c>
      <c r="CR158" s="5">
        <v>4.016</v>
      </c>
      <c r="CS158" s="5">
        <v>4.01</v>
      </c>
      <c r="CT158" s="11" t="e">
        <v>#N/A</v>
      </c>
      <c r="CU158" s="5">
        <v>4.0149999999999997</v>
      </c>
    </row>
    <row r="159" spans="1:99" s="5" customFormat="1" x14ac:dyDescent="0.35">
      <c r="A159" s="4" t="s">
        <v>149</v>
      </c>
      <c r="B159" s="4">
        <v>11.166666666666666</v>
      </c>
      <c r="C159" s="4" t="s">
        <v>168</v>
      </c>
      <c r="D159" s="4" t="s">
        <v>404</v>
      </c>
      <c r="E159" s="3"/>
      <c r="F159" s="5">
        <v>4.016</v>
      </c>
      <c r="G159" s="5">
        <v>4.016</v>
      </c>
      <c r="H159" s="5">
        <v>4.016</v>
      </c>
      <c r="I159" s="5">
        <v>4.0149999999999997</v>
      </c>
      <c r="K159" s="3">
        <f t="shared" ca="1" si="240"/>
        <v>0.83814741035856577</v>
      </c>
      <c r="L159" s="3">
        <f t="shared" ca="1" si="241"/>
        <v>0.99576693227091628</v>
      </c>
      <c r="M159" s="3">
        <f t="shared" ca="1" si="242"/>
        <v>0.99576693227091639</v>
      </c>
      <c r="N159" s="3">
        <f t="shared" ca="1" si="243"/>
        <v>0.9962640099626402</v>
      </c>
      <c r="P159" s="3">
        <f t="shared" ca="1" si="244"/>
        <v>0.77564735336607671</v>
      </c>
      <c r="Q159" s="3">
        <f t="shared" ca="1" si="245"/>
        <v>0.99153384108066678</v>
      </c>
      <c r="R159" s="3">
        <f t="shared" ca="1" si="246"/>
        <v>0.92529891377901174</v>
      </c>
      <c r="S159" s="3">
        <f t="shared" ca="1" si="247"/>
        <v>0.92154427258713023</v>
      </c>
      <c r="U159" s="3">
        <f t="shared" ca="1" si="248"/>
        <v>1.4940239043824701</v>
      </c>
      <c r="V159" s="3">
        <f t="shared" ca="1" si="249"/>
        <v>0.49800796812749004</v>
      </c>
      <c r="W159" s="3">
        <f t="shared" ca="1" si="250"/>
        <v>2.9880478087649402</v>
      </c>
      <c r="X159" s="3">
        <f t="shared" ca="1" si="251"/>
        <v>1.7434620174346203</v>
      </c>
      <c r="Z159" s="3">
        <f t="shared" ca="1" si="252"/>
        <v>0.24477091633466136</v>
      </c>
      <c r="AA159" s="3">
        <f t="shared" ca="1" si="253"/>
        <v>0.99576693227091628</v>
      </c>
      <c r="AB159" s="3">
        <f t="shared" ca="1" si="254"/>
        <v>0.89616533864541836</v>
      </c>
      <c r="AC159" s="3">
        <f t="shared" ca="1" si="255"/>
        <v>0.7930261519302616</v>
      </c>
      <c r="AE159" s="3">
        <f t="shared" ca="1" si="256"/>
        <v>0.2198704922816668</v>
      </c>
      <c r="AF159" s="3">
        <f t="shared" ca="1" si="257"/>
        <v>0.99153384108066678</v>
      </c>
      <c r="AG159" s="3">
        <f t="shared" ca="1" si="258"/>
        <v>0.85059771559152941</v>
      </c>
      <c r="AH159" s="3">
        <f t="shared" ca="1" si="259"/>
        <v>0.71830641835519715</v>
      </c>
      <c r="AJ159" s="3">
        <f t="shared" ca="1" si="260"/>
        <v>0.49800796812749004</v>
      </c>
      <c r="AK159" s="3">
        <f t="shared" ca="1" si="261"/>
        <v>0.49800796812749004</v>
      </c>
      <c r="AL159" s="3">
        <f t="shared" ca="1" si="262"/>
        <v>2.739043824701195</v>
      </c>
      <c r="AM159" s="3">
        <f t="shared" ca="1" si="263"/>
        <v>1.2453300124533002</v>
      </c>
      <c r="AO159" s="3">
        <f t="shared" ca="1" si="264"/>
        <v>0.49800796812749004</v>
      </c>
      <c r="AP159" s="3">
        <f t="shared" ca="1" si="265"/>
        <v>0.24900398406374502</v>
      </c>
      <c r="AQ159" s="3">
        <f t="shared" ca="1" si="266"/>
        <v>0.24900398406374502</v>
      </c>
      <c r="AR159" s="3">
        <f t="shared" ca="1" si="267"/>
        <v>0.74719800747198017</v>
      </c>
      <c r="AT159" s="5">
        <v>0.38999998569488525</v>
      </c>
      <c r="AU159" s="5">
        <v>1.6000000759959221E-2</v>
      </c>
      <c r="AV159" s="5">
        <v>0.41699999570846558</v>
      </c>
      <c r="AW159" s="5">
        <v>1.4000000432133675E-2</v>
      </c>
      <c r="AY159" s="3">
        <f t="shared" ca="1" si="268"/>
        <v>4.1334661354581657E-2</v>
      </c>
      <c r="AZ159" s="3">
        <f t="shared" ca="1" si="269"/>
        <v>0.50597609561752988</v>
      </c>
      <c r="BA159" s="3">
        <f t="shared" ca="1" si="270"/>
        <v>0.19920318725099603</v>
      </c>
      <c r="BB159" s="3">
        <f t="shared" ca="1" si="271"/>
        <v>0.298879202988792</v>
      </c>
      <c r="BD159" s="3">
        <f t="shared" ca="1" si="272"/>
        <v>0</v>
      </c>
      <c r="BE159" s="3">
        <f t="shared" ca="1" si="273"/>
        <v>0.35682267164329134</v>
      </c>
      <c r="BF159" s="3">
        <f t="shared" ca="1" si="274"/>
        <v>0.24900398406374502</v>
      </c>
      <c r="BG159" s="3">
        <f t="shared" ca="1" si="275"/>
        <v>0.34470735523724472</v>
      </c>
      <c r="BI159" s="3">
        <f t="shared" ca="1" si="276"/>
        <v>0</v>
      </c>
      <c r="BJ159" s="3">
        <f t="shared" ca="1" si="277"/>
        <v>0.24900398406374502</v>
      </c>
      <c r="BK159" s="3">
        <f t="shared" ca="1" si="278"/>
        <v>0.49800796812749004</v>
      </c>
      <c r="BL159" s="3">
        <f t="shared" ca="1" si="279"/>
        <v>0.4981320049813201</v>
      </c>
      <c r="BN159" s="3">
        <f t="shared" ca="1" si="280"/>
        <v>0.24900398406374502</v>
      </c>
      <c r="BO159" s="3">
        <f t="shared" ca="1" si="281"/>
        <v>0.99601593625498008</v>
      </c>
      <c r="BP159" s="3">
        <f t="shared" ca="1" si="282"/>
        <v>0.49800796812749004</v>
      </c>
      <c r="BQ159" s="3">
        <f t="shared" ca="1" si="283"/>
        <v>0.4981320049813201</v>
      </c>
      <c r="BS159" s="5">
        <v>4.016</v>
      </c>
      <c r="BT159" s="5">
        <v>2.5820000171661377</v>
      </c>
      <c r="BU159" s="5">
        <v>1.3170000314712524</v>
      </c>
      <c r="BV159" s="5">
        <v>1.4000000432133675E-2</v>
      </c>
      <c r="BX159" s="3">
        <f t="shared" ca="1" si="284"/>
        <v>0</v>
      </c>
      <c r="BY159" s="3">
        <f t="shared" ca="1" si="285"/>
        <v>0</v>
      </c>
      <c r="BZ159" s="3">
        <f t="shared" ca="1" si="286"/>
        <v>0</v>
      </c>
      <c r="CA159" s="3">
        <f t="shared" ca="1" si="287"/>
        <v>0</v>
      </c>
      <c r="CC159" s="3">
        <f t="shared" ca="1" si="288"/>
        <v>0</v>
      </c>
      <c r="CD159" s="3">
        <f t="shared" ca="1" si="289"/>
        <v>0</v>
      </c>
      <c r="CE159" s="3">
        <f t="shared" ca="1" si="290"/>
        <v>0</v>
      </c>
      <c r="CF159" s="3">
        <f t="shared" ca="1" si="291"/>
        <v>0</v>
      </c>
      <c r="CH159" s="3">
        <f t="shared" ca="1" si="292"/>
        <v>0</v>
      </c>
      <c r="CI159" s="3">
        <f t="shared" ca="1" si="293"/>
        <v>0</v>
      </c>
      <c r="CJ159" s="3">
        <f t="shared" ca="1" si="294"/>
        <v>0</v>
      </c>
      <c r="CK159" s="3">
        <f t="shared" ca="1" si="295"/>
        <v>0</v>
      </c>
      <c r="CM159" s="3">
        <f t="shared" ca="1" si="296"/>
        <v>0</v>
      </c>
      <c r="CN159" s="3">
        <f t="shared" ca="1" si="297"/>
        <v>0</v>
      </c>
      <c r="CO159" s="3">
        <f t="shared" ca="1" si="298"/>
        <v>0</v>
      </c>
      <c r="CP159" s="3">
        <f t="shared" ca="1" si="299"/>
        <v>0</v>
      </c>
      <c r="CR159" s="5">
        <v>4.016</v>
      </c>
      <c r="CS159" s="5">
        <v>4.016</v>
      </c>
      <c r="CT159" s="5">
        <v>4.016</v>
      </c>
      <c r="CU159" s="5">
        <v>4.0149999999999997</v>
      </c>
    </row>
    <row r="160" spans="1:99" s="5" customFormat="1" x14ac:dyDescent="0.35">
      <c r="A160" s="4" t="s">
        <v>125</v>
      </c>
      <c r="B160" s="4">
        <v>11.333333333333334</v>
      </c>
      <c r="C160" s="4" t="s">
        <v>168</v>
      </c>
      <c r="D160" s="4" t="s">
        <v>404</v>
      </c>
      <c r="E160" s="3"/>
      <c r="F160" s="5">
        <v>3.0969999999999995</v>
      </c>
      <c r="G160" s="5">
        <v>4.01</v>
      </c>
      <c r="H160" s="5" t="e">
        <v>#N/A</v>
      </c>
      <c r="I160" s="11" t="e">
        <v>#N/A</v>
      </c>
      <c r="K160" s="3">
        <f t="shared" ca="1" si="240"/>
        <v>0.9899903132063288</v>
      </c>
      <c r="L160" s="3">
        <f t="shared" ca="1" si="241"/>
        <v>0.8476309226932669</v>
      </c>
      <c r="M160" s="3" t="e">
        <f t="shared" ca="1" si="242"/>
        <v>#N/A</v>
      </c>
      <c r="N160" s="3" t="e">
        <f t="shared" ca="1" si="243"/>
        <v>#N/A</v>
      </c>
      <c r="P160" s="3">
        <f t="shared" ca="1" si="244"/>
        <v>0.57022936562780502</v>
      </c>
      <c r="Q160" s="3">
        <f t="shared" ca="1" si="245"/>
        <v>0.34513715793961602</v>
      </c>
      <c r="R160" s="3" t="e">
        <f t="shared" ca="1" si="246"/>
        <v>#N/A</v>
      </c>
      <c r="S160" s="3" t="e">
        <f t="shared" ca="1" si="247"/>
        <v>#N/A</v>
      </c>
      <c r="U160" s="3">
        <f t="shared" ca="1" si="248"/>
        <v>3.2289312237649344</v>
      </c>
      <c r="V160" s="3">
        <f t="shared" ca="1" si="249"/>
        <v>1.745635910224439</v>
      </c>
      <c r="W160" s="3" t="e">
        <f t="shared" ca="1" si="250"/>
        <v>#N/A</v>
      </c>
      <c r="X160" s="3" t="e">
        <f t="shared" ca="1" si="251"/>
        <v>#N/A</v>
      </c>
      <c r="Z160" s="3">
        <f t="shared" ca="1" si="252"/>
        <v>0.6512754278333871</v>
      </c>
      <c r="AA160" s="3">
        <f t="shared" ca="1" si="253"/>
        <v>0.49451371571072322</v>
      </c>
      <c r="AB160" s="3" t="e">
        <f t="shared" ca="1" si="254"/>
        <v>#N/A</v>
      </c>
      <c r="AC160" s="3" t="e">
        <f t="shared" ca="1" si="255"/>
        <v>#N/A</v>
      </c>
      <c r="AE160" s="3">
        <f t="shared" ca="1" si="256"/>
        <v>0.43041662974322198</v>
      </c>
      <c r="AF160" s="3">
        <f t="shared" ca="1" si="257"/>
        <v>0.15411470596332502</v>
      </c>
      <c r="AG160" s="3" t="e">
        <f t="shared" ca="1" si="258"/>
        <v>#N/A</v>
      </c>
      <c r="AH160" s="3" t="e">
        <f t="shared" ca="1" si="259"/>
        <v>#N/A</v>
      </c>
      <c r="AJ160" s="3">
        <f t="shared" ca="1" si="260"/>
        <v>2.5831449790119474</v>
      </c>
      <c r="AK160" s="3">
        <f t="shared" ca="1" si="261"/>
        <v>0.99750623441396513</v>
      </c>
      <c r="AL160" s="3" t="e">
        <f t="shared" ca="1" si="262"/>
        <v>#N/A</v>
      </c>
      <c r="AM160" s="3" t="e">
        <f t="shared" ca="1" si="263"/>
        <v>#N/A</v>
      </c>
      <c r="AO160" s="3">
        <f t="shared" ca="1" si="264"/>
        <v>2.2602518566354539</v>
      </c>
      <c r="AP160" s="3">
        <f t="shared" ca="1" si="265"/>
        <v>0.74812967581047385</v>
      </c>
      <c r="AQ160" s="3" t="e">
        <f t="shared" ca="1" si="266"/>
        <v>#N/A</v>
      </c>
      <c r="AR160" s="3" t="e">
        <f t="shared" ca="1" si="267"/>
        <v>#N/A</v>
      </c>
      <c r="AT160" s="5">
        <v>0.4309999942779541</v>
      </c>
      <c r="AU160" s="5">
        <v>0.18299999833106995</v>
      </c>
      <c r="AV160" s="5">
        <v>2.0000000949949026E-3</v>
      </c>
      <c r="AW160" s="11" t="e">
        <v>#N/A</v>
      </c>
      <c r="AY160" s="3">
        <f t="shared" ca="1" si="268"/>
        <v>0.15628027123022281</v>
      </c>
      <c r="AZ160" s="3">
        <f t="shared" ca="1" si="269"/>
        <v>2.9177057356608471E-2</v>
      </c>
      <c r="BA160" s="3" t="e">
        <f t="shared" ca="1" si="270"/>
        <v>#N/A</v>
      </c>
      <c r="BB160" s="3" t="e">
        <f t="shared" ca="1" si="271"/>
        <v>#N/A</v>
      </c>
      <c r="BD160" s="3">
        <f t="shared" ca="1" si="272"/>
        <v>0.12915726049815529</v>
      </c>
      <c r="BE160" s="3">
        <f t="shared" ca="1" si="273"/>
        <v>0</v>
      </c>
      <c r="BF160" s="3" t="e">
        <f t="shared" ca="1" si="274"/>
        <v>#N/A</v>
      </c>
      <c r="BG160" s="3" t="e">
        <f t="shared" ca="1" si="275"/>
        <v>#N/A</v>
      </c>
      <c r="BI160" s="3">
        <f t="shared" ca="1" si="276"/>
        <v>0.64578624475298685</v>
      </c>
      <c r="BJ160" s="3">
        <f t="shared" ca="1" si="277"/>
        <v>0</v>
      </c>
      <c r="BK160" s="3" t="e">
        <f t="shared" ca="1" si="278"/>
        <v>#N/A</v>
      </c>
      <c r="BL160" s="3" t="e">
        <f t="shared" ca="1" si="279"/>
        <v>#N/A</v>
      </c>
      <c r="BN160" s="3">
        <f t="shared" ca="1" si="280"/>
        <v>1.9373587342589607</v>
      </c>
      <c r="BO160" s="3">
        <f t="shared" ca="1" si="281"/>
        <v>1.2468827930174564</v>
      </c>
      <c r="BP160" s="3" t="e">
        <f t="shared" ca="1" si="282"/>
        <v>#N/A</v>
      </c>
      <c r="BQ160" s="3" t="e">
        <f t="shared" ca="1" si="283"/>
        <v>#N/A</v>
      </c>
      <c r="BS160" s="5">
        <v>0.6809999942779541</v>
      </c>
      <c r="BT160" s="5">
        <v>4.01</v>
      </c>
      <c r="BU160" s="5">
        <v>4.0110000000000001</v>
      </c>
      <c r="BV160" s="11" t="e">
        <v>#N/A</v>
      </c>
      <c r="BX160" s="3">
        <f t="shared" ca="1" si="284"/>
        <v>1.0655473038424257E-2</v>
      </c>
      <c r="BY160" s="3">
        <f t="shared" ca="1" si="285"/>
        <v>0</v>
      </c>
      <c r="BZ160" s="3" t="e">
        <f t="shared" ca="1" si="286"/>
        <v>#N/A</v>
      </c>
      <c r="CA160" s="3" t="e">
        <f t="shared" ca="1" si="287"/>
        <v>#N/A</v>
      </c>
      <c r="CC160" s="3">
        <f t="shared" ca="1" si="288"/>
        <v>0</v>
      </c>
      <c r="CD160" s="3">
        <f t="shared" ca="1" si="289"/>
        <v>0</v>
      </c>
      <c r="CE160" s="3" t="e">
        <f t="shared" ca="1" si="290"/>
        <v>#N/A</v>
      </c>
      <c r="CF160" s="3" t="e">
        <f t="shared" ca="1" si="291"/>
        <v>#N/A</v>
      </c>
      <c r="CH160" s="3">
        <f t="shared" ca="1" si="292"/>
        <v>0</v>
      </c>
      <c r="CI160" s="3">
        <f t="shared" ca="1" si="293"/>
        <v>0</v>
      </c>
      <c r="CJ160" s="3" t="e">
        <f t="shared" ca="1" si="294"/>
        <v>#N/A</v>
      </c>
      <c r="CK160" s="3" t="e">
        <f t="shared" ca="1" si="295"/>
        <v>#N/A</v>
      </c>
      <c r="CM160" s="3">
        <f t="shared" ca="1" si="296"/>
        <v>0.32289312237649342</v>
      </c>
      <c r="CN160" s="3">
        <f t="shared" ca="1" si="297"/>
        <v>0.24937655860349128</v>
      </c>
      <c r="CO160" s="3" t="e">
        <f t="shared" ca="1" si="298"/>
        <v>#N/A</v>
      </c>
      <c r="CP160" s="3" t="e">
        <f t="shared" ca="1" si="299"/>
        <v>#N/A</v>
      </c>
      <c r="CR160" s="5">
        <v>4.0129999999999999</v>
      </c>
      <c r="CS160" s="5">
        <v>4.01</v>
      </c>
      <c r="CT160" s="5">
        <v>1.2680000066757202</v>
      </c>
      <c r="CU160" s="11" t="e">
        <v>#N/A</v>
      </c>
    </row>
    <row r="161" spans="1:99" s="5" customFormat="1" x14ac:dyDescent="0.35">
      <c r="A161" s="4" t="s">
        <v>102</v>
      </c>
      <c r="B161" s="4">
        <v>11.833333333333334</v>
      </c>
      <c r="C161" s="4" t="s">
        <v>168</v>
      </c>
      <c r="D161" s="4" t="s">
        <v>404</v>
      </c>
      <c r="E161" s="3"/>
      <c r="F161" s="5">
        <v>4.01</v>
      </c>
      <c r="G161" s="11" t="e">
        <v>#N/A</v>
      </c>
      <c r="H161" s="11" t="e">
        <v>#N/A</v>
      </c>
      <c r="I161" s="5" t="e">
        <v>#N/A</v>
      </c>
      <c r="K161" s="3">
        <f t="shared" ca="1" si="240"/>
        <v>0.90573566084788038</v>
      </c>
      <c r="L161" s="3" t="e">
        <f t="shared" ca="1" si="241"/>
        <v>#N/A</v>
      </c>
      <c r="M161" s="3" t="e">
        <f t="shared" ca="1" si="242"/>
        <v>#N/A</v>
      </c>
      <c r="N161" s="3" t="e">
        <f t="shared" ca="1" si="243"/>
        <v>#N/A</v>
      </c>
      <c r="P161" s="3">
        <f t="shared" ca="1" si="244"/>
        <v>0.59850371101327671</v>
      </c>
      <c r="Q161" s="3" t="e">
        <f t="shared" ca="1" si="245"/>
        <v>#N/A</v>
      </c>
      <c r="R161" s="3" t="e">
        <f t="shared" ca="1" si="246"/>
        <v>#N/A</v>
      </c>
      <c r="S161" s="3" t="e">
        <f t="shared" ca="1" si="247"/>
        <v>#N/A</v>
      </c>
      <c r="U161" s="3">
        <f t="shared" ca="1" si="248"/>
        <v>2.2443890274314215</v>
      </c>
      <c r="V161" s="3" t="e">
        <f t="shared" ca="1" si="249"/>
        <v>#N/A</v>
      </c>
      <c r="W161" s="3" t="e">
        <f t="shared" ca="1" si="250"/>
        <v>#N/A</v>
      </c>
      <c r="X161" s="3" t="e">
        <f t="shared" ca="1" si="251"/>
        <v>#N/A</v>
      </c>
      <c r="Z161" s="3">
        <f t="shared" ca="1" si="252"/>
        <v>0.69825436408977559</v>
      </c>
      <c r="AA161" s="3" t="e">
        <f t="shared" ca="1" si="253"/>
        <v>#N/A</v>
      </c>
      <c r="AB161" s="3" t="e">
        <f t="shared" ca="1" si="254"/>
        <v>#N/A</v>
      </c>
      <c r="AC161" s="3" t="e">
        <f t="shared" ca="1" si="255"/>
        <v>#N/A</v>
      </c>
      <c r="AE161" s="3">
        <f t="shared" ca="1" si="256"/>
        <v>0.59850371101327671</v>
      </c>
      <c r="AF161" s="3" t="e">
        <f t="shared" ca="1" si="257"/>
        <v>#N/A</v>
      </c>
      <c r="AG161" s="3" t="e">
        <f t="shared" ca="1" si="258"/>
        <v>#N/A</v>
      </c>
      <c r="AH161" s="3" t="e">
        <f t="shared" ca="1" si="259"/>
        <v>#N/A</v>
      </c>
      <c r="AJ161" s="3">
        <f t="shared" ca="1" si="260"/>
        <v>2.2443890274314215</v>
      </c>
      <c r="AK161" s="3" t="e">
        <f t="shared" ca="1" si="261"/>
        <v>#N/A</v>
      </c>
      <c r="AL161" s="3" t="e">
        <f t="shared" ca="1" si="262"/>
        <v>#N/A</v>
      </c>
      <c r="AM161" s="3" t="e">
        <f t="shared" ca="1" si="263"/>
        <v>#N/A</v>
      </c>
      <c r="AO161" s="3">
        <f t="shared" ca="1" si="264"/>
        <v>0.49875311720698257</v>
      </c>
      <c r="AP161" s="3" t="e">
        <f t="shared" ca="1" si="265"/>
        <v>#N/A</v>
      </c>
      <c r="AQ161" s="3" t="e">
        <f t="shared" ca="1" si="266"/>
        <v>#N/A</v>
      </c>
      <c r="AR161" s="3" t="e">
        <f t="shared" ca="1" si="267"/>
        <v>#N/A</v>
      </c>
      <c r="AT161" s="5">
        <v>1.2000000104308128E-2</v>
      </c>
      <c r="AU161" s="11" t="e">
        <v>#N/A</v>
      </c>
      <c r="AV161" s="11" t="e">
        <v>#N/A</v>
      </c>
      <c r="AW161" s="11" t="e">
        <v>#N/A</v>
      </c>
      <c r="AY161" s="3">
        <f t="shared" ca="1" si="268"/>
        <v>0.27830423940149623</v>
      </c>
      <c r="AZ161" s="3" t="e">
        <f t="shared" ca="1" si="269"/>
        <v>#N/A</v>
      </c>
      <c r="BA161" s="3" t="e">
        <f t="shared" ca="1" si="270"/>
        <v>#N/A</v>
      </c>
      <c r="BB161" s="3" t="e">
        <f t="shared" ca="1" si="271"/>
        <v>#N/A</v>
      </c>
      <c r="BD161" s="3">
        <f t="shared" ca="1" si="272"/>
        <v>0.28703239493239252</v>
      </c>
      <c r="BE161" s="3" t="e">
        <f t="shared" ca="1" si="273"/>
        <v>#N/A</v>
      </c>
      <c r="BF161" s="3" t="e">
        <f t="shared" ca="1" si="274"/>
        <v>#N/A</v>
      </c>
      <c r="BG161" s="3" t="e">
        <f t="shared" ca="1" si="275"/>
        <v>#N/A</v>
      </c>
      <c r="BI161" s="3">
        <f t="shared" ca="1" si="276"/>
        <v>0.74812967581047385</v>
      </c>
      <c r="BJ161" s="3" t="e">
        <f t="shared" ca="1" si="277"/>
        <v>#N/A</v>
      </c>
      <c r="BK161" s="3" t="e">
        <f t="shared" ca="1" si="278"/>
        <v>#N/A</v>
      </c>
      <c r="BL161" s="3" t="e">
        <f t="shared" ca="1" si="279"/>
        <v>#N/A</v>
      </c>
      <c r="BN161" s="3">
        <f t="shared" ca="1" si="280"/>
        <v>0.74812967581047385</v>
      </c>
      <c r="BO161" s="3" t="e">
        <f t="shared" ca="1" si="281"/>
        <v>#N/A</v>
      </c>
      <c r="BP161" s="3" t="e">
        <f t="shared" ca="1" si="282"/>
        <v>#N/A</v>
      </c>
      <c r="BQ161" s="3" t="e">
        <f t="shared" ca="1" si="283"/>
        <v>#N/A</v>
      </c>
      <c r="BS161" s="5">
        <v>1.1779999732971191</v>
      </c>
      <c r="BT161" s="11" t="e">
        <v>#N/A</v>
      </c>
      <c r="BU161" s="11" t="e">
        <v>#N/A</v>
      </c>
      <c r="BV161" s="11" t="e">
        <v>#N/A</v>
      </c>
      <c r="BX161" s="3">
        <f t="shared" ca="1" si="284"/>
        <v>0.15810473815461348</v>
      </c>
      <c r="BY161" s="3" t="e">
        <f t="shared" ca="1" si="285"/>
        <v>#N/A</v>
      </c>
      <c r="BZ161" s="3" t="e">
        <f t="shared" ca="1" si="286"/>
        <v>#N/A</v>
      </c>
      <c r="CA161" s="3" t="e">
        <f t="shared" ca="1" si="287"/>
        <v>#N/A</v>
      </c>
      <c r="CC161" s="3">
        <f t="shared" ca="1" si="288"/>
        <v>0.16608479620884184</v>
      </c>
      <c r="CD161" s="3" t="e">
        <f t="shared" ca="1" si="289"/>
        <v>#N/A</v>
      </c>
      <c r="CE161" s="3" t="e">
        <f t="shared" ca="1" si="290"/>
        <v>#N/A</v>
      </c>
      <c r="CF161" s="3" t="e">
        <f t="shared" ca="1" si="291"/>
        <v>#N/A</v>
      </c>
      <c r="CH161" s="3">
        <f t="shared" ca="1" si="292"/>
        <v>0.49875311720698257</v>
      </c>
      <c r="CI161" s="3" t="e">
        <f t="shared" ca="1" si="293"/>
        <v>#N/A</v>
      </c>
      <c r="CJ161" s="3" t="e">
        <f t="shared" ca="1" si="294"/>
        <v>#N/A</v>
      </c>
      <c r="CK161" s="3" t="e">
        <f t="shared" ca="1" si="295"/>
        <v>#N/A</v>
      </c>
      <c r="CM161" s="3">
        <f t="shared" ca="1" si="296"/>
        <v>0.49875311720698257</v>
      </c>
      <c r="CN161" s="3" t="e">
        <f t="shared" ca="1" si="297"/>
        <v>#N/A</v>
      </c>
      <c r="CO161" s="3" t="e">
        <f t="shared" ca="1" si="298"/>
        <v>#N/A</v>
      </c>
      <c r="CP161" s="3" t="e">
        <f t="shared" ca="1" si="299"/>
        <v>#N/A</v>
      </c>
      <c r="CR161" s="5">
        <v>1.2000000104308128E-2</v>
      </c>
      <c r="CS161" s="11" t="e">
        <v>#N/A</v>
      </c>
      <c r="CT161" s="11" t="e">
        <v>#N/A</v>
      </c>
      <c r="CU161" s="11" t="e">
        <v>#N/A</v>
      </c>
    </row>
    <row r="162" spans="1:99" s="5" customFormat="1" x14ac:dyDescent="0.35">
      <c r="A162" s="4" t="s">
        <v>131</v>
      </c>
      <c r="B162" s="4">
        <v>12</v>
      </c>
      <c r="C162" s="4" t="s">
        <v>168</v>
      </c>
      <c r="D162" s="4" t="s">
        <v>404</v>
      </c>
      <c r="E162" s="3"/>
      <c r="F162" s="5">
        <v>4.0019999999999998</v>
      </c>
      <c r="G162" s="5">
        <v>4.0149999999999997</v>
      </c>
      <c r="H162" s="5">
        <v>4.016</v>
      </c>
      <c r="I162" s="5" t="e">
        <v>#N/A</v>
      </c>
      <c r="K162" s="3">
        <f t="shared" ca="1" si="240"/>
        <v>0.8868065967016493</v>
      </c>
      <c r="L162" s="3">
        <f t="shared" ca="1" si="241"/>
        <v>0.90460772104607723</v>
      </c>
      <c r="M162" s="3">
        <f t="shared" ca="1" si="242"/>
        <v>0.82171314741035861</v>
      </c>
      <c r="N162" s="3" t="e">
        <f t="shared" ca="1" si="243"/>
        <v>#N/A</v>
      </c>
      <c r="P162" s="3">
        <f t="shared" ca="1" si="244"/>
        <v>0.85307345695343095</v>
      </c>
      <c r="Q162" s="3">
        <f t="shared" ca="1" si="245"/>
        <v>0.63910332889960686</v>
      </c>
      <c r="R162" s="3">
        <f t="shared" ca="1" si="246"/>
        <v>0.68052800324007101</v>
      </c>
      <c r="S162" s="3" t="e">
        <f t="shared" ca="1" si="247"/>
        <v>#N/A</v>
      </c>
      <c r="U162" s="3">
        <f t="shared" ca="1" si="248"/>
        <v>1.2493753123438283</v>
      </c>
      <c r="V162" s="3">
        <f t="shared" ca="1" si="249"/>
        <v>1.4943960149439603</v>
      </c>
      <c r="W162" s="3">
        <f t="shared" ca="1" si="250"/>
        <v>1.4940239043824701</v>
      </c>
      <c r="X162" s="3" t="e">
        <f t="shared" ca="1" si="251"/>
        <v>#N/A</v>
      </c>
      <c r="Z162" s="3">
        <f t="shared" ca="1" si="252"/>
        <v>0</v>
      </c>
      <c r="AA162" s="3">
        <f t="shared" ca="1" si="253"/>
        <v>1.2453300124532957E-2</v>
      </c>
      <c r="AB162" s="3">
        <f t="shared" ca="1" si="254"/>
        <v>6.2250996015936255E-2</v>
      </c>
      <c r="AC162" s="3" t="e">
        <f t="shared" ca="1" si="255"/>
        <v>#N/A</v>
      </c>
      <c r="AE162" s="3">
        <f t="shared" ca="1" si="256"/>
        <v>0</v>
      </c>
      <c r="AF162" s="3">
        <f t="shared" ca="1" si="257"/>
        <v>0</v>
      </c>
      <c r="AG162" s="3">
        <f t="shared" ca="1" si="258"/>
        <v>6.2250996943548381E-2</v>
      </c>
      <c r="AH162" s="3" t="e">
        <f t="shared" ca="1" si="259"/>
        <v>#N/A</v>
      </c>
      <c r="AJ162" s="3">
        <f t="shared" ca="1" si="260"/>
        <v>0</v>
      </c>
      <c r="AK162" s="3">
        <f t="shared" ca="1" si="261"/>
        <v>0</v>
      </c>
      <c r="AL162" s="3">
        <f t="shared" ca="1" si="262"/>
        <v>0.24900398406374502</v>
      </c>
      <c r="AM162" s="3" t="e">
        <f t="shared" ca="1" si="263"/>
        <v>#N/A</v>
      </c>
      <c r="AO162" s="3">
        <f t="shared" ca="1" si="264"/>
        <v>0</v>
      </c>
      <c r="AP162" s="3">
        <f t="shared" ca="1" si="265"/>
        <v>0.24906600249066005</v>
      </c>
      <c r="AQ162" s="3">
        <f t="shared" ca="1" si="266"/>
        <v>0.24900398406374502</v>
      </c>
      <c r="AR162" s="3" t="e">
        <f t="shared" ca="1" si="267"/>
        <v>#N/A</v>
      </c>
      <c r="AT162" s="5">
        <v>4.0019999999999998</v>
      </c>
      <c r="AU162" s="5">
        <v>4.0149999999999997</v>
      </c>
      <c r="AV162" s="5">
        <v>8.999999612569809E-3</v>
      </c>
      <c r="AW162" s="5">
        <v>1.0000000474974513E-3</v>
      </c>
      <c r="AY162" s="3">
        <f t="shared" ca="1" si="268"/>
        <v>0</v>
      </c>
      <c r="AZ162" s="3">
        <f t="shared" ca="1" si="269"/>
        <v>0</v>
      </c>
      <c r="BA162" s="3">
        <f t="shared" ca="1" si="270"/>
        <v>0</v>
      </c>
      <c r="BB162" s="3" t="e">
        <f t="shared" ca="1" si="271"/>
        <v>#N/A</v>
      </c>
      <c r="BD162" s="3">
        <f t="shared" ca="1" si="272"/>
        <v>0</v>
      </c>
      <c r="BE162" s="3">
        <f t="shared" ca="1" si="273"/>
        <v>0</v>
      </c>
      <c r="BF162" s="3">
        <f t="shared" ca="1" si="274"/>
        <v>0</v>
      </c>
      <c r="BG162" s="3" t="e">
        <f t="shared" ca="1" si="275"/>
        <v>#N/A</v>
      </c>
      <c r="BI162" s="3">
        <f t="shared" ca="1" si="276"/>
        <v>0</v>
      </c>
      <c r="BJ162" s="3">
        <f t="shared" ca="1" si="277"/>
        <v>0</v>
      </c>
      <c r="BK162" s="3">
        <f t="shared" ca="1" si="278"/>
        <v>0</v>
      </c>
      <c r="BL162" s="3" t="e">
        <f t="shared" ca="1" si="279"/>
        <v>#N/A</v>
      </c>
      <c r="BN162" s="3">
        <f t="shared" ca="1" si="280"/>
        <v>0</v>
      </c>
      <c r="BO162" s="3">
        <f t="shared" ca="1" si="281"/>
        <v>0</v>
      </c>
      <c r="BP162" s="3">
        <f t="shared" ca="1" si="282"/>
        <v>0</v>
      </c>
      <c r="BQ162" s="3" t="e">
        <f t="shared" ca="1" si="283"/>
        <v>#N/A</v>
      </c>
      <c r="BS162" s="5">
        <v>4.0019999999999998</v>
      </c>
      <c r="BT162" s="5">
        <v>4.0149999999999997</v>
      </c>
      <c r="BU162" s="5">
        <v>4.016</v>
      </c>
      <c r="BV162" s="5">
        <v>1.0000000474974513E-3</v>
      </c>
      <c r="BX162" s="3">
        <f t="shared" ca="1" si="284"/>
        <v>0</v>
      </c>
      <c r="BY162" s="3">
        <f t="shared" ca="1" si="285"/>
        <v>0</v>
      </c>
      <c r="BZ162" s="3">
        <f t="shared" ca="1" si="286"/>
        <v>0</v>
      </c>
      <c r="CA162" s="3" t="e">
        <f t="shared" ca="1" si="287"/>
        <v>#N/A</v>
      </c>
      <c r="CC162" s="3">
        <f t="shared" ca="1" si="288"/>
        <v>0</v>
      </c>
      <c r="CD162" s="3">
        <f t="shared" ca="1" si="289"/>
        <v>0</v>
      </c>
      <c r="CE162" s="3">
        <f t="shared" ca="1" si="290"/>
        <v>0</v>
      </c>
      <c r="CF162" s="3" t="e">
        <f t="shared" ca="1" si="291"/>
        <v>#N/A</v>
      </c>
      <c r="CH162" s="3">
        <f t="shared" ca="1" si="292"/>
        <v>0</v>
      </c>
      <c r="CI162" s="3">
        <f t="shared" ca="1" si="293"/>
        <v>0</v>
      </c>
      <c r="CJ162" s="3">
        <f t="shared" ca="1" si="294"/>
        <v>0</v>
      </c>
      <c r="CK162" s="3" t="e">
        <f t="shared" ca="1" si="295"/>
        <v>#N/A</v>
      </c>
      <c r="CM162" s="3">
        <f t="shared" ca="1" si="296"/>
        <v>0</v>
      </c>
      <c r="CN162" s="3">
        <f t="shared" ca="1" si="297"/>
        <v>0</v>
      </c>
      <c r="CO162" s="3">
        <f t="shared" ca="1" si="298"/>
        <v>0</v>
      </c>
      <c r="CP162" s="3" t="e">
        <f t="shared" ca="1" si="299"/>
        <v>#N/A</v>
      </c>
      <c r="CR162" s="5">
        <v>4.0019999999999998</v>
      </c>
      <c r="CS162" s="5">
        <v>4.0149999999999997</v>
      </c>
      <c r="CT162" s="5">
        <v>4.016</v>
      </c>
      <c r="CU162" s="5">
        <v>4.0259999999999998</v>
      </c>
    </row>
    <row r="163" spans="1:99" s="5" customFormat="1" x14ac:dyDescent="0.35">
      <c r="A163" s="4" t="s">
        <v>164</v>
      </c>
      <c r="B163" s="4">
        <v>12</v>
      </c>
      <c r="C163" s="4" t="s">
        <v>168</v>
      </c>
      <c r="D163" s="4" t="s">
        <v>404</v>
      </c>
      <c r="E163" s="3"/>
      <c r="F163" s="5">
        <v>4.0049999999999999</v>
      </c>
      <c r="G163" s="11" t="e">
        <v>#N/A</v>
      </c>
      <c r="H163" s="5">
        <v>4.016</v>
      </c>
      <c r="I163" s="5">
        <v>4.0149999999999997</v>
      </c>
      <c r="K163" s="3">
        <f t="shared" ca="1" si="240"/>
        <v>0.94032459425717851</v>
      </c>
      <c r="L163" s="3" t="e">
        <f t="shared" ca="1" si="241"/>
        <v>#N/A</v>
      </c>
      <c r="M163" s="3">
        <f t="shared" ca="1" si="242"/>
        <v>0.95443227091633476</v>
      </c>
      <c r="N163" s="3">
        <f t="shared" ca="1" si="243"/>
        <v>0.99601494396014956</v>
      </c>
      <c r="P163" s="3">
        <f t="shared" ca="1" si="244"/>
        <v>0.34531838587309688</v>
      </c>
      <c r="Q163" s="3" t="e">
        <f t="shared" ca="1" si="245"/>
        <v>#N/A</v>
      </c>
      <c r="R163" s="3">
        <f t="shared" ca="1" si="246"/>
        <v>0.70991026308569327</v>
      </c>
      <c r="S163" s="3">
        <f t="shared" ca="1" si="247"/>
        <v>0.81320051614144084</v>
      </c>
      <c r="U163" s="3">
        <f t="shared" ca="1" si="248"/>
        <v>1.7478152309612984</v>
      </c>
      <c r="V163" s="3" t="e">
        <f t="shared" ca="1" si="249"/>
        <v>#N/A</v>
      </c>
      <c r="W163" s="3">
        <f t="shared" ca="1" si="250"/>
        <v>2.739043824701195</v>
      </c>
      <c r="X163" s="3">
        <f t="shared" ca="1" si="251"/>
        <v>3.4869240348692405</v>
      </c>
      <c r="Z163" s="3">
        <f t="shared" ca="1" si="252"/>
        <v>0.71985018726591765</v>
      </c>
      <c r="AA163" s="3" t="e">
        <f t="shared" ca="1" si="253"/>
        <v>#N/A</v>
      </c>
      <c r="AB163" s="3">
        <f t="shared" ca="1" si="254"/>
        <v>0.95443227091633476</v>
      </c>
      <c r="AC163" s="3">
        <f t="shared" ca="1" si="255"/>
        <v>0.99601494396014956</v>
      </c>
      <c r="AE163" s="3">
        <f t="shared" ca="1" si="256"/>
        <v>0.34531838587309688</v>
      </c>
      <c r="AF163" s="3" t="e">
        <f t="shared" ca="1" si="257"/>
        <v>#N/A</v>
      </c>
      <c r="AG163" s="3">
        <f t="shared" ca="1" si="258"/>
        <v>0.70991026308569327</v>
      </c>
      <c r="AH163" s="3">
        <f t="shared" ca="1" si="259"/>
        <v>0.81320051614144084</v>
      </c>
      <c r="AJ163" s="3">
        <f t="shared" ca="1" si="260"/>
        <v>1.7478152309612984</v>
      </c>
      <c r="AK163" s="3" t="e">
        <f t="shared" ca="1" si="261"/>
        <v>#N/A</v>
      </c>
      <c r="AL163" s="3">
        <f t="shared" ca="1" si="262"/>
        <v>2.739043824701195</v>
      </c>
      <c r="AM163" s="3">
        <f t="shared" ca="1" si="263"/>
        <v>3.4869240348692405</v>
      </c>
      <c r="AO163" s="3">
        <f t="shared" ca="1" si="264"/>
        <v>1.2484394506866416</v>
      </c>
      <c r="AP163" s="3" t="e">
        <f t="shared" ca="1" si="265"/>
        <v>#N/A</v>
      </c>
      <c r="AQ163" s="3">
        <f t="shared" ca="1" si="266"/>
        <v>0.24900398406374502</v>
      </c>
      <c r="AR163" s="3">
        <f t="shared" ca="1" si="267"/>
        <v>0.24906600249066005</v>
      </c>
      <c r="AT163" s="5">
        <v>1.3680000305175781</v>
      </c>
      <c r="AU163" s="11" t="e">
        <v>#N/A</v>
      </c>
      <c r="AV163" s="5">
        <v>4.0000001899898052E-3</v>
      </c>
      <c r="AW163" s="5">
        <v>6.0000000521540642E-3</v>
      </c>
      <c r="AY163" s="3">
        <f t="shared" ca="1" si="268"/>
        <v>0.25368289637952562</v>
      </c>
      <c r="AZ163" s="3" t="e">
        <f t="shared" ca="1" si="269"/>
        <v>#N/A</v>
      </c>
      <c r="BA163" s="3">
        <f t="shared" ca="1" si="270"/>
        <v>0.12450199203187262</v>
      </c>
      <c r="BB163" s="3">
        <f t="shared" ca="1" si="271"/>
        <v>1.2453300124532985E-2</v>
      </c>
      <c r="BD163" s="3">
        <f t="shared" ca="1" si="272"/>
        <v>0.19550567560279267</v>
      </c>
      <c r="BE163" s="3" t="e">
        <f t="shared" ca="1" si="273"/>
        <v>#N/A</v>
      </c>
      <c r="BF163" s="3">
        <f t="shared" ca="1" si="274"/>
        <v>9.1384463796050724E-2</v>
      </c>
      <c r="BG163" s="3">
        <f t="shared" ca="1" si="275"/>
        <v>0</v>
      </c>
      <c r="BI163" s="3">
        <f t="shared" ca="1" si="276"/>
        <v>0.99875156054931336</v>
      </c>
      <c r="BJ163" s="3" t="e">
        <f t="shared" ca="1" si="277"/>
        <v>#N/A</v>
      </c>
      <c r="BK163" s="3">
        <f t="shared" ca="1" si="278"/>
        <v>0.49800796812749004</v>
      </c>
      <c r="BL163" s="3">
        <f t="shared" ca="1" si="279"/>
        <v>0</v>
      </c>
      <c r="BN163" s="3">
        <f t="shared" ca="1" si="280"/>
        <v>2.9962546816479403</v>
      </c>
      <c r="BO163" s="3" t="e">
        <f t="shared" ca="1" si="281"/>
        <v>#N/A</v>
      </c>
      <c r="BP163" s="3">
        <f t="shared" ca="1" si="282"/>
        <v>1.2450199203187251</v>
      </c>
      <c r="BQ163" s="3">
        <f t="shared" ca="1" si="283"/>
        <v>1.2453300124533002</v>
      </c>
      <c r="BS163" s="5">
        <v>2.7339999675750732</v>
      </c>
      <c r="BT163" s="11" t="e">
        <v>#N/A</v>
      </c>
      <c r="BU163" s="5">
        <v>4.0000001899898052E-3</v>
      </c>
      <c r="BV163" s="5">
        <v>4.0149999999999997</v>
      </c>
      <c r="BX163" s="3">
        <f t="shared" ca="1" si="284"/>
        <v>8.4893882646691707E-3</v>
      </c>
      <c r="BY163" s="3" t="e">
        <f t="shared" ca="1" si="285"/>
        <v>#N/A</v>
      </c>
      <c r="BZ163" s="3">
        <f t="shared" ca="1" si="286"/>
        <v>0.23232071713147412</v>
      </c>
      <c r="CA163" s="3">
        <f t="shared" ca="1" si="287"/>
        <v>0.46052303860523036</v>
      </c>
      <c r="CC163" s="3">
        <f t="shared" ca="1" si="288"/>
        <v>0</v>
      </c>
      <c r="CD163" s="3" t="e">
        <f t="shared" ca="1" si="289"/>
        <v>#N/A</v>
      </c>
      <c r="CE163" s="3">
        <f t="shared" ca="1" si="290"/>
        <v>0.24477088178296488</v>
      </c>
      <c r="CF163" s="3">
        <f t="shared" ca="1" si="291"/>
        <v>0.46924037550335956</v>
      </c>
      <c r="CH163" s="3">
        <f t="shared" ca="1" si="292"/>
        <v>0</v>
      </c>
      <c r="CI163" s="3" t="e">
        <f t="shared" ca="1" si="293"/>
        <v>#N/A</v>
      </c>
      <c r="CJ163" s="3">
        <f t="shared" ca="1" si="294"/>
        <v>0.99601593625498008</v>
      </c>
      <c r="CK163" s="3">
        <f t="shared" ca="1" si="295"/>
        <v>1.7434620174346203</v>
      </c>
      <c r="CM163" s="3">
        <f t="shared" ca="1" si="296"/>
        <v>1.2484394506866416</v>
      </c>
      <c r="CN163" s="3" t="e">
        <f t="shared" ca="1" si="297"/>
        <v>#N/A</v>
      </c>
      <c r="CO163" s="3">
        <f t="shared" ca="1" si="298"/>
        <v>1.2450199203187251</v>
      </c>
      <c r="CP163" s="3">
        <f t="shared" ca="1" si="299"/>
        <v>4.2341220423412205</v>
      </c>
      <c r="CR163" s="5">
        <v>4.0049999999999999</v>
      </c>
      <c r="CS163" s="11" t="e">
        <v>#N/A</v>
      </c>
      <c r="CT163" s="5">
        <v>0.93800002336502075</v>
      </c>
      <c r="CU163" s="5">
        <v>0.17299999296665192</v>
      </c>
    </row>
    <row r="164" spans="1:99" s="5" customFormat="1" x14ac:dyDescent="0.35">
      <c r="A164" s="4" t="s">
        <v>98</v>
      </c>
      <c r="B164" s="4">
        <v>12.5</v>
      </c>
      <c r="C164" s="4" t="s">
        <v>168</v>
      </c>
      <c r="D164" s="4" t="s">
        <v>404</v>
      </c>
      <c r="E164" s="3"/>
      <c r="F164" s="5">
        <v>4.0090000000000003</v>
      </c>
      <c r="G164" s="5" t="e">
        <v>#N/A</v>
      </c>
      <c r="H164" s="5">
        <v>4.008</v>
      </c>
      <c r="I164" s="5">
        <v>4.008</v>
      </c>
      <c r="K164" s="3">
        <f t="shared" ca="1" si="240"/>
        <v>0.99750561237216273</v>
      </c>
      <c r="L164" s="3" t="e">
        <f t="shared" ca="1" si="241"/>
        <v>#N/A</v>
      </c>
      <c r="M164" s="3">
        <f t="shared" ca="1" si="242"/>
        <v>0.92714570858283429</v>
      </c>
      <c r="N164" s="3">
        <f t="shared" ca="1" si="243"/>
        <v>0.9935129740518962</v>
      </c>
      <c r="P164" s="3">
        <f t="shared" ca="1" si="244"/>
        <v>0.99750559426933316</v>
      </c>
      <c r="Q164" s="3" t="e">
        <f t="shared" ca="1" si="245"/>
        <v>#N/A</v>
      </c>
      <c r="R164" s="3">
        <f t="shared" ca="1" si="246"/>
        <v>0.86901197860578816</v>
      </c>
      <c r="S164" s="3">
        <f t="shared" ca="1" si="247"/>
        <v>0.99351296355639274</v>
      </c>
      <c r="U164" s="3">
        <f t="shared" ca="1" si="248"/>
        <v>0.24943876278373658</v>
      </c>
      <c r="V164" s="3" t="e">
        <f t="shared" ca="1" si="249"/>
        <v>#N/A</v>
      </c>
      <c r="W164" s="3">
        <f t="shared" ca="1" si="250"/>
        <v>0.74850299401197606</v>
      </c>
      <c r="X164" s="3">
        <f t="shared" ca="1" si="251"/>
        <v>0.249500998003992</v>
      </c>
      <c r="Z164" s="3">
        <f t="shared" ca="1" si="252"/>
        <v>0.99750561237216273</v>
      </c>
      <c r="AA164" s="3" t="e">
        <f t="shared" ca="1" si="253"/>
        <v>#N/A</v>
      </c>
      <c r="AB164" s="3">
        <f t="shared" ca="1" si="254"/>
        <v>0.92714570858283429</v>
      </c>
      <c r="AC164" s="3">
        <f t="shared" ca="1" si="255"/>
        <v>0.9935129740518962</v>
      </c>
      <c r="AE164" s="3">
        <f t="shared" ca="1" si="256"/>
        <v>0.99750559426933316</v>
      </c>
      <c r="AF164" s="3" t="e">
        <f t="shared" ca="1" si="257"/>
        <v>#N/A</v>
      </c>
      <c r="AG164" s="3">
        <f t="shared" ca="1" si="258"/>
        <v>0.86901197860578816</v>
      </c>
      <c r="AH164" s="3">
        <f t="shared" ca="1" si="259"/>
        <v>0.99351296355639274</v>
      </c>
      <c r="AJ164" s="3">
        <f t="shared" ca="1" si="260"/>
        <v>0.24943876278373658</v>
      </c>
      <c r="AK164" s="3" t="e">
        <f t="shared" ca="1" si="261"/>
        <v>#N/A</v>
      </c>
      <c r="AL164" s="3">
        <f t="shared" ca="1" si="262"/>
        <v>0.74850299401197606</v>
      </c>
      <c r="AM164" s="3">
        <f t="shared" ca="1" si="263"/>
        <v>0.249500998003992</v>
      </c>
      <c r="AO164" s="3">
        <f t="shared" ca="1" si="264"/>
        <v>0.24943876278373658</v>
      </c>
      <c r="AP164" s="3" t="e">
        <f t="shared" ca="1" si="265"/>
        <v>#N/A</v>
      </c>
      <c r="AQ164" s="3">
        <f t="shared" ca="1" si="266"/>
        <v>0.249500998003992</v>
      </c>
      <c r="AR164" s="3">
        <f t="shared" ca="1" si="267"/>
        <v>0.249500998003992</v>
      </c>
      <c r="AT164" s="5">
        <v>2.0000000949949026E-3</v>
      </c>
      <c r="AU164" s="5">
        <v>9.9999997764825821E-3</v>
      </c>
      <c r="AV164" s="5">
        <v>0.31000000238418579</v>
      </c>
      <c r="AW164" s="5">
        <v>1.2000000104308128E-2</v>
      </c>
      <c r="AY164" s="3">
        <f t="shared" ca="1" si="268"/>
        <v>1.6712397106510367E-2</v>
      </c>
      <c r="AZ164" s="3" t="e">
        <f t="shared" ca="1" si="269"/>
        <v>#N/A</v>
      </c>
      <c r="BA164" s="3">
        <f t="shared" ca="1" si="270"/>
        <v>0.66117764471057894</v>
      </c>
      <c r="BB164" s="3">
        <f t="shared" ca="1" si="271"/>
        <v>0.9935129740518962</v>
      </c>
      <c r="BD164" s="3">
        <f t="shared" ca="1" si="272"/>
        <v>0</v>
      </c>
      <c r="BE164" s="3" t="e">
        <f t="shared" ca="1" si="273"/>
        <v>#N/A</v>
      </c>
      <c r="BF164" s="3">
        <f t="shared" ca="1" si="274"/>
        <v>0.56137724550898205</v>
      </c>
      <c r="BG164" s="3">
        <f t="shared" ca="1" si="275"/>
        <v>0.99351296355639274</v>
      </c>
      <c r="BI164" s="3">
        <f t="shared" ca="1" si="276"/>
        <v>0</v>
      </c>
      <c r="BJ164" s="3" t="e">
        <f t="shared" ca="1" si="277"/>
        <v>#N/A</v>
      </c>
      <c r="BK164" s="3">
        <f t="shared" ca="1" si="278"/>
        <v>0.49900199600798401</v>
      </c>
      <c r="BL164" s="3">
        <f t="shared" ca="1" si="279"/>
        <v>0.249500998003992</v>
      </c>
      <c r="BN164" s="3">
        <f t="shared" ca="1" si="280"/>
        <v>0.24943876278373658</v>
      </c>
      <c r="BO164" s="3" t="e">
        <f t="shared" ca="1" si="281"/>
        <v>#N/A</v>
      </c>
      <c r="BP164" s="3">
        <f t="shared" ca="1" si="282"/>
        <v>0.74850299401197606</v>
      </c>
      <c r="BQ164" s="3">
        <f t="shared" ca="1" si="283"/>
        <v>0.249500998003992</v>
      </c>
      <c r="BS164" s="5">
        <v>4.0090000000000003</v>
      </c>
      <c r="BT164" s="5">
        <v>9.9999997764825821E-3</v>
      </c>
      <c r="BU164" s="5">
        <v>0.31000000238418579</v>
      </c>
      <c r="BV164" s="5">
        <v>1.2000000104308128E-2</v>
      </c>
      <c r="BX164" s="3">
        <f t="shared" ca="1" si="284"/>
        <v>0</v>
      </c>
      <c r="BY164" s="3" t="e">
        <f t="shared" ca="1" si="285"/>
        <v>#N/A</v>
      </c>
      <c r="BZ164" s="3">
        <f t="shared" ca="1" si="286"/>
        <v>0</v>
      </c>
      <c r="CA164" s="3">
        <f t="shared" ca="1" si="287"/>
        <v>0</v>
      </c>
      <c r="CC164" s="3">
        <f t="shared" ca="1" si="288"/>
        <v>0</v>
      </c>
      <c r="CD164" s="3" t="e">
        <f t="shared" ca="1" si="289"/>
        <v>#N/A</v>
      </c>
      <c r="CE164" s="3">
        <f t="shared" ca="1" si="290"/>
        <v>0</v>
      </c>
      <c r="CF164" s="3">
        <f t="shared" ca="1" si="291"/>
        <v>0</v>
      </c>
      <c r="CH164" s="3">
        <f t="shared" ca="1" si="292"/>
        <v>0</v>
      </c>
      <c r="CI164" s="3" t="e">
        <f t="shared" ca="1" si="293"/>
        <v>#N/A</v>
      </c>
      <c r="CJ164" s="3">
        <f t="shared" ca="1" si="294"/>
        <v>0</v>
      </c>
      <c r="CK164" s="3">
        <f t="shared" ca="1" si="295"/>
        <v>0</v>
      </c>
      <c r="CM164" s="3">
        <f t="shared" ca="1" si="296"/>
        <v>0</v>
      </c>
      <c r="CN164" s="3" t="e">
        <f t="shared" ca="1" si="297"/>
        <v>#N/A</v>
      </c>
      <c r="CO164" s="3">
        <f t="shared" ca="1" si="298"/>
        <v>0.249500998003992</v>
      </c>
      <c r="CP164" s="3">
        <f t="shared" ca="1" si="299"/>
        <v>0</v>
      </c>
      <c r="CR164" s="5">
        <v>4.0090000000000003</v>
      </c>
      <c r="CS164" s="5">
        <v>4.024</v>
      </c>
      <c r="CT164" s="5">
        <v>4.008</v>
      </c>
      <c r="CU164" s="5">
        <v>4.008</v>
      </c>
    </row>
    <row r="165" spans="1:99" s="5" customFormat="1" x14ac:dyDescent="0.35">
      <c r="A165" s="4" t="s">
        <v>135</v>
      </c>
      <c r="B165" s="4">
        <v>12.583333333333334</v>
      </c>
      <c r="C165" s="4" t="s">
        <v>168</v>
      </c>
      <c r="D165" s="4" t="s">
        <v>404</v>
      </c>
      <c r="E165" s="3"/>
      <c r="F165" s="5">
        <v>3.1110000000000002</v>
      </c>
      <c r="G165" s="5">
        <v>4.016</v>
      </c>
      <c r="H165" s="11" t="e">
        <v>#N/A</v>
      </c>
      <c r="I165" s="5" t="e">
        <v>#N/A</v>
      </c>
      <c r="K165" s="3">
        <f t="shared" ca="1" si="240"/>
        <v>0.98007071681131475</v>
      </c>
      <c r="L165" s="3">
        <f t="shared" ca="1" si="241"/>
        <v>0.87126494023904377</v>
      </c>
      <c r="M165" s="3" t="e">
        <f t="shared" ca="1" si="242"/>
        <v>#N/A</v>
      </c>
      <c r="N165" s="3" t="e">
        <f t="shared" ca="1" si="243"/>
        <v>#N/A</v>
      </c>
      <c r="P165" s="3">
        <f t="shared" ca="1" si="244"/>
        <v>0.58887813662992183</v>
      </c>
      <c r="Q165" s="3">
        <f t="shared" ca="1" si="245"/>
        <v>0.80054786160172697</v>
      </c>
      <c r="R165" s="3" t="e">
        <f t="shared" ca="1" si="246"/>
        <v>#N/A</v>
      </c>
      <c r="S165" s="3" t="e">
        <f t="shared" ca="1" si="247"/>
        <v>#N/A</v>
      </c>
      <c r="U165" s="3">
        <f t="shared" ca="1" si="248"/>
        <v>2.2500803600128574</v>
      </c>
      <c r="V165" s="3">
        <f t="shared" ca="1" si="249"/>
        <v>2.4900398406374502</v>
      </c>
      <c r="W165" s="3" t="e">
        <f t="shared" ca="1" si="250"/>
        <v>#N/A</v>
      </c>
      <c r="X165" s="3" t="e">
        <f t="shared" ca="1" si="251"/>
        <v>#N/A</v>
      </c>
      <c r="Z165" s="3">
        <f t="shared" ca="1" si="252"/>
        <v>0.66409514625522359</v>
      </c>
      <c r="AA165" s="3">
        <f t="shared" ca="1" si="253"/>
        <v>0.86728087649402386</v>
      </c>
      <c r="AB165" s="3" t="e">
        <f t="shared" ca="1" si="254"/>
        <v>#N/A</v>
      </c>
      <c r="AC165" s="3" t="e">
        <f t="shared" ca="1" si="255"/>
        <v>#N/A</v>
      </c>
      <c r="AE165" s="3">
        <f t="shared" ca="1" si="256"/>
        <v>0.58887813662992183</v>
      </c>
      <c r="AF165" s="3">
        <f t="shared" ca="1" si="257"/>
        <v>0.80054786160172697</v>
      </c>
      <c r="AG165" s="3" t="e">
        <f t="shared" ca="1" si="258"/>
        <v>#N/A</v>
      </c>
      <c r="AH165" s="3" t="e">
        <f t="shared" ca="1" si="259"/>
        <v>#N/A</v>
      </c>
      <c r="AJ165" s="3">
        <f t="shared" ca="1" si="260"/>
        <v>2.2500803600128574</v>
      </c>
      <c r="AK165" s="3">
        <f t="shared" ca="1" si="261"/>
        <v>2.4900398406374502</v>
      </c>
      <c r="AL165" s="3" t="e">
        <f t="shared" ca="1" si="262"/>
        <v>#N/A</v>
      </c>
      <c r="AM165" s="3" t="e">
        <f t="shared" ca="1" si="263"/>
        <v>#N/A</v>
      </c>
      <c r="AO165" s="3">
        <f t="shared" ca="1" si="264"/>
        <v>0.96432015429122464</v>
      </c>
      <c r="AP165" s="3">
        <f t="shared" ca="1" si="265"/>
        <v>0.24900398406374502</v>
      </c>
      <c r="AQ165" s="3" t="e">
        <f t="shared" ca="1" si="266"/>
        <v>#N/A</v>
      </c>
      <c r="AR165" s="3" t="e">
        <f t="shared" ca="1" si="267"/>
        <v>#N/A</v>
      </c>
      <c r="AT165" s="5">
        <v>9.4999998807907104E-2</v>
      </c>
      <c r="AU165" s="5">
        <v>0.50199997425079346</v>
      </c>
      <c r="AV165" s="11" t="e">
        <v>#N/A</v>
      </c>
      <c r="AW165" s="11" t="e">
        <v>#N/A</v>
      </c>
      <c r="AY165" s="3">
        <f t="shared" ca="1" si="268"/>
        <v>0.14979106396657019</v>
      </c>
      <c r="AZ165" s="3">
        <f t="shared" ca="1" si="269"/>
        <v>0.3608067729083666</v>
      </c>
      <c r="BA165" s="3" t="e">
        <f t="shared" ca="1" si="270"/>
        <v>#N/A</v>
      </c>
      <c r="BB165" s="3" t="e">
        <f t="shared" ca="1" si="271"/>
        <v>#N/A</v>
      </c>
      <c r="BD165" s="3">
        <f t="shared" ca="1" si="272"/>
        <v>0.16586305780144067</v>
      </c>
      <c r="BE165" s="3">
        <f t="shared" ca="1" si="273"/>
        <v>0.34412357258606718</v>
      </c>
      <c r="BF165" s="3" t="e">
        <f t="shared" ca="1" si="274"/>
        <v>#N/A</v>
      </c>
      <c r="BG165" s="3" t="e">
        <f t="shared" ca="1" si="275"/>
        <v>#N/A</v>
      </c>
      <c r="BI165" s="3">
        <f t="shared" ca="1" si="276"/>
        <v>0.64288010286081643</v>
      </c>
      <c r="BJ165" s="3">
        <f t="shared" ca="1" si="277"/>
        <v>0.99601593625498008</v>
      </c>
      <c r="BK165" s="3" t="e">
        <f t="shared" ca="1" si="278"/>
        <v>#N/A</v>
      </c>
      <c r="BL165" s="3" t="e">
        <f t="shared" ca="1" si="279"/>
        <v>#N/A</v>
      </c>
      <c r="BN165" s="3">
        <f t="shared" ca="1" si="280"/>
        <v>1.2857602057216329</v>
      </c>
      <c r="BO165" s="3">
        <f t="shared" ca="1" si="281"/>
        <v>0.99601593625498008</v>
      </c>
      <c r="BP165" s="3" t="e">
        <f t="shared" ca="1" si="282"/>
        <v>#N/A</v>
      </c>
      <c r="BQ165" s="3" t="e">
        <f t="shared" ca="1" si="283"/>
        <v>#N/A</v>
      </c>
      <c r="BS165" s="5">
        <v>0.67900002002716064</v>
      </c>
      <c r="BT165" s="5">
        <v>0.73600000143051147</v>
      </c>
      <c r="BU165" s="11" t="e">
        <v>#N/A</v>
      </c>
      <c r="BV165" s="11" t="e">
        <v>#N/A</v>
      </c>
      <c r="BX165" s="3">
        <f t="shared" ca="1" si="284"/>
        <v>0</v>
      </c>
      <c r="BY165" s="3">
        <f t="shared" ca="1" si="285"/>
        <v>9.1384462151394424E-2</v>
      </c>
      <c r="BZ165" s="3" t="e">
        <f t="shared" ca="1" si="286"/>
        <v>#N/A</v>
      </c>
      <c r="CA165" s="3" t="e">
        <f t="shared" ca="1" si="287"/>
        <v>#N/A</v>
      </c>
      <c r="CC165" s="3">
        <f t="shared" ca="1" si="288"/>
        <v>0</v>
      </c>
      <c r="CD165" s="3">
        <f t="shared" ca="1" si="289"/>
        <v>7.8934241101086378E-2</v>
      </c>
      <c r="CE165" s="3" t="e">
        <f t="shared" ca="1" si="290"/>
        <v>#N/A</v>
      </c>
      <c r="CF165" s="3" t="e">
        <f t="shared" ca="1" si="291"/>
        <v>#N/A</v>
      </c>
      <c r="CH165" s="3">
        <f t="shared" ca="1" si="292"/>
        <v>0</v>
      </c>
      <c r="CI165" s="3">
        <f t="shared" ca="1" si="293"/>
        <v>0.24900398406374502</v>
      </c>
      <c r="CJ165" s="3" t="e">
        <f t="shared" ca="1" si="294"/>
        <v>#N/A</v>
      </c>
      <c r="CK165" s="3" t="e">
        <f t="shared" ca="1" si="295"/>
        <v>#N/A</v>
      </c>
      <c r="CM165" s="3">
        <f t="shared" ca="1" si="296"/>
        <v>0</v>
      </c>
      <c r="CN165" s="3">
        <f t="shared" ca="1" si="297"/>
        <v>0.24900398406374502</v>
      </c>
      <c r="CO165" s="3" t="e">
        <f t="shared" ca="1" si="298"/>
        <v>#N/A</v>
      </c>
      <c r="CP165" s="3" t="e">
        <f t="shared" ca="1" si="299"/>
        <v>#N/A</v>
      </c>
      <c r="CR165" s="5">
        <v>4.0049999999999999</v>
      </c>
      <c r="CS165" s="5">
        <v>3.6349999904632568</v>
      </c>
      <c r="CT165" s="11" t="e">
        <v>#N/A</v>
      </c>
      <c r="CU165" s="11" t="e">
        <v>#N/A</v>
      </c>
    </row>
    <row r="166" spans="1:99" s="5" customFormat="1" x14ac:dyDescent="0.35">
      <c r="A166" s="4" t="s">
        <v>134</v>
      </c>
      <c r="B166" s="4">
        <v>12.666666666666666</v>
      </c>
      <c r="C166" s="4" t="s">
        <v>168</v>
      </c>
      <c r="D166" s="4" t="s">
        <v>404</v>
      </c>
      <c r="E166" s="3"/>
      <c r="F166" s="5">
        <v>4.0110000000000001</v>
      </c>
      <c r="G166" s="5">
        <v>4.016</v>
      </c>
      <c r="H166" s="5">
        <v>4.0069999999999997</v>
      </c>
      <c r="I166" s="5">
        <v>4.0129999999999999</v>
      </c>
      <c r="K166" s="3">
        <f t="shared" ca="1" si="240"/>
        <v>0.98479182248815755</v>
      </c>
      <c r="L166" s="3">
        <f t="shared" ca="1" si="241"/>
        <v>0.99576693227091639</v>
      </c>
      <c r="M166" s="3">
        <f t="shared" ca="1" si="242"/>
        <v>0.98552533067132531</v>
      </c>
      <c r="N166" s="3">
        <f t="shared" ca="1" si="243"/>
        <v>0.99651133815100923</v>
      </c>
      <c r="P166" s="3">
        <f t="shared" ca="1" si="244"/>
        <v>0.58987780539836709</v>
      </c>
      <c r="Q166" s="3">
        <f t="shared" ca="1" si="245"/>
        <v>0.5729581990958269</v>
      </c>
      <c r="R166" s="3">
        <f t="shared" ca="1" si="246"/>
        <v>0.53206886812609455</v>
      </c>
      <c r="S166" s="3">
        <f t="shared" ca="1" si="247"/>
        <v>0.51881382907904383</v>
      </c>
      <c r="U166" s="3">
        <f t="shared" ca="1" si="248"/>
        <v>1.7452006980802792</v>
      </c>
      <c r="V166" s="3">
        <f t="shared" ca="1" si="249"/>
        <v>2.241035856573705</v>
      </c>
      <c r="W166" s="3">
        <f t="shared" ca="1" si="250"/>
        <v>2.9947591714499628</v>
      </c>
      <c r="X166" s="3">
        <f t="shared" ca="1" si="251"/>
        <v>1.4951407924246201</v>
      </c>
      <c r="Z166" s="3">
        <f t="shared" ca="1" si="252"/>
        <v>0.63949139865370241</v>
      </c>
      <c r="AA166" s="3">
        <f t="shared" ca="1" si="253"/>
        <v>0.6347111553784861</v>
      </c>
      <c r="AB166" s="3">
        <f t="shared" ca="1" si="254"/>
        <v>0.81083104567007758</v>
      </c>
      <c r="AC166" s="3">
        <f t="shared" ca="1" si="255"/>
        <v>0.72663842511836541</v>
      </c>
      <c r="AE166" s="3">
        <f t="shared" ca="1" si="256"/>
        <v>0.54001491642212274</v>
      </c>
      <c r="AF166" s="3">
        <f t="shared" ca="1" si="257"/>
        <v>0.48580676905321052</v>
      </c>
      <c r="AG166" s="3">
        <f t="shared" ca="1" si="258"/>
        <v>0.53206886812609455</v>
      </c>
      <c r="AH166" s="3">
        <f t="shared" ca="1" si="259"/>
        <v>0.47719906323974398</v>
      </c>
      <c r="AJ166" s="3">
        <f t="shared" ca="1" si="260"/>
        <v>1.4958863126402393</v>
      </c>
      <c r="AK166" s="3">
        <f t="shared" ca="1" si="261"/>
        <v>1.7430278884462151</v>
      </c>
      <c r="AL166" s="3">
        <f t="shared" ca="1" si="262"/>
        <v>2.9947591714499628</v>
      </c>
      <c r="AM166" s="3">
        <f t="shared" ca="1" si="263"/>
        <v>1.2459506603538499</v>
      </c>
      <c r="AO166" s="3">
        <f t="shared" ca="1" si="264"/>
        <v>1.2465719272001994</v>
      </c>
      <c r="AP166" s="3">
        <f t="shared" ca="1" si="265"/>
        <v>1.7430278884462151</v>
      </c>
      <c r="AQ166" s="3">
        <f t="shared" ca="1" si="266"/>
        <v>1.7469428500124784</v>
      </c>
      <c r="AR166" s="3">
        <f t="shared" ca="1" si="267"/>
        <v>1.74433092449539</v>
      </c>
      <c r="AT166" s="5">
        <v>0.11800000071525574</v>
      </c>
      <c r="AU166" s="5">
        <v>1.2000000104308128E-2</v>
      </c>
      <c r="AV166" s="5">
        <v>0.24199999868869781</v>
      </c>
      <c r="AW166" s="5">
        <v>1.4000000432133675E-2</v>
      </c>
      <c r="AY166" s="3">
        <f t="shared" ca="1" si="268"/>
        <v>0</v>
      </c>
      <c r="AZ166" s="3">
        <f t="shared" ca="1" si="269"/>
        <v>0</v>
      </c>
      <c r="BA166" s="3">
        <f t="shared" ca="1" si="270"/>
        <v>3.7684052907412065E-2</v>
      </c>
      <c r="BB166" s="3">
        <f t="shared" ca="1" si="271"/>
        <v>0</v>
      </c>
      <c r="BD166" s="3">
        <f t="shared" ca="1" si="272"/>
        <v>0</v>
      </c>
      <c r="BE166" s="3">
        <f t="shared" ca="1" si="273"/>
        <v>0</v>
      </c>
      <c r="BF166" s="3">
        <f t="shared" ca="1" si="274"/>
        <v>2.9198897875601853E-2</v>
      </c>
      <c r="BG166" s="3">
        <f t="shared" ca="1" si="275"/>
        <v>0</v>
      </c>
      <c r="BI166" s="3">
        <f t="shared" ca="1" si="276"/>
        <v>0</v>
      </c>
      <c r="BJ166" s="3">
        <f t="shared" ca="1" si="277"/>
        <v>0</v>
      </c>
      <c r="BK166" s="3">
        <f t="shared" ca="1" si="278"/>
        <v>0.24956326428749689</v>
      </c>
      <c r="BL166" s="3">
        <f t="shared" ca="1" si="279"/>
        <v>0</v>
      </c>
      <c r="BN166" s="3">
        <f t="shared" ca="1" si="280"/>
        <v>0</v>
      </c>
      <c r="BO166" s="3">
        <f t="shared" ca="1" si="281"/>
        <v>0</v>
      </c>
      <c r="BP166" s="3">
        <f t="shared" ca="1" si="282"/>
        <v>1.9965061142999752</v>
      </c>
      <c r="BQ166" s="3">
        <f t="shared" ca="1" si="283"/>
        <v>0</v>
      </c>
      <c r="BS166" s="5">
        <v>4.0110000000000001</v>
      </c>
      <c r="BT166" s="5">
        <v>4.016</v>
      </c>
      <c r="BU166" s="5">
        <v>0.57499998807907104</v>
      </c>
      <c r="BV166" s="5">
        <v>4.0129999999999999</v>
      </c>
      <c r="BX166" s="3">
        <f t="shared" ca="1" si="284"/>
        <v>0.31962104213413117</v>
      </c>
      <c r="BY166" s="3">
        <f t="shared" ca="1" si="285"/>
        <v>9.9601593625498155E-2</v>
      </c>
      <c r="BZ166" s="3">
        <f t="shared" ca="1" si="286"/>
        <v>2.9198901921637162E-2</v>
      </c>
      <c r="CA166" s="3">
        <f t="shared" ca="1" si="287"/>
        <v>8.4724644904061869E-3</v>
      </c>
      <c r="CC166" s="3">
        <f t="shared" ca="1" si="288"/>
        <v>0.39042630150442376</v>
      </c>
      <c r="CD166" s="3">
        <f t="shared" ca="1" si="289"/>
        <v>0.14541829487242072</v>
      </c>
      <c r="CE166" s="3">
        <f t="shared" ca="1" si="290"/>
        <v>4.5670099260802878E-2</v>
      </c>
      <c r="CF166" s="3">
        <f t="shared" ca="1" si="291"/>
        <v>0</v>
      </c>
      <c r="CH166" s="3">
        <f t="shared" ca="1" si="292"/>
        <v>0.49862877088007979</v>
      </c>
      <c r="CI166" s="3">
        <f t="shared" ca="1" si="293"/>
        <v>0.74701195219123506</v>
      </c>
      <c r="CJ166" s="3">
        <f t="shared" ca="1" si="294"/>
        <v>0.24956326428749689</v>
      </c>
      <c r="CK166" s="3">
        <f t="shared" ca="1" si="295"/>
        <v>0</v>
      </c>
      <c r="CM166" s="3">
        <f t="shared" ca="1" si="296"/>
        <v>0.99725754176015957</v>
      </c>
      <c r="CN166" s="3">
        <f t="shared" ca="1" si="297"/>
        <v>0.99601593625498008</v>
      </c>
      <c r="CO166" s="3">
        <f t="shared" ca="1" si="298"/>
        <v>1.4973795857249814</v>
      </c>
      <c r="CP166" s="3">
        <f t="shared" ca="1" si="299"/>
        <v>0.74757039621231003</v>
      </c>
      <c r="CR166" s="5">
        <v>0.40099999308586121</v>
      </c>
      <c r="CS166" s="5">
        <v>1.6950000524520874</v>
      </c>
      <c r="CT166" s="5">
        <v>2.1749999523162842</v>
      </c>
      <c r="CU166" s="5">
        <v>4.0129999999999999</v>
      </c>
    </row>
    <row r="167" spans="1:99" s="5" customFormat="1" x14ac:dyDescent="0.35">
      <c r="A167" s="4" t="s">
        <v>143</v>
      </c>
      <c r="B167" s="4">
        <v>13.083333333333334</v>
      </c>
      <c r="C167" s="4" t="s">
        <v>168</v>
      </c>
      <c r="D167" s="4" t="s">
        <v>404</v>
      </c>
      <c r="E167" s="3"/>
      <c r="F167" s="11" t="e">
        <v>#N/A</v>
      </c>
      <c r="G167" s="5">
        <v>4.016</v>
      </c>
      <c r="H167" s="5">
        <v>4.016</v>
      </c>
      <c r="I167" s="5">
        <v>4.0620000000000003</v>
      </c>
      <c r="K167" s="3" t="e">
        <f t="shared" ca="1" si="240"/>
        <v>#N/A</v>
      </c>
      <c r="L167" s="3">
        <f t="shared" ca="1" si="241"/>
        <v>0.99576693227091628</v>
      </c>
      <c r="M167" s="3">
        <f t="shared" ca="1" si="242"/>
        <v>0.91683266932270913</v>
      </c>
      <c r="N167" s="3">
        <f t="shared" ca="1" si="243"/>
        <v>0.99679960610536689</v>
      </c>
      <c r="P167" s="3" t="e">
        <f t="shared" ca="1" si="244"/>
        <v>#N/A</v>
      </c>
      <c r="Q167" s="3">
        <f t="shared" ca="1" si="245"/>
        <v>0.83341640401705808</v>
      </c>
      <c r="R167" s="3">
        <f t="shared" ca="1" si="246"/>
        <v>0.66782868854201538</v>
      </c>
      <c r="S167" s="3">
        <f t="shared" ca="1" si="247"/>
        <v>0.75873965695537049</v>
      </c>
      <c r="U167" s="3" t="e">
        <f t="shared" ca="1" si="248"/>
        <v>#N/A</v>
      </c>
      <c r="V167" s="3">
        <f t="shared" ca="1" si="249"/>
        <v>1.7430278884462151</v>
      </c>
      <c r="W167" s="3">
        <f t="shared" ca="1" si="250"/>
        <v>1.7430278884462151</v>
      </c>
      <c r="X167" s="3">
        <f t="shared" ca="1" si="251"/>
        <v>3.4465780403741997</v>
      </c>
      <c r="Z167" s="3" t="e">
        <f t="shared" ca="1" si="252"/>
        <v>#N/A</v>
      </c>
      <c r="AA167" s="3">
        <f t="shared" ca="1" si="253"/>
        <v>0.69272908366533859</v>
      </c>
      <c r="AB167" s="3">
        <f t="shared" ca="1" si="254"/>
        <v>0.70891434262948194</v>
      </c>
      <c r="AC167" s="3">
        <f t="shared" ca="1" si="255"/>
        <v>0.9679960610536682</v>
      </c>
      <c r="AE167" s="3" t="e">
        <f t="shared" ca="1" si="256"/>
        <v>#N/A</v>
      </c>
      <c r="AF167" s="3">
        <f t="shared" ca="1" si="257"/>
        <v>0.7338148070521564</v>
      </c>
      <c r="AG167" s="3">
        <f t="shared" ca="1" si="258"/>
        <v>0.66782868854201538</v>
      </c>
      <c r="AH167" s="3">
        <f t="shared" ca="1" si="259"/>
        <v>0.75873965695537049</v>
      </c>
      <c r="AJ167" s="3" t="e">
        <f t="shared" ca="1" si="260"/>
        <v>#N/A</v>
      </c>
      <c r="AK167" s="3">
        <f t="shared" ca="1" si="261"/>
        <v>1.4940239043824701</v>
      </c>
      <c r="AL167" s="3">
        <f t="shared" ca="1" si="262"/>
        <v>1.7430278884462151</v>
      </c>
      <c r="AM167" s="3">
        <f t="shared" ca="1" si="263"/>
        <v>3.4465780403741997</v>
      </c>
      <c r="AO167" s="3" t="e">
        <f t="shared" ca="1" si="264"/>
        <v>#N/A</v>
      </c>
      <c r="AP167" s="3">
        <f t="shared" ca="1" si="265"/>
        <v>1.2450199203187251</v>
      </c>
      <c r="AQ167" s="3">
        <f t="shared" ca="1" si="266"/>
        <v>1.2450199203187251</v>
      </c>
      <c r="AR167" s="3">
        <f t="shared" ca="1" si="267"/>
        <v>0.49236829148202854</v>
      </c>
      <c r="AT167" s="11" t="e">
        <v>#N/A</v>
      </c>
      <c r="AU167" s="5">
        <v>0.59500002861022949</v>
      </c>
      <c r="AV167" s="5">
        <v>1.0000000474974513E-3</v>
      </c>
      <c r="AW167" s="5">
        <v>2.6000000536441803E-2</v>
      </c>
      <c r="AY167" s="3" t="e">
        <f t="shared" ca="1" si="268"/>
        <v>#N/A</v>
      </c>
      <c r="AZ167" s="3">
        <f t="shared" ca="1" si="269"/>
        <v>2.0418326693227053E-2</v>
      </c>
      <c r="BA167" s="3">
        <f t="shared" ca="1" si="270"/>
        <v>0</v>
      </c>
      <c r="BB167" s="3">
        <f t="shared" ca="1" si="271"/>
        <v>7.3855243722304231E-2</v>
      </c>
      <c r="BD167" s="3" t="e">
        <f t="shared" ca="1" si="272"/>
        <v>#N/A</v>
      </c>
      <c r="BE167" s="3">
        <f t="shared" ca="1" si="273"/>
        <v>0</v>
      </c>
      <c r="BF167" s="3">
        <f t="shared" ca="1" si="274"/>
        <v>0</v>
      </c>
      <c r="BG167" s="3">
        <f t="shared" ca="1" si="275"/>
        <v>6.9670082019033949E-2</v>
      </c>
      <c r="BI167" s="3" t="e">
        <f t="shared" ca="1" si="276"/>
        <v>#N/A</v>
      </c>
      <c r="BJ167" s="3">
        <f t="shared" ca="1" si="277"/>
        <v>0</v>
      </c>
      <c r="BK167" s="3">
        <f t="shared" ca="1" si="278"/>
        <v>0</v>
      </c>
      <c r="BL167" s="3">
        <f t="shared" ca="1" si="279"/>
        <v>0.49236829148202854</v>
      </c>
      <c r="BN167" s="3" t="e">
        <f t="shared" ca="1" si="280"/>
        <v>#N/A</v>
      </c>
      <c r="BO167" s="3">
        <f t="shared" ca="1" si="281"/>
        <v>0.49800796812749004</v>
      </c>
      <c r="BP167" s="3">
        <f t="shared" ca="1" si="282"/>
        <v>0</v>
      </c>
      <c r="BQ167" s="3">
        <f t="shared" ca="1" si="283"/>
        <v>0.73855243722304276</v>
      </c>
      <c r="BS167" s="11" t="e">
        <v>#N/A</v>
      </c>
      <c r="BT167" s="5">
        <v>4.016</v>
      </c>
      <c r="BU167" s="5">
        <v>4.016</v>
      </c>
      <c r="BV167" s="5">
        <v>1.7929999828338623</v>
      </c>
      <c r="BX167" s="3" t="e">
        <f t="shared" ca="1" si="284"/>
        <v>#N/A</v>
      </c>
      <c r="BY167" s="3">
        <f t="shared" ca="1" si="285"/>
        <v>0</v>
      </c>
      <c r="BZ167" s="3">
        <f t="shared" ca="1" si="286"/>
        <v>0</v>
      </c>
      <c r="CA167" s="3">
        <f t="shared" ca="1" si="287"/>
        <v>0.30773018217626785</v>
      </c>
      <c r="CC167" s="3" t="e">
        <f t="shared" ca="1" si="288"/>
        <v>#N/A</v>
      </c>
      <c r="CD167" s="3">
        <f t="shared" ca="1" si="289"/>
        <v>0</v>
      </c>
      <c r="CE167" s="3">
        <f t="shared" ca="1" si="290"/>
        <v>0</v>
      </c>
      <c r="CF167" s="3">
        <f t="shared" ca="1" si="291"/>
        <v>0.34465786236545121</v>
      </c>
      <c r="CH167" s="3" t="e">
        <f t="shared" ca="1" si="292"/>
        <v>#N/A</v>
      </c>
      <c r="CI167" s="3">
        <f t="shared" ca="1" si="293"/>
        <v>0</v>
      </c>
      <c r="CJ167" s="3">
        <f t="shared" ca="1" si="294"/>
        <v>0</v>
      </c>
      <c r="CK167" s="3">
        <f t="shared" ca="1" si="295"/>
        <v>1.2309207287050714</v>
      </c>
      <c r="CM167" s="3" t="e">
        <f t="shared" ca="1" si="296"/>
        <v>#N/A</v>
      </c>
      <c r="CN167" s="3">
        <f t="shared" ca="1" si="297"/>
        <v>0</v>
      </c>
      <c r="CO167" s="3">
        <f t="shared" ca="1" si="298"/>
        <v>0</v>
      </c>
      <c r="CP167" s="3">
        <f t="shared" ca="1" si="299"/>
        <v>0.98473658296405708</v>
      </c>
      <c r="CR167" s="11" t="e">
        <v>#N/A</v>
      </c>
      <c r="CS167" s="5">
        <v>4.016</v>
      </c>
      <c r="CT167" s="5">
        <v>4.016</v>
      </c>
      <c r="CU167" s="5">
        <v>2.6000000536441803E-2</v>
      </c>
    </row>
    <row r="168" spans="1:99" s="5" customFormat="1" x14ac:dyDescent="0.35">
      <c r="A168" s="4" t="s">
        <v>160</v>
      </c>
      <c r="B168" s="4">
        <v>13.083333333333334</v>
      </c>
      <c r="C168" s="4" t="s">
        <v>167</v>
      </c>
      <c r="D168" s="4" t="s">
        <v>404</v>
      </c>
      <c r="E168" s="3"/>
      <c r="F168" s="5">
        <v>4.0110000000000001</v>
      </c>
      <c r="G168" s="5">
        <v>4.0149999999999997</v>
      </c>
      <c r="H168" s="5">
        <v>4.0110000000000001</v>
      </c>
      <c r="I168" s="5">
        <v>4.016</v>
      </c>
      <c r="K168" s="3">
        <f t="shared" ca="1" si="240"/>
        <v>0.9970082273747195</v>
      </c>
      <c r="L168" s="3">
        <f t="shared" ca="1" si="241"/>
        <v>0.91731008717310103</v>
      </c>
      <c r="M168" s="3">
        <f t="shared" ca="1" si="242"/>
        <v>0.9970082273747195</v>
      </c>
      <c r="N168" s="3">
        <f t="shared" ca="1" si="243"/>
        <v>0.99576693227091628</v>
      </c>
      <c r="P168" s="3">
        <f t="shared" ca="1" si="244"/>
        <v>0.86387433993997664</v>
      </c>
      <c r="Q168" s="3">
        <f t="shared" ca="1" si="245"/>
        <v>0.81320046487810604</v>
      </c>
      <c r="R168" s="3">
        <f t="shared" ca="1" si="246"/>
        <v>0.91398653594140311</v>
      </c>
      <c r="S168" s="3">
        <f t="shared" ca="1" si="247"/>
        <v>0.77216133876032089</v>
      </c>
      <c r="U168" s="3">
        <f t="shared" ca="1" si="248"/>
        <v>1.4958863126402393</v>
      </c>
      <c r="V168" s="3">
        <f t="shared" ca="1" si="249"/>
        <v>1.7434620174346203</v>
      </c>
      <c r="W168" s="3">
        <f t="shared" ca="1" si="250"/>
        <v>1.7452006980802792</v>
      </c>
      <c r="X168" s="3">
        <f t="shared" ca="1" si="251"/>
        <v>1.9920318725099602</v>
      </c>
      <c r="Z168" s="3">
        <f t="shared" ca="1" si="252"/>
        <v>0.93891797556719025</v>
      </c>
      <c r="AA168" s="3">
        <f t="shared" ca="1" si="253"/>
        <v>0.9006226650062269</v>
      </c>
      <c r="AB168" s="3">
        <f t="shared" ca="1" si="254"/>
        <v>0.98878085265519811</v>
      </c>
      <c r="AC168" s="3">
        <f t="shared" ca="1" si="255"/>
        <v>0.81748007968127501</v>
      </c>
      <c r="AE168" s="3">
        <f t="shared" ca="1" si="256"/>
        <v>0.86387433993997664</v>
      </c>
      <c r="AF168" s="3">
        <f t="shared" ca="1" si="257"/>
        <v>0.81320046487810604</v>
      </c>
      <c r="AG168" s="3">
        <f t="shared" ca="1" si="258"/>
        <v>0.91398653594140311</v>
      </c>
      <c r="AH168" s="3">
        <f t="shared" ca="1" si="259"/>
        <v>0.62250995644891405</v>
      </c>
      <c r="AJ168" s="3">
        <f t="shared" ca="1" si="260"/>
        <v>1.4958863126402393</v>
      </c>
      <c r="AK168" s="3">
        <f t="shared" ca="1" si="261"/>
        <v>1.7434620174346203</v>
      </c>
      <c r="AL168" s="3">
        <f t="shared" ca="1" si="262"/>
        <v>1.7452006980802792</v>
      </c>
      <c r="AM168" s="3">
        <f t="shared" ca="1" si="263"/>
        <v>1.2450199203187251</v>
      </c>
      <c r="AO168" s="3">
        <f t="shared" ca="1" si="264"/>
        <v>0.74794315632011965</v>
      </c>
      <c r="AP168" s="3">
        <f t="shared" ca="1" si="265"/>
        <v>0.24906600249066005</v>
      </c>
      <c r="AQ168" s="3">
        <f t="shared" ca="1" si="266"/>
        <v>0.49862877088007979</v>
      </c>
      <c r="AR168" s="3">
        <f t="shared" ca="1" si="267"/>
        <v>0.49800796812749004</v>
      </c>
      <c r="AT168" s="5">
        <v>8.999999612569809E-3</v>
      </c>
      <c r="AU168" s="5">
        <v>0.38499999046325684</v>
      </c>
      <c r="AV168" s="5">
        <v>1.0000000474974513E-3</v>
      </c>
      <c r="AW168" s="5">
        <v>2.8999999165534973E-2</v>
      </c>
      <c r="AY168" s="3">
        <f t="shared" ca="1" si="268"/>
        <v>0.72276240339067566</v>
      </c>
      <c r="AZ168" s="3">
        <f t="shared" ca="1" si="269"/>
        <v>0.5148194271481944</v>
      </c>
      <c r="BA168" s="3">
        <f t="shared" ca="1" si="270"/>
        <v>0.60658189977561705</v>
      </c>
      <c r="BB168" s="3">
        <f t="shared" ca="1" si="271"/>
        <v>0.12873505976095612</v>
      </c>
      <c r="BD168" s="3">
        <f t="shared" ca="1" si="272"/>
        <v>0.77262529056139406</v>
      </c>
      <c r="BE168" s="3">
        <f t="shared" ca="1" si="273"/>
        <v>0.5561643341558512</v>
      </c>
      <c r="BF168" s="3">
        <f t="shared" ca="1" si="274"/>
        <v>0.62303663434252243</v>
      </c>
      <c r="BG168" s="3">
        <f t="shared" ca="1" si="275"/>
        <v>0.11603587652107634</v>
      </c>
      <c r="BI168" s="3">
        <f t="shared" ca="1" si="276"/>
        <v>0.74794315632011965</v>
      </c>
      <c r="BJ168" s="3">
        <f t="shared" ca="1" si="277"/>
        <v>1.2453300124533002</v>
      </c>
      <c r="BK168" s="3">
        <f t="shared" ca="1" si="278"/>
        <v>0.99725754176015957</v>
      </c>
      <c r="BL168" s="3">
        <f t="shared" ca="1" si="279"/>
        <v>0.24900398406374502</v>
      </c>
      <c r="BN168" s="3">
        <f t="shared" ca="1" si="280"/>
        <v>0.99725754176015957</v>
      </c>
      <c r="BO168" s="3">
        <f t="shared" ca="1" si="281"/>
        <v>0.9962640099626402</v>
      </c>
      <c r="BP168" s="3">
        <f t="shared" ca="1" si="282"/>
        <v>0.99725754176015957</v>
      </c>
      <c r="BQ168" s="3">
        <f t="shared" ca="1" si="283"/>
        <v>0.74701195219123506</v>
      </c>
      <c r="BS168" s="5">
        <v>8.999999612569809E-3</v>
      </c>
      <c r="BT168" s="5">
        <v>0.38499999046325684</v>
      </c>
      <c r="BU168" s="5">
        <v>1.0000000474974513E-3</v>
      </c>
      <c r="BV168" s="5">
        <v>2.8789999485015869</v>
      </c>
      <c r="BX168" s="3">
        <f t="shared" ca="1" si="284"/>
        <v>3.3158813263525308E-2</v>
      </c>
      <c r="BY168" s="3">
        <f t="shared" ca="1" si="285"/>
        <v>4.2341220423411973E-3</v>
      </c>
      <c r="BZ168" s="3">
        <f t="shared" ca="1" si="286"/>
        <v>0</v>
      </c>
      <c r="CA168" s="3">
        <f t="shared" ca="1" si="287"/>
        <v>1.2450199203187207E-2</v>
      </c>
      <c r="CC168" s="3">
        <f t="shared" ca="1" si="288"/>
        <v>2.4931474208712903E-2</v>
      </c>
      <c r="CD168" s="3">
        <f t="shared" ca="1" si="289"/>
        <v>0</v>
      </c>
      <c r="CE168" s="3">
        <f t="shared" ca="1" si="290"/>
        <v>0</v>
      </c>
      <c r="CF168" s="3">
        <f t="shared" ca="1" si="291"/>
        <v>0</v>
      </c>
      <c r="CH168" s="3">
        <f t="shared" ca="1" si="292"/>
        <v>0.24931438544003989</v>
      </c>
      <c r="CI168" s="3">
        <f t="shared" ca="1" si="293"/>
        <v>0</v>
      </c>
      <c r="CJ168" s="3">
        <f t="shared" ca="1" si="294"/>
        <v>0</v>
      </c>
      <c r="CK168" s="3">
        <f t="shared" ca="1" si="295"/>
        <v>0</v>
      </c>
      <c r="CM168" s="3">
        <f t="shared" ca="1" si="296"/>
        <v>0.74794315632011965</v>
      </c>
      <c r="CN168" s="3">
        <f t="shared" ca="1" si="297"/>
        <v>0.24906600249066005</v>
      </c>
      <c r="CO168" s="3">
        <f t="shared" ca="1" si="298"/>
        <v>0</v>
      </c>
      <c r="CP168" s="3">
        <f t="shared" ca="1" si="299"/>
        <v>0.99601593625498008</v>
      </c>
      <c r="CR168" s="5">
        <v>3.7249999046325684</v>
      </c>
      <c r="CS168" s="5">
        <v>4.0149999999999997</v>
      </c>
      <c r="CT168" s="5">
        <v>4.0110000000000001</v>
      </c>
      <c r="CU168" s="5">
        <v>4.016</v>
      </c>
    </row>
  </sheetData>
  <autoFilter ref="A3:CU3">
    <sortState ref="A4:CV168">
      <sortCondition ref="D3"/>
    </sortState>
  </autoFilter>
  <mergeCells count="21">
    <mergeCell ref="CH2:CK2"/>
    <mergeCell ref="CM2:CP2"/>
    <mergeCell ref="CR2:CU2"/>
    <mergeCell ref="BD2:BG2"/>
    <mergeCell ref="BI2:BL2"/>
    <mergeCell ref="BN2:BQ2"/>
    <mergeCell ref="BS2:BV2"/>
    <mergeCell ref="BX2:CA2"/>
    <mergeCell ref="CC2:CF2"/>
    <mergeCell ref="AY2:BB2"/>
    <mergeCell ref="A1:M1"/>
    <mergeCell ref="A2:D2"/>
    <mergeCell ref="F2:I2"/>
    <mergeCell ref="K2:N2"/>
    <mergeCell ref="P2:S2"/>
    <mergeCell ref="U2:X2"/>
    <mergeCell ref="Z2:AC2"/>
    <mergeCell ref="AE2:AH2"/>
    <mergeCell ref="AJ2:AM2"/>
    <mergeCell ref="AO2:AR2"/>
    <mergeCell ref="AT2:A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168"/>
  <sheetViews>
    <sheetView topLeftCell="DC1" workbookViewId="0">
      <selection activeCell="D4" sqref="D4"/>
    </sheetView>
  </sheetViews>
  <sheetFormatPr baseColWidth="10" defaultColWidth="15.7265625" defaultRowHeight="14.5" x14ac:dyDescent="0.35"/>
  <cols>
    <col min="1" max="1" width="25.54296875" style="6" customWidth="1"/>
    <col min="2" max="4" width="15.7265625" style="6"/>
    <col min="5" max="98" width="15.7265625" style="7"/>
    <col min="99" max="99" width="24" style="7" customWidth="1"/>
    <col min="100" max="100" width="15.7265625" style="21"/>
    <col min="101" max="101" width="15.7265625" style="16"/>
    <col min="102" max="103" width="15.7265625" style="7"/>
    <col min="104" max="104" width="24.54296875" style="7" customWidth="1"/>
    <col min="105" max="105" width="22.453125" style="7" customWidth="1"/>
    <col min="106" max="106" width="21.1796875" style="7" customWidth="1"/>
    <col min="107" max="107" width="22.453125" style="7" customWidth="1"/>
    <col min="108" max="108" width="28.81640625" style="7" customWidth="1"/>
    <col min="109" max="16384" width="15.7265625" style="7"/>
  </cols>
  <sheetData>
    <row r="1" spans="1:120" ht="15" thickBot="1" x14ac:dyDescent="0.4">
      <c r="A1" s="67" t="s">
        <v>268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10"/>
      <c r="P1" s="8"/>
      <c r="Q1" s="9"/>
      <c r="R1" s="9"/>
      <c r="S1" s="10"/>
      <c r="U1" s="8"/>
      <c r="V1" s="9"/>
      <c r="W1" s="9"/>
      <c r="X1" s="10"/>
      <c r="Z1" s="8"/>
      <c r="AA1" s="9"/>
      <c r="AB1" s="9"/>
      <c r="AC1" s="10"/>
      <c r="AE1" s="8"/>
      <c r="AF1" s="9"/>
      <c r="AG1" s="9"/>
      <c r="AH1" s="10"/>
      <c r="AJ1" s="8"/>
      <c r="AK1" s="9"/>
      <c r="AL1" s="9"/>
      <c r="AM1" s="10"/>
      <c r="AO1" s="8"/>
      <c r="AP1" s="9"/>
      <c r="AQ1" s="9"/>
      <c r="AR1" s="10"/>
      <c r="AT1" s="8"/>
      <c r="AU1" s="9"/>
      <c r="AV1" s="9"/>
      <c r="AW1" s="10"/>
      <c r="AY1" s="8"/>
      <c r="AZ1" s="9"/>
      <c r="BA1" s="9"/>
      <c r="BB1" s="10"/>
      <c r="BD1" s="8"/>
      <c r="BE1" s="9"/>
      <c r="BF1" s="9"/>
      <c r="BG1" s="10"/>
      <c r="BI1" s="8"/>
      <c r="BJ1" s="9"/>
      <c r="BK1" s="9"/>
      <c r="BL1" s="10"/>
      <c r="BN1" s="8"/>
      <c r="BO1" s="9"/>
      <c r="BP1" s="9"/>
      <c r="BQ1" s="10"/>
      <c r="BS1" s="8"/>
      <c r="BT1" s="9"/>
      <c r="BU1" s="9"/>
      <c r="BV1" s="10"/>
      <c r="BX1" s="8"/>
      <c r="BY1" s="9"/>
      <c r="BZ1" s="9"/>
      <c r="CA1" s="10"/>
      <c r="CC1" s="8"/>
      <c r="CD1" s="9"/>
      <c r="CE1" s="9"/>
      <c r="CF1" s="10"/>
      <c r="CH1" s="8"/>
      <c r="CI1" s="9"/>
      <c r="CJ1" s="9"/>
      <c r="CK1" s="10"/>
      <c r="CM1" s="8"/>
      <c r="CN1" s="9"/>
      <c r="CO1" s="9"/>
      <c r="CP1" s="10"/>
      <c r="CR1" s="8"/>
      <c r="CS1" s="9"/>
      <c r="CT1" s="9"/>
      <c r="CU1" s="10"/>
      <c r="DE1" s="43"/>
      <c r="DF1" s="43"/>
      <c r="DG1" s="43"/>
    </row>
    <row r="2" spans="1:120" ht="17.25" customHeight="1" thickTop="1" thickBot="1" x14ac:dyDescent="0.4">
      <c r="A2" s="56" t="s">
        <v>246</v>
      </c>
      <c r="B2" s="56"/>
      <c r="C2" s="56"/>
      <c r="D2" s="56"/>
      <c r="F2" s="57" t="s">
        <v>266</v>
      </c>
      <c r="G2" s="57"/>
      <c r="H2" s="57"/>
      <c r="I2" s="57"/>
      <c r="K2" s="58" t="s">
        <v>247</v>
      </c>
      <c r="L2" s="59"/>
      <c r="M2" s="59"/>
      <c r="N2" s="60"/>
      <c r="P2" s="58" t="s">
        <v>248</v>
      </c>
      <c r="Q2" s="59"/>
      <c r="R2" s="59"/>
      <c r="S2" s="60"/>
      <c r="U2" s="58" t="s">
        <v>249</v>
      </c>
      <c r="V2" s="59"/>
      <c r="W2" s="59"/>
      <c r="X2" s="60"/>
      <c r="Z2" s="53" t="s">
        <v>250</v>
      </c>
      <c r="AA2" s="54"/>
      <c r="AB2" s="54"/>
      <c r="AC2" s="55"/>
      <c r="AE2" s="53" t="s">
        <v>251</v>
      </c>
      <c r="AF2" s="54"/>
      <c r="AG2" s="54"/>
      <c r="AH2" s="55"/>
      <c r="AJ2" s="53" t="s">
        <v>252</v>
      </c>
      <c r="AK2" s="54"/>
      <c r="AL2" s="54"/>
      <c r="AM2" s="55"/>
      <c r="AO2" s="53" t="s">
        <v>253</v>
      </c>
      <c r="AP2" s="54"/>
      <c r="AQ2" s="54"/>
      <c r="AR2" s="55"/>
      <c r="AT2" s="53" t="s">
        <v>254</v>
      </c>
      <c r="AU2" s="54"/>
      <c r="AV2" s="54"/>
      <c r="AW2" s="55"/>
      <c r="AY2" s="61" t="s">
        <v>255</v>
      </c>
      <c r="AZ2" s="62"/>
      <c r="BA2" s="62"/>
      <c r="BB2" s="63"/>
      <c r="BD2" s="61" t="s">
        <v>256</v>
      </c>
      <c r="BE2" s="62"/>
      <c r="BF2" s="62"/>
      <c r="BG2" s="63"/>
      <c r="BI2" s="61" t="s">
        <v>257</v>
      </c>
      <c r="BJ2" s="62"/>
      <c r="BK2" s="62"/>
      <c r="BL2" s="63"/>
      <c r="BN2" s="61" t="s">
        <v>258</v>
      </c>
      <c r="BO2" s="62"/>
      <c r="BP2" s="62"/>
      <c r="BQ2" s="63"/>
      <c r="BS2" s="61" t="s">
        <v>259</v>
      </c>
      <c r="BT2" s="62"/>
      <c r="BU2" s="62"/>
      <c r="BV2" s="63"/>
      <c r="BX2" s="64" t="s">
        <v>260</v>
      </c>
      <c r="BY2" s="65"/>
      <c r="BZ2" s="65"/>
      <c r="CA2" s="66"/>
      <c r="CC2" s="64" t="s">
        <v>261</v>
      </c>
      <c r="CD2" s="65"/>
      <c r="CE2" s="65"/>
      <c r="CF2" s="66"/>
      <c r="CH2" s="64" t="s">
        <v>262</v>
      </c>
      <c r="CI2" s="65"/>
      <c r="CJ2" s="65"/>
      <c r="CK2" s="66"/>
      <c r="CM2" s="64" t="s">
        <v>263</v>
      </c>
      <c r="CN2" s="65"/>
      <c r="CO2" s="65"/>
      <c r="CP2" s="66"/>
      <c r="CR2" s="64" t="s">
        <v>264</v>
      </c>
      <c r="CS2" s="65"/>
      <c r="CT2" s="65"/>
      <c r="CU2" s="66"/>
      <c r="CY2" s="8"/>
      <c r="CZ2" s="68" t="s">
        <v>277</v>
      </c>
      <c r="DA2" s="69"/>
      <c r="DB2" s="69"/>
      <c r="DC2" s="69"/>
      <c r="DD2" s="8"/>
      <c r="DE2" s="46"/>
      <c r="DF2" s="46"/>
      <c r="DG2" s="46"/>
      <c r="DH2" s="10"/>
    </row>
    <row r="3" spans="1:120" s="1" customFormat="1" ht="15.75" customHeight="1" thickTop="1" x14ac:dyDescent="0.35">
      <c r="A3" s="1" t="s">
        <v>0</v>
      </c>
      <c r="B3" s="1" t="s">
        <v>265</v>
      </c>
      <c r="C3" s="1" t="s">
        <v>166</v>
      </c>
      <c r="D3" s="1" t="s">
        <v>169</v>
      </c>
      <c r="F3" s="1" t="s">
        <v>170</v>
      </c>
      <c r="G3" s="1" t="s">
        <v>171</v>
      </c>
      <c r="H3" s="1" t="s">
        <v>172</v>
      </c>
      <c r="I3" s="1" t="s">
        <v>173</v>
      </c>
      <c r="K3" s="1" t="s">
        <v>174</v>
      </c>
      <c r="L3" s="1" t="s">
        <v>175</v>
      </c>
      <c r="M3" s="1" t="s">
        <v>176</v>
      </c>
      <c r="N3" s="1" t="s">
        <v>177</v>
      </c>
      <c r="P3" s="1" t="s">
        <v>178</v>
      </c>
      <c r="Q3" s="1" t="s">
        <v>179</v>
      </c>
      <c r="R3" s="1" t="s">
        <v>180</v>
      </c>
      <c r="S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Z3" s="1" t="s">
        <v>186</v>
      </c>
      <c r="AA3" s="1" t="s">
        <v>187</v>
      </c>
      <c r="AB3" s="1" t="s">
        <v>188</v>
      </c>
      <c r="AC3" s="1" t="s">
        <v>189</v>
      </c>
      <c r="AE3" s="1" t="s">
        <v>190</v>
      </c>
      <c r="AF3" s="1" t="s">
        <v>191</v>
      </c>
      <c r="AG3" s="1" t="s">
        <v>192</v>
      </c>
      <c r="AH3" s="1" t="s">
        <v>193</v>
      </c>
      <c r="AJ3" s="1" t="s">
        <v>194</v>
      </c>
      <c r="AK3" s="1" t="s">
        <v>195</v>
      </c>
      <c r="AL3" s="1" t="s">
        <v>196</v>
      </c>
      <c r="AM3" s="1" t="s">
        <v>197</v>
      </c>
      <c r="AO3" s="1" t="s">
        <v>198</v>
      </c>
      <c r="AP3" s="1" t="s">
        <v>199</v>
      </c>
      <c r="AQ3" s="1" t="s">
        <v>200</v>
      </c>
      <c r="AR3" s="1" t="s">
        <v>201</v>
      </c>
      <c r="AT3" s="1" t="s">
        <v>202</v>
      </c>
      <c r="AU3" s="1" t="s">
        <v>203</v>
      </c>
      <c r="AV3" s="1" t="s">
        <v>204</v>
      </c>
      <c r="AW3" s="1" t="s">
        <v>205</v>
      </c>
      <c r="AY3" s="1" t="s">
        <v>206</v>
      </c>
      <c r="AZ3" s="1" t="s">
        <v>207</v>
      </c>
      <c r="BA3" s="1" t="s">
        <v>208</v>
      </c>
      <c r="BB3" s="1" t="s">
        <v>209</v>
      </c>
      <c r="BD3" s="1" t="s">
        <v>210</v>
      </c>
      <c r="BE3" s="1" t="s">
        <v>211</v>
      </c>
      <c r="BF3" s="1" t="s">
        <v>212</v>
      </c>
      <c r="BG3" s="1" t="s">
        <v>213</v>
      </c>
      <c r="BI3" s="1" t="s">
        <v>214</v>
      </c>
      <c r="BJ3" s="1" t="s">
        <v>215</v>
      </c>
      <c r="BK3" s="1" t="s">
        <v>216</v>
      </c>
      <c r="BL3" s="1" t="s">
        <v>217</v>
      </c>
      <c r="BN3" s="1" t="s">
        <v>218</v>
      </c>
      <c r="BO3" s="1" t="s">
        <v>219</v>
      </c>
      <c r="BP3" s="1" t="s">
        <v>220</v>
      </c>
      <c r="BQ3" s="1" t="s">
        <v>221</v>
      </c>
      <c r="BS3" s="1" t="s">
        <v>222</v>
      </c>
      <c r="BT3" s="1" t="s">
        <v>223</v>
      </c>
      <c r="BU3" s="1" t="s">
        <v>224</v>
      </c>
      <c r="BV3" s="1" t="s">
        <v>225</v>
      </c>
      <c r="BX3" s="1" t="s">
        <v>226</v>
      </c>
      <c r="BY3" s="1" t="s">
        <v>227</v>
      </c>
      <c r="BZ3" s="1" t="s">
        <v>228</v>
      </c>
      <c r="CA3" s="1" t="s">
        <v>229</v>
      </c>
      <c r="CC3" s="1" t="s">
        <v>230</v>
      </c>
      <c r="CD3" s="1" t="s">
        <v>231</v>
      </c>
      <c r="CE3" s="1" t="s">
        <v>232</v>
      </c>
      <c r="CF3" s="1" t="s">
        <v>233</v>
      </c>
      <c r="CH3" s="1" t="s">
        <v>234</v>
      </c>
      <c r="CI3" s="1" t="s">
        <v>235</v>
      </c>
      <c r="CJ3" s="1" t="s">
        <v>236</v>
      </c>
      <c r="CK3" s="1" t="s">
        <v>237</v>
      </c>
      <c r="CM3" s="1" t="s">
        <v>238</v>
      </c>
      <c r="CN3" s="1" t="s">
        <v>239</v>
      </c>
      <c r="CO3" s="1" t="s">
        <v>240</v>
      </c>
      <c r="CP3" s="1" t="s">
        <v>241</v>
      </c>
      <c r="CR3" s="1" t="s">
        <v>242</v>
      </c>
      <c r="CS3" s="1" t="s">
        <v>243</v>
      </c>
      <c r="CT3" s="1" t="s">
        <v>244</v>
      </c>
      <c r="CU3" s="1" t="s">
        <v>245</v>
      </c>
      <c r="CV3" s="22" t="s">
        <v>353</v>
      </c>
      <c r="CW3" s="23" t="s">
        <v>354</v>
      </c>
      <c r="CX3" s="82" t="s">
        <v>279</v>
      </c>
      <c r="CY3" s="83"/>
      <c r="CZ3" s="1" t="s">
        <v>274</v>
      </c>
      <c r="DA3" s="1" t="s">
        <v>275</v>
      </c>
      <c r="DB3" s="1" t="s">
        <v>276</v>
      </c>
      <c r="DC3" s="1" t="s">
        <v>278</v>
      </c>
      <c r="DD3" s="13" t="s">
        <v>285</v>
      </c>
      <c r="DE3" s="47"/>
      <c r="DF3" s="47"/>
      <c r="DG3" s="47"/>
      <c r="DH3" s="41"/>
      <c r="DN3" s="7"/>
      <c r="DO3" s="7"/>
      <c r="DP3" s="7"/>
    </row>
    <row r="4" spans="1:120" s="3" customFormat="1" x14ac:dyDescent="0.35">
      <c r="A4" s="2" t="s">
        <v>17</v>
      </c>
      <c r="B4" s="2">
        <v>2.6666666666666665</v>
      </c>
      <c r="C4" s="2" t="s">
        <v>168</v>
      </c>
      <c r="D4" s="2" t="s">
        <v>403</v>
      </c>
      <c r="F4" s="3">
        <v>4.0229999999999997</v>
      </c>
      <c r="G4" s="3">
        <v>4.0250000000000004</v>
      </c>
      <c r="H4" s="3">
        <v>4.0119999999999996</v>
      </c>
      <c r="I4" s="3">
        <v>4.01</v>
      </c>
      <c r="J4" s="3" t="str">
        <f>LEFT(ADDRESS(1,COLUMN(),4),LEN(ADDRESS(1,COLUMN(),4))-1)</f>
        <v>J</v>
      </c>
      <c r="K4" s="3">
        <f t="shared" ref="K4:K35" ca="1" si="0">INDIRECT("'Data_Netteyage'!" &amp; LEFT(ADDRESS(1,COLUMN(),4),LEN(ADDRESS(1,COLUMN(),4))-1) &amp; ROW())/F4</f>
        <v>0.87397464578672635</v>
      </c>
      <c r="L4" s="3">
        <f t="shared" ref="L4:L35" ca="1" si="1">INDIRECT("'Data_Netteyage'!" &amp; LEFT(ADDRESS(1,COLUMN(),4),LEN(ADDRESS(1,COLUMN(),4))-1) &amp; ROW())/G4</f>
        <v>0.9935403726708073</v>
      </c>
      <c r="M4" s="3">
        <f t="shared" ref="M4:M35" ca="1" si="2">INDIRECT("'Data_Netteyage'!" &amp; LEFT(ADDRESS(1,COLUMN(),4),LEN(ADDRESS(1,COLUMN(),4))-1) &amp; ROW())/H4</f>
        <v>0.99700897308075787</v>
      </c>
      <c r="N4" s="3">
        <f t="shared" ref="N4:N35" ca="1" si="3">INDIRECT("'Data_Netteyage'!" &amp; LEFT(ADDRESS(1,COLUMN(),4),LEN(ADDRESS(1,COLUMN(),4))-1) &amp; ROW())/I4</f>
        <v>0.82693266832917722</v>
      </c>
      <c r="P4" s="3">
        <f t="shared" ref="P4:P35" ca="1" si="4">INDIRECT("'Data_Netteyage'!" &amp; LEFT(ADDRESS(1,COLUMN(),4),LEN(ADDRESS(1,COLUMN(),4))-1) &amp; ROW())/F4</f>
        <v>0.37733034473611682</v>
      </c>
      <c r="Q4" s="3">
        <f t="shared" ref="Q4:Q35" ca="1" si="5">INDIRECT("'Data_Netteyage'!" &amp; LEFT(ADDRESS(1,COLUMN(),4),LEN(ADDRESS(1,COLUMN(),4))-1) &amp; ROW())/G4</f>
        <v>0.23950313003907289</v>
      </c>
      <c r="R4" s="3">
        <f t="shared" ref="R4:R35" ca="1" si="6">INDIRECT("'Data_Netteyage'!" &amp; LEFT(ADDRESS(1,COLUMN(),4),LEN(ADDRESS(1,COLUMN(),4))-1) &amp; ROW())/H4</f>
        <v>0.62263196896936224</v>
      </c>
      <c r="S4" s="3">
        <f t="shared" ref="S4:S35" ca="1" si="7">INDIRECT("'Data_Netteyage'!" &amp; LEFT(ADDRESS(1,COLUMN(),4),LEN(ADDRESS(1,COLUMN(),4))-1) &amp; ROW())/I4</f>
        <v>3.3167086337272667E-2</v>
      </c>
      <c r="U4" s="3">
        <f t="shared" ref="U4:U35" ca="1" si="8">INDIRECT("'Data_Netteyage'!" &amp; LEFT(ADDRESS(1,COLUMN(),4),LEN(ADDRESS(1,COLUMN(),4))-1) &amp; ROW())/F4</f>
        <v>2.2371364653243848</v>
      </c>
      <c r="V4" s="3">
        <f t="shared" ref="V4:V35" ca="1" si="9">INDIRECT("'Data_Netteyage'!" &amp; LEFT(ADDRESS(1,COLUMN(),4),LEN(ADDRESS(1,COLUMN(),4))-1) &amp; ROW())/G4</f>
        <v>1.7391304347826086</v>
      </c>
      <c r="W4" s="3">
        <f t="shared" ref="W4:W35" ca="1" si="10">INDIRECT("'Data_Netteyage'!" &amp; LEFT(ADDRESS(1,COLUMN(),4),LEN(ADDRESS(1,COLUMN(),4))-1) &amp; ROW())/H4</f>
        <v>3.9880358923230315</v>
      </c>
      <c r="X4" s="3">
        <f t="shared" ref="X4:X35" ca="1" si="11">INDIRECT("'Data_Netteyage'!" &amp; LEFT(ADDRESS(1,COLUMN(),4),LEN(ADDRESS(1,COLUMN(),4))-1) &amp; ROW())/I4</f>
        <v>0.24937655860349128</v>
      </c>
      <c r="Z4" s="3">
        <f t="shared" ref="Z4:Z35" ca="1" si="12">INDIRECT("'Data_Netteyage'!" &amp; LEFT(ADDRESS(1,COLUMN(),4),LEN(ADDRESS(1,COLUMN(),4))-1) &amp; ROW())/F4</f>
        <v>0.80760626398210289</v>
      </c>
      <c r="AA4" s="3">
        <f t="shared" ref="AA4:AA35" ca="1" si="13">INDIRECT("'Data_Netteyage'!" &amp; LEFT(ADDRESS(1,COLUMN(),4),LEN(ADDRESS(1,COLUMN(),4))-1) &amp; ROW())/G4</f>
        <v>0.95204968944099366</v>
      </c>
      <c r="AB4" s="3">
        <f t="shared" ref="AB4:AB35" ca="1" si="14">INDIRECT("'Data_Netteyage'!" &amp; LEFT(ADDRESS(1,COLUMN(),4),LEN(ADDRESS(1,COLUMN(),4))-1) &amp; ROW())/H4</f>
        <v>0.99700897308075787</v>
      </c>
      <c r="AC4" s="3">
        <f t="shared" ref="AC4:AC35" ca="1" si="15">INDIRECT("'Data_Netteyage'!" &amp; LEFT(ADDRESS(1,COLUMN(),4),LEN(ADDRESS(1,COLUMN(),4))-1) &amp; ROW())/I4</f>
        <v>0.76882793017456363</v>
      </c>
      <c r="AE4" s="3">
        <f t="shared" ref="AE4:AE35" ca="1" si="16">INDIRECT("'Data_Netteyage'!" &amp; LEFT(ADDRESS(1,COLUMN(),4),LEN(ADDRESS(1,COLUMN(),4))-1) &amp; ROW())/F4</f>
        <v>0.3233905043615028</v>
      </c>
      <c r="AF4" s="3">
        <f t="shared" ref="AF4:AF35" ca="1" si="17">INDIRECT("'Data_Netteyage'!" &amp; LEFT(ADDRESS(1,COLUMN(),4),LEN(ADDRESS(1,COLUMN(),4))-1) &amp; ROW())/G4</f>
        <v>0.23950313003907289</v>
      </c>
      <c r="AG4" s="3">
        <f t="shared" ref="AG4:AG35" ca="1" si="18">INDIRECT("'Data_Netteyage'!" &amp; LEFT(ADDRESS(1,COLUMN(),4),LEN(ADDRESS(1,COLUMN(),4))-1) &amp; ROW())/H4</f>
        <v>0.62263196896936224</v>
      </c>
      <c r="AH4" s="3">
        <f t="shared" ref="AH4:AH35" ca="1" si="19">INDIRECT("'Data_Netteyage'!" &amp; LEFT(ADDRESS(1,COLUMN(),4),LEN(ADDRESS(1,COLUMN(),4))-1) &amp; ROW())/I4</f>
        <v>3.3167086337272667E-2</v>
      </c>
      <c r="AJ4" s="3">
        <f t="shared" ref="AJ4:AJ35" ca="1" si="20">INDIRECT("'Data_Netteyage'!" &amp; LEFT(ADDRESS(1,COLUMN(),4),LEN(ADDRESS(1,COLUMN(),4))-1) &amp; ROW())/F4</f>
        <v>1.9885657469550089</v>
      </c>
      <c r="AK4" s="3">
        <f t="shared" ref="AK4:AK35" ca="1" si="21">INDIRECT("'Data_Netteyage'!" &amp; LEFT(ADDRESS(1,COLUMN(),4),LEN(ADDRESS(1,COLUMN(),4))-1) &amp; ROW())/G4</f>
        <v>1.7391304347826086</v>
      </c>
      <c r="AL4" s="3">
        <f t="shared" ref="AL4:AL35" ca="1" si="22">INDIRECT("'Data_Netteyage'!" &amp; LEFT(ADDRESS(1,COLUMN(),4),LEN(ADDRESS(1,COLUMN(),4))-1) &amp; ROW())/H4</f>
        <v>3.9880358923230315</v>
      </c>
      <c r="AM4" s="3">
        <f t="shared" ref="AM4:AM35" ca="1" si="23">INDIRECT("'Data_Netteyage'!" &amp; LEFT(ADDRESS(1,COLUMN(),4),LEN(ADDRESS(1,COLUMN(),4))-1) &amp; ROW())/I4</f>
        <v>0.24937655860349128</v>
      </c>
      <c r="AO4" s="3">
        <f t="shared" ref="AO4:AO35" ca="1" si="24">INDIRECT("'Data_Netteyage'!" &amp; LEFT(ADDRESS(1,COLUMN(),4),LEN(ADDRESS(1,COLUMN(),4))-1) &amp; ROW())/F4</f>
        <v>0.49714143673875222</v>
      </c>
      <c r="AP4" s="3">
        <f t="shared" ref="AP4:AP35" ca="1" si="25">INDIRECT("'Data_Netteyage'!" &amp; LEFT(ADDRESS(1,COLUMN(),4),LEN(ADDRESS(1,COLUMN(),4))-1) &amp; ROW())/G4</f>
        <v>0.74534161490683226</v>
      </c>
      <c r="AQ4" s="3">
        <f t="shared" ref="AQ4:AQ35" ca="1" si="26">INDIRECT("'Data_Netteyage'!" &amp; LEFT(ADDRESS(1,COLUMN(),4),LEN(ADDRESS(1,COLUMN(),4))-1) &amp; ROW())/H4</f>
        <v>0.24925224327018947</v>
      </c>
      <c r="AR4" s="3">
        <f t="shared" ref="AR4:AR35" ca="1" si="27">INDIRECT("'Data_Netteyage'!" &amp; LEFT(ADDRESS(1,COLUMN(),4),LEN(ADDRESS(1,COLUMN(),4))-1) &amp; ROW())/I4</f>
        <v>1.4962593516209477</v>
      </c>
      <c r="AT4" s="3">
        <v>1.281000018119812</v>
      </c>
      <c r="AU4" s="3">
        <v>5.4999999701976776E-2</v>
      </c>
      <c r="AV4" s="3">
        <v>0.27300000190734863</v>
      </c>
      <c r="AW4" s="3">
        <v>1.3070000410079956</v>
      </c>
      <c r="AY4" s="3">
        <f t="shared" ref="AY4:AY35" ca="1" si="28">INDIRECT("'Data_Netteyage'!" &amp; LEFT(ADDRESS(1,COLUMN(),4),LEN(ADDRESS(1,COLUMN(),4))-1) &amp; ROW())/F4</f>
        <v>0.16579666915237354</v>
      </c>
      <c r="AZ4" s="3">
        <f t="shared" ref="AZ4:AZ35" ca="1" si="29">INDIRECT("'Data_Netteyage'!" &amp; LEFT(ADDRESS(1,COLUMN(),4),LEN(ADDRESS(1,COLUMN(),4))-1) &amp; ROW())/G4</f>
        <v>0.11503105590062118</v>
      </c>
      <c r="BA4" s="3">
        <f t="shared" ref="BA4:BA35" ca="1" si="30">INDIRECT("'Data_Netteyage'!" &amp; LEFT(ADDRESS(1,COLUMN(),4),LEN(ADDRESS(1,COLUMN(),4))-1) &amp; ROW())/H4</f>
        <v>0.14107676969092714</v>
      </c>
      <c r="BB4" s="3">
        <f t="shared" ref="BB4:BB35" ca="1" si="31">INDIRECT("'Data_Netteyage'!" &amp; LEFT(ADDRESS(1,COLUMN(),4),LEN(ADDRESS(1,COLUMN(),4))-1) &amp; ROW())/I4</f>
        <v>5.3865336658353996E-2</v>
      </c>
      <c r="BD4" s="3">
        <f t="shared" ref="BD4:BD35" ca="1" si="32">INDIRECT("'Data_Netteyage'!" &amp; LEFT(ADDRESS(1,COLUMN(),4),LEN(ADDRESS(1,COLUMN(),4))-1) &amp; ROW())/F4</f>
        <v>0.14491668542818795</v>
      </c>
      <c r="BE4" s="3">
        <f t="shared" ref="BE4:BE35" ca="1" si="33">INDIRECT("'Data_Netteyage'!" &amp; LEFT(ADDRESS(1,COLUMN(),4),LEN(ADDRESS(1,COLUMN(),4))-1) &amp; ROW())/G4</f>
        <v>5.7639735085623603E-2</v>
      </c>
      <c r="BF4" s="3">
        <f t="shared" ref="BF4:BF35" ca="1" si="34">INDIRECT("'Data_Netteyage'!" &amp; LEFT(ADDRESS(1,COLUMN(),4),LEN(ADDRESS(1,COLUMN(),4))-1) &amp; ROW())/H4</f>
        <v>0.16600197387240823</v>
      </c>
      <c r="BG4" s="3">
        <f t="shared" ref="BG4:BG35" ca="1" si="35">INDIRECT("'Data_Netteyage'!" &amp; LEFT(ADDRESS(1,COLUMN(),4),LEN(ADDRESS(1,COLUMN(),4))-1) &amp; ROW())/I4</f>
        <v>0</v>
      </c>
      <c r="BI4" s="3">
        <f t="shared" ref="BI4:BI35" ca="1" si="36">INDIRECT("'Data_Netteyage'!" &amp; LEFT(ADDRESS(1,COLUMN(),4),LEN(ADDRESS(1,COLUMN(),4))-1) &amp; ROW())/F4</f>
        <v>0.99428287347750444</v>
      </c>
      <c r="BJ4" s="3">
        <f t="shared" ref="BJ4:BJ35" ca="1" si="37">INDIRECT("'Data_Netteyage'!" &amp; LEFT(ADDRESS(1,COLUMN(),4),LEN(ADDRESS(1,COLUMN(),4))-1) &amp; ROW())/G4</f>
        <v>0.49689440993788814</v>
      </c>
      <c r="BK4" s="3">
        <f t="shared" ref="BK4:BK35" ca="1" si="38">INDIRECT("'Data_Netteyage'!" &amp; LEFT(ADDRESS(1,COLUMN(),4),LEN(ADDRESS(1,COLUMN(),4))-1) &amp; ROW())/H4</f>
        <v>0.99700897308075787</v>
      </c>
      <c r="BL4" s="3">
        <f t="shared" ref="BL4:BL35" ca="1" si="39">INDIRECT("'Data_Netteyage'!" &amp; LEFT(ADDRESS(1,COLUMN(),4),LEN(ADDRESS(1,COLUMN(),4))-1) &amp; ROW())/I4</f>
        <v>0</v>
      </c>
      <c r="BN4" s="3">
        <f t="shared" ref="BN4:BN35" ca="1" si="40">INDIRECT("'Data_Netteyage'!" &amp; LEFT(ADDRESS(1,COLUMN(),4),LEN(ADDRESS(1,COLUMN(),4))-1) &amp; ROW())/F4</f>
        <v>5.2199850857568979</v>
      </c>
      <c r="BO4" s="3">
        <f t="shared" ref="BO4:BO35" ca="1" si="41">INDIRECT("'Data_Netteyage'!" &amp; LEFT(ADDRESS(1,COLUMN(),4),LEN(ADDRESS(1,COLUMN(),4))-1) &amp; ROW())/G4</f>
        <v>5.9627329192546581</v>
      </c>
      <c r="BP4" s="3">
        <f t="shared" ref="BP4:BP35" ca="1" si="42">INDIRECT("'Data_Netteyage'!" &amp; LEFT(ADDRESS(1,COLUMN(),4),LEN(ADDRESS(1,COLUMN(),4))-1) &amp; ROW())/H4</f>
        <v>1.7447657028913262</v>
      </c>
      <c r="BQ4" s="3">
        <f t="shared" ref="BQ4:BQ35" ca="1" si="43">INDIRECT("'Data_Netteyage'!" &amp; LEFT(ADDRESS(1,COLUMN(),4),LEN(ADDRESS(1,COLUMN(),4))-1) &amp; ROW())/I4</f>
        <v>2.2443890274314215</v>
      </c>
      <c r="BS4" s="3">
        <v>1.281000018119812</v>
      </c>
      <c r="BT4" s="3">
        <v>0.33799999952316284</v>
      </c>
      <c r="BU4" s="3">
        <v>0.27300000190734863</v>
      </c>
      <c r="BV4" s="3">
        <v>4.01</v>
      </c>
      <c r="BX4" s="3">
        <f t="shared" ref="BX4:BX35" ca="1" si="44">INDIRECT("'Data_Netteyage'!" &amp; LEFT(ADDRESS(1,COLUMN(),4),LEN(ADDRESS(1,COLUMN(),4))-1) &amp; ROW())/F4</f>
        <v>0</v>
      </c>
      <c r="BY4" s="3">
        <f t="shared" ref="BY4:BY35" ca="1" si="45">INDIRECT("'Data_Netteyage'!" &amp; LEFT(ADDRESS(1,COLUMN(),4),LEN(ADDRESS(1,COLUMN(),4))-1) &amp; ROW())/G4</f>
        <v>4.1242236024844697E-2</v>
      </c>
      <c r="BZ4" s="3">
        <f t="shared" ref="BZ4:BZ35" ca="1" si="46">INDIRECT("'Data_Netteyage'!" &amp; LEFT(ADDRESS(1,COLUMN(),4),LEN(ADDRESS(1,COLUMN(),4))-1) &amp; ROW())/H4</f>
        <v>4.2372881355931969E-3</v>
      </c>
      <c r="CA4" s="3">
        <f t="shared" ref="CA4:CA35" ca="1" si="47">INDIRECT("'Data_Netteyage'!" &amp; LEFT(ADDRESS(1,COLUMN(),4),LEN(ADDRESS(1,COLUMN(),4))-1) &amp; ROW())/I4</f>
        <v>3.9900249376558644E-3</v>
      </c>
      <c r="CC4" s="3">
        <f t="shared" ref="CC4:CC35" ca="1" si="48">INDIRECT("'Data_Netteyage'!" &amp; LEFT(ADDRESS(1,COLUMN(),4),LEN(ADDRESS(1,COLUMN(),4))-1) &amp; ROW())/F4</f>
        <v>0</v>
      </c>
      <c r="CD4" s="3">
        <f t="shared" ref="CD4:CD35" ca="1" si="49">INDIRECT("'Data_Netteyage'!" &amp; LEFT(ADDRESS(1,COLUMN(),4),LEN(ADDRESS(1,COLUMN(),4))-1) &amp; ROW())/G4</f>
        <v>4.1242236306208255E-2</v>
      </c>
      <c r="CE4" s="3">
        <f t="shared" ref="CE4:CE35" ca="1" si="50">INDIRECT("'Data_Netteyage'!" &amp; LEFT(ADDRESS(1,COLUMN(),4),LEN(ADDRESS(1,COLUMN(),4))-1) &amp; ROW())/H4</f>
        <v>0</v>
      </c>
      <c r="CF4" s="3">
        <f t="shared" ref="CF4:CF35" ca="1" si="51">INDIRECT("'Data_Netteyage'!" &amp; LEFT(ADDRESS(1,COLUMN(),4),LEN(ADDRESS(1,COLUMN(),4))-1) &amp; ROW())/I4</f>
        <v>0</v>
      </c>
      <c r="CH4" s="3">
        <f t="shared" ref="CH4:CH35" ca="1" si="52">INDIRECT("'Data_Netteyage'!" &amp; LEFT(ADDRESS(1,COLUMN(),4),LEN(ADDRESS(1,COLUMN(),4))-1) &amp; ROW())/F4</f>
        <v>0</v>
      </c>
      <c r="CI4" s="3">
        <f t="shared" ref="CI4:CI35" ca="1" si="53">INDIRECT("'Data_Netteyage'!" &amp; LEFT(ADDRESS(1,COLUMN(),4),LEN(ADDRESS(1,COLUMN(),4))-1) &amp; ROW())/G4</f>
        <v>0.24844720496894407</v>
      </c>
      <c r="CJ4" s="3">
        <f t="shared" ref="CJ4:CJ35" ca="1" si="54">INDIRECT("'Data_Netteyage'!" &amp; LEFT(ADDRESS(1,COLUMN(),4),LEN(ADDRESS(1,COLUMN(),4))-1) &amp; ROW())/H4</f>
        <v>0</v>
      </c>
      <c r="CK4" s="3">
        <f t="shared" ref="CK4:CK35" ca="1" si="55">INDIRECT("'Data_Netteyage'!" &amp; LEFT(ADDRESS(1,COLUMN(),4),LEN(ADDRESS(1,COLUMN(),4))-1) &amp; ROW())/I4</f>
        <v>0</v>
      </c>
      <c r="CM4" s="3">
        <f t="shared" ref="CM4:CM35" ca="1" si="56">INDIRECT("'Data_Netteyage'!" &amp; LEFT(ADDRESS(1,COLUMN(),4),LEN(ADDRESS(1,COLUMN(),4))-1) &amp; ROW())/F4</f>
        <v>0.24857071836937611</v>
      </c>
      <c r="CN4" s="3">
        <f t="shared" ref="CN4:CN35" ca="1" si="57">INDIRECT("'Data_Netteyage'!" &amp; LEFT(ADDRESS(1,COLUMN(),4),LEN(ADDRESS(1,COLUMN(),4))-1) &amp; ROW())/G4</f>
        <v>0.49689440993788814</v>
      </c>
      <c r="CO4" s="3">
        <f t="shared" ref="CO4:CO35" ca="1" si="58">INDIRECT("'Data_Netteyage'!" &amp; LEFT(ADDRESS(1,COLUMN(),4),LEN(ADDRESS(1,COLUMN(),4))-1) &amp; ROW())/H4</f>
        <v>0.24925224327018947</v>
      </c>
      <c r="CP4" s="3">
        <f t="shared" ref="CP4:CP35" ca="1" si="59">INDIRECT("'Data_Netteyage'!" &amp; LEFT(ADDRESS(1,COLUMN(),4),LEN(ADDRESS(1,COLUMN(),4))-1) &amp; ROW())/I4</f>
        <v>0.99750623441396513</v>
      </c>
      <c r="CR4" s="3">
        <v>4.0229999999999997</v>
      </c>
      <c r="CS4" s="3">
        <v>5.4999999701976776E-2</v>
      </c>
      <c r="CT4" s="3">
        <v>4.0119999999999996</v>
      </c>
      <c r="CU4" s="3">
        <v>4.01</v>
      </c>
      <c r="CV4" s="21">
        <f ca="1">INDIRECT("Graphique_interactif_Param!"&amp;$DG$12 &amp; ROW() )</f>
        <v>0.16600197387240823</v>
      </c>
      <c r="CW4" s="16">
        <f ca="1">INDIRECT("Graphique_interactif_Param"&amp;"!B"&amp;ROW())</f>
        <v>2.6666666666666665</v>
      </c>
      <c r="DD4" s="38"/>
      <c r="DE4" s="46"/>
      <c r="DF4" s="48" t="s">
        <v>351</v>
      </c>
      <c r="DG4" s="46"/>
      <c r="DH4" s="42"/>
      <c r="DI4" s="20"/>
    </row>
    <row r="5" spans="1:120" s="3" customFormat="1" x14ac:dyDescent="0.35">
      <c r="A5" s="2" t="s">
        <v>75</v>
      </c>
      <c r="B5" s="2">
        <v>2.8333333333333335</v>
      </c>
      <c r="C5" s="2" t="s">
        <v>167</v>
      </c>
      <c r="D5" s="2" t="s">
        <v>403</v>
      </c>
      <c r="F5" s="3">
        <v>4.0110000000000001</v>
      </c>
      <c r="G5" s="11" t="e">
        <v>#N/A</v>
      </c>
      <c r="H5" s="11" t="e">
        <v>#N/A</v>
      </c>
      <c r="I5" s="3">
        <v>2.0580000000000007</v>
      </c>
      <c r="K5" s="3">
        <f t="shared" ca="1" si="0"/>
        <v>0.98454250810271748</v>
      </c>
      <c r="L5" s="3" t="e">
        <f t="shared" ca="1" si="1"/>
        <v>#N/A</v>
      </c>
      <c r="M5" s="3" t="e">
        <f t="shared" ca="1" si="2"/>
        <v>#N/A</v>
      </c>
      <c r="N5" s="3">
        <f t="shared" ca="1" si="3"/>
        <v>0.90670553935860032</v>
      </c>
      <c r="P5" s="3">
        <f t="shared" ca="1" si="4"/>
        <v>0.61904763460634826</v>
      </c>
      <c r="Q5" s="3" t="e">
        <f t="shared" ca="1" si="5"/>
        <v>#N/A</v>
      </c>
      <c r="R5" s="3" t="e">
        <f t="shared" ca="1" si="6"/>
        <v>#N/A</v>
      </c>
      <c r="S5" s="3">
        <f t="shared" ca="1" si="7"/>
        <v>0.62342099501480719</v>
      </c>
      <c r="U5" s="3">
        <f t="shared" ca="1" si="8"/>
        <v>2.9917726252804786</v>
      </c>
      <c r="V5" s="3" t="e">
        <f t="shared" ca="1" si="9"/>
        <v>#N/A</v>
      </c>
      <c r="W5" s="3" t="e">
        <f t="shared" ca="1" si="10"/>
        <v>#N/A</v>
      </c>
      <c r="X5" s="3">
        <f t="shared" ca="1" si="11"/>
        <v>2.4295432458697754</v>
      </c>
      <c r="Z5" s="3">
        <f t="shared" ca="1" si="12"/>
        <v>0.95986038394415352</v>
      </c>
      <c r="AA5" s="3" t="e">
        <f t="shared" ca="1" si="13"/>
        <v>#N/A</v>
      </c>
      <c r="AB5" s="3" t="e">
        <f t="shared" ca="1" si="14"/>
        <v>#N/A</v>
      </c>
      <c r="AC5" s="3">
        <f t="shared" ca="1" si="15"/>
        <v>0.84159378036929033</v>
      </c>
      <c r="AE5" s="3">
        <f t="shared" ca="1" si="16"/>
        <v>0.61904763460634826</v>
      </c>
      <c r="AF5" s="3" t="e">
        <f t="shared" ca="1" si="17"/>
        <v>#N/A</v>
      </c>
      <c r="AG5" s="3" t="e">
        <f t="shared" ca="1" si="18"/>
        <v>#N/A</v>
      </c>
      <c r="AH5" s="3">
        <f t="shared" ca="1" si="19"/>
        <v>0.62342099501480719</v>
      </c>
      <c r="AJ5" s="3">
        <f t="shared" ca="1" si="20"/>
        <v>2.9917726252804786</v>
      </c>
      <c r="AK5" s="3" t="e">
        <f t="shared" ca="1" si="21"/>
        <v>#N/A</v>
      </c>
      <c r="AL5" s="3" t="e">
        <f t="shared" ca="1" si="22"/>
        <v>#N/A</v>
      </c>
      <c r="AM5" s="3">
        <f t="shared" ca="1" si="23"/>
        <v>2.4295432458697754</v>
      </c>
      <c r="AO5" s="3">
        <f t="shared" ca="1" si="24"/>
        <v>0.99725754176015957</v>
      </c>
      <c r="AP5" s="3" t="e">
        <f t="shared" ca="1" si="25"/>
        <v>#N/A</v>
      </c>
      <c r="AQ5" s="3" t="e">
        <f t="shared" ca="1" si="26"/>
        <v>#N/A</v>
      </c>
      <c r="AR5" s="3">
        <f t="shared" ca="1" si="27"/>
        <v>1.9436345966958206</v>
      </c>
      <c r="AT5" s="3">
        <v>1.0999999940395355E-2</v>
      </c>
      <c r="AU5" s="11" t="e">
        <v>#N/A</v>
      </c>
      <c r="AV5" s="11" t="e">
        <v>#N/A</v>
      </c>
      <c r="AW5" s="3">
        <v>1.4000000432133675E-2</v>
      </c>
      <c r="AY5" s="3">
        <f t="shared" ca="1" si="28"/>
        <v>6.6317626527050616E-2</v>
      </c>
      <c r="AZ5" s="3" t="e">
        <f t="shared" ca="1" si="29"/>
        <v>#N/A</v>
      </c>
      <c r="BA5" s="3" t="e">
        <f t="shared" ca="1" si="30"/>
        <v>#N/A</v>
      </c>
      <c r="BB5" s="3">
        <f t="shared" ca="1" si="31"/>
        <v>0</v>
      </c>
      <c r="BD5" s="3">
        <f t="shared" ca="1" si="32"/>
        <v>8.3271032317681543E-2</v>
      </c>
      <c r="BE5" s="3" t="e">
        <f t="shared" ca="1" si="33"/>
        <v>#N/A</v>
      </c>
      <c r="BF5" s="3" t="e">
        <f t="shared" ca="1" si="34"/>
        <v>#N/A</v>
      </c>
      <c r="BG5" s="3">
        <f t="shared" ca="1" si="35"/>
        <v>0</v>
      </c>
      <c r="BI5" s="3">
        <f t="shared" ca="1" si="36"/>
        <v>0.49862877088007979</v>
      </c>
      <c r="BJ5" s="3" t="e">
        <f t="shared" ca="1" si="37"/>
        <v>#N/A</v>
      </c>
      <c r="BK5" s="3" t="e">
        <f t="shared" ca="1" si="38"/>
        <v>#N/A</v>
      </c>
      <c r="BL5" s="3">
        <f t="shared" ca="1" si="39"/>
        <v>0</v>
      </c>
      <c r="BN5" s="3">
        <f t="shared" ca="1" si="40"/>
        <v>0.74794315632011965</v>
      </c>
      <c r="BO5" s="3" t="e">
        <f t="shared" ca="1" si="41"/>
        <v>#N/A</v>
      </c>
      <c r="BP5" s="3" t="e">
        <f t="shared" ca="1" si="42"/>
        <v>#N/A</v>
      </c>
      <c r="BQ5" s="3">
        <f t="shared" ca="1" si="43"/>
        <v>0</v>
      </c>
      <c r="BS5" s="3">
        <v>1.343999981880188</v>
      </c>
      <c r="BT5" s="11" t="e">
        <v>#N/A</v>
      </c>
      <c r="BU5" s="11" t="e">
        <v>#N/A</v>
      </c>
      <c r="BV5" s="3">
        <v>4.0410000000000004</v>
      </c>
      <c r="BX5" s="3">
        <f t="shared" ca="1" si="44"/>
        <v>0</v>
      </c>
      <c r="BY5" s="3" t="e">
        <f t="shared" ca="1" si="45"/>
        <v>#N/A</v>
      </c>
      <c r="BZ5" s="3" t="e">
        <f t="shared" ca="1" si="46"/>
        <v>#N/A</v>
      </c>
      <c r="CA5" s="3">
        <f t="shared" ca="1" si="47"/>
        <v>0</v>
      </c>
      <c r="CC5" s="3">
        <f t="shared" ca="1" si="48"/>
        <v>0</v>
      </c>
      <c r="CD5" s="3" t="e">
        <f t="shared" ca="1" si="49"/>
        <v>#N/A</v>
      </c>
      <c r="CE5" s="3" t="e">
        <f t="shared" ca="1" si="50"/>
        <v>#N/A</v>
      </c>
      <c r="CF5" s="3">
        <f t="shared" ca="1" si="51"/>
        <v>0</v>
      </c>
      <c r="CH5" s="3">
        <f t="shared" ca="1" si="52"/>
        <v>0</v>
      </c>
      <c r="CI5" s="3" t="e">
        <f t="shared" ca="1" si="53"/>
        <v>#N/A</v>
      </c>
      <c r="CJ5" s="3" t="e">
        <f t="shared" ca="1" si="54"/>
        <v>#N/A</v>
      </c>
      <c r="CK5" s="3">
        <f t="shared" ca="1" si="55"/>
        <v>0</v>
      </c>
      <c r="CM5" s="3">
        <f t="shared" ca="1" si="56"/>
        <v>0.24931438544003989</v>
      </c>
      <c r="CN5" s="3" t="e">
        <f t="shared" ca="1" si="57"/>
        <v>#N/A</v>
      </c>
      <c r="CO5" s="3" t="e">
        <f t="shared" ca="1" si="58"/>
        <v>#N/A</v>
      </c>
      <c r="CP5" s="3">
        <f t="shared" ca="1" si="59"/>
        <v>0</v>
      </c>
      <c r="CR5" s="3">
        <v>4.0110000000000001</v>
      </c>
      <c r="CS5" s="11" t="e">
        <v>#N/A</v>
      </c>
      <c r="CT5" s="11" t="e">
        <v>#N/A</v>
      </c>
      <c r="CU5" s="3">
        <v>4.0410000000000004</v>
      </c>
      <c r="CV5" s="21" t="e">
        <f ca="1">INDIRECT("Graphique_interactif_Param!"&amp;$DG$12 &amp; ROW() )</f>
        <v>#N/A</v>
      </c>
      <c r="CW5" s="16">
        <f t="shared" ref="CW5:CW68" ca="1" si="60">INDIRECT("Graphique_interactif_Param"&amp;"!B"&amp;ROW())</f>
        <v>2.8333333333333335</v>
      </c>
      <c r="CY5" s="79" t="s">
        <v>269</v>
      </c>
      <c r="CZ5" s="17" t="s">
        <v>167</v>
      </c>
      <c r="DA5" s="17" t="s">
        <v>167</v>
      </c>
      <c r="DB5" s="17" t="s">
        <v>167</v>
      </c>
      <c r="DC5" s="17" t="s">
        <v>167</v>
      </c>
      <c r="DD5" s="39" t="s">
        <v>273</v>
      </c>
      <c r="DE5" s="46"/>
      <c r="DF5" s="46"/>
      <c r="DG5" s="46"/>
      <c r="DH5" s="42"/>
    </row>
    <row r="6" spans="1:120" s="3" customFormat="1" x14ac:dyDescent="0.35">
      <c r="A6" s="2" t="s">
        <v>78</v>
      </c>
      <c r="B6" s="2">
        <v>3</v>
      </c>
      <c r="C6" s="2" t="s">
        <v>168</v>
      </c>
      <c r="D6" s="2" t="s">
        <v>403</v>
      </c>
      <c r="F6" s="11" t="e">
        <v>#N/A</v>
      </c>
      <c r="G6" s="11" t="e">
        <v>#N/A</v>
      </c>
      <c r="H6" s="3">
        <v>0.61699999999999999</v>
      </c>
      <c r="I6" s="11" t="e">
        <v>#N/A</v>
      </c>
      <c r="K6" s="3" t="e">
        <f t="shared" ca="1" si="0"/>
        <v>#N/A</v>
      </c>
      <c r="L6" s="3" t="e">
        <f t="shared" ca="1" si="1"/>
        <v>#N/A</v>
      </c>
      <c r="M6" s="3" t="e">
        <f t="shared" ca="1" si="2"/>
        <v>#N/A</v>
      </c>
      <c r="N6" s="3" t="e">
        <f t="shared" ca="1" si="3"/>
        <v>#N/A</v>
      </c>
      <c r="P6" s="3" t="e">
        <f t="shared" ca="1" si="4"/>
        <v>#N/A</v>
      </c>
      <c r="Q6" s="3" t="e">
        <f t="shared" ca="1" si="5"/>
        <v>#N/A</v>
      </c>
      <c r="R6" s="3" t="e">
        <f t="shared" ca="1" si="6"/>
        <v>#N/A</v>
      </c>
      <c r="S6" s="3" t="e">
        <f t="shared" ca="1" si="7"/>
        <v>#N/A</v>
      </c>
      <c r="U6" s="3" t="e">
        <f t="shared" ca="1" si="8"/>
        <v>#N/A</v>
      </c>
      <c r="V6" s="3" t="e">
        <f t="shared" ca="1" si="9"/>
        <v>#N/A</v>
      </c>
      <c r="W6" s="3" t="e">
        <f t="shared" ca="1" si="10"/>
        <v>#N/A</v>
      </c>
      <c r="X6" s="3" t="e">
        <f t="shared" ca="1" si="11"/>
        <v>#N/A</v>
      </c>
      <c r="Z6" s="3" t="e">
        <f t="shared" ca="1" si="12"/>
        <v>#N/A</v>
      </c>
      <c r="AA6" s="3" t="e">
        <f t="shared" ca="1" si="13"/>
        <v>#N/A</v>
      </c>
      <c r="AB6" s="3" t="e">
        <f t="shared" ca="1" si="14"/>
        <v>#N/A</v>
      </c>
      <c r="AC6" s="3" t="e">
        <f t="shared" ca="1" si="15"/>
        <v>#N/A</v>
      </c>
      <c r="AE6" s="3" t="e">
        <f t="shared" ca="1" si="16"/>
        <v>#N/A</v>
      </c>
      <c r="AF6" s="3" t="e">
        <f t="shared" ca="1" si="17"/>
        <v>#N/A</v>
      </c>
      <c r="AG6" s="3" t="e">
        <f t="shared" ca="1" si="18"/>
        <v>#N/A</v>
      </c>
      <c r="AH6" s="3" t="e">
        <f t="shared" ca="1" si="19"/>
        <v>#N/A</v>
      </c>
      <c r="AJ6" s="3" t="e">
        <f t="shared" ca="1" si="20"/>
        <v>#N/A</v>
      </c>
      <c r="AK6" s="3" t="e">
        <f t="shared" ca="1" si="21"/>
        <v>#N/A</v>
      </c>
      <c r="AL6" s="3" t="e">
        <f t="shared" ca="1" si="22"/>
        <v>#N/A</v>
      </c>
      <c r="AM6" s="3" t="e">
        <f t="shared" ca="1" si="23"/>
        <v>#N/A</v>
      </c>
      <c r="AO6" s="3" t="e">
        <f t="shared" ca="1" si="24"/>
        <v>#N/A</v>
      </c>
      <c r="AP6" s="3" t="e">
        <f t="shared" ca="1" si="25"/>
        <v>#N/A</v>
      </c>
      <c r="AQ6" s="3" t="e">
        <f t="shared" ca="1" si="26"/>
        <v>#N/A</v>
      </c>
      <c r="AR6" s="3" t="e">
        <f t="shared" ca="1" si="27"/>
        <v>#N/A</v>
      </c>
      <c r="AT6" s="11" t="e">
        <v>#N/A</v>
      </c>
      <c r="AU6" s="11" t="e">
        <v>#N/A</v>
      </c>
      <c r="AV6" s="11" t="e">
        <v>#N/A</v>
      </c>
      <c r="AW6" s="11" t="e">
        <v>#N/A</v>
      </c>
      <c r="AY6" s="3" t="e">
        <f t="shared" ca="1" si="28"/>
        <v>#N/A</v>
      </c>
      <c r="AZ6" s="3" t="e">
        <f t="shared" ca="1" si="29"/>
        <v>#N/A</v>
      </c>
      <c r="BA6" s="3" t="e">
        <f t="shared" ca="1" si="30"/>
        <v>#N/A</v>
      </c>
      <c r="BB6" s="3" t="e">
        <f t="shared" ca="1" si="31"/>
        <v>#N/A</v>
      </c>
      <c r="BD6" s="3" t="e">
        <f t="shared" ca="1" si="32"/>
        <v>#N/A</v>
      </c>
      <c r="BE6" s="3" t="e">
        <f t="shared" ca="1" si="33"/>
        <v>#N/A</v>
      </c>
      <c r="BF6" s="3" t="e">
        <f t="shared" ca="1" si="34"/>
        <v>#N/A</v>
      </c>
      <c r="BG6" s="3" t="e">
        <f t="shared" ca="1" si="35"/>
        <v>#N/A</v>
      </c>
      <c r="BI6" s="3" t="e">
        <f t="shared" ca="1" si="36"/>
        <v>#N/A</v>
      </c>
      <c r="BJ6" s="3" t="e">
        <f t="shared" ca="1" si="37"/>
        <v>#N/A</v>
      </c>
      <c r="BK6" s="3" t="e">
        <f t="shared" ca="1" si="38"/>
        <v>#N/A</v>
      </c>
      <c r="BL6" s="3" t="e">
        <f t="shared" ca="1" si="39"/>
        <v>#N/A</v>
      </c>
      <c r="BN6" s="3" t="e">
        <f t="shared" ca="1" si="40"/>
        <v>#N/A</v>
      </c>
      <c r="BO6" s="3" t="e">
        <f t="shared" ca="1" si="41"/>
        <v>#N/A</v>
      </c>
      <c r="BP6" s="3" t="e">
        <f t="shared" ca="1" si="42"/>
        <v>#N/A</v>
      </c>
      <c r="BQ6" s="3" t="e">
        <f t="shared" ca="1" si="43"/>
        <v>#N/A</v>
      </c>
      <c r="BS6" s="11" t="e">
        <v>#N/A</v>
      </c>
      <c r="BT6" s="11" t="e">
        <v>#N/A</v>
      </c>
      <c r="BU6" s="11" t="e">
        <v>#N/A</v>
      </c>
      <c r="BV6" s="11" t="e">
        <v>#N/A</v>
      </c>
      <c r="BX6" s="3" t="e">
        <f t="shared" ca="1" si="44"/>
        <v>#N/A</v>
      </c>
      <c r="BY6" s="3" t="e">
        <f t="shared" ca="1" si="45"/>
        <v>#N/A</v>
      </c>
      <c r="BZ6" s="3" t="e">
        <f t="shared" ca="1" si="46"/>
        <v>#N/A</v>
      </c>
      <c r="CA6" s="3" t="e">
        <f t="shared" ca="1" si="47"/>
        <v>#N/A</v>
      </c>
      <c r="CC6" s="3" t="e">
        <f t="shared" ca="1" si="48"/>
        <v>#N/A</v>
      </c>
      <c r="CD6" s="3" t="e">
        <f t="shared" ca="1" si="49"/>
        <v>#N/A</v>
      </c>
      <c r="CE6" s="3" t="e">
        <f t="shared" ca="1" si="50"/>
        <v>#N/A</v>
      </c>
      <c r="CF6" s="3" t="e">
        <f t="shared" ca="1" si="51"/>
        <v>#N/A</v>
      </c>
      <c r="CH6" s="3" t="e">
        <f t="shared" ca="1" si="52"/>
        <v>#N/A</v>
      </c>
      <c r="CI6" s="3" t="e">
        <f t="shared" ca="1" si="53"/>
        <v>#N/A</v>
      </c>
      <c r="CJ6" s="3" t="e">
        <f t="shared" ca="1" si="54"/>
        <v>#N/A</v>
      </c>
      <c r="CK6" s="3" t="e">
        <f t="shared" ca="1" si="55"/>
        <v>#N/A</v>
      </c>
      <c r="CM6" s="3" t="e">
        <f t="shared" ca="1" si="56"/>
        <v>#N/A</v>
      </c>
      <c r="CN6" s="3" t="e">
        <f t="shared" ca="1" si="57"/>
        <v>#N/A</v>
      </c>
      <c r="CO6" s="3" t="e">
        <f t="shared" ca="1" si="58"/>
        <v>#N/A</v>
      </c>
      <c r="CP6" s="3" t="e">
        <f t="shared" ca="1" si="59"/>
        <v>#N/A</v>
      </c>
      <c r="CR6" s="11" t="e">
        <v>#N/A</v>
      </c>
      <c r="CS6" s="11" t="e">
        <v>#N/A</v>
      </c>
      <c r="CT6" s="11" t="e">
        <v>#N/A</v>
      </c>
      <c r="CU6" s="11" t="e">
        <v>#N/A</v>
      </c>
      <c r="CV6" s="21" t="e">
        <f t="shared" ref="CV6:CV69" ca="1" si="61">INDIRECT("Graphique_interactif_Param!"&amp;$DG$12 &amp; ROW() )</f>
        <v>#N/A</v>
      </c>
      <c r="CW6" s="16">
        <f t="shared" ca="1" si="60"/>
        <v>3</v>
      </c>
      <c r="CX6" s="3" t="s">
        <v>269</v>
      </c>
      <c r="CY6" s="80"/>
      <c r="CZ6" s="17" t="s">
        <v>289</v>
      </c>
      <c r="DA6" s="17" t="s">
        <v>301</v>
      </c>
      <c r="DB6" s="17" t="s">
        <v>371</v>
      </c>
      <c r="DC6" s="17" t="s">
        <v>376</v>
      </c>
      <c r="DD6" s="39" t="s">
        <v>280</v>
      </c>
      <c r="DE6" s="46"/>
      <c r="DF6" s="46">
        <v>3</v>
      </c>
      <c r="DG6" s="46" t="str">
        <f>INDEX(CZ5:DC28, 6*$DF$6-5,1)</f>
        <v>H</v>
      </c>
      <c r="DH6" s="42"/>
    </row>
    <row r="7" spans="1:120" s="3" customFormat="1" x14ac:dyDescent="0.35">
      <c r="A7" s="2" t="s">
        <v>40</v>
      </c>
      <c r="B7" s="2">
        <v>3.1666666666666665</v>
      </c>
      <c r="C7" s="2" t="s">
        <v>168</v>
      </c>
      <c r="D7" s="2" t="s">
        <v>403</v>
      </c>
      <c r="F7" s="3">
        <v>2.3819999999999997</v>
      </c>
      <c r="G7" s="3">
        <v>4.016</v>
      </c>
      <c r="H7" s="3">
        <v>4.016</v>
      </c>
      <c r="I7" s="3">
        <v>4.016</v>
      </c>
      <c r="K7" s="3">
        <f t="shared" ca="1" si="0"/>
        <v>0.99328295549958034</v>
      </c>
      <c r="L7" s="3">
        <f t="shared" ca="1" si="1"/>
        <v>0.99601593625498008</v>
      </c>
      <c r="M7" s="3">
        <f t="shared" ca="1" si="2"/>
        <v>0.99576693227091628</v>
      </c>
      <c r="N7" s="3">
        <f t="shared" ca="1" si="3"/>
        <v>0.99601593625498008</v>
      </c>
      <c r="P7" s="3">
        <f t="shared" ca="1" si="4"/>
        <v>0.83249366954031567</v>
      </c>
      <c r="Q7" s="3">
        <f t="shared" ca="1" si="5"/>
        <v>0.89243035194180176</v>
      </c>
      <c r="R7" s="3">
        <f t="shared" ca="1" si="6"/>
        <v>0.93750005023947269</v>
      </c>
      <c r="S7" s="3">
        <f t="shared" ca="1" si="7"/>
        <v>0.84238052618619341</v>
      </c>
      <c r="U7" s="3">
        <f t="shared" ca="1" si="8"/>
        <v>2.0990764063811924</v>
      </c>
      <c r="V7" s="3">
        <f t="shared" ca="1" si="9"/>
        <v>2.4900398406374502</v>
      </c>
      <c r="W7" s="3">
        <f t="shared" ca="1" si="10"/>
        <v>2.241035856573705</v>
      </c>
      <c r="X7" s="3">
        <f t="shared" ca="1" si="11"/>
        <v>2.739043824701195</v>
      </c>
      <c r="Z7" s="3">
        <f t="shared" ca="1" si="12"/>
        <v>0.70654911838790957</v>
      </c>
      <c r="AA7" s="3">
        <f t="shared" ca="1" si="13"/>
        <v>0.99601593625498008</v>
      </c>
      <c r="AB7" s="3">
        <f t="shared" ca="1" si="14"/>
        <v>0.99576693227091628</v>
      </c>
      <c r="AC7" s="3">
        <f t="shared" ca="1" si="15"/>
        <v>0.8177290836653387</v>
      </c>
      <c r="AE7" s="3">
        <f t="shared" ca="1" si="16"/>
        <v>0.72753984922125603</v>
      </c>
      <c r="AF7" s="3">
        <f t="shared" ca="1" si="17"/>
        <v>0.89243035194180176</v>
      </c>
      <c r="AG7" s="3">
        <f t="shared" ca="1" si="18"/>
        <v>0.93750005023947269</v>
      </c>
      <c r="AH7" s="3">
        <f t="shared" ca="1" si="19"/>
        <v>0.74701199625281101</v>
      </c>
      <c r="AJ7" s="3">
        <f t="shared" ca="1" si="20"/>
        <v>1.6792611251049541</v>
      </c>
      <c r="AK7" s="3">
        <f t="shared" ca="1" si="21"/>
        <v>2.4900398406374502</v>
      </c>
      <c r="AL7" s="3">
        <f t="shared" ca="1" si="22"/>
        <v>2.241035856573705</v>
      </c>
      <c r="AM7" s="3">
        <f t="shared" ca="1" si="23"/>
        <v>2.4900398406374502</v>
      </c>
      <c r="AO7" s="3">
        <f t="shared" ca="1" si="24"/>
        <v>2.0990764063811924</v>
      </c>
      <c r="AP7" s="3">
        <f t="shared" ca="1" si="25"/>
        <v>0.24900398406374502</v>
      </c>
      <c r="AQ7" s="3">
        <f t="shared" ca="1" si="26"/>
        <v>0.24900398406374502</v>
      </c>
      <c r="AR7" s="3">
        <f t="shared" ca="1" si="27"/>
        <v>0.74701195219123506</v>
      </c>
      <c r="AT7" s="3">
        <v>1.6829999685287476</v>
      </c>
      <c r="AU7" s="3">
        <v>2.0000000949949026E-3</v>
      </c>
      <c r="AV7" s="3">
        <v>1.0999999940395355E-2</v>
      </c>
      <c r="AW7" s="3">
        <v>1.4000000432133675E-2</v>
      </c>
      <c r="AY7" s="3">
        <f t="shared" ca="1" si="28"/>
        <v>1.3434089000839644E-2</v>
      </c>
      <c r="AZ7" s="3">
        <f t="shared" ca="1" si="29"/>
        <v>0.49800796812749015</v>
      </c>
      <c r="BA7" s="3">
        <f t="shared" ca="1" si="30"/>
        <v>0.29457171314741043</v>
      </c>
      <c r="BB7" s="3">
        <f t="shared" ca="1" si="31"/>
        <v>0.30702191235059756</v>
      </c>
      <c r="BD7" s="3">
        <f t="shared" ca="1" si="32"/>
        <v>0.24433255095525916</v>
      </c>
      <c r="BE7" s="3">
        <f t="shared" ca="1" si="33"/>
        <v>0.54332671828003998</v>
      </c>
      <c r="BF7" s="3">
        <f t="shared" ca="1" si="34"/>
        <v>0.34013945624172925</v>
      </c>
      <c r="BG7" s="3">
        <f t="shared" ca="1" si="35"/>
        <v>0.3486056311197015</v>
      </c>
      <c r="BI7" s="3">
        <f t="shared" ca="1" si="36"/>
        <v>0.41981528127623852</v>
      </c>
      <c r="BJ7" s="3">
        <f t="shared" ca="1" si="37"/>
        <v>1.2450199203187251</v>
      </c>
      <c r="BK7" s="3">
        <f t="shared" ca="1" si="38"/>
        <v>0.74701195219123506</v>
      </c>
      <c r="BL7" s="3">
        <f t="shared" ca="1" si="39"/>
        <v>0.99601593625498008</v>
      </c>
      <c r="BN7" s="3">
        <f t="shared" ca="1" si="40"/>
        <v>0.83963056255247703</v>
      </c>
      <c r="BO7" s="3">
        <f t="shared" ca="1" si="41"/>
        <v>1.2450199203187251</v>
      </c>
      <c r="BP7" s="3">
        <f t="shared" ca="1" si="42"/>
        <v>0.74701195219123506</v>
      </c>
      <c r="BQ7" s="3">
        <f t="shared" ca="1" si="43"/>
        <v>0.99601593625498008</v>
      </c>
      <c r="BS7" s="3">
        <v>1.6829999685287476</v>
      </c>
      <c r="BT7" s="3">
        <v>0.58600002527236938</v>
      </c>
      <c r="BU7" s="3">
        <v>1.5770000219345093</v>
      </c>
      <c r="BV7" s="3">
        <v>0.51399999856948853</v>
      </c>
      <c r="BX7" s="3">
        <f t="shared" ca="1" si="44"/>
        <v>9.781696053736362E-2</v>
      </c>
      <c r="BY7" s="3">
        <f t="shared" ca="1" si="45"/>
        <v>9.5617529880478086E-2</v>
      </c>
      <c r="BZ7" s="3">
        <f t="shared" ca="1" si="46"/>
        <v>0.12450199203187243</v>
      </c>
      <c r="CA7" s="3">
        <f t="shared" ca="1" si="47"/>
        <v>2.0916334661354584E-2</v>
      </c>
      <c r="CC7" s="3">
        <f t="shared" ca="1" si="48"/>
        <v>8.3963076273600265E-2</v>
      </c>
      <c r="CD7" s="3">
        <f t="shared" ca="1" si="49"/>
        <v>9.5617531697206437E-2</v>
      </c>
      <c r="CE7" s="3">
        <f t="shared" ca="1" si="50"/>
        <v>0.15338644778645372</v>
      </c>
      <c r="CF7" s="3">
        <f t="shared" ca="1" si="51"/>
        <v>3.3366534231876237E-2</v>
      </c>
      <c r="CH7" s="3">
        <f t="shared" ca="1" si="52"/>
        <v>0.41981528127623852</v>
      </c>
      <c r="CI7" s="3">
        <f t="shared" ca="1" si="53"/>
        <v>0.24900398406374502</v>
      </c>
      <c r="CJ7" s="3">
        <f t="shared" ca="1" si="54"/>
        <v>0.24900398406374502</v>
      </c>
      <c r="CK7" s="3">
        <f t="shared" ca="1" si="55"/>
        <v>0.24900398406374502</v>
      </c>
      <c r="CM7" s="3">
        <f t="shared" ca="1" si="56"/>
        <v>0.83963056255247703</v>
      </c>
      <c r="CN7" s="3">
        <f t="shared" ca="1" si="57"/>
        <v>0.24900398406374502</v>
      </c>
      <c r="CO7" s="3">
        <f t="shared" ca="1" si="58"/>
        <v>0.49800796812749004</v>
      </c>
      <c r="CP7" s="3">
        <f t="shared" ca="1" si="59"/>
        <v>0.24900398406374502</v>
      </c>
      <c r="CR7" s="3">
        <v>2.3320000171661377</v>
      </c>
      <c r="CS7" s="3">
        <v>2.0000000949949026E-3</v>
      </c>
      <c r="CT7" s="3">
        <v>1.0999999940395355E-2</v>
      </c>
      <c r="CU7" s="3">
        <v>1.4000000432133675E-2</v>
      </c>
      <c r="CV7" s="21">
        <f t="shared" ca="1" si="61"/>
        <v>0.34013945624172925</v>
      </c>
      <c r="CW7" s="16">
        <f t="shared" ca="1" si="60"/>
        <v>3.1666666666666665</v>
      </c>
      <c r="CX7" s="3" t="s">
        <v>270</v>
      </c>
      <c r="CY7" s="80"/>
      <c r="CZ7" s="17" t="s">
        <v>404</v>
      </c>
      <c r="DA7" s="17" t="s">
        <v>305</v>
      </c>
      <c r="DB7" s="17" t="s">
        <v>372</v>
      </c>
      <c r="DC7" s="17" t="s">
        <v>377</v>
      </c>
      <c r="DD7" s="39" t="s">
        <v>281</v>
      </c>
      <c r="DE7" s="46"/>
      <c r="DF7" s="49" t="s">
        <v>355</v>
      </c>
      <c r="DG7" s="46"/>
      <c r="DH7" s="42"/>
    </row>
    <row r="8" spans="1:120" s="3" customFormat="1" x14ac:dyDescent="0.35">
      <c r="A8" s="2" t="s">
        <v>47</v>
      </c>
      <c r="B8" s="2">
        <v>3.6666666666666665</v>
      </c>
      <c r="C8" s="2" t="s">
        <v>167</v>
      </c>
      <c r="D8" s="2" t="s">
        <v>403</v>
      </c>
      <c r="F8" s="3">
        <v>0.30099999999999971</v>
      </c>
      <c r="G8" s="3">
        <v>4.0110000000000001</v>
      </c>
      <c r="H8" s="3">
        <v>3.2359999999999998</v>
      </c>
      <c r="I8" s="3">
        <v>4.0060000000000002</v>
      </c>
      <c r="K8" s="3" t="e">
        <f t="shared" ca="1" si="0"/>
        <v>#N/A</v>
      </c>
      <c r="L8" s="3">
        <f t="shared" ca="1" si="1"/>
        <v>0.9970082273747195</v>
      </c>
      <c r="M8" s="3">
        <f t="shared" ca="1" si="2"/>
        <v>0.99907292954264526</v>
      </c>
      <c r="N8" s="3">
        <f t="shared" ca="1" si="3"/>
        <v>0.8277583624563154</v>
      </c>
      <c r="P8" s="3" t="e">
        <f t="shared" ca="1" si="4"/>
        <v>#N/A</v>
      </c>
      <c r="Q8" s="3">
        <f t="shared" ca="1" si="5"/>
        <v>0.94714531386134126</v>
      </c>
      <c r="R8" s="3">
        <f t="shared" ca="1" si="6"/>
        <v>0.78800991085462724</v>
      </c>
      <c r="S8" s="3">
        <f t="shared" ca="1" si="7"/>
        <v>0.74438339343858961</v>
      </c>
      <c r="U8" s="3" t="e">
        <f t="shared" ca="1" si="8"/>
        <v>#N/A</v>
      </c>
      <c r="V8" s="3">
        <f t="shared" ca="1" si="9"/>
        <v>2.2438294689603588</v>
      </c>
      <c r="W8" s="3">
        <f t="shared" ca="1" si="10"/>
        <v>2.781211372064277</v>
      </c>
      <c r="X8" s="3">
        <f t="shared" ca="1" si="11"/>
        <v>2.4962556165751373</v>
      </c>
      <c r="Z8" s="3" t="e">
        <f t="shared" ca="1" si="12"/>
        <v>#N/A</v>
      </c>
      <c r="AA8" s="3">
        <f t="shared" ca="1" si="13"/>
        <v>0.9970082273747195</v>
      </c>
      <c r="AB8" s="3">
        <f t="shared" ca="1" si="14"/>
        <v>0.76761433868974049</v>
      </c>
      <c r="AC8" s="3">
        <f t="shared" ca="1" si="15"/>
        <v>0.80279580629056402</v>
      </c>
      <c r="AE8" s="3" t="e">
        <f t="shared" ca="1" si="16"/>
        <v>#N/A</v>
      </c>
      <c r="AF8" s="3">
        <f t="shared" ca="1" si="17"/>
        <v>0.94714531386134126</v>
      </c>
      <c r="AG8" s="3">
        <f t="shared" ca="1" si="18"/>
        <v>0.71569840678178487</v>
      </c>
      <c r="AH8" s="3">
        <f t="shared" ca="1" si="19"/>
        <v>0.74438339343858961</v>
      </c>
      <c r="AJ8" s="3" t="e">
        <f t="shared" ca="1" si="20"/>
        <v>#N/A</v>
      </c>
      <c r="AK8" s="3">
        <f t="shared" ca="1" si="21"/>
        <v>2.2438294689603588</v>
      </c>
      <c r="AL8" s="3">
        <f t="shared" ca="1" si="22"/>
        <v>2.1631644004944377</v>
      </c>
      <c r="AM8" s="3">
        <f t="shared" ca="1" si="23"/>
        <v>2.4962556165751373</v>
      </c>
      <c r="AO8" s="3" t="e">
        <f t="shared" ca="1" si="24"/>
        <v>#N/A</v>
      </c>
      <c r="AP8" s="3">
        <f t="shared" ca="1" si="25"/>
        <v>0.24931438544003989</v>
      </c>
      <c r="AQ8" s="3">
        <f t="shared" ca="1" si="26"/>
        <v>0.92707045735475901</v>
      </c>
      <c r="AR8" s="3">
        <f t="shared" ca="1" si="27"/>
        <v>0.49925112331502741</v>
      </c>
      <c r="AT8" s="11" t="e">
        <v>#N/A</v>
      </c>
      <c r="AU8" s="3">
        <v>4.0000001899898052E-3</v>
      </c>
      <c r="AV8" s="3">
        <v>0.58600002527236938</v>
      </c>
      <c r="AW8" s="3">
        <v>0.70899999141693115</v>
      </c>
      <c r="AY8" s="3" t="e">
        <f t="shared" ca="1" si="28"/>
        <v>#N/A</v>
      </c>
      <c r="AZ8" s="3">
        <f t="shared" ca="1" si="29"/>
        <v>0.17028172525554736</v>
      </c>
      <c r="BA8" s="3">
        <f t="shared" ca="1" si="30"/>
        <v>0.31427688504326329</v>
      </c>
      <c r="BB8" s="3">
        <f t="shared" ca="1" si="31"/>
        <v>0.47453819271093362</v>
      </c>
      <c r="BD8" s="3" t="e">
        <f t="shared" ca="1" si="32"/>
        <v>#N/A</v>
      </c>
      <c r="BE8" s="3">
        <f t="shared" ca="1" si="33"/>
        <v>0.15382691233332274</v>
      </c>
      <c r="BF8" s="3">
        <f t="shared" ca="1" si="34"/>
        <v>0.34517926545019351</v>
      </c>
      <c r="BG8" s="3">
        <f t="shared" ca="1" si="35"/>
        <v>0.50349471810693691</v>
      </c>
      <c r="BI8" s="3" t="e">
        <f t="shared" ca="1" si="36"/>
        <v>#N/A</v>
      </c>
      <c r="BJ8" s="3">
        <f t="shared" ca="1" si="37"/>
        <v>0.49862877088007979</v>
      </c>
      <c r="BK8" s="3">
        <f t="shared" ca="1" si="38"/>
        <v>0.92707045735475901</v>
      </c>
      <c r="BL8" s="3">
        <f t="shared" ca="1" si="39"/>
        <v>1.4977533699450822</v>
      </c>
      <c r="BN8" s="3" t="e">
        <f t="shared" ca="1" si="40"/>
        <v>#N/A</v>
      </c>
      <c r="BO8" s="3">
        <f t="shared" ca="1" si="41"/>
        <v>0.99725754176015957</v>
      </c>
      <c r="BP8" s="3">
        <f t="shared" ca="1" si="42"/>
        <v>0.61804697156983934</v>
      </c>
      <c r="BQ8" s="3">
        <f t="shared" ca="1" si="43"/>
        <v>1.4977533699450822</v>
      </c>
      <c r="BS8" s="11" t="e">
        <v>#N/A</v>
      </c>
      <c r="BT8" s="3">
        <v>1.0870000123977661</v>
      </c>
      <c r="BU8" s="3">
        <v>0.78600001335144043</v>
      </c>
      <c r="BV8" s="3">
        <v>0.70899999141693115</v>
      </c>
      <c r="BX8" s="3" t="e">
        <f t="shared" ca="1" si="44"/>
        <v>#N/A</v>
      </c>
      <c r="BY8" s="3">
        <f t="shared" ca="1" si="45"/>
        <v>0.35302916978309645</v>
      </c>
      <c r="BZ8" s="3">
        <f t="shared" ca="1" si="46"/>
        <v>8.2200247218788589E-2</v>
      </c>
      <c r="CA8" s="3">
        <f t="shared" ca="1" si="47"/>
        <v>0</v>
      </c>
      <c r="CC8" s="3" t="e">
        <f t="shared" ca="1" si="48"/>
        <v>#N/A</v>
      </c>
      <c r="CD8" s="3">
        <f t="shared" ca="1" si="49"/>
        <v>0.35701821214765334</v>
      </c>
      <c r="CE8" s="3">
        <f t="shared" ca="1" si="50"/>
        <v>5.6551325011754361E-2</v>
      </c>
      <c r="CF8" s="3">
        <f t="shared" ca="1" si="51"/>
        <v>0</v>
      </c>
      <c r="CH8" s="3" t="e">
        <f t="shared" ca="1" si="52"/>
        <v>#N/A</v>
      </c>
      <c r="CI8" s="3">
        <f t="shared" ca="1" si="53"/>
        <v>0.49862877088007979</v>
      </c>
      <c r="CJ8" s="3">
        <f t="shared" ca="1" si="54"/>
        <v>0.30902348578491967</v>
      </c>
      <c r="CK8" s="3">
        <f t="shared" ca="1" si="55"/>
        <v>0</v>
      </c>
      <c r="CM8" s="3" t="e">
        <f t="shared" ca="1" si="56"/>
        <v>#N/A</v>
      </c>
      <c r="CN8" s="3">
        <f t="shared" ca="1" si="57"/>
        <v>0.49862877088007979</v>
      </c>
      <c r="CO8" s="3">
        <f t="shared" ca="1" si="58"/>
        <v>1.2360939431396787</v>
      </c>
      <c r="CP8" s="3">
        <f t="shared" ca="1" si="59"/>
        <v>0</v>
      </c>
      <c r="CR8" s="11" t="e">
        <v>#N/A</v>
      </c>
      <c r="CS8" s="3">
        <v>4.0000001899898052E-3</v>
      </c>
      <c r="CT8" s="3">
        <v>2.0529999732971191</v>
      </c>
      <c r="CU8" s="3">
        <v>4.0060000000000002</v>
      </c>
      <c r="CV8" s="21">
        <f t="shared" ca="1" si="61"/>
        <v>0.34517926545019351</v>
      </c>
      <c r="CW8" s="16">
        <f t="shared" ca="1" si="60"/>
        <v>3.6666666666666665</v>
      </c>
      <c r="CX8" s="3" t="s">
        <v>271</v>
      </c>
      <c r="CY8" s="80"/>
      <c r="CZ8" s="17" t="s">
        <v>295</v>
      </c>
      <c r="DA8" s="17" t="s">
        <v>309</v>
      </c>
      <c r="DB8" s="17" t="s">
        <v>373</v>
      </c>
      <c r="DC8" s="17" t="s">
        <v>379</v>
      </c>
      <c r="DD8" s="39" t="s">
        <v>282</v>
      </c>
      <c r="DE8" s="46"/>
      <c r="DF8" s="46"/>
      <c r="DG8" s="46"/>
      <c r="DH8" s="42"/>
    </row>
    <row r="9" spans="1:120" s="3" customFormat="1" x14ac:dyDescent="0.35">
      <c r="A9" s="2" t="s">
        <v>53</v>
      </c>
      <c r="B9" s="2">
        <v>3.6666666666666665</v>
      </c>
      <c r="C9" s="2" t="s">
        <v>167</v>
      </c>
      <c r="D9" s="2" t="s">
        <v>403</v>
      </c>
      <c r="F9" s="3">
        <v>4.0039999999999996</v>
      </c>
      <c r="G9" s="3">
        <v>4.0010000000000003</v>
      </c>
      <c r="H9" s="3">
        <v>0.36699999999999999</v>
      </c>
      <c r="I9" s="3">
        <v>4.01</v>
      </c>
      <c r="K9" s="3">
        <f t="shared" ca="1" si="0"/>
        <v>0.99450549450549464</v>
      </c>
      <c r="L9" s="3">
        <f t="shared" ca="1" si="1"/>
        <v>0.99550112471882024</v>
      </c>
      <c r="M9" s="3" t="e">
        <f t="shared" ca="1" si="2"/>
        <v>#N/A</v>
      </c>
      <c r="N9" s="3">
        <f t="shared" ca="1" si="3"/>
        <v>0.99750623441396513</v>
      </c>
      <c r="P9" s="3">
        <f t="shared" ca="1" si="4"/>
        <v>0.88686312127348554</v>
      </c>
      <c r="Q9" s="3">
        <f t="shared" ca="1" si="5"/>
        <v>0.95401151011255902</v>
      </c>
      <c r="R9" s="3" t="e">
        <f t="shared" ca="1" si="6"/>
        <v>#N/A</v>
      </c>
      <c r="S9" s="3">
        <f t="shared" ca="1" si="7"/>
        <v>0.93092276782094696</v>
      </c>
      <c r="U9" s="3">
        <f t="shared" ca="1" si="8"/>
        <v>1.7482517482517483</v>
      </c>
      <c r="V9" s="3">
        <f t="shared" ca="1" si="9"/>
        <v>1.9995001249687576</v>
      </c>
      <c r="W9" s="3" t="e">
        <f t="shared" ca="1" si="10"/>
        <v>#N/A</v>
      </c>
      <c r="X9" s="3">
        <f t="shared" ca="1" si="11"/>
        <v>2.9925187032418954</v>
      </c>
      <c r="Z9" s="3">
        <f t="shared" ca="1" si="12"/>
        <v>0.99450549450549464</v>
      </c>
      <c r="AA9" s="3">
        <f t="shared" ca="1" si="13"/>
        <v>0.99550112471882024</v>
      </c>
      <c r="AB9" s="3" t="e">
        <f t="shared" ca="1" si="14"/>
        <v>#N/A</v>
      </c>
      <c r="AC9" s="3">
        <f t="shared" ca="1" si="15"/>
        <v>0.99750623441396513</v>
      </c>
      <c r="AE9" s="3">
        <f t="shared" ca="1" si="16"/>
        <v>0.88686312127348554</v>
      </c>
      <c r="AF9" s="3">
        <f t="shared" ca="1" si="17"/>
        <v>0.95401151011255902</v>
      </c>
      <c r="AG9" s="3" t="e">
        <f t="shared" ca="1" si="18"/>
        <v>#N/A</v>
      </c>
      <c r="AH9" s="3">
        <f t="shared" ca="1" si="19"/>
        <v>0.93092276782094696</v>
      </c>
      <c r="AJ9" s="3">
        <f t="shared" ca="1" si="20"/>
        <v>1.7482517482517483</v>
      </c>
      <c r="AK9" s="3">
        <f t="shared" ca="1" si="21"/>
        <v>1.9995001249687576</v>
      </c>
      <c r="AL9" s="3" t="e">
        <f t="shared" ca="1" si="22"/>
        <v>#N/A</v>
      </c>
      <c r="AM9" s="3">
        <f t="shared" ca="1" si="23"/>
        <v>2.9925187032418954</v>
      </c>
      <c r="AO9" s="3">
        <f t="shared" ca="1" si="24"/>
        <v>0.24975024975024979</v>
      </c>
      <c r="AP9" s="3">
        <f t="shared" ca="1" si="25"/>
        <v>0.2499375156210947</v>
      </c>
      <c r="AQ9" s="3" t="e">
        <f t="shared" ca="1" si="26"/>
        <v>#N/A</v>
      </c>
      <c r="AR9" s="3">
        <f t="shared" ca="1" si="27"/>
        <v>0.24937655860349128</v>
      </c>
      <c r="AT9" s="3">
        <v>1.4000000432133675E-2</v>
      </c>
      <c r="AU9" s="3">
        <v>9.9999997764825821E-3</v>
      </c>
      <c r="AV9" s="11" t="e">
        <v>#N/A</v>
      </c>
      <c r="AW9" s="3">
        <v>9.9999997764825821E-3</v>
      </c>
      <c r="AY9" s="3">
        <f t="shared" ca="1" si="28"/>
        <v>0.71603396603396618</v>
      </c>
      <c r="AZ9" s="3">
        <f t="shared" ca="1" si="29"/>
        <v>0.53311672081979511</v>
      </c>
      <c r="BA9" s="3" t="e">
        <f t="shared" ca="1" si="30"/>
        <v>#N/A</v>
      </c>
      <c r="BB9" s="3">
        <f t="shared" ca="1" si="31"/>
        <v>0.41571072319201996</v>
      </c>
      <c r="BD9" s="3">
        <f t="shared" ca="1" si="32"/>
        <v>0.60389608472258183</v>
      </c>
      <c r="BE9" s="3">
        <f t="shared" ca="1" si="33"/>
        <v>0.57060734625608733</v>
      </c>
      <c r="BF9" s="3" t="e">
        <f t="shared" ca="1" si="34"/>
        <v>#N/A</v>
      </c>
      <c r="BG9" s="3">
        <f t="shared" ca="1" si="35"/>
        <v>0.42394016151713615</v>
      </c>
      <c r="BI9" s="3">
        <f t="shared" ca="1" si="36"/>
        <v>0.99900099900099915</v>
      </c>
      <c r="BJ9" s="3">
        <f t="shared" ca="1" si="37"/>
        <v>0.99975006248437881</v>
      </c>
      <c r="BK9" s="3" t="e">
        <f t="shared" ca="1" si="38"/>
        <v>#N/A</v>
      </c>
      <c r="BL9" s="3">
        <f t="shared" ca="1" si="39"/>
        <v>1.2468827930174564</v>
      </c>
      <c r="BN9" s="3">
        <f t="shared" ca="1" si="40"/>
        <v>0.99900099900099915</v>
      </c>
      <c r="BO9" s="3">
        <f t="shared" ca="1" si="41"/>
        <v>0.74981254686328414</v>
      </c>
      <c r="BP9" s="3" t="e">
        <f t="shared" ca="1" si="42"/>
        <v>#N/A</v>
      </c>
      <c r="BQ9" s="3">
        <f t="shared" ca="1" si="43"/>
        <v>0.99750623441396513</v>
      </c>
      <c r="BS9" s="3">
        <v>0.6470000147819519</v>
      </c>
      <c r="BT9" s="3">
        <v>0.47699999809265137</v>
      </c>
      <c r="BU9" s="11" t="e">
        <v>#N/A</v>
      </c>
      <c r="BV9" s="3">
        <v>0.50999999046325684</v>
      </c>
      <c r="BX9" s="3">
        <f t="shared" ca="1" si="44"/>
        <v>0</v>
      </c>
      <c r="BY9" s="3">
        <f t="shared" ca="1" si="45"/>
        <v>9.9975006248437887E-2</v>
      </c>
      <c r="BZ9" s="3" t="e">
        <f t="shared" ca="1" si="46"/>
        <v>#N/A</v>
      </c>
      <c r="CA9" s="3">
        <f t="shared" ca="1" si="47"/>
        <v>0.10374064837905235</v>
      </c>
      <c r="CC9" s="3">
        <f t="shared" ca="1" si="48"/>
        <v>0</v>
      </c>
      <c r="CD9" s="3">
        <f t="shared" ca="1" si="49"/>
        <v>9.9975005410457063E-2</v>
      </c>
      <c r="CE9" s="3" t="e">
        <f t="shared" ca="1" si="50"/>
        <v>#N/A</v>
      </c>
      <c r="CF9" s="3">
        <f t="shared" ca="1" si="51"/>
        <v>9.5511255716147866E-2</v>
      </c>
      <c r="CH9" s="3">
        <f t="shared" ca="1" si="52"/>
        <v>0</v>
      </c>
      <c r="CI9" s="3">
        <f t="shared" ca="1" si="53"/>
        <v>0.2499375156210947</v>
      </c>
      <c r="CJ9" s="3" t="e">
        <f t="shared" ca="1" si="54"/>
        <v>#N/A</v>
      </c>
      <c r="CK9" s="3">
        <f t="shared" ca="1" si="55"/>
        <v>0.24937655860349128</v>
      </c>
      <c r="CM9" s="3">
        <f t="shared" ca="1" si="56"/>
        <v>0</v>
      </c>
      <c r="CN9" s="3">
        <f t="shared" ca="1" si="57"/>
        <v>0.2499375156210947</v>
      </c>
      <c r="CO9" s="3" t="e">
        <f t="shared" ca="1" si="58"/>
        <v>#N/A</v>
      </c>
      <c r="CP9" s="3">
        <f t="shared" ca="1" si="59"/>
        <v>0.24937655860349128</v>
      </c>
      <c r="CR9" s="3">
        <v>4.0039999999999996</v>
      </c>
      <c r="CS9" s="3">
        <v>9.9999997764825821E-3</v>
      </c>
      <c r="CT9" s="11" t="e">
        <v>#N/A</v>
      </c>
      <c r="CU9" s="3">
        <v>3.3599998950958252</v>
      </c>
      <c r="CV9" s="21" t="e">
        <f t="shared" ca="1" si="61"/>
        <v>#N/A</v>
      </c>
      <c r="CW9" s="16">
        <f t="shared" ca="1" si="60"/>
        <v>3.6666666666666665</v>
      </c>
      <c r="CX9" s="3" t="s">
        <v>272</v>
      </c>
      <c r="CY9" s="80"/>
      <c r="CZ9" s="18" t="s">
        <v>299</v>
      </c>
      <c r="DA9" s="17" t="s">
        <v>313</v>
      </c>
      <c r="DB9" s="17" t="s">
        <v>374</v>
      </c>
      <c r="DC9" s="17" t="s">
        <v>378</v>
      </c>
      <c r="DD9" s="39" t="s">
        <v>283</v>
      </c>
      <c r="DE9" s="46"/>
      <c r="DF9" s="46">
        <v>3</v>
      </c>
      <c r="DG9" s="46" t="str">
        <f>INDEX(CZ5:DC28, 6*$DF$6-5,$DF$9)</f>
        <v>H</v>
      </c>
      <c r="DH9" s="42"/>
    </row>
    <row r="10" spans="1:120" s="3" customFormat="1" x14ac:dyDescent="0.35">
      <c r="A10" s="2" t="s">
        <v>14</v>
      </c>
      <c r="B10" s="2">
        <v>3.75</v>
      </c>
      <c r="C10" s="2" t="s">
        <v>168</v>
      </c>
      <c r="D10" s="2" t="s">
        <v>403</v>
      </c>
      <c r="F10" s="3">
        <v>1.734</v>
      </c>
      <c r="G10" s="3">
        <v>1.5840000000000005</v>
      </c>
      <c r="H10" s="3">
        <v>2.3439999999999999</v>
      </c>
      <c r="I10" s="3">
        <v>4.0209999999999999</v>
      </c>
      <c r="K10" s="3" t="e">
        <f t="shared" ca="1" si="0"/>
        <v>#N/A</v>
      </c>
      <c r="L10" s="3" t="e">
        <f t="shared" ca="1" si="1"/>
        <v>#N/A</v>
      </c>
      <c r="M10" s="3">
        <f t="shared" ca="1" si="2"/>
        <v>0.99530716723549484</v>
      </c>
      <c r="N10" s="3">
        <f t="shared" ca="1" si="3"/>
        <v>0.99875652822680927</v>
      </c>
      <c r="P10" s="3" t="e">
        <f t="shared" ca="1" si="4"/>
        <v>#N/A</v>
      </c>
      <c r="Q10" s="3" t="e">
        <f t="shared" ca="1" si="5"/>
        <v>#N/A</v>
      </c>
      <c r="R10" s="3">
        <f t="shared" ca="1" si="6"/>
        <v>0.91680885950554769</v>
      </c>
      <c r="S10" s="3">
        <f t="shared" ca="1" si="7"/>
        <v>0.79109676812725171</v>
      </c>
      <c r="U10" s="3" t="e">
        <f t="shared" ca="1" si="8"/>
        <v>#N/A</v>
      </c>
      <c r="V10" s="3" t="e">
        <f t="shared" ca="1" si="9"/>
        <v>#N/A</v>
      </c>
      <c r="W10" s="3">
        <f t="shared" ca="1" si="10"/>
        <v>2.5597269624573382</v>
      </c>
      <c r="X10" s="3">
        <f t="shared" ca="1" si="11"/>
        <v>2.9843322556577965</v>
      </c>
      <c r="Z10" s="3" t="e">
        <f t="shared" ca="1" si="12"/>
        <v>#N/A</v>
      </c>
      <c r="AA10" s="3" t="e">
        <f t="shared" ca="1" si="13"/>
        <v>#N/A</v>
      </c>
      <c r="AB10" s="3">
        <f t="shared" ca="1" si="14"/>
        <v>0.78882252559726962</v>
      </c>
      <c r="AC10" s="3">
        <f t="shared" ca="1" si="15"/>
        <v>0.73339965182790356</v>
      </c>
      <c r="AE10" s="3" t="e">
        <f t="shared" ca="1" si="16"/>
        <v>#N/A</v>
      </c>
      <c r="AF10" s="3" t="e">
        <f t="shared" ca="1" si="17"/>
        <v>#N/A</v>
      </c>
      <c r="AG10" s="3">
        <f t="shared" ca="1" si="18"/>
        <v>0.66126279418480682</v>
      </c>
      <c r="AH10" s="3">
        <f t="shared" ca="1" si="19"/>
        <v>0.62521761982754764</v>
      </c>
      <c r="AJ10" s="3" t="e">
        <f t="shared" ca="1" si="20"/>
        <v>#N/A</v>
      </c>
      <c r="AK10" s="3" t="e">
        <f t="shared" ca="1" si="21"/>
        <v>#N/A</v>
      </c>
      <c r="AL10" s="3">
        <f t="shared" ca="1" si="22"/>
        <v>1.7064846416382253</v>
      </c>
      <c r="AM10" s="3">
        <f t="shared" ca="1" si="23"/>
        <v>2.4869435463814971</v>
      </c>
      <c r="AO10" s="3" t="e">
        <f t="shared" ca="1" si="24"/>
        <v>#N/A</v>
      </c>
      <c r="AP10" s="3" t="e">
        <f t="shared" ca="1" si="25"/>
        <v>#N/A</v>
      </c>
      <c r="AQ10" s="3">
        <f t="shared" ca="1" si="26"/>
        <v>0.85324232081911267</v>
      </c>
      <c r="AR10" s="3">
        <f t="shared" ca="1" si="27"/>
        <v>1.2434717731907485</v>
      </c>
      <c r="AT10" s="11" t="e">
        <v>#N/A</v>
      </c>
      <c r="AU10" s="11" t="e">
        <v>#N/A</v>
      </c>
      <c r="AV10" s="3">
        <v>1.0999999940395355E-2</v>
      </c>
      <c r="AW10" s="3">
        <v>3.0000000260770321E-3</v>
      </c>
      <c r="AY10" s="3" t="e">
        <f t="shared" ca="1" si="28"/>
        <v>#N/A</v>
      </c>
      <c r="AZ10" s="3" t="e">
        <f t="shared" ca="1" si="29"/>
        <v>#N/A</v>
      </c>
      <c r="BA10" s="3">
        <f t="shared" ca="1" si="30"/>
        <v>3.5836177474402764E-2</v>
      </c>
      <c r="BB10" s="3">
        <f t="shared" ca="1" si="31"/>
        <v>0.18279035065904006</v>
      </c>
      <c r="BD10" s="3" t="e">
        <f t="shared" ca="1" si="32"/>
        <v>#N/A</v>
      </c>
      <c r="BE10" s="3" t="e">
        <f t="shared" ca="1" si="33"/>
        <v>#N/A</v>
      </c>
      <c r="BF10" s="3">
        <f t="shared" ca="1" si="34"/>
        <v>0</v>
      </c>
      <c r="BG10" s="3">
        <f t="shared" ca="1" si="35"/>
        <v>0.24446656057058475</v>
      </c>
      <c r="BI10" s="3" t="e">
        <f t="shared" ca="1" si="36"/>
        <v>#N/A</v>
      </c>
      <c r="BJ10" s="3" t="e">
        <f t="shared" ca="1" si="37"/>
        <v>#N/A</v>
      </c>
      <c r="BK10" s="3">
        <f t="shared" ca="1" si="38"/>
        <v>0</v>
      </c>
      <c r="BL10" s="3">
        <f t="shared" ca="1" si="39"/>
        <v>0.74608306391444912</v>
      </c>
      <c r="BN10" s="3" t="e">
        <f t="shared" ca="1" si="40"/>
        <v>#N/A</v>
      </c>
      <c r="BO10" s="3" t="e">
        <f t="shared" ca="1" si="41"/>
        <v>#N/A</v>
      </c>
      <c r="BP10" s="3">
        <f t="shared" ca="1" si="42"/>
        <v>0.42662116040955633</v>
      </c>
      <c r="BQ10" s="3">
        <f t="shared" ca="1" si="43"/>
        <v>1.4921661278288982</v>
      </c>
      <c r="BS10" s="11" t="e">
        <v>#N/A</v>
      </c>
      <c r="BT10" s="11" t="e">
        <v>#N/A</v>
      </c>
      <c r="BU10" s="3">
        <v>4.0259999999999998</v>
      </c>
      <c r="BV10" s="3">
        <v>0.43599998950958252</v>
      </c>
      <c r="BX10" s="3" t="e">
        <f t="shared" ca="1" si="44"/>
        <v>#N/A</v>
      </c>
      <c r="BY10" s="3" t="e">
        <f t="shared" ca="1" si="45"/>
        <v>#N/A</v>
      </c>
      <c r="BZ10" s="3">
        <f t="shared" ca="1" si="46"/>
        <v>0</v>
      </c>
      <c r="CA10" s="3">
        <f t="shared" ca="1" si="47"/>
        <v>6.6152698333747831E-2</v>
      </c>
      <c r="CC10" s="3" t="e">
        <f t="shared" ca="1" si="48"/>
        <v>#N/A</v>
      </c>
      <c r="CD10" s="3" t="e">
        <f t="shared" ca="1" si="49"/>
        <v>#N/A</v>
      </c>
      <c r="CE10" s="3">
        <f t="shared" ca="1" si="50"/>
        <v>0</v>
      </c>
      <c r="CF10" s="3">
        <f t="shared" ca="1" si="51"/>
        <v>0</v>
      </c>
      <c r="CH10" s="3" t="e">
        <f t="shared" ca="1" si="52"/>
        <v>#N/A</v>
      </c>
      <c r="CI10" s="3" t="e">
        <f t="shared" ca="1" si="53"/>
        <v>#N/A</v>
      </c>
      <c r="CJ10" s="3">
        <f t="shared" ca="1" si="54"/>
        <v>0</v>
      </c>
      <c r="CK10" s="3">
        <f t="shared" ca="1" si="55"/>
        <v>0</v>
      </c>
      <c r="CM10" s="3" t="e">
        <f t="shared" ca="1" si="56"/>
        <v>#N/A</v>
      </c>
      <c r="CN10" s="3" t="e">
        <f t="shared" ca="1" si="57"/>
        <v>#N/A</v>
      </c>
      <c r="CO10" s="3">
        <f t="shared" ca="1" si="58"/>
        <v>0</v>
      </c>
      <c r="CP10" s="3">
        <f t="shared" ca="1" si="59"/>
        <v>0.74608306391444912</v>
      </c>
      <c r="CR10" s="11" t="e">
        <v>#N/A</v>
      </c>
      <c r="CS10" s="11" t="e">
        <v>#N/A</v>
      </c>
      <c r="CT10" s="3">
        <v>4.0259999999999998</v>
      </c>
      <c r="CU10" s="3">
        <v>4.0209999999999999</v>
      </c>
      <c r="CV10" s="21">
        <f t="shared" ca="1" si="61"/>
        <v>0</v>
      </c>
      <c r="CW10" s="16">
        <f t="shared" ca="1" si="60"/>
        <v>3.75</v>
      </c>
      <c r="CY10" s="81"/>
      <c r="CZ10" s="18" t="s">
        <v>299</v>
      </c>
      <c r="DA10" s="17" t="s">
        <v>317</v>
      </c>
      <c r="DB10" s="17" t="s">
        <v>375</v>
      </c>
      <c r="DC10" s="17" t="s">
        <v>380</v>
      </c>
      <c r="DD10" s="39" t="s">
        <v>284</v>
      </c>
      <c r="DE10" s="46"/>
      <c r="DF10" s="50" t="s">
        <v>356</v>
      </c>
      <c r="DG10" s="46"/>
      <c r="DH10" s="42"/>
    </row>
    <row r="11" spans="1:120" s="3" customFormat="1" x14ac:dyDescent="0.35">
      <c r="A11" s="2" t="s">
        <v>38</v>
      </c>
      <c r="B11" s="2">
        <v>3.8333333333333335</v>
      </c>
      <c r="C11" s="2" t="s">
        <v>167</v>
      </c>
      <c r="D11" s="2" t="s">
        <v>403</v>
      </c>
      <c r="F11" s="3">
        <v>3.1909999999999998</v>
      </c>
      <c r="G11" s="3">
        <v>3.1659999999999999</v>
      </c>
      <c r="H11" s="3">
        <v>4.0069999999999997</v>
      </c>
      <c r="I11" s="3">
        <v>4.016</v>
      </c>
      <c r="K11" s="3">
        <f t="shared" ca="1" si="0"/>
        <v>0.90347853337511752</v>
      </c>
      <c r="L11" s="3">
        <f t="shared" ca="1" si="1"/>
        <v>0.97883765003158552</v>
      </c>
      <c r="M11" s="3">
        <f t="shared" ca="1" si="2"/>
        <v>0.93137010232093842</v>
      </c>
      <c r="N11" s="3">
        <f t="shared" ca="1" si="3"/>
        <v>0.63894422310756971</v>
      </c>
      <c r="P11" s="3">
        <f t="shared" ca="1" si="4"/>
        <v>0.89251020043593376</v>
      </c>
      <c r="Q11" s="3">
        <f t="shared" ca="1" si="5"/>
        <v>0.60012640251495086</v>
      </c>
      <c r="R11" s="3">
        <f t="shared" ca="1" si="6"/>
        <v>0.81033194667722697</v>
      </c>
      <c r="S11" s="3">
        <f t="shared" ca="1" si="7"/>
        <v>0.58491017476495988</v>
      </c>
      <c r="U11" s="3">
        <f t="shared" ca="1" si="8"/>
        <v>1.8802883108743342</v>
      </c>
      <c r="V11" s="3">
        <f t="shared" ca="1" si="9"/>
        <v>2.2109917877447884</v>
      </c>
      <c r="W11" s="3">
        <f t="shared" ca="1" si="10"/>
        <v>2.9947591714499628</v>
      </c>
      <c r="X11" s="3">
        <f t="shared" ca="1" si="11"/>
        <v>2.241035856573705</v>
      </c>
      <c r="Z11" s="3">
        <f t="shared" ca="1" si="12"/>
        <v>0.99717956753368853</v>
      </c>
      <c r="AA11" s="3">
        <f t="shared" ca="1" si="13"/>
        <v>0.88408085912823753</v>
      </c>
      <c r="AB11" s="3">
        <f t="shared" ca="1" si="14"/>
        <v>0.9146493636136761</v>
      </c>
      <c r="AC11" s="3">
        <f t="shared" ca="1" si="15"/>
        <v>0.37350597609561742</v>
      </c>
      <c r="AE11" s="3">
        <f t="shared" ca="1" si="16"/>
        <v>0.89251020043593376</v>
      </c>
      <c r="AF11" s="3">
        <f t="shared" ca="1" si="17"/>
        <v>0.60012640251495086</v>
      </c>
      <c r="AG11" s="3">
        <f t="shared" ca="1" si="18"/>
        <v>0.81033194667722697</v>
      </c>
      <c r="AH11" s="3">
        <f t="shared" ca="1" si="19"/>
        <v>0.34013936719096516</v>
      </c>
      <c r="AJ11" s="3">
        <f t="shared" ca="1" si="20"/>
        <v>1.8802883108743342</v>
      </c>
      <c r="AK11" s="3">
        <f t="shared" ca="1" si="21"/>
        <v>2.2109917877447884</v>
      </c>
      <c r="AL11" s="3">
        <f t="shared" ca="1" si="22"/>
        <v>2.9947591714499628</v>
      </c>
      <c r="AM11" s="3">
        <f t="shared" ca="1" si="23"/>
        <v>1.4940239043824701</v>
      </c>
      <c r="AO11" s="3">
        <f t="shared" ca="1" si="24"/>
        <v>0.31338138514572234</v>
      </c>
      <c r="AP11" s="3">
        <f t="shared" ca="1" si="25"/>
        <v>0.94756790903348076</v>
      </c>
      <c r="AQ11" s="3">
        <f t="shared" ca="1" si="26"/>
        <v>0.24956326428749689</v>
      </c>
      <c r="AR11" s="3">
        <f t="shared" ca="1" si="27"/>
        <v>0.49800796812749004</v>
      </c>
      <c r="AT11" s="3">
        <v>0.81099998950958252</v>
      </c>
      <c r="AU11" s="3">
        <v>2.500000037252903E-2</v>
      </c>
      <c r="AV11" s="3">
        <v>6.0000000521540642E-3</v>
      </c>
      <c r="AW11" s="3">
        <v>0.74900001287460327</v>
      </c>
      <c r="AY11" s="3">
        <f t="shared" ca="1" si="28"/>
        <v>0</v>
      </c>
      <c r="AZ11" s="3">
        <f t="shared" ca="1" si="29"/>
        <v>0</v>
      </c>
      <c r="BA11" s="3">
        <f t="shared" ca="1" si="30"/>
        <v>0</v>
      </c>
      <c r="BB11" s="3">
        <f t="shared" ca="1" si="31"/>
        <v>3.7350597609561734E-2</v>
      </c>
      <c r="BD11" s="3">
        <f t="shared" ca="1" si="32"/>
        <v>0</v>
      </c>
      <c r="BE11" s="3">
        <f t="shared" ca="1" si="33"/>
        <v>0</v>
      </c>
      <c r="BF11" s="3">
        <f t="shared" ca="1" si="34"/>
        <v>0</v>
      </c>
      <c r="BG11" s="3">
        <f t="shared" ca="1" si="35"/>
        <v>0</v>
      </c>
      <c r="BI11" s="3">
        <f t="shared" ca="1" si="36"/>
        <v>0</v>
      </c>
      <c r="BJ11" s="3">
        <f t="shared" ca="1" si="37"/>
        <v>0</v>
      </c>
      <c r="BK11" s="3">
        <f t="shared" ca="1" si="38"/>
        <v>0</v>
      </c>
      <c r="BL11" s="3">
        <f t="shared" ca="1" si="39"/>
        <v>0</v>
      </c>
      <c r="BN11" s="3">
        <f t="shared" ca="1" si="40"/>
        <v>0</v>
      </c>
      <c r="BO11" s="3">
        <f t="shared" ca="1" si="41"/>
        <v>0</v>
      </c>
      <c r="BP11" s="3">
        <f t="shared" ca="1" si="42"/>
        <v>0</v>
      </c>
      <c r="BQ11" s="3">
        <f t="shared" ca="1" si="43"/>
        <v>0.24900398406374502</v>
      </c>
      <c r="BS11" s="3">
        <v>4.0019999999999998</v>
      </c>
      <c r="BT11" s="3">
        <v>4.016</v>
      </c>
      <c r="BU11" s="3">
        <v>4.0069999999999997</v>
      </c>
      <c r="BV11" s="3">
        <v>4.016</v>
      </c>
      <c r="BX11" s="3">
        <f t="shared" ca="1" si="44"/>
        <v>0.1356941397680978</v>
      </c>
      <c r="BY11" s="3">
        <f t="shared" ca="1" si="45"/>
        <v>0.23152242577384699</v>
      </c>
      <c r="BZ11" s="3">
        <f t="shared" ca="1" si="46"/>
        <v>0.24956326428749676</v>
      </c>
      <c r="CA11" s="3">
        <f t="shared" ca="1" si="47"/>
        <v>0.18675298804780877</v>
      </c>
      <c r="CC11" s="3">
        <f t="shared" ca="1" si="48"/>
        <v>0</v>
      </c>
      <c r="CD11" s="3">
        <f t="shared" ca="1" si="49"/>
        <v>0.28427036517945109</v>
      </c>
      <c r="CE11" s="3">
        <f t="shared" ca="1" si="50"/>
        <v>0.22435737185743584</v>
      </c>
      <c r="CF11" s="3">
        <f t="shared" ca="1" si="51"/>
        <v>0.2114042877201065</v>
      </c>
      <c r="CH11" s="3">
        <f t="shared" ca="1" si="52"/>
        <v>0</v>
      </c>
      <c r="CI11" s="3">
        <f t="shared" ca="1" si="53"/>
        <v>0.94756790903348076</v>
      </c>
      <c r="CJ11" s="3">
        <f t="shared" ca="1" si="54"/>
        <v>1.2478163214374844</v>
      </c>
      <c r="CK11" s="3">
        <f t="shared" ca="1" si="55"/>
        <v>0.99601593625498008</v>
      </c>
      <c r="CM11" s="3">
        <f t="shared" ca="1" si="56"/>
        <v>0.62676277029144467</v>
      </c>
      <c r="CN11" s="3">
        <f t="shared" ca="1" si="57"/>
        <v>1.5792798483891346</v>
      </c>
      <c r="CO11" s="3">
        <f t="shared" ca="1" si="58"/>
        <v>1.7469428500124784</v>
      </c>
      <c r="CP11" s="3">
        <f t="shared" ca="1" si="59"/>
        <v>0.49800796812749004</v>
      </c>
      <c r="CR11" s="3">
        <v>4.0019999999999998</v>
      </c>
      <c r="CS11" s="3">
        <v>0.54100000858306885</v>
      </c>
      <c r="CT11" s="3">
        <v>0.50599998235702515</v>
      </c>
      <c r="CU11" s="3">
        <v>0.91600000858306885</v>
      </c>
      <c r="CV11" s="21">
        <f t="shared" ca="1" si="61"/>
        <v>0</v>
      </c>
      <c r="CW11" s="16">
        <f t="shared" ca="1" si="60"/>
        <v>3.8333333333333335</v>
      </c>
      <c r="CY11" s="70" t="s">
        <v>270</v>
      </c>
      <c r="CZ11" s="4" t="s">
        <v>286</v>
      </c>
      <c r="DA11" s="4" t="s">
        <v>286</v>
      </c>
      <c r="DB11" s="4" t="s">
        <v>286</v>
      </c>
      <c r="DC11" s="4" t="s">
        <v>286</v>
      </c>
      <c r="DD11" s="40" t="s">
        <v>273</v>
      </c>
      <c r="DE11" s="46"/>
      <c r="DF11" s="46"/>
      <c r="DG11" s="46" t="s">
        <v>357</v>
      </c>
      <c r="DH11" s="42"/>
    </row>
    <row r="12" spans="1:120" s="3" customFormat="1" ht="15.5" x14ac:dyDescent="0.35">
      <c r="A12" s="2" t="s">
        <v>81</v>
      </c>
      <c r="B12" s="2">
        <v>3.8333333333333335</v>
      </c>
      <c r="C12" s="2" t="s">
        <v>167</v>
      </c>
      <c r="D12" s="2" t="s">
        <v>403</v>
      </c>
      <c r="F12" s="3">
        <v>4.01</v>
      </c>
      <c r="G12" s="3">
        <v>4.016</v>
      </c>
      <c r="H12" s="3">
        <v>4.032</v>
      </c>
      <c r="I12" s="3">
        <v>4.0110000000000001</v>
      </c>
      <c r="K12" s="3">
        <f t="shared" ca="1" si="0"/>
        <v>0.99725685785536167</v>
      </c>
      <c r="L12" s="3">
        <f t="shared" ca="1" si="1"/>
        <v>0.99576693227091639</v>
      </c>
      <c r="M12" s="3">
        <f t="shared" ca="1" si="2"/>
        <v>0.99603174603174605</v>
      </c>
      <c r="N12" s="3">
        <f t="shared" ca="1" si="3"/>
        <v>0.90974819247070549</v>
      </c>
      <c r="P12" s="3">
        <f t="shared" ca="1" si="4"/>
        <v>0.92618448631907646</v>
      </c>
      <c r="Q12" s="3">
        <f t="shared" ca="1" si="5"/>
        <v>0.912848582234562</v>
      </c>
      <c r="R12" s="3">
        <f t="shared" ca="1" si="6"/>
        <v>0.93774798733647913</v>
      </c>
      <c r="S12" s="3">
        <f t="shared" ca="1" si="7"/>
        <v>0.89753179445703024</v>
      </c>
      <c r="U12" s="3">
        <f t="shared" ca="1" si="8"/>
        <v>1.4962593516209477</v>
      </c>
      <c r="V12" s="3">
        <f t="shared" ca="1" si="9"/>
        <v>1.9920318725099602</v>
      </c>
      <c r="W12" s="3">
        <f t="shared" ca="1" si="10"/>
        <v>2.4801587301587302</v>
      </c>
      <c r="X12" s="3">
        <f t="shared" ca="1" si="11"/>
        <v>0.74794315632011965</v>
      </c>
      <c r="Z12" s="3">
        <f t="shared" ca="1" si="12"/>
        <v>0.99725685785536167</v>
      </c>
      <c r="AA12" s="3">
        <f t="shared" ca="1" si="13"/>
        <v>0.98331673306772904</v>
      </c>
      <c r="AB12" s="3">
        <f t="shared" ca="1" si="14"/>
        <v>0.99603174603174605</v>
      </c>
      <c r="AC12" s="3">
        <f t="shared" ca="1" si="15"/>
        <v>0.90974819247070549</v>
      </c>
      <c r="AE12" s="3">
        <f t="shared" ca="1" si="16"/>
        <v>0.92618448631907646</v>
      </c>
      <c r="AF12" s="3">
        <f t="shared" ca="1" si="17"/>
        <v>0.912848582234562</v>
      </c>
      <c r="AG12" s="3">
        <f t="shared" ca="1" si="18"/>
        <v>0.93774798733647913</v>
      </c>
      <c r="AH12" s="3">
        <f t="shared" ca="1" si="19"/>
        <v>0.89753179445703024</v>
      </c>
      <c r="AJ12" s="3">
        <f t="shared" ca="1" si="20"/>
        <v>1.4962593516209477</v>
      </c>
      <c r="AK12" s="3">
        <f t="shared" ca="1" si="21"/>
        <v>1.9920318725099602</v>
      </c>
      <c r="AL12" s="3">
        <f t="shared" ca="1" si="22"/>
        <v>2.4801587301587302</v>
      </c>
      <c r="AM12" s="3">
        <f t="shared" ca="1" si="23"/>
        <v>0.74794315632011965</v>
      </c>
      <c r="AO12" s="3">
        <f t="shared" ca="1" si="24"/>
        <v>0.24937655860349128</v>
      </c>
      <c r="AP12" s="3">
        <f t="shared" ca="1" si="25"/>
        <v>0.49800796812749004</v>
      </c>
      <c r="AQ12" s="3">
        <f t="shared" ca="1" si="26"/>
        <v>0.24801587301587302</v>
      </c>
      <c r="AR12" s="3">
        <f t="shared" ca="1" si="27"/>
        <v>0.24931438544003989</v>
      </c>
      <c r="AT12" s="3">
        <v>6.0000000521540642E-3</v>
      </c>
      <c r="AU12" s="3">
        <v>1.0000000474974513E-3</v>
      </c>
      <c r="AV12" s="3">
        <v>8.0000003799796104E-3</v>
      </c>
      <c r="AW12" s="3">
        <v>8.999999612569809E-3</v>
      </c>
      <c r="AY12" s="3">
        <f t="shared" ca="1" si="28"/>
        <v>0.29900249376558602</v>
      </c>
      <c r="AZ12" s="3">
        <f t="shared" ca="1" si="29"/>
        <v>0.41907370517928288</v>
      </c>
      <c r="BA12" s="3">
        <f t="shared" ca="1" si="30"/>
        <v>0.140625</v>
      </c>
      <c r="BB12" s="3">
        <f t="shared" ca="1" si="31"/>
        <v>0.1286462228870606</v>
      </c>
      <c r="BD12" s="3">
        <f t="shared" ca="1" si="32"/>
        <v>0.31970070484570434</v>
      </c>
      <c r="BE12" s="3">
        <f t="shared" ca="1" si="33"/>
        <v>0.48157369413698814</v>
      </c>
      <c r="BF12" s="3">
        <f t="shared" ca="1" si="34"/>
        <v>4.5386926522330631E-2</v>
      </c>
      <c r="BG12" s="3">
        <f t="shared" ca="1" si="35"/>
        <v>0</v>
      </c>
      <c r="BI12" s="3">
        <f t="shared" ca="1" si="36"/>
        <v>0.74812967581047385</v>
      </c>
      <c r="BJ12" s="3">
        <f t="shared" ca="1" si="37"/>
        <v>0.99601593625498008</v>
      </c>
      <c r="BK12" s="3">
        <f t="shared" ca="1" si="38"/>
        <v>0.24801587301587302</v>
      </c>
      <c r="BL12" s="3">
        <f t="shared" ca="1" si="39"/>
        <v>0</v>
      </c>
      <c r="BN12" s="3">
        <f t="shared" ca="1" si="40"/>
        <v>0.99750623441396513</v>
      </c>
      <c r="BO12" s="3">
        <f t="shared" ca="1" si="41"/>
        <v>0.74701195219123506</v>
      </c>
      <c r="BP12" s="3">
        <f t="shared" ca="1" si="42"/>
        <v>0.99206349206349209</v>
      </c>
      <c r="BQ12" s="3">
        <f t="shared" ca="1" si="43"/>
        <v>0.24931438544003989</v>
      </c>
      <c r="BS12" s="3">
        <v>2.4890000820159912</v>
      </c>
      <c r="BT12" s="3">
        <v>0.50099998712539673</v>
      </c>
      <c r="BU12" s="3">
        <v>3.8410000801086426</v>
      </c>
      <c r="BV12" s="3">
        <v>4.0110000000000001</v>
      </c>
      <c r="BX12" s="3">
        <f t="shared" ca="1" si="44"/>
        <v>8.7281795511221921E-2</v>
      </c>
      <c r="BY12" s="3">
        <f t="shared" ca="1" si="45"/>
        <v>8.3167330677290777E-2</v>
      </c>
      <c r="BZ12" s="3">
        <f t="shared" ca="1" si="46"/>
        <v>5.7787698412698436E-2</v>
      </c>
      <c r="CA12" s="3">
        <f t="shared" ca="1" si="47"/>
        <v>0</v>
      </c>
      <c r="CC12" s="3">
        <f t="shared" ca="1" si="48"/>
        <v>0.14114715809239414</v>
      </c>
      <c r="CD12" s="3">
        <f t="shared" ca="1" si="49"/>
        <v>0.11180275939850218</v>
      </c>
      <c r="CE12" s="3">
        <f t="shared" ca="1" si="50"/>
        <v>5.7787708346805876E-2</v>
      </c>
      <c r="CF12" s="3">
        <f t="shared" ca="1" si="51"/>
        <v>0</v>
      </c>
      <c r="CH12" s="3">
        <f t="shared" ca="1" si="52"/>
        <v>0.24937655860349128</v>
      </c>
      <c r="CI12" s="3">
        <f t="shared" ca="1" si="53"/>
        <v>0.24900398406374502</v>
      </c>
      <c r="CJ12" s="3">
        <f t="shared" ca="1" si="54"/>
        <v>0.24801587301587302</v>
      </c>
      <c r="CK12" s="3">
        <f t="shared" ca="1" si="55"/>
        <v>0</v>
      </c>
      <c r="CM12" s="3">
        <f t="shared" ca="1" si="56"/>
        <v>0.24937655860349128</v>
      </c>
      <c r="CN12" s="3">
        <f t="shared" ca="1" si="57"/>
        <v>0.99601593625498008</v>
      </c>
      <c r="CO12" s="3">
        <f t="shared" ca="1" si="58"/>
        <v>0.24801587301587302</v>
      </c>
      <c r="CP12" s="3">
        <f t="shared" ca="1" si="59"/>
        <v>0</v>
      </c>
      <c r="CR12" s="3">
        <v>1.6729999780654907</v>
      </c>
      <c r="CS12" s="3">
        <v>3.4670000076293945</v>
      </c>
      <c r="CT12" s="3">
        <v>2.6749999523162842</v>
      </c>
      <c r="CU12" s="3">
        <v>4.0110000000000001</v>
      </c>
      <c r="CV12" s="21">
        <f t="shared" ca="1" si="61"/>
        <v>4.5386926522330631E-2</v>
      </c>
      <c r="CW12" s="16">
        <f t="shared" ca="1" si="60"/>
        <v>3.8333333333333335</v>
      </c>
      <c r="CX12" s="3" t="s">
        <v>274</v>
      </c>
      <c r="CY12" s="71"/>
      <c r="CZ12" s="4" t="s">
        <v>290</v>
      </c>
      <c r="DA12" s="4" t="s">
        <v>302</v>
      </c>
      <c r="DB12" s="4" t="s">
        <v>321</v>
      </c>
      <c r="DC12" s="4" t="s">
        <v>336</v>
      </c>
      <c r="DD12" s="4" t="s">
        <v>280</v>
      </c>
      <c r="DE12" s="44"/>
      <c r="DF12" s="44">
        <v>3</v>
      </c>
      <c r="DG12" s="45" t="str">
        <f>INDEX(CZ5:DC28, 6*$DF$6-5+$DF$12-1,$DF$9)</f>
        <v>BF</v>
      </c>
    </row>
    <row r="13" spans="1:120" s="3" customFormat="1" x14ac:dyDescent="0.35">
      <c r="A13" s="2" t="s">
        <v>27</v>
      </c>
      <c r="B13" s="2">
        <v>3.9166666666666665</v>
      </c>
      <c r="C13" s="2" t="s">
        <v>168</v>
      </c>
      <c r="D13" s="2" t="s">
        <v>403</v>
      </c>
      <c r="F13" s="11" t="e">
        <v>#N/A</v>
      </c>
      <c r="G13" s="11" t="e">
        <v>#N/A</v>
      </c>
      <c r="H13" s="3">
        <v>1.9949999999999997</v>
      </c>
      <c r="I13" s="11" t="e">
        <v>#N/A</v>
      </c>
      <c r="K13" s="3" t="e">
        <f t="shared" ca="1" si="0"/>
        <v>#N/A</v>
      </c>
      <c r="L13" s="3" t="e">
        <f t="shared" ca="1" si="1"/>
        <v>#N/A</v>
      </c>
      <c r="M13" s="3" t="e">
        <f t="shared" ca="1" si="2"/>
        <v>#N/A</v>
      </c>
      <c r="N13" s="3" t="e">
        <f t="shared" ca="1" si="3"/>
        <v>#N/A</v>
      </c>
      <c r="P13" s="3" t="e">
        <f t="shared" ca="1" si="4"/>
        <v>#N/A</v>
      </c>
      <c r="Q13" s="3" t="e">
        <f t="shared" ca="1" si="5"/>
        <v>#N/A</v>
      </c>
      <c r="R13" s="3" t="e">
        <f t="shared" ca="1" si="6"/>
        <v>#N/A</v>
      </c>
      <c r="S13" s="3" t="e">
        <f t="shared" ca="1" si="7"/>
        <v>#N/A</v>
      </c>
      <c r="U13" s="3" t="e">
        <f t="shared" ca="1" si="8"/>
        <v>#N/A</v>
      </c>
      <c r="V13" s="3" t="e">
        <f t="shared" ca="1" si="9"/>
        <v>#N/A</v>
      </c>
      <c r="W13" s="3" t="e">
        <f t="shared" ca="1" si="10"/>
        <v>#N/A</v>
      </c>
      <c r="X13" s="3" t="e">
        <f t="shared" ca="1" si="11"/>
        <v>#N/A</v>
      </c>
      <c r="Z13" s="3" t="e">
        <f t="shared" ca="1" si="12"/>
        <v>#N/A</v>
      </c>
      <c r="AA13" s="3" t="e">
        <f t="shared" ca="1" si="13"/>
        <v>#N/A</v>
      </c>
      <c r="AB13" s="3" t="e">
        <f t="shared" ca="1" si="14"/>
        <v>#N/A</v>
      </c>
      <c r="AC13" s="3" t="e">
        <f t="shared" ca="1" si="15"/>
        <v>#N/A</v>
      </c>
      <c r="AE13" s="3" t="e">
        <f t="shared" ca="1" si="16"/>
        <v>#N/A</v>
      </c>
      <c r="AF13" s="3" t="e">
        <f t="shared" ca="1" si="17"/>
        <v>#N/A</v>
      </c>
      <c r="AG13" s="3" t="e">
        <f t="shared" ca="1" si="18"/>
        <v>#N/A</v>
      </c>
      <c r="AH13" s="3" t="e">
        <f t="shared" ca="1" si="19"/>
        <v>#N/A</v>
      </c>
      <c r="AJ13" s="3" t="e">
        <f t="shared" ca="1" si="20"/>
        <v>#N/A</v>
      </c>
      <c r="AK13" s="3" t="e">
        <f t="shared" ca="1" si="21"/>
        <v>#N/A</v>
      </c>
      <c r="AL13" s="3" t="e">
        <f t="shared" ca="1" si="22"/>
        <v>#N/A</v>
      </c>
      <c r="AM13" s="3" t="e">
        <f t="shared" ca="1" si="23"/>
        <v>#N/A</v>
      </c>
      <c r="AO13" s="3" t="e">
        <f t="shared" ca="1" si="24"/>
        <v>#N/A</v>
      </c>
      <c r="AP13" s="3" t="e">
        <f t="shared" ca="1" si="25"/>
        <v>#N/A</v>
      </c>
      <c r="AQ13" s="3" t="e">
        <f t="shared" ca="1" si="26"/>
        <v>#N/A</v>
      </c>
      <c r="AR13" s="3" t="e">
        <f t="shared" ca="1" si="27"/>
        <v>#N/A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Y13" s="3" t="e">
        <f t="shared" ca="1" si="28"/>
        <v>#N/A</v>
      </c>
      <c r="AZ13" s="3" t="e">
        <f t="shared" ca="1" si="29"/>
        <v>#N/A</v>
      </c>
      <c r="BA13" s="3" t="e">
        <f t="shared" ca="1" si="30"/>
        <v>#N/A</v>
      </c>
      <c r="BB13" s="3" t="e">
        <f t="shared" ca="1" si="31"/>
        <v>#N/A</v>
      </c>
      <c r="BD13" s="3" t="e">
        <f t="shared" ca="1" si="32"/>
        <v>#N/A</v>
      </c>
      <c r="BE13" s="3" t="e">
        <f t="shared" ca="1" si="33"/>
        <v>#N/A</v>
      </c>
      <c r="BF13" s="3" t="e">
        <f t="shared" ca="1" si="34"/>
        <v>#N/A</v>
      </c>
      <c r="BG13" s="3" t="e">
        <f t="shared" ca="1" si="35"/>
        <v>#N/A</v>
      </c>
      <c r="BI13" s="3" t="e">
        <f t="shared" ca="1" si="36"/>
        <v>#N/A</v>
      </c>
      <c r="BJ13" s="3" t="e">
        <f t="shared" ca="1" si="37"/>
        <v>#N/A</v>
      </c>
      <c r="BK13" s="3" t="e">
        <f t="shared" ca="1" si="38"/>
        <v>#N/A</v>
      </c>
      <c r="BL13" s="3" t="e">
        <f t="shared" ca="1" si="39"/>
        <v>#N/A</v>
      </c>
      <c r="BN13" s="3" t="e">
        <f t="shared" ca="1" si="40"/>
        <v>#N/A</v>
      </c>
      <c r="BO13" s="3" t="e">
        <f t="shared" ca="1" si="41"/>
        <v>#N/A</v>
      </c>
      <c r="BP13" s="3" t="e">
        <f t="shared" ca="1" si="42"/>
        <v>#N/A</v>
      </c>
      <c r="BQ13" s="3" t="e">
        <f t="shared" ca="1" si="43"/>
        <v>#N/A</v>
      </c>
      <c r="BS13" s="11" t="e">
        <v>#N/A</v>
      </c>
      <c r="BT13" s="11" t="e">
        <v>#N/A</v>
      </c>
      <c r="BU13" s="11" t="e">
        <v>#N/A</v>
      </c>
      <c r="BV13" s="11" t="e">
        <v>#N/A</v>
      </c>
      <c r="BX13" s="3" t="e">
        <f t="shared" ca="1" si="44"/>
        <v>#N/A</v>
      </c>
      <c r="BY13" s="3" t="e">
        <f t="shared" ca="1" si="45"/>
        <v>#N/A</v>
      </c>
      <c r="BZ13" s="3" t="e">
        <f t="shared" ca="1" si="46"/>
        <v>#N/A</v>
      </c>
      <c r="CA13" s="3" t="e">
        <f t="shared" ca="1" si="47"/>
        <v>#N/A</v>
      </c>
      <c r="CC13" s="3" t="e">
        <f t="shared" ca="1" si="48"/>
        <v>#N/A</v>
      </c>
      <c r="CD13" s="3" t="e">
        <f t="shared" ca="1" si="49"/>
        <v>#N/A</v>
      </c>
      <c r="CE13" s="3" t="e">
        <f t="shared" ca="1" si="50"/>
        <v>#N/A</v>
      </c>
      <c r="CF13" s="3" t="e">
        <f t="shared" ca="1" si="51"/>
        <v>#N/A</v>
      </c>
      <c r="CH13" s="3" t="e">
        <f t="shared" ca="1" si="52"/>
        <v>#N/A</v>
      </c>
      <c r="CI13" s="3" t="e">
        <f t="shared" ca="1" si="53"/>
        <v>#N/A</v>
      </c>
      <c r="CJ13" s="3" t="e">
        <f t="shared" ca="1" si="54"/>
        <v>#N/A</v>
      </c>
      <c r="CK13" s="3" t="e">
        <f t="shared" ca="1" si="55"/>
        <v>#N/A</v>
      </c>
      <c r="CM13" s="3" t="e">
        <f t="shared" ca="1" si="56"/>
        <v>#N/A</v>
      </c>
      <c r="CN13" s="3" t="e">
        <f t="shared" ca="1" si="57"/>
        <v>#N/A</v>
      </c>
      <c r="CO13" s="3" t="e">
        <f t="shared" ca="1" si="58"/>
        <v>#N/A</v>
      </c>
      <c r="CP13" s="3" t="e">
        <f t="shared" ca="1" si="59"/>
        <v>#N/A</v>
      </c>
      <c r="CR13" s="11" t="e">
        <v>#N/A</v>
      </c>
      <c r="CS13" s="11" t="e">
        <v>#N/A</v>
      </c>
      <c r="CT13" s="11" t="e">
        <v>#N/A</v>
      </c>
      <c r="CU13" s="11" t="e">
        <v>#N/A</v>
      </c>
      <c r="CV13" s="21" t="e">
        <f t="shared" ca="1" si="61"/>
        <v>#N/A</v>
      </c>
      <c r="CW13" s="16">
        <f t="shared" ca="1" si="60"/>
        <v>3.9166666666666665</v>
      </c>
      <c r="CX13" s="3" t="s">
        <v>352</v>
      </c>
      <c r="CY13" s="71"/>
      <c r="CZ13" s="4" t="s">
        <v>292</v>
      </c>
      <c r="DA13" s="4" t="s">
        <v>306</v>
      </c>
      <c r="DB13" s="4" t="s">
        <v>324</v>
      </c>
      <c r="DC13" s="4" t="s">
        <v>339</v>
      </c>
      <c r="DD13" s="4" t="s">
        <v>281</v>
      </c>
    </row>
    <row r="14" spans="1:120" s="3" customFormat="1" x14ac:dyDescent="0.35">
      <c r="A14" s="2" t="s">
        <v>42</v>
      </c>
      <c r="B14" s="2">
        <v>4.083333333333333</v>
      </c>
      <c r="C14" s="2" t="s">
        <v>168</v>
      </c>
      <c r="D14" s="2" t="s">
        <v>403</v>
      </c>
      <c r="F14" s="3">
        <v>4.0129999999999999</v>
      </c>
      <c r="G14" s="3">
        <v>4.0069999999999997</v>
      </c>
      <c r="H14" s="3">
        <v>4.01</v>
      </c>
      <c r="I14" s="3">
        <v>4.016</v>
      </c>
      <c r="K14" s="3">
        <f t="shared" ca="1" si="0"/>
        <v>0.99651133815100923</v>
      </c>
      <c r="L14" s="3">
        <f t="shared" ca="1" si="1"/>
        <v>0.88145744946343907</v>
      </c>
      <c r="M14" s="3">
        <f t="shared" ca="1" si="2"/>
        <v>0.9306733167082295</v>
      </c>
      <c r="N14" s="3">
        <f t="shared" ca="1" si="3"/>
        <v>0.99576693227091639</v>
      </c>
      <c r="P14" s="3">
        <f t="shared" ca="1" si="4"/>
        <v>0.78918516205160982</v>
      </c>
      <c r="Q14" s="3">
        <f t="shared" ca="1" si="5"/>
        <v>0.8020963652758103</v>
      </c>
      <c r="R14" s="3">
        <f t="shared" ca="1" si="6"/>
        <v>0.69351623629096737</v>
      </c>
      <c r="S14" s="3">
        <f t="shared" ca="1" si="7"/>
        <v>0.92903397600741622</v>
      </c>
      <c r="U14" s="3">
        <f t="shared" ca="1" si="8"/>
        <v>1.4951407924246201</v>
      </c>
      <c r="V14" s="3">
        <f t="shared" ca="1" si="9"/>
        <v>2.7451959071624659</v>
      </c>
      <c r="W14" s="3">
        <f t="shared" ca="1" si="10"/>
        <v>2.2443890274314215</v>
      </c>
      <c r="X14" s="3">
        <f t="shared" ca="1" si="11"/>
        <v>2.241035856573705</v>
      </c>
      <c r="Z14" s="3">
        <f t="shared" ca="1" si="12"/>
        <v>0.92175429852977819</v>
      </c>
      <c r="AA14" s="3">
        <f t="shared" ca="1" si="13"/>
        <v>0.88145744946343907</v>
      </c>
      <c r="AB14" s="3">
        <f t="shared" ca="1" si="14"/>
        <v>0.90548628428927691</v>
      </c>
      <c r="AC14" s="3">
        <f t="shared" ca="1" si="15"/>
        <v>0.99576693227091639</v>
      </c>
      <c r="AE14" s="3">
        <f t="shared" ca="1" si="16"/>
        <v>0.78918516205160982</v>
      </c>
      <c r="AF14" s="3">
        <f t="shared" ca="1" si="17"/>
        <v>0.8020963652758103</v>
      </c>
      <c r="AG14" s="3">
        <f t="shared" ca="1" si="18"/>
        <v>0.69351623629096737</v>
      </c>
      <c r="AH14" s="3">
        <f t="shared" ca="1" si="19"/>
        <v>0.92903397600741622</v>
      </c>
      <c r="AJ14" s="3">
        <f t="shared" ca="1" si="20"/>
        <v>1.4951407924246201</v>
      </c>
      <c r="AK14" s="3">
        <f t="shared" ca="1" si="21"/>
        <v>2.7451959071624659</v>
      </c>
      <c r="AL14" s="3">
        <f t="shared" ca="1" si="22"/>
        <v>2.2443890274314215</v>
      </c>
      <c r="AM14" s="3">
        <f t="shared" ca="1" si="23"/>
        <v>2.241035856573705</v>
      </c>
      <c r="AO14" s="3">
        <f t="shared" ca="1" si="24"/>
        <v>0.49838026414154002</v>
      </c>
      <c r="AP14" s="3">
        <f t="shared" ca="1" si="25"/>
        <v>0.24956326428749689</v>
      </c>
      <c r="AQ14" s="3">
        <f t="shared" ca="1" si="26"/>
        <v>0.99750623441396513</v>
      </c>
      <c r="AR14" s="3">
        <f t="shared" ca="1" si="27"/>
        <v>0.24900398406374502</v>
      </c>
      <c r="AT14" s="3">
        <v>0</v>
      </c>
      <c r="AU14" s="3">
        <v>0.49399998784065247</v>
      </c>
      <c r="AV14" s="3">
        <v>0.375</v>
      </c>
      <c r="AW14" s="3">
        <v>1.2000000104308128E-2</v>
      </c>
      <c r="AY14" s="3">
        <f t="shared" ca="1" si="28"/>
        <v>7.0520807376028005E-2</v>
      </c>
      <c r="AZ14" s="3">
        <f t="shared" ca="1" si="29"/>
        <v>0.19940104816571011</v>
      </c>
      <c r="BA14" s="3">
        <f t="shared" ca="1" si="30"/>
        <v>7.8802992518703263E-2</v>
      </c>
      <c r="BB14" s="3">
        <f t="shared" ca="1" si="31"/>
        <v>0.11230079681274896</v>
      </c>
      <c r="BD14" s="3">
        <f t="shared" ca="1" si="32"/>
        <v>0.124595066035385</v>
      </c>
      <c r="BE14" s="3">
        <f t="shared" ca="1" si="33"/>
        <v>0.17444469966226783</v>
      </c>
      <c r="BF14" s="3">
        <f t="shared" ca="1" si="34"/>
        <v>5.3865356635571716E-2</v>
      </c>
      <c r="BG14" s="3">
        <f t="shared" ca="1" si="35"/>
        <v>5.4033866441582305E-2</v>
      </c>
      <c r="BI14" s="3">
        <f t="shared" ca="1" si="36"/>
        <v>0.24919013207077001</v>
      </c>
      <c r="BJ14" s="3">
        <f t="shared" ca="1" si="37"/>
        <v>0.74868979286249071</v>
      </c>
      <c r="BK14" s="3">
        <f t="shared" ca="1" si="38"/>
        <v>0.24937655860349128</v>
      </c>
      <c r="BL14" s="3">
        <f t="shared" ca="1" si="39"/>
        <v>0.24900398406374502</v>
      </c>
      <c r="BN14" s="3">
        <f t="shared" ca="1" si="40"/>
        <v>0.24919013207077001</v>
      </c>
      <c r="BO14" s="3">
        <f t="shared" ca="1" si="41"/>
        <v>0.74868979286249071</v>
      </c>
      <c r="BP14" s="3">
        <f t="shared" ca="1" si="42"/>
        <v>0.74812967581047385</v>
      </c>
      <c r="BQ14" s="3">
        <f t="shared" ca="1" si="43"/>
        <v>0.49800796812749004</v>
      </c>
      <c r="BS14" s="3">
        <v>1.9500000476837158</v>
      </c>
      <c r="BT14" s="3">
        <v>0.49399998784065247</v>
      </c>
      <c r="BU14" s="3">
        <v>3.4409999847412109</v>
      </c>
      <c r="BV14" s="3">
        <v>2.9609999656677246</v>
      </c>
      <c r="BX14" s="3">
        <f t="shared" ca="1" si="44"/>
        <v>0.170196860204336</v>
      </c>
      <c r="BY14" s="3">
        <f t="shared" ca="1" si="45"/>
        <v>0.22036436236585966</v>
      </c>
      <c r="BZ14" s="3">
        <f t="shared" ca="1" si="46"/>
        <v>2.0698254364089789E-2</v>
      </c>
      <c r="CA14" s="3">
        <f t="shared" ca="1" si="47"/>
        <v>4.1334661354581678E-2</v>
      </c>
      <c r="CC14" s="3">
        <f t="shared" ca="1" si="48"/>
        <v>0.124595066035385</v>
      </c>
      <c r="CD14" s="3">
        <f t="shared" ca="1" si="49"/>
        <v>0.17045173140455133</v>
      </c>
      <c r="CE14" s="3">
        <f t="shared" ca="1" si="50"/>
        <v>0</v>
      </c>
      <c r="CF14" s="3">
        <f t="shared" ca="1" si="51"/>
        <v>0</v>
      </c>
      <c r="CH14" s="3">
        <f t="shared" ca="1" si="52"/>
        <v>0.24919013207077001</v>
      </c>
      <c r="CI14" s="3">
        <f t="shared" ca="1" si="53"/>
        <v>0.99825305714998758</v>
      </c>
      <c r="CJ14" s="3">
        <f t="shared" ca="1" si="54"/>
        <v>0</v>
      </c>
      <c r="CK14" s="3">
        <f t="shared" ca="1" si="55"/>
        <v>0</v>
      </c>
      <c r="CM14" s="3">
        <f t="shared" ca="1" si="56"/>
        <v>1.9935210565661601</v>
      </c>
      <c r="CN14" s="3">
        <f t="shared" ca="1" si="57"/>
        <v>1.4973795857249814</v>
      </c>
      <c r="CO14" s="3">
        <f t="shared" ca="1" si="58"/>
        <v>0.74812967581047385</v>
      </c>
      <c r="CP14" s="3">
        <f t="shared" ca="1" si="59"/>
        <v>0.24900398406374502</v>
      </c>
      <c r="CR14" s="3">
        <v>0.91600000858306885</v>
      </c>
      <c r="CS14" s="3">
        <v>1.1770000457763672</v>
      </c>
      <c r="CT14" s="3">
        <v>4.01</v>
      </c>
      <c r="CU14" s="3">
        <v>4.016</v>
      </c>
      <c r="CV14" s="21">
        <f t="shared" ca="1" si="61"/>
        <v>5.3865356635571716E-2</v>
      </c>
      <c r="CW14" s="16">
        <f t="shared" ca="1" si="60"/>
        <v>4.083333333333333</v>
      </c>
      <c r="CX14" s="3" t="s">
        <v>276</v>
      </c>
      <c r="CY14" s="71"/>
      <c r="CZ14" s="4" t="s">
        <v>296</v>
      </c>
      <c r="DA14" s="4" t="s">
        <v>310</v>
      </c>
      <c r="DB14" s="4" t="s">
        <v>327</v>
      </c>
      <c r="DC14" s="4" t="s">
        <v>342</v>
      </c>
      <c r="DD14" s="4" t="s">
        <v>282</v>
      </c>
    </row>
    <row r="15" spans="1:120" s="3" customFormat="1" x14ac:dyDescent="0.35">
      <c r="A15" s="2" t="s">
        <v>33</v>
      </c>
      <c r="B15" s="2">
        <v>4.333333333333333</v>
      </c>
      <c r="C15" s="2" t="s">
        <v>167</v>
      </c>
      <c r="D15" s="2" t="s">
        <v>403</v>
      </c>
      <c r="F15" s="11" t="e">
        <v>#N/A</v>
      </c>
      <c r="G15" s="3">
        <v>4.0140000000000002</v>
      </c>
      <c r="H15" s="3">
        <v>4.0049999999999999</v>
      </c>
      <c r="I15" s="11" t="e">
        <v>#N/A</v>
      </c>
      <c r="K15" s="3" t="e">
        <f t="shared" ca="1" si="0"/>
        <v>#N/A</v>
      </c>
      <c r="L15" s="3">
        <f t="shared" ca="1" si="1"/>
        <v>0.99202790234180371</v>
      </c>
      <c r="M15" s="3">
        <f t="shared" ca="1" si="2"/>
        <v>0.998501872659176</v>
      </c>
      <c r="N15" s="3" t="e">
        <f t="shared" ca="1" si="3"/>
        <v>#N/A</v>
      </c>
      <c r="P15" s="3" t="e">
        <f t="shared" ca="1" si="4"/>
        <v>#N/A</v>
      </c>
      <c r="Q15" s="3">
        <f t="shared" ca="1" si="5"/>
        <v>0.9382162085355189</v>
      </c>
      <c r="R15" s="3">
        <f t="shared" ca="1" si="6"/>
        <v>0.96529334302196346</v>
      </c>
      <c r="S15" s="3" t="e">
        <f t="shared" ca="1" si="7"/>
        <v>#N/A</v>
      </c>
      <c r="U15" s="3" t="e">
        <f t="shared" ca="1" si="8"/>
        <v>#N/A</v>
      </c>
      <c r="V15" s="3">
        <f t="shared" ca="1" si="9"/>
        <v>2.2421524663677128</v>
      </c>
      <c r="W15" s="3">
        <f t="shared" ca="1" si="10"/>
        <v>1.4981273408239701</v>
      </c>
      <c r="X15" s="3" t="e">
        <f t="shared" ca="1" si="11"/>
        <v>#N/A</v>
      </c>
      <c r="Z15" s="3" t="e">
        <f t="shared" ca="1" si="12"/>
        <v>#N/A</v>
      </c>
      <c r="AA15" s="3">
        <f t="shared" ca="1" si="13"/>
        <v>0.99202790234180371</v>
      </c>
      <c r="AB15" s="3">
        <f t="shared" ca="1" si="14"/>
        <v>0.98601747815230945</v>
      </c>
      <c r="AC15" s="3" t="e">
        <f t="shared" ca="1" si="15"/>
        <v>#N/A</v>
      </c>
      <c r="AE15" s="3" t="e">
        <f t="shared" ca="1" si="16"/>
        <v>#N/A</v>
      </c>
      <c r="AF15" s="3">
        <f t="shared" ca="1" si="17"/>
        <v>0.9382162085355189</v>
      </c>
      <c r="AG15" s="3">
        <f t="shared" ca="1" si="18"/>
        <v>0.96529334302196346</v>
      </c>
      <c r="AH15" s="3" t="e">
        <f t="shared" ca="1" si="19"/>
        <v>#N/A</v>
      </c>
      <c r="AJ15" s="3" t="e">
        <f t="shared" ca="1" si="20"/>
        <v>#N/A</v>
      </c>
      <c r="AK15" s="3">
        <f t="shared" ca="1" si="21"/>
        <v>2.2421524663677128</v>
      </c>
      <c r="AL15" s="3">
        <f t="shared" ca="1" si="22"/>
        <v>1.4981273408239701</v>
      </c>
      <c r="AM15" s="3" t="e">
        <f t="shared" ca="1" si="23"/>
        <v>#N/A</v>
      </c>
      <c r="AO15" s="3" t="e">
        <f t="shared" ca="1" si="24"/>
        <v>#N/A</v>
      </c>
      <c r="AP15" s="3">
        <f t="shared" ca="1" si="25"/>
        <v>0.24912805181863476</v>
      </c>
      <c r="AQ15" s="3">
        <f t="shared" ca="1" si="26"/>
        <v>0.49937578027465668</v>
      </c>
      <c r="AR15" s="3" t="e">
        <f t="shared" ca="1" si="27"/>
        <v>#N/A</v>
      </c>
      <c r="AT15" s="11" t="e">
        <v>#N/A</v>
      </c>
      <c r="AU15" s="3">
        <v>0.11500000208616257</v>
      </c>
      <c r="AV15" s="3">
        <v>3.0000000260770321E-3</v>
      </c>
      <c r="AW15" s="11" t="e">
        <v>#N/A</v>
      </c>
      <c r="AY15" s="3" t="e">
        <f t="shared" ca="1" si="28"/>
        <v>#N/A</v>
      </c>
      <c r="AZ15" s="3">
        <f t="shared" ca="1" si="29"/>
        <v>0.21549576482311902</v>
      </c>
      <c r="BA15" s="3">
        <f t="shared" ca="1" si="30"/>
        <v>0.17902621722846457</v>
      </c>
      <c r="BB15" s="3" t="e">
        <f t="shared" ca="1" si="31"/>
        <v>#N/A</v>
      </c>
      <c r="BD15" s="3" t="e">
        <f t="shared" ca="1" si="32"/>
        <v>#N/A</v>
      </c>
      <c r="BE15" s="3">
        <f t="shared" ca="1" si="33"/>
        <v>0.19083209577103305</v>
      </c>
      <c r="BF15" s="3">
        <f t="shared" ca="1" si="34"/>
        <v>0.20374525501189311</v>
      </c>
      <c r="BG15" s="3" t="e">
        <f t="shared" ca="1" si="35"/>
        <v>#N/A</v>
      </c>
      <c r="BI15" s="3" t="e">
        <f t="shared" ca="1" si="36"/>
        <v>#N/A</v>
      </c>
      <c r="BJ15" s="3">
        <f t="shared" ca="1" si="37"/>
        <v>0.99651220727453904</v>
      </c>
      <c r="BK15" s="3">
        <f t="shared" ca="1" si="38"/>
        <v>0.49937578027465668</v>
      </c>
      <c r="BL15" s="3" t="e">
        <f t="shared" ca="1" si="39"/>
        <v>#N/A</v>
      </c>
      <c r="BN15" s="3" t="e">
        <f t="shared" ca="1" si="40"/>
        <v>#N/A</v>
      </c>
      <c r="BO15" s="3">
        <f t="shared" ca="1" si="41"/>
        <v>0.99651220727453904</v>
      </c>
      <c r="BP15" s="3">
        <f t="shared" ca="1" si="42"/>
        <v>0.49937578027465668</v>
      </c>
      <c r="BQ15" s="3" t="e">
        <f t="shared" ca="1" si="43"/>
        <v>#N/A</v>
      </c>
      <c r="BS15" s="11" t="e">
        <v>#N/A</v>
      </c>
      <c r="BT15" s="3">
        <v>0.5820000171661377</v>
      </c>
      <c r="BU15" s="3">
        <v>2.9019999504089355</v>
      </c>
      <c r="BV15" s="11" t="e">
        <v>#N/A</v>
      </c>
      <c r="BX15" s="3" t="e">
        <f t="shared" ca="1" si="44"/>
        <v>#N/A</v>
      </c>
      <c r="BY15" s="3">
        <f t="shared" ca="1" si="45"/>
        <v>0</v>
      </c>
      <c r="BZ15" s="3">
        <f t="shared" ca="1" si="46"/>
        <v>0</v>
      </c>
      <c r="CA15" s="3" t="e">
        <f t="shared" ca="1" si="47"/>
        <v>#N/A</v>
      </c>
      <c r="CC15" s="3" t="e">
        <f t="shared" ca="1" si="48"/>
        <v>#N/A</v>
      </c>
      <c r="CD15" s="3">
        <f t="shared" ca="1" si="49"/>
        <v>0</v>
      </c>
      <c r="CE15" s="3">
        <f t="shared" ca="1" si="50"/>
        <v>0</v>
      </c>
      <c r="CF15" s="3" t="e">
        <f t="shared" ca="1" si="51"/>
        <v>#N/A</v>
      </c>
      <c r="CH15" s="3" t="e">
        <f t="shared" ca="1" si="52"/>
        <v>#N/A</v>
      </c>
      <c r="CI15" s="3">
        <f t="shared" ca="1" si="53"/>
        <v>0</v>
      </c>
      <c r="CJ15" s="3">
        <f t="shared" ca="1" si="54"/>
        <v>0</v>
      </c>
      <c r="CK15" s="3" t="e">
        <f t="shared" ca="1" si="55"/>
        <v>#N/A</v>
      </c>
      <c r="CM15" s="3" t="e">
        <f t="shared" ca="1" si="56"/>
        <v>#N/A</v>
      </c>
      <c r="CN15" s="3">
        <f t="shared" ca="1" si="57"/>
        <v>0</v>
      </c>
      <c r="CO15" s="3">
        <f t="shared" ca="1" si="58"/>
        <v>0</v>
      </c>
      <c r="CP15" s="3" t="e">
        <f t="shared" ca="1" si="59"/>
        <v>#N/A</v>
      </c>
      <c r="CR15" s="11" t="e">
        <v>#N/A</v>
      </c>
      <c r="CS15" s="3">
        <v>4.0140000000000002</v>
      </c>
      <c r="CT15" s="3">
        <v>4.0049999999999999</v>
      </c>
      <c r="CU15" s="11" t="e">
        <v>#N/A</v>
      </c>
      <c r="CV15" s="21">
        <f t="shared" ca="1" si="61"/>
        <v>0.20374525501189311</v>
      </c>
      <c r="CW15" s="16">
        <f t="shared" ca="1" si="60"/>
        <v>4.333333333333333</v>
      </c>
      <c r="CX15" s="3" t="s">
        <v>278</v>
      </c>
      <c r="CY15" s="71"/>
      <c r="CZ15" s="18" t="s">
        <v>299</v>
      </c>
      <c r="DA15" s="4" t="s">
        <v>314</v>
      </c>
      <c r="DB15" s="4" t="s">
        <v>330</v>
      </c>
      <c r="DC15" s="4" t="s">
        <v>345</v>
      </c>
      <c r="DD15" s="4" t="s">
        <v>283</v>
      </c>
    </row>
    <row r="16" spans="1:120" s="3" customFormat="1" x14ac:dyDescent="0.35">
      <c r="A16" s="2" t="s">
        <v>30</v>
      </c>
      <c r="B16" s="2">
        <v>4.416666666666667</v>
      </c>
      <c r="C16" s="2" t="s">
        <v>168</v>
      </c>
      <c r="D16" s="2" t="s">
        <v>403</v>
      </c>
      <c r="F16" s="3">
        <v>2.83</v>
      </c>
      <c r="G16" s="3">
        <v>4.016</v>
      </c>
      <c r="H16" s="3">
        <v>2.1269999999999998</v>
      </c>
      <c r="I16" s="3">
        <v>4.016</v>
      </c>
      <c r="K16" s="3">
        <f t="shared" ca="1" si="0"/>
        <v>0.88374558303886941</v>
      </c>
      <c r="L16" s="3">
        <f t="shared" ca="1" si="1"/>
        <v>0.90039840637450197</v>
      </c>
      <c r="M16" s="3">
        <f t="shared" ca="1" si="2"/>
        <v>0.99482839680300883</v>
      </c>
      <c r="N16" s="3">
        <f t="shared" ca="1" si="3"/>
        <v>0.98331673306772904</v>
      </c>
      <c r="P16" s="3">
        <f t="shared" ca="1" si="4"/>
        <v>0.4537101716540306</v>
      </c>
      <c r="Q16" s="3">
        <f t="shared" ca="1" si="5"/>
        <v>0.88371511639663536</v>
      </c>
      <c r="R16" s="3">
        <f t="shared" ca="1" si="6"/>
        <v>0.94875439714253318</v>
      </c>
      <c r="S16" s="3">
        <f t="shared" ca="1" si="7"/>
        <v>0.9422311373797071</v>
      </c>
      <c r="U16" s="3">
        <f t="shared" ca="1" si="8"/>
        <v>2.1201413427561837</v>
      </c>
      <c r="V16" s="3">
        <f t="shared" ca="1" si="9"/>
        <v>1.2450199203187251</v>
      </c>
      <c r="W16" s="3">
        <f t="shared" ca="1" si="10"/>
        <v>2.3507287259050309</v>
      </c>
      <c r="X16" s="3">
        <f t="shared" ca="1" si="11"/>
        <v>1.2450199203187251</v>
      </c>
      <c r="Z16" s="3">
        <f t="shared" ca="1" si="12"/>
        <v>0.40070671378091866</v>
      </c>
      <c r="AA16" s="3">
        <f t="shared" ca="1" si="13"/>
        <v>0.90039840637450197</v>
      </c>
      <c r="AB16" s="3">
        <f t="shared" ca="1" si="14"/>
        <v>0.99482839680300883</v>
      </c>
      <c r="AC16" s="3">
        <f t="shared" ca="1" si="15"/>
        <v>0.92529880478087645</v>
      </c>
      <c r="AE16" s="3">
        <f t="shared" ca="1" si="16"/>
        <v>0.35901054897914925</v>
      </c>
      <c r="AF16" s="3">
        <f t="shared" ca="1" si="17"/>
        <v>0.88371511639663536</v>
      </c>
      <c r="AG16" s="3">
        <f t="shared" ca="1" si="18"/>
        <v>0.94875439714253318</v>
      </c>
      <c r="AH16" s="3">
        <f t="shared" ca="1" si="19"/>
        <v>0.90064747310967086</v>
      </c>
      <c r="AJ16" s="3">
        <f t="shared" ca="1" si="20"/>
        <v>1.4134275618374559</v>
      </c>
      <c r="AK16" s="3">
        <f t="shared" ca="1" si="21"/>
        <v>1.2450199203187251</v>
      </c>
      <c r="AL16" s="3">
        <f t="shared" ca="1" si="22"/>
        <v>2.3507287259050309</v>
      </c>
      <c r="AM16" s="3">
        <f t="shared" ca="1" si="23"/>
        <v>0.99601593625498008</v>
      </c>
      <c r="AO16" s="3">
        <f t="shared" ca="1" si="24"/>
        <v>1.7667844522968197</v>
      </c>
      <c r="AP16" s="3">
        <f t="shared" ca="1" si="25"/>
        <v>0.24900398406374502</v>
      </c>
      <c r="AQ16" s="3">
        <f t="shared" ca="1" si="26"/>
        <v>0.47014574518100616</v>
      </c>
      <c r="AR16" s="3">
        <f t="shared" ca="1" si="27"/>
        <v>0.74701195219123506</v>
      </c>
      <c r="AT16" s="3">
        <v>0.5130000114440918</v>
      </c>
      <c r="AU16" s="3">
        <v>1.6000000759959221E-2</v>
      </c>
      <c r="AV16" s="3">
        <v>1.9040000438690186</v>
      </c>
      <c r="AW16" s="3">
        <v>0.34400001168251038</v>
      </c>
      <c r="AY16" s="3">
        <f t="shared" ca="1" si="28"/>
        <v>0.27703180212014145</v>
      </c>
      <c r="AZ16" s="3">
        <f t="shared" ca="1" si="29"/>
        <v>0.52290836653386463</v>
      </c>
      <c r="BA16" s="3">
        <f t="shared" ca="1" si="30"/>
        <v>0.64268923366243524</v>
      </c>
      <c r="BB16" s="3">
        <f t="shared" ca="1" si="31"/>
        <v>0.91284860557768921</v>
      </c>
      <c r="BD16" s="3">
        <f t="shared" ca="1" si="32"/>
        <v>0.20035334694933132</v>
      </c>
      <c r="BE16" s="3">
        <f t="shared" ca="1" si="33"/>
        <v>0.61827688014127347</v>
      </c>
      <c r="BF16" s="3">
        <f t="shared" ca="1" si="34"/>
        <v>0.6661966590181897</v>
      </c>
      <c r="BG16" s="3">
        <f t="shared" ca="1" si="35"/>
        <v>0.90064747310967086</v>
      </c>
      <c r="BI16" s="3">
        <f t="shared" ca="1" si="36"/>
        <v>0.70671378091872794</v>
      </c>
      <c r="BJ16" s="3">
        <f t="shared" ca="1" si="37"/>
        <v>0.49800796812749004</v>
      </c>
      <c r="BK16" s="3">
        <f t="shared" ca="1" si="38"/>
        <v>1.4104372355430186</v>
      </c>
      <c r="BL16" s="3">
        <f t="shared" ca="1" si="39"/>
        <v>0.99601593625498008</v>
      </c>
      <c r="BN16" s="3">
        <f t="shared" ca="1" si="40"/>
        <v>0.70671378091872794</v>
      </c>
      <c r="BO16" s="3">
        <f t="shared" ca="1" si="41"/>
        <v>0.74701195219123506</v>
      </c>
      <c r="BP16" s="3">
        <f t="shared" ca="1" si="42"/>
        <v>1.4104372355430186</v>
      </c>
      <c r="BQ16" s="3">
        <f t="shared" ca="1" si="43"/>
        <v>0.74701195219123506</v>
      </c>
      <c r="BS16" s="3">
        <v>0.81300002336502075</v>
      </c>
      <c r="BT16" s="3">
        <v>0.43200001120567322</v>
      </c>
      <c r="BU16" s="3">
        <v>1.9040000438690186</v>
      </c>
      <c r="BV16" s="3">
        <v>0.34400001168251038</v>
      </c>
      <c r="BX16" s="3">
        <f t="shared" ca="1" si="44"/>
        <v>0</v>
      </c>
      <c r="BY16" s="3">
        <f t="shared" ca="1" si="45"/>
        <v>0</v>
      </c>
      <c r="BZ16" s="3">
        <f t="shared" ca="1" si="46"/>
        <v>0</v>
      </c>
      <c r="CA16" s="3">
        <f t="shared" ca="1" si="47"/>
        <v>0</v>
      </c>
      <c r="CC16" s="3">
        <f t="shared" ca="1" si="48"/>
        <v>0</v>
      </c>
      <c r="CD16" s="3">
        <f t="shared" ca="1" si="49"/>
        <v>0</v>
      </c>
      <c r="CE16" s="3">
        <f t="shared" ca="1" si="50"/>
        <v>0</v>
      </c>
      <c r="CF16" s="3">
        <f t="shared" ca="1" si="51"/>
        <v>0</v>
      </c>
      <c r="CH16" s="3">
        <f t="shared" ca="1" si="52"/>
        <v>0</v>
      </c>
      <c r="CI16" s="3">
        <f t="shared" ca="1" si="53"/>
        <v>0</v>
      </c>
      <c r="CJ16" s="3">
        <f t="shared" ca="1" si="54"/>
        <v>0</v>
      </c>
      <c r="CK16" s="3">
        <f t="shared" ca="1" si="55"/>
        <v>0</v>
      </c>
      <c r="CM16" s="3">
        <f t="shared" ca="1" si="56"/>
        <v>0</v>
      </c>
      <c r="CN16" s="3">
        <f t="shared" ca="1" si="57"/>
        <v>0</v>
      </c>
      <c r="CO16" s="3">
        <f t="shared" ca="1" si="58"/>
        <v>0</v>
      </c>
      <c r="CP16" s="3">
        <f t="shared" ca="1" si="59"/>
        <v>0</v>
      </c>
      <c r="CR16" s="3">
        <v>4.016</v>
      </c>
      <c r="CS16" s="3">
        <v>4.016</v>
      </c>
      <c r="CT16" s="3">
        <v>4.0149999999999997</v>
      </c>
      <c r="CU16" s="3">
        <v>4.016</v>
      </c>
      <c r="CV16" s="21">
        <f t="shared" ca="1" si="61"/>
        <v>0.6661966590181897</v>
      </c>
      <c r="CW16" s="16">
        <f t="shared" ca="1" si="60"/>
        <v>4.416666666666667</v>
      </c>
      <c r="CY16" s="72"/>
      <c r="CZ16" s="18" t="s">
        <v>300</v>
      </c>
      <c r="DA16" s="4" t="s">
        <v>318</v>
      </c>
      <c r="DB16" s="4" t="s">
        <v>333</v>
      </c>
      <c r="DC16" s="4" t="s">
        <v>348</v>
      </c>
      <c r="DD16" s="4" t="s">
        <v>284</v>
      </c>
    </row>
    <row r="17" spans="1:108" s="3" customFormat="1" x14ac:dyDescent="0.35">
      <c r="A17" s="2" t="s">
        <v>92</v>
      </c>
      <c r="B17" s="2">
        <v>4.416666666666667</v>
      </c>
      <c r="C17" s="2" t="s">
        <v>168</v>
      </c>
      <c r="D17" s="2" t="s">
        <v>403</v>
      </c>
      <c r="F17" s="11" t="e">
        <v>#N/A</v>
      </c>
      <c r="G17" s="3">
        <v>0.87399999999999967</v>
      </c>
      <c r="H17" s="3">
        <v>4.0110000000000001</v>
      </c>
      <c r="I17" s="3">
        <v>3.2439999999999998</v>
      </c>
      <c r="K17" s="3" t="e">
        <f t="shared" ca="1" si="0"/>
        <v>#N/A</v>
      </c>
      <c r="L17" s="3" t="e">
        <f t="shared" ca="1" si="1"/>
        <v>#N/A</v>
      </c>
      <c r="M17" s="3">
        <f t="shared" ca="1" si="2"/>
        <v>0.93093991523310893</v>
      </c>
      <c r="N17" s="3">
        <f t="shared" ca="1" si="3"/>
        <v>0.76541307028360073</v>
      </c>
      <c r="P17" s="3" t="e">
        <f t="shared" ca="1" si="4"/>
        <v>#N/A</v>
      </c>
      <c r="Q17" s="3" t="e">
        <f t="shared" ca="1" si="5"/>
        <v>#N/A</v>
      </c>
      <c r="R17" s="3">
        <f t="shared" ca="1" si="6"/>
        <v>0.19945149646379559</v>
      </c>
      <c r="S17" s="3">
        <f t="shared" ca="1" si="7"/>
        <v>0.34895196734180012</v>
      </c>
      <c r="U17" s="3" t="e">
        <f t="shared" ca="1" si="8"/>
        <v>#N/A</v>
      </c>
      <c r="V17" s="3" t="e">
        <f t="shared" ca="1" si="9"/>
        <v>#N/A</v>
      </c>
      <c r="W17" s="3">
        <f t="shared" ca="1" si="10"/>
        <v>0.74794315632011965</v>
      </c>
      <c r="X17" s="3">
        <f t="shared" ca="1" si="11"/>
        <v>1.8495684340320593</v>
      </c>
      <c r="Z17" s="3" t="e">
        <f t="shared" ca="1" si="12"/>
        <v>#N/A</v>
      </c>
      <c r="AA17" s="3" t="e">
        <f t="shared" ca="1" si="13"/>
        <v>#N/A</v>
      </c>
      <c r="AB17" s="3">
        <f t="shared" ca="1" si="14"/>
        <v>0.54475193218648732</v>
      </c>
      <c r="AC17" s="3">
        <f t="shared" ca="1" si="15"/>
        <v>0.57028360049321836</v>
      </c>
      <c r="AE17" s="3" t="e">
        <f t="shared" ca="1" si="16"/>
        <v>#N/A</v>
      </c>
      <c r="AF17" s="3" t="e">
        <f t="shared" ca="1" si="17"/>
        <v>#N/A</v>
      </c>
      <c r="AG17" s="3">
        <f t="shared" ca="1" si="18"/>
        <v>0.19945149646379559</v>
      </c>
      <c r="AH17" s="3">
        <f t="shared" ca="1" si="19"/>
        <v>0.2872996715083489</v>
      </c>
      <c r="AJ17" s="3" t="e">
        <f t="shared" ca="1" si="20"/>
        <v>#N/A</v>
      </c>
      <c r="AK17" s="3" t="e">
        <f t="shared" ca="1" si="21"/>
        <v>#N/A</v>
      </c>
      <c r="AL17" s="3">
        <f t="shared" ca="1" si="22"/>
        <v>0.74794315632011965</v>
      </c>
      <c r="AM17" s="3">
        <f t="shared" ca="1" si="23"/>
        <v>1.5413070283600494</v>
      </c>
      <c r="AO17" s="3" t="e">
        <f t="shared" ca="1" si="24"/>
        <v>#N/A</v>
      </c>
      <c r="AP17" s="3" t="e">
        <f t="shared" ca="1" si="25"/>
        <v>#N/A</v>
      </c>
      <c r="AQ17" s="3">
        <f t="shared" ca="1" si="26"/>
        <v>2.7424582398404387</v>
      </c>
      <c r="AR17" s="3">
        <f t="shared" ca="1" si="27"/>
        <v>2.466091245376079</v>
      </c>
      <c r="AT17" s="11" t="e">
        <v>#N/A</v>
      </c>
      <c r="AU17" s="11" t="e">
        <v>#N/A</v>
      </c>
      <c r="AV17" s="3">
        <v>1.1009999513626099</v>
      </c>
      <c r="AW17" s="3">
        <v>2.0000000949949026E-3</v>
      </c>
      <c r="AY17" s="3" t="e">
        <f t="shared" ca="1" si="28"/>
        <v>#N/A</v>
      </c>
      <c r="AZ17" s="3" t="e">
        <f t="shared" ca="1" si="29"/>
        <v>#N/A</v>
      </c>
      <c r="BA17" s="3">
        <f t="shared" ca="1" si="30"/>
        <v>7.080528546497139E-2</v>
      </c>
      <c r="BB17" s="3">
        <f t="shared" ca="1" si="31"/>
        <v>3.5758323057953144E-2</v>
      </c>
      <c r="BD17" s="3" t="e">
        <f t="shared" ca="1" si="32"/>
        <v>#N/A</v>
      </c>
      <c r="BE17" s="3" t="e">
        <f t="shared" ca="1" si="33"/>
        <v>#N/A</v>
      </c>
      <c r="BF17" s="3">
        <f t="shared" ca="1" si="34"/>
        <v>3.3158787584934887E-2</v>
      </c>
      <c r="BG17" s="3">
        <f t="shared" ca="1" si="35"/>
        <v>0</v>
      </c>
      <c r="BI17" s="3" t="e">
        <f t="shared" ca="1" si="36"/>
        <v>#N/A</v>
      </c>
      <c r="BJ17" s="3" t="e">
        <f t="shared" ca="1" si="37"/>
        <v>#N/A</v>
      </c>
      <c r="BK17" s="3">
        <f t="shared" ca="1" si="38"/>
        <v>0.24931438544003989</v>
      </c>
      <c r="BL17" s="3">
        <f t="shared" ca="1" si="39"/>
        <v>0</v>
      </c>
      <c r="BN17" s="3" t="e">
        <f t="shared" ca="1" si="40"/>
        <v>#N/A</v>
      </c>
      <c r="BO17" s="3" t="e">
        <f t="shared" ca="1" si="41"/>
        <v>#N/A</v>
      </c>
      <c r="BP17" s="3">
        <f t="shared" ca="1" si="42"/>
        <v>2.2438294689603588</v>
      </c>
      <c r="BQ17" s="3">
        <f t="shared" ca="1" si="43"/>
        <v>2.466091245376079</v>
      </c>
      <c r="BS17" s="11" t="e">
        <v>#N/A</v>
      </c>
      <c r="BT17" s="11" t="e">
        <v>#N/A</v>
      </c>
      <c r="BU17" s="3">
        <v>3.1180000305175781</v>
      </c>
      <c r="BV17" s="3">
        <v>4.01</v>
      </c>
      <c r="BX17" s="3" t="e">
        <f t="shared" ca="1" si="44"/>
        <v>#N/A</v>
      </c>
      <c r="BY17" s="3" t="e">
        <f t="shared" ca="1" si="45"/>
        <v>#N/A</v>
      </c>
      <c r="BZ17" s="3">
        <f t="shared" ca="1" si="46"/>
        <v>2.5180752929444022E-2</v>
      </c>
      <c r="CA17" s="3">
        <f t="shared" ca="1" si="47"/>
        <v>0</v>
      </c>
      <c r="CC17" s="3" t="e">
        <f t="shared" ca="1" si="48"/>
        <v>#N/A</v>
      </c>
      <c r="CD17" s="3" t="e">
        <f t="shared" ca="1" si="49"/>
        <v>#N/A</v>
      </c>
      <c r="CE17" s="3">
        <f t="shared" ca="1" si="50"/>
        <v>0</v>
      </c>
      <c r="CF17" s="3">
        <f t="shared" ca="1" si="51"/>
        <v>0</v>
      </c>
      <c r="CH17" s="3" t="e">
        <f t="shared" ca="1" si="52"/>
        <v>#N/A</v>
      </c>
      <c r="CI17" s="3" t="e">
        <f t="shared" ca="1" si="53"/>
        <v>#N/A</v>
      </c>
      <c r="CJ17" s="3">
        <f t="shared" ca="1" si="54"/>
        <v>0</v>
      </c>
      <c r="CK17" s="3">
        <f t="shared" ca="1" si="55"/>
        <v>0</v>
      </c>
      <c r="CM17" s="3" t="e">
        <f t="shared" ca="1" si="56"/>
        <v>#N/A</v>
      </c>
      <c r="CN17" s="3" t="e">
        <f t="shared" ca="1" si="57"/>
        <v>#N/A</v>
      </c>
      <c r="CO17" s="3">
        <f t="shared" ca="1" si="58"/>
        <v>1.2465719272001994</v>
      </c>
      <c r="CP17" s="3">
        <f t="shared" ca="1" si="59"/>
        <v>0.61652281134401976</v>
      </c>
      <c r="CR17" s="11" t="e">
        <v>#N/A</v>
      </c>
      <c r="CS17" s="11" t="e">
        <v>#N/A</v>
      </c>
      <c r="CT17" s="3">
        <v>4.0110000000000001</v>
      </c>
      <c r="CU17" s="3">
        <v>4.01</v>
      </c>
      <c r="CV17" s="21">
        <f t="shared" ca="1" si="61"/>
        <v>3.3158787584934887E-2</v>
      </c>
      <c r="CW17" s="16">
        <f t="shared" ca="1" si="60"/>
        <v>4.416666666666667</v>
      </c>
      <c r="CY17" s="73" t="s">
        <v>271</v>
      </c>
      <c r="CZ17" s="14" t="s">
        <v>287</v>
      </c>
      <c r="DA17" s="14" t="s">
        <v>287</v>
      </c>
      <c r="DB17" s="14" t="s">
        <v>287</v>
      </c>
      <c r="DC17" s="14" t="s">
        <v>287</v>
      </c>
      <c r="DD17" s="14" t="s">
        <v>273</v>
      </c>
    </row>
    <row r="18" spans="1:108" s="3" customFormat="1" x14ac:dyDescent="0.35">
      <c r="A18" s="2" t="s">
        <v>63</v>
      </c>
      <c r="B18" s="2">
        <v>4.5</v>
      </c>
      <c r="C18" s="2" t="s">
        <v>168</v>
      </c>
      <c r="D18" s="2" t="s">
        <v>403</v>
      </c>
      <c r="F18" s="3">
        <v>4.0250000000000004</v>
      </c>
      <c r="G18" s="3">
        <v>4.0069999999999997</v>
      </c>
      <c r="H18" s="3">
        <v>4.01</v>
      </c>
      <c r="I18" s="3">
        <v>4.0049999999999999</v>
      </c>
      <c r="K18" s="3">
        <f t="shared" ca="1" si="0"/>
        <v>0.99354037267080741</v>
      </c>
      <c r="L18" s="3">
        <f t="shared" ca="1" si="1"/>
        <v>0.94834040429248823</v>
      </c>
      <c r="M18" s="3">
        <f t="shared" ca="1" si="2"/>
        <v>0.9139650872817956</v>
      </c>
      <c r="N18" s="3">
        <f t="shared" ca="1" si="3"/>
        <v>0.99850187265917612</v>
      </c>
      <c r="P18" s="3">
        <f t="shared" ca="1" si="4"/>
        <v>0.90708069919799417</v>
      </c>
      <c r="Q18" s="3">
        <f t="shared" ca="1" si="5"/>
        <v>0.83628641211364774</v>
      </c>
      <c r="R18" s="3">
        <f t="shared" ca="1" si="6"/>
        <v>0.78104740366376846</v>
      </c>
      <c r="S18" s="3">
        <f t="shared" ca="1" si="7"/>
        <v>0.87440699227293783</v>
      </c>
      <c r="U18" s="3">
        <f t="shared" ca="1" si="8"/>
        <v>2.4844720496894408</v>
      </c>
      <c r="V18" s="3">
        <f t="shared" ca="1" si="9"/>
        <v>1.9965061142999752</v>
      </c>
      <c r="W18" s="3">
        <f t="shared" ca="1" si="10"/>
        <v>1.4962593516209477</v>
      </c>
      <c r="X18" s="3">
        <f t="shared" ca="1" si="11"/>
        <v>2.2471910112359552</v>
      </c>
      <c r="Z18" s="3">
        <f t="shared" ca="1" si="12"/>
        <v>0.99354037267080741</v>
      </c>
      <c r="AA18" s="3">
        <f t="shared" ca="1" si="13"/>
        <v>0.9026703269278763</v>
      </c>
      <c r="AB18" s="3">
        <f t="shared" ca="1" si="14"/>
        <v>0.9139650872817956</v>
      </c>
      <c r="AC18" s="3">
        <f t="shared" ca="1" si="15"/>
        <v>0.91960049937578026</v>
      </c>
      <c r="AE18" s="3">
        <f t="shared" ca="1" si="16"/>
        <v>0.90708069919799417</v>
      </c>
      <c r="AF18" s="3">
        <f t="shared" ca="1" si="17"/>
        <v>0.83628641211364774</v>
      </c>
      <c r="AG18" s="3">
        <f t="shared" ca="1" si="18"/>
        <v>0.78104740366376846</v>
      </c>
      <c r="AH18" s="3">
        <f t="shared" ca="1" si="19"/>
        <v>0.84943819730618175</v>
      </c>
      <c r="AJ18" s="3">
        <f t="shared" ca="1" si="20"/>
        <v>2.4844720496894408</v>
      </c>
      <c r="AK18" s="3">
        <f t="shared" ca="1" si="21"/>
        <v>1.9965061142999752</v>
      </c>
      <c r="AL18" s="3">
        <f t="shared" ca="1" si="22"/>
        <v>1.4962593516209477</v>
      </c>
      <c r="AM18" s="3">
        <f t="shared" ca="1" si="23"/>
        <v>1.9975031210986267</v>
      </c>
      <c r="AO18" s="3">
        <f t="shared" ca="1" si="24"/>
        <v>0.24844720496894407</v>
      </c>
      <c r="AP18" s="3">
        <f t="shared" ca="1" si="25"/>
        <v>0.49912652857499379</v>
      </c>
      <c r="AQ18" s="3">
        <f t="shared" ca="1" si="26"/>
        <v>0.24937655860349128</v>
      </c>
      <c r="AR18" s="3">
        <f t="shared" ca="1" si="27"/>
        <v>0.49937578027465668</v>
      </c>
      <c r="AT18" s="3">
        <v>0</v>
      </c>
      <c r="AU18" s="3">
        <v>0.12700000405311584</v>
      </c>
      <c r="AV18" s="3">
        <v>0.32899999618530273</v>
      </c>
      <c r="AW18" s="3">
        <v>0</v>
      </c>
      <c r="AY18" s="3">
        <f t="shared" ca="1" si="28"/>
        <v>0.3145341614906832</v>
      </c>
      <c r="AZ18" s="3">
        <f t="shared" ca="1" si="29"/>
        <v>0.49912652857499379</v>
      </c>
      <c r="BA18" s="3">
        <f t="shared" ca="1" si="30"/>
        <v>0.4610972568578553</v>
      </c>
      <c r="BB18" s="3">
        <f t="shared" ca="1" si="31"/>
        <v>0.72808988764044957</v>
      </c>
      <c r="BD18" s="3">
        <f t="shared" ca="1" si="32"/>
        <v>0.25267079750203197</v>
      </c>
      <c r="BE18" s="3">
        <f t="shared" ca="1" si="33"/>
        <v>0.47017716100039197</v>
      </c>
      <c r="BF18" s="3">
        <f t="shared" ca="1" si="34"/>
        <v>0.30324194496706536</v>
      </c>
      <c r="BG18" s="3">
        <f t="shared" ca="1" si="35"/>
        <v>0.71186015519607682</v>
      </c>
      <c r="BI18" s="3">
        <f t="shared" ca="1" si="36"/>
        <v>0.24844720496894407</v>
      </c>
      <c r="BJ18" s="3">
        <f t="shared" ca="1" si="37"/>
        <v>0.99825305714998758</v>
      </c>
      <c r="BK18" s="3">
        <f t="shared" ca="1" si="38"/>
        <v>0.74812967581047385</v>
      </c>
      <c r="BL18" s="3">
        <f t="shared" ca="1" si="39"/>
        <v>1.4981273408239701</v>
      </c>
      <c r="BN18" s="3">
        <f t="shared" ca="1" si="40"/>
        <v>0.49689440993788814</v>
      </c>
      <c r="BO18" s="3">
        <f t="shared" ca="1" si="41"/>
        <v>0.74868979286249071</v>
      </c>
      <c r="BP18" s="3">
        <f t="shared" ca="1" si="42"/>
        <v>0.99750623441396513</v>
      </c>
      <c r="BQ18" s="3">
        <f t="shared" ca="1" si="43"/>
        <v>0.74906367041198507</v>
      </c>
      <c r="BS18" s="3">
        <v>1.5329999923706055</v>
      </c>
      <c r="BT18" s="3">
        <v>0.64399999380111694</v>
      </c>
      <c r="BU18" s="3">
        <v>1.312000036239624</v>
      </c>
      <c r="BV18" s="3">
        <v>0.40000000596046448</v>
      </c>
      <c r="BX18" s="3">
        <f t="shared" ca="1" si="44"/>
        <v>0.14509316770186337</v>
      </c>
      <c r="BY18" s="3">
        <f t="shared" ca="1" si="45"/>
        <v>1.6720738707262334E-2</v>
      </c>
      <c r="BZ18" s="3">
        <f t="shared" ca="1" si="46"/>
        <v>4.1645885286783112E-2</v>
      </c>
      <c r="CA18" s="3">
        <f t="shared" ca="1" si="47"/>
        <v>0</v>
      </c>
      <c r="CC18" s="3">
        <f t="shared" ca="1" si="48"/>
        <v>9.1180135004268664E-2</v>
      </c>
      <c r="CD18" s="3">
        <f t="shared" ca="1" si="49"/>
        <v>0</v>
      </c>
      <c r="CE18" s="3">
        <f t="shared" ca="1" si="50"/>
        <v>2.9177023585597775E-2</v>
      </c>
      <c r="CF18" s="3">
        <f t="shared" ca="1" si="51"/>
        <v>0</v>
      </c>
      <c r="CH18" s="3">
        <f t="shared" ca="1" si="52"/>
        <v>0.49689440993788814</v>
      </c>
      <c r="CI18" s="3">
        <f t="shared" ca="1" si="53"/>
        <v>0</v>
      </c>
      <c r="CJ18" s="3">
        <f t="shared" ca="1" si="54"/>
        <v>0.24937655860349128</v>
      </c>
      <c r="CK18" s="3">
        <f t="shared" ca="1" si="55"/>
        <v>0</v>
      </c>
      <c r="CM18" s="3">
        <f t="shared" ca="1" si="56"/>
        <v>0.49689440993788814</v>
      </c>
      <c r="CN18" s="3">
        <f t="shared" ca="1" si="57"/>
        <v>0.74868979286249071</v>
      </c>
      <c r="CO18" s="3">
        <f t="shared" ca="1" si="58"/>
        <v>0.74812967581047385</v>
      </c>
      <c r="CP18" s="3">
        <f t="shared" ca="1" si="59"/>
        <v>0</v>
      </c>
      <c r="CR18" s="3">
        <v>0.98299998044967651</v>
      </c>
      <c r="CS18" s="3">
        <v>4.0069999999999997</v>
      </c>
      <c r="CT18" s="3">
        <v>2.5780000686645508</v>
      </c>
      <c r="CU18" s="3">
        <v>4.0049999999999999</v>
      </c>
      <c r="CV18" s="21">
        <f t="shared" ca="1" si="61"/>
        <v>0.30324194496706536</v>
      </c>
      <c r="CW18" s="16">
        <f t="shared" ca="1" si="60"/>
        <v>4.5</v>
      </c>
      <c r="CX18" s="17" t="s">
        <v>273</v>
      </c>
      <c r="CY18" s="74"/>
      <c r="CZ18" s="14" t="s">
        <v>168</v>
      </c>
      <c r="DA18" s="14" t="s">
        <v>303</v>
      </c>
      <c r="DB18" s="14" t="s">
        <v>322</v>
      </c>
      <c r="DC18" s="14" t="s">
        <v>337</v>
      </c>
      <c r="DD18" s="14" t="s">
        <v>280</v>
      </c>
    </row>
    <row r="19" spans="1:108" s="3" customFormat="1" x14ac:dyDescent="0.35">
      <c r="A19" s="2" t="s">
        <v>59</v>
      </c>
      <c r="B19" s="2">
        <v>4.583333333333333</v>
      </c>
      <c r="C19" s="2" t="s">
        <v>168</v>
      </c>
      <c r="D19" s="2" t="s">
        <v>403</v>
      </c>
      <c r="F19" s="3">
        <v>4.01</v>
      </c>
      <c r="G19" s="3">
        <v>1.8679999999999999</v>
      </c>
      <c r="H19" s="3">
        <v>1.1680000000000001</v>
      </c>
      <c r="I19" s="3">
        <v>4.0149999999999997</v>
      </c>
      <c r="K19" s="3">
        <f t="shared" ca="1" si="0"/>
        <v>0.90997506234413983</v>
      </c>
      <c r="L19" s="3" t="e">
        <f t="shared" ca="1" si="1"/>
        <v>#N/A</v>
      </c>
      <c r="M19" s="3" t="e">
        <f t="shared" ca="1" si="2"/>
        <v>#N/A</v>
      </c>
      <c r="N19" s="3">
        <f t="shared" ca="1" si="3"/>
        <v>0.99601494396014945</v>
      </c>
      <c r="P19" s="3">
        <f t="shared" ca="1" si="4"/>
        <v>0.86433916466491778</v>
      </c>
      <c r="Q19" s="3" t="e">
        <f t="shared" ca="1" si="5"/>
        <v>#N/A</v>
      </c>
      <c r="R19" s="3" t="e">
        <f t="shared" ca="1" si="6"/>
        <v>#N/A</v>
      </c>
      <c r="S19" s="3">
        <f t="shared" ca="1" si="7"/>
        <v>0.86401007201981883</v>
      </c>
      <c r="U19" s="3">
        <f t="shared" ca="1" si="8"/>
        <v>1.9950124688279303</v>
      </c>
      <c r="V19" s="3" t="e">
        <f t="shared" ca="1" si="9"/>
        <v>#N/A</v>
      </c>
      <c r="W19" s="3" t="e">
        <f t="shared" ca="1" si="10"/>
        <v>#N/A</v>
      </c>
      <c r="X19" s="3">
        <f t="shared" ca="1" si="11"/>
        <v>3.4869240348692405</v>
      </c>
      <c r="Z19" s="3">
        <f t="shared" ca="1" si="12"/>
        <v>0.90997506234413983</v>
      </c>
      <c r="AA19" s="3" t="e">
        <f t="shared" ca="1" si="13"/>
        <v>#N/A</v>
      </c>
      <c r="AB19" s="3" t="e">
        <f t="shared" ca="1" si="14"/>
        <v>#N/A</v>
      </c>
      <c r="AC19" s="3">
        <f t="shared" ca="1" si="15"/>
        <v>0.9628891656288916</v>
      </c>
      <c r="AE19" s="3">
        <f t="shared" ca="1" si="16"/>
        <v>0.86433916466491778</v>
      </c>
      <c r="AF19" s="3" t="e">
        <f t="shared" ca="1" si="17"/>
        <v>#N/A</v>
      </c>
      <c r="AG19" s="3" t="e">
        <f t="shared" ca="1" si="18"/>
        <v>#N/A</v>
      </c>
      <c r="AH19" s="3">
        <f t="shared" ca="1" si="19"/>
        <v>0.86401007201981883</v>
      </c>
      <c r="AJ19" s="3">
        <f t="shared" ca="1" si="20"/>
        <v>1.9950124688279303</v>
      </c>
      <c r="AK19" s="3" t="e">
        <f t="shared" ca="1" si="21"/>
        <v>#N/A</v>
      </c>
      <c r="AL19" s="3" t="e">
        <f t="shared" ca="1" si="22"/>
        <v>#N/A</v>
      </c>
      <c r="AM19" s="3">
        <f t="shared" ca="1" si="23"/>
        <v>3.4869240348692405</v>
      </c>
      <c r="AO19" s="3">
        <f t="shared" ca="1" si="24"/>
        <v>0.24937655860349128</v>
      </c>
      <c r="AP19" s="3" t="e">
        <f t="shared" ca="1" si="25"/>
        <v>#N/A</v>
      </c>
      <c r="AQ19" s="3" t="e">
        <f t="shared" ca="1" si="26"/>
        <v>#N/A</v>
      </c>
      <c r="AR19" s="3">
        <f t="shared" ca="1" si="27"/>
        <v>0.4981320049813201</v>
      </c>
      <c r="AT19" s="3">
        <v>0.36899998784065247</v>
      </c>
      <c r="AU19" s="11" t="e">
        <v>#N/A</v>
      </c>
      <c r="AV19" s="11" t="e">
        <v>#N/A</v>
      </c>
      <c r="AW19" s="3">
        <v>4.999999888241291E-3</v>
      </c>
      <c r="AY19" s="3">
        <f t="shared" ca="1" si="28"/>
        <v>7.0822942643391479E-2</v>
      </c>
      <c r="AZ19" s="3" t="e">
        <f t="shared" ca="1" si="29"/>
        <v>#N/A</v>
      </c>
      <c r="BA19" s="3" t="e">
        <f t="shared" ca="1" si="30"/>
        <v>#N/A</v>
      </c>
      <c r="BB19" s="3">
        <f t="shared" ca="1" si="31"/>
        <v>0.20747198007471981</v>
      </c>
      <c r="BD19" s="3">
        <f t="shared" ca="1" si="32"/>
        <v>4.5635872648243897E-2</v>
      </c>
      <c r="BE19" s="3" t="e">
        <f t="shared" ca="1" si="33"/>
        <v>#N/A</v>
      </c>
      <c r="BF19" s="3" t="e">
        <f t="shared" ca="1" si="34"/>
        <v>#N/A</v>
      </c>
      <c r="BG19" s="3">
        <f t="shared" ca="1" si="35"/>
        <v>0.21195519311935787</v>
      </c>
      <c r="BI19" s="3">
        <f t="shared" ca="1" si="36"/>
        <v>0.24937655860349128</v>
      </c>
      <c r="BJ19" s="3" t="e">
        <f t="shared" ca="1" si="37"/>
        <v>#N/A</v>
      </c>
      <c r="BK19" s="3" t="e">
        <f t="shared" ca="1" si="38"/>
        <v>#N/A</v>
      </c>
      <c r="BL19" s="3">
        <f t="shared" ca="1" si="39"/>
        <v>0.74719800747198017</v>
      </c>
      <c r="BN19" s="3">
        <f t="shared" ca="1" si="40"/>
        <v>0.74812967581047385</v>
      </c>
      <c r="BO19" s="3" t="e">
        <f t="shared" ca="1" si="41"/>
        <v>#N/A</v>
      </c>
      <c r="BP19" s="3" t="e">
        <f t="shared" ca="1" si="42"/>
        <v>#N/A</v>
      </c>
      <c r="BQ19" s="3">
        <f t="shared" ca="1" si="43"/>
        <v>1.2453300124533002</v>
      </c>
      <c r="BS19" s="3">
        <v>2.502000093460083</v>
      </c>
      <c r="BT19" s="11" t="e">
        <v>#N/A</v>
      </c>
      <c r="BU19" s="11" t="e">
        <v>#N/A</v>
      </c>
      <c r="BV19" s="3">
        <v>0.43799999356269836</v>
      </c>
      <c r="BX19" s="3">
        <f t="shared" ca="1" si="44"/>
        <v>0.34488778054862851</v>
      </c>
      <c r="BY19" s="3" t="e">
        <f t="shared" ca="1" si="45"/>
        <v>#N/A</v>
      </c>
      <c r="BZ19" s="3" t="e">
        <f t="shared" ca="1" si="46"/>
        <v>#N/A</v>
      </c>
      <c r="CA19" s="3">
        <f t="shared" ca="1" si="47"/>
        <v>0.17833125778331252</v>
      </c>
      <c r="CC19" s="3">
        <f t="shared" ca="1" si="48"/>
        <v>0.45286779689075346</v>
      </c>
      <c r="CD19" s="3" t="e">
        <f t="shared" ca="1" si="49"/>
        <v>#N/A</v>
      </c>
      <c r="CE19" s="3" t="e">
        <f t="shared" ca="1" si="50"/>
        <v>#N/A</v>
      </c>
      <c r="CF19" s="3">
        <f t="shared" ca="1" si="51"/>
        <v>0.24483194980645093</v>
      </c>
      <c r="CH19" s="3">
        <f t="shared" ca="1" si="52"/>
        <v>0.49875311720698257</v>
      </c>
      <c r="CI19" s="3" t="e">
        <f t="shared" ca="1" si="53"/>
        <v>#N/A</v>
      </c>
      <c r="CJ19" s="3" t="e">
        <f t="shared" ca="1" si="54"/>
        <v>#N/A</v>
      </c>
      <c r="CK19" s="3">
        <f t="shared" ca="1" si="55"/>
        <v>0.74719800747198017</v>
      </c>
      <c r="CM19" s="3">
        <f t="shared" ca="1" si="56"/>
        <v>0.49875311720698257</v>
      </c>
      <c r="CN19" s="3" t="e">
        <f t="shared" ca="1" si="57"/>
        <v>#N/A</v>
      </c>
      <c r="CO19" s="3" t="e">
        <f t="shared" ca="1" si="58"/>
        <v>#N/A</v>
      </c>
      <c r="CP19" s="3">
        <f t="shared" ca="1" si="59"/>
        <v>0.4981320049813201</v>
      </c>
      <c r="CR19" s="3">
        <v>0.98500001430511475</v>
      </c>
      <c r="CS19" s="11" t="e">
        <v>#N/A</v>
      </c>
      <c r="CT19" s="11" t="e">
        <v>#N/A</v>
      </c>
      <c r="CU19" s="3">
        <v>1.9210000038146973</v>
      </c>
      <c r="CV19" s="21" t="e">
        <f t="shared" ca="1" si="61"/>
        <v>#N/A</v>
      </c>
      <c r="CW19" s="16">
        <f t="shared" ca="1" si="60"/>
        <v>4.583333333333333</v>
      </c>
      <c r="CX19" s="17" t="s">
        <v>280</v>
      </c>
      <c r="CY19" s="74"/>
      <c r="CZ19" s="14" t="s">
        <v>293</v>
      </c>
      <c r="DA19" s="14" t="s">
        <v>307</v>
      </c>
      <c r="DB19" s="14" t="s">
        <v>325</v>
      </c>
      <c r="DC19" s="14" t="s">
        <v>340</v>
      </c>
      <c r="DD19" s="14" t="s">
        <v>281</v>
      </c>
    </row>
    <row r="20" spans="1:108" s="3" customFormat="1" x14ac:dyDescent="0.35">
      <c r="A20" s="2" t="s">
        <v>48</v>
      </c>
      <c r="B20" s="2">
        <v>4.833333333333333</v>
      </c>
      <c r="C20" s="2" t="s">
        <v>167</v>
      </c>
      <c r="D20" s="2" t="s">
        <v>403</v>
      </c>
      <c r="F20" s="3">
        <v>4.0049999999999999</v>
      </c>
      <c r="G20" s="3">
        <v>4.0030000000000001</v>
      </c>
      <c r="H20" s="3">
        <v>4.0410000000000004</v>
      </c>
      <c r="I20" s="3">
        <v>4.0359999999999996</v>
      </c>
      <c r="K20" s="3">
        <f t="shared" ca="1" si="0"/>
        <v>0.99425717852684137</v>
      </c>
      <c r="L20" s="3">
        <f t="shared" ca="1" si="1"/>
        <v>0.9992505620784411</v>
      </c>
      <c r="M20" s="3">
        <f t="shared" ca="1" si="2"/>
        <v>0.84533531304132636</v>
      </c>
      <c r="N20" s="3">
        <f t="shared" ca="1" si="3"/>
        <v>0.77626362735381571</v>
      </c>
      <c r="P20" s="3">
        <f t="shared" ca="1" si="4"/>
        <v>0.90262177708406421</v>
      </c>
      <c r="Q20" s="3">
        <f t="shared" ca="1" si="5"/>
        <v>0.8783412084859139</v>
      </c>
      <c r="R20" s="3">
        <f t="shared" ca="1" si="6"/>
        <v>0.84533524879043975</v>
      </c>
      <c r="S20" s="3">
        <f t="shared" ca="1" si="7"/>
        <v>0.74355789378093429</v>
      </c>
      <c r="U20" s="3">
        <f t="shared" ca="1" si="8"/>
        <v>1.7478152309612984</v>
      </c>
      <c r="V20" s="3">
        <f t="shared" ca="1" si="9"/>
        <v>2.2483137646764924</v>
      </c>
      <c r="W20" s="3">
        <f t="shared" ca="1" si="10"/>
        <v>2.2271714922048997</v>
      </c>
      <c r="X20" s="3">
        <f t="shared" ca="1" si="11"/>
        <v>1.9821605550049557</v>
      </c>
      <c r="Z20" s="3">
        <f t="shared" ca="1" si="12"/>
        <v>0.99425717852684137</v>
      </c>
      <c r="AA20" s="3">
        <f t="shared" ca="1" si="13"/>
        <v>0.94079440419685234</v>
      </c>
      <c r="AB20" s="3">
        <f t="shared" ca="1" si="14"/>
        <v>0.84533531304132636</v>
      </c>
      <c r="AC20" s="3">
        <f t="shared" ca="1" si="15"/>
        <v>0.64841427155599607</v>
      </c>
      <c r="AE20" s="3">
        <f t="shared" ca="1" si="16"/>
        <v>0.90262177708406421</v>
      </c>
      <c r="AF20" s="3">
        <f t="shared" ca="1" si="17"/>
        <v>0.84936294301947879</v>
      </c>
      <c r="AG20" s="3">
        <f t="shared" ca="1" si="18"/>
        <v>0.84533524879043975</v>
      </c>
      <c r="AH20" s="3">
        <f t="shared" ca="1" si="19"/>
        <v>0.61570858902217618</v>
      </c>
      <c r="AJ20" s="3">
        <f t="shared" ca="1" si="20"/>
        <v>1.7478152309612984</v>
      </c>
      <c r="AK20" s="3">
        <f t="shared" ca="1" si="21"/>
        <v>1.9985011241568822</v>
      </c>
      <c r="AL20" s="3">
        <f t="shared" ca="1" si="22"/>
        <v>2.2271714922048997</v>
      </c>
      <c r="AM20" s="3">
        <f t="shared" ca="1" si="23"/>
        <v>1.7343904856293362</v>
      </c>
      <c r="AO20" s="3">
        <f t="shared" ca="1" si="24"/>
        <v>0.24968789013732834</v>
      </c>
      <c r="AP20" s="3">
        <f t="shared" ca="1" si="25"/>
        <v>0.74943792155883082</v>
      </c>
      <c r="AQ20" s="3">
        <f t="shared" ca="1" si="26"/>
        <v>0.49492699826775544</v>
      </c>
      <c r="AR20" s="3">
        <f t="shared" ca="1" si="27"/>
        <v>0.74331020812685833</v>
      </c>
      <c r="AT20" s="3">
        <v>7.0000002160668373E-3</v>
      </c>
      <c r="AU20" s="3">
        <v>2.0000000949949026E-3</v>
      </c>
      <c r="AV20" s="3">
        <v>0.48899999260902405</v>
      </c>
      <c r="AW20" s="3">
        <v>0.3449999988079071</v>
      </c>
      <c r="AY20" s="3">
        <f t="shared" ca="1" si="28"/>
        <v>0</v>
      </c>
      <c r="AZ20" s="3">
        <f t="shared" ca="1" si="29"/>
        <v>4.2468148888333505E-3</v>
      </c>
      <c r="BA20" s="3">
        <f t="shared" ca="1" si="30"/>
        <v>0</v>
      </c>
      <c r="BB20" s="3">
        <f t="shared" ca="1" si="31"/>
        <v>0</v>
      </c>
      <c r="BD20" s="3">
        <f t="shared" ca="1" si="32"/>
        <v>0</v>
      </c>
      <c r="BE20" s="3">
        <f t="shared" ca="1" si="33"/>
        <v>0</v>
      </c>
      <c r="BF20" s="3">
        <f t="shared" ca="1" si="34"/>
        <v>0</v>
      </c>
      <c r="BG20" s="3">
        <f t="shared" ca="1" si="35"/>
        <v>0</v>
      </c>
      <c r="BI20" s="3">
        <f t="shared" ca="1" si="36"/>
        <v>0</v>
      </c>
      <c r="BJ20" s="3">
        <f t="shared" ca="1" si="37"/>
        <v>0</v>
      </c>
      <c r="BK20" s="3">
        <f t="shared" ca="1" si="38"/>
        <v>0</v>
      </c>
      <c r="BL20" s="3">
        <f t="shared" ca="1" si="39"/>
        <v>0</v>
      </c>
      <c r="BN20" s="3">
        <f t="shared" ca="1" si="40"/>
        <v>0</v>
      </c>
      <c r="BO20" s="3">
        <f t="shared" ca="1" si="41"/>
        <v>0.24981264051961027</v>
      </c>
      <c r="BP20" s="3">
        <f t="shared" ca="1" si="42"/>
        <v>0</v>
      </c>
      <c r="BQ20" s="3">
        <f t="shared" ca="1" si="43"/>
        <v>0.24777006937561946</v>
      </c>
      <c r="BS20" s="3">
        <v>4.0049999999999999</v>
      </c>
      <c r="BT20" s="3">
        <v>4.0030000000000001</v>
      </c>
      <c r="BU20" s="3">
        <v>4.0410000000000004</v>
      </c>
      <c r="BV20" s="3">
        <v>4.0359999999999996</v>
      </c>
      <c r="BX20" s="3">
        <f t="shared" ca="1" si="44"/>
        <v>0.49937578027465668</v>
      </c>
      <c r="BY20" s="3">
        <f t="shared" ca="1" si="45"/>
        <v>0.64526605046215346</v>
      </c>
      <c r="BZ20" s="3">
        <f t="shared" ca="1" si="46"/>
        <v>0.45756000989854007</v>
      </c>
      <c r="CA20" s="3">
        <f t="shared" ca="1" si="47"/>
        <v>7.0366699702675881E-2</v>
      </c>
      <c r="CC20" s="3">
        <f t="shared" ca="1" si="48"/>
        <v>0.4908864120121455</v>
      </c>
      <c r="CD20" s="3">
        <f t="shared" ca="1" si="49"/>
        <v>0.65375970596972921</v>
      </c>
      <c r="CE20" s="3">
        <f t="shared" ca="1" si="50"/>
        <v>0.46176682955792148</v>
      </c>
      <c r="CF20" s="3">
        <f t="shared" ca="1" si="51"/>
        <v>8.275517150833539E-2</v>
      </c>
      <c r="CH20" s="3">
        <f t="shared" ca="1" si="52"/>
        <v>0.99875156054931336</v>
      </c>
      <c r="CI20" s="3">
        <f t="shared" ca="1" si="53"/>
        <v>1.2490632025980515</v>
      </c>
      <c r="CJ20" s="3">
        <f t="shared" ca="1" si="54"/>
        <v>0.98985399653551087</v>
      </c>
      <c r="CK20" s="3">
        <f t="shared" ca="1" si="55"/>
        <v>0.24777006937561946</v>
      </c>
      <c r="CM20" s="3">
        <f t="shared" ca="1" si="56"/>
        <v>0.74906367041198507</v>
      </c>
      <c r="CN20" s="3">
        <f t="shared" ca="1" si="57"/>
        <v>0.9992505620784411</v>
      </c>
      <c r="CO20" s="3">
        <f t="shared" ca="1" si="58"/>
        <v>0.98985399653551087</v>
      </c>
      <c r="CP20" s="3">
        <f t="shared" ca="1" si="59"/>
        <v>0.24777006937561946</v>
      </c>
      <c r="CR20" s="3">
        <v>1.2389999628067017</v>
      </c>
      <c r="CS20" s="3">
        <v>0.35199999809265137</v>
      </c>
      <c r="CT20" s="3">
        <v>0.68800002336502075</v>
      </c>
      <c r="CU20" s="3">
        <v>2.128000020980835</v>
      </c>
      <c r="CV20" s="21">
        <f t="shared" ca="1" si="61"/>
        <v>0</v>
      </c>
      <c r="CW20" s="16">
        <f t="shared" ca="1" si="60"/>
        <v>4.833333333333333</v>
      </c>
      <c r="CX20" s="17" t="s">
        <v>281</v>
      </c>
      <c r="CY20" s="74"/>
      <c r="CZ20" s="14" t="s">
        <v>297</v>
      </c>
      <c r="DA20" s="14" t="s">
        <v>311</v>
      </c>
      <c r="DB20" s="14" t="s">
        <v>328</v>
      </c>
      <c r="DC20" s="14" t="s">
        <v>343</v>
      </c>
      <c r="DD20" s="14" t="s">
        <v>282</v>
      </c>
    </row>
    <row r="21" spans="1:108" s="3" customFormat="1" x14ac:dyDescent="0.35">
      <c r="A21" s="2" t="s">
        <v>13</v>
      </c>
      <c r="B21" s="2">
        <v>5</v>
      </c>
      <c r="C21" s="2" t="s">
        <v>168</v>
      </c>
      <c r="D21" s="2" t="s">
        <v>403</v>
      </c>
      <c r="F21" s="11" t="e">
        <v>#N/A</v>
      </c>
      <c r="G21" s="3">
        <v>2.8649999999999998</v>
      </c>
      <c r="H21" s="3">
        <v>4.016</v>
      </c>
      <c r="I21" s="11" t="e">
        <v>#N/A</v>
      </c>
      <c r="K21" s="3" t="e">
        <f t="shared" ca="1" si="0"/>
        <v>#N/A</v>
      </c>
      <c r="L21" s="3">
        <f t="shared" ca="1" si="1"/>
        <v>0.84328097731239116</v>
      </c>
      <c r="M21" s="3">
        <f t="shared" ca="1" si="2"/>
        <v>0.90438247011952189</v>
      </c>
      <c r="N21" s="3" t="e">
        <f t="shared" ca="1" si="3"/>
        <v>#N/A</v>
      </c>
      <c r="P21" s="3" t="e">
        <f t="shared" ca="1" si="4"/>
        <v>#N/A</v>
      </c>
      <c r="Q21" s="3">
        <f t="shared" ca="1" si="5"/>
        <v>0.70366480795708841</v>
      </c>
      <c r="R21" s="3">
        <f t="shared" ca="1" si="6"/>
        <v>0.85483059524539928</v>
      </c>
      <c r="S21" s="3" t="e">
        <f t="shared" ca="1" si="7"/>
        <v>#N/A</v>
      </c>
      <c r="U21" s="3" t="e">
        <f t="shared" ca="1" si="8"/>
        <v>#N/A</v>
      </c>
      <c r="V21" s="3">
        <f t="shared" ca="1" si="9"/>
        <v>2.0942408376963351</v>
      </c>
      <c r="W21" s="3">
        <f t="shared" ca="1" si="10"/>
        <v>1.9920318725099602</v>
      </c>
      <c r="X21" s="3" t="e">
        <f t="shared" ca="1" si="11"/>
        <v>#N/A</v>
      </c>
      <c r="Z21" s="3" t="e">
        <f t="shared" ca="1" si="12"/>
        <v>#N/A</v>
      </c>
      <c r="AA21" s="3">
        <f t="shared" ca="1" si="13"/>
        <v>0.84328097731239116</v>
      </c>
      <c r="AB21" s="3">
        <f t="shared" ca="1" si="14"/>
        <v>0.90438247011952189</v>
      </c>
      <c r="AC21" s="3" t="e">
        <f t="shared" ca="1" si="15"/>
        <v>#N/A</v>
      </c>
      <c r="AE21" s="3" t="e">
        <f t="shared" ca="1" si="16"/>
        <v>#N/A</v>
      </c>
      <c r="AF21" s="3">
        <f t="shared" ca="1" si="17"/>
        <v>0.70366480795708841</v>
      </c>
      <c r="AG21" s="3">
        <f t="shared" ca="1" si="18"/>
        <v>0.85483059524539928</v>
      </c>
      <c r="AH21" s="3" t="e">
        <f t="shared" ca="1" si="19"/>
        <v>#N/A</v>
      </c>
      <c r="AJ21" s="3" t="e">
        <f t="shared" ca="1" si="20"/>
        <v>#N/A</v>
      </c>
      <c r="AK21" s="3">
        <f t="shared" ca="1" si="21"/>
        <v>2.0942408376963351</v>
      </c>
      <c r="AL21" s="3">
        <f t="shared" ca="1" si="22"/>
        <v>1.9920318725099602</v>
      </c>
      <c r="AM21" s="3" t="e">
        <f t="shared" ca="1" si="23"/>
        <v>#N/A</v>
      </c>
      <c r="AO21" s="3" t="e">
        <f t="shared" ca="1" si="24"/>
        <v>#N/A</v>
      </c>
      <c r="AP21" s="3">
        <f t="shared" ca="1" si="25"/>
        <v>0.6980802792321118</v>
      </c>
      <c r="AQ21" s="3">
        <f t="shared" ca="1" si="26"/>
        <v>0.24900398406374502</v>
      </c>
      <c r="AR21" s="3" t="e">
        <f t="shared" ca="1" si="27"/>
        <v>#N/A</v>
      </c>
      <c r="AT21" s="11" t="e">
        <v>#N/A</v>
      </c>
      <c r="AU21" s="3">
        <v>0.49900001287460327</v>
      </c>
      <c r="AV21" s="3">
        <v>0.43500000238418579</v>
      </c>
      <c r="AW21" s="11" t="e">
        <v>#N/A</v>
      </c>
      <c r="AY21" s="3" t="e">
        <f t="shared" ca="1" si="28"/>
        <v>#N/A</v>
      </c>
      <c r="AZ21" s="3">
        <f t="shared" ca="1" si="29"/>
        <v>0.39546247818499131</v>
      </c>
      <c r="BA21" s="3">
        <f t="shared" ca="1" si="30"/>
        <v>0.23630478087649404</v>
      </c>
      <c r="BB21" s="3" t="e">
        <f t="shared" ca="1" si="31"/>
        <v>#N/A</v>
      </c>
      <c r="BD21" s="3" t="e">
        <f t="shared" ca="1" si="32"/>
        <v>#N/A</v>
      </c>
      <c r="BE21" s="3">
        <f t="shared" ca="1" si="33"/>
        <v>0.52914480056230107</v>
      </c>
      <c r="BF21" s="3">
        <f t="shared" ca="1" si="34"/>
        <v>0.34860551238534937</v>
      </c>
      <c r="BG21" s="3" t="e">
        <f t="shared" ca="1" si="35"/>
        <v>#N/A</v>
      </c>
      <c r="BI21" s="3" t="e">
        <f t="shared" ca="1" si="36"/>
        <v>#N/A</v>
      </c>
      <c r="BJ21" s="3">
        <f t="shared" ca="1" si="37"/>
        <v>1.3961605584642236</v>
      </c>
      <c r="BK21" s="3">
        <f t="shared" ca="1" si="38"/>
        <v>0.74701195219123506</v>
      </c>
      <c r="BL21" s="3" t="e">
        <f t="shared" ca="1" si="39"/>
        <v>#N/A</v>
      </c>
      <c r="BN21" s="3" t="e">
        <f t="shared" ca="1" si="40"/>
        <v>#N/A</v>
      </c>
      <c r="BO21" s="3">
        <f t="shared" ca="1" si="41"/>
        <v>0.6980802792321118</v>
      </c>
      <c r="BP21" s="3">
        <f t="shared" ca="1" si="42"/>
        <v>0.74701195219123506</v>
      </c>
      <c r="BQ21" s="3" t="e">
        <f t="shared" ca="1" si="43"/>
        <v>#N/A</v>
      </c>
      <c r="BS21" s="11" t="e">
        <v>#N/A</v>
      </c>
      <c r="BT21" s="3">
        <v>0.86599999666213989</v>
      </c>
      <c r="BU21" s="3">
        <v>1.1180000305175781</v>
      </c>
      <c r="BV21" s="11" t="e">
        <v>#N/A</v>
      </c>
      <c r="BX21" s="3" t="e">
        <f t="shared" ca="1" si="44"/>
        <v>#N/A</v>
      </c>
      <c r="BY21" s="3">
        <f t="shared" ca="1" si="45"/>
        <v>1.1518324607329834E-2</v>
      </c>
      <c r="BZ21" s="3">
        <f t="shared" ca="1" si="46"/>
        <v>1.2450199203187249E-2</v>
      </c>
      <c r="CA21" s="3" t="e">
        <f t="shared" ca="1" si="47"/>
        <v>#N/A</v>
      </c>
      <c r="CC21" s="3" t="e">
        <f t="shared" ca="1" si="48"/>
        <v>#N/A</v>
      </c>
      <c r="CD21" s="3">
        <f t="shared" ca="1" si="49"/>
        <v>0</v>
      </c>
      <c r="CE21" s="3">
        <f t="shared" ca="1" si="50"/>
        <v>0</v>
      </c>
      <c r="CF21" s="3" t="e">
        <f t="shared" ca="1" si="51"/>
        <v>#N/A</v>
      </c>
      <c r="CH21" s="3" t="e">
        <f t="shared" ca="1" si="52"/>
        <v>#N/A</v>
      </c>
      <c r="CI21" s="3">
        <f t="shared" ca="1" si="53"/>
        <v>0</v>
      </c>
      <c r="CJ21" s="3">
        <f t="shared" ca="1" si="54"/>
        <v>0</v>
      </c>
      <c r="CK21" s="3" t="e">
        <f t="shared" ca="1" si="55"/>
        <v>#N/A</v>
      </c>
      <c r="CM21" s="3" t="e">
        <f t="shared" ca="1" si="56"/>
        <v>#N/A</v>
      </c>
      <c r="CN21" s="3">
        <f t="shared" ca="1" si="57"/>
        <v>0.3490401396160559</v>
      </c>
      <c r="CO21" s="3">
        <f t="shared" ca="1" si="58"/>
        <v>0.24900398406374502</v>
      </c>
      <c r="CP21" s="3" t="e">
        <f t="shared" ca="1" si="59"/>
        <v>#N/A</v>
      </c>
      <c r="CR21" s="11" t="e">
        <v>#N/A</v>
      </c>
      <c r="CS21" s="3">
        <v>4.0149999999999997</v>
      </c>
      <c r="CT21" s="3">
        <v>4.016</v>
      </c>
      <c r="CU21" s="11" t="e">
        <v>#N/A</v>
      </c>
      <c r="CV21" s="21">
        <f t="shared" ca="1" si="61"/>
        <v>0.34860551238534937</v>
      </c>
      <c r="CW21" s="16">
        <f t="shared" ca="1" si="60"/>
        <v>5</v>
      </c>
      <c r="CX21" s="17" t="s">
        <v>282</v>
      </c>
      <c r="CY21" s="74"/>
      <c r="CZ21" s="18" t="s">
        <v>299</v>
      </c>
      <c r="DA21" s="14" t="s">
        <v>315</v>
      </c>
      <c r="DB21" s="14" t="s">
        <v>331</v>
      </c>
      <c r="DC21" s="14" t="s">
        <v>346</v>
      </c>
      <c r="DD21" s="14" t="s">
        <v>283</v>
      </c>
    </row>
    <row r="22" spans="1:108" s="3" customFormat="1" x14ac:dyDescent="0.35">
      <c r="A22" s="2" t="s">
        <v>37</v>
      </c>
      <c r="B22" s="2">
        <v>5.083333333333333</v>
      </c>
      <c r="C22" s="2" t="s">
        <v>168</v>
      </c>
      <c r="D22" s="2" t="s">
        <v>403</v>
      </c>
      <c r="F22" s="3">
        <v>4.0259999999999998</v>
      </c>
      <c r="G22" s="3">
        <v>4.0149999999999997</v>
      </c>
      <c r="H22" s="3">
        <v>4.0069999999999997</v>
      </c>
      <c r="I22" s="3">
        <v>4.0039999999999996</v>
      </c>
      <c r="K22" s="3">
        <f t="shared" ca="1" si="0"/>
        <v>0.99751614505712871</v>
      </c>
      <c r="L22" s="3">
        <f t="shared" ca="1" si="1"/>
        <v>0.99601494396014956</v>
      </c>
      <c r="M22" s="3">
        <f t="shared" ca="1" si="2"/>
        <v>0.98153231844272526</v>
      </c>
      <c r="N22" s="3">
        <f t="shared" ca="1" si="3"/>
        <v>0.87812187812187825</v>
      </c>
      <c r="P22" s="3">
        <f t="shared" ca="1" si="4"/>
        <v>0.64977648183592385</v>
      </c>
      <c r="Q22" s="3">
        <f t="shared" ca="1" si="5"/>
        <v>0.93051064182490417</v>
      </c>
      <c r="R22" s="3">
        <f t="shared" ca="1" si="6"/>
        <v>0.923633651790705</v>
      </c>
      <c r="S22" s="3">
        <f t="shared" ca="1" si="7"/>
        <v>0.64935056598750984</v>
      </c>
      <c r="U22" s="3">
        <f t="shared" ca="1" si="8"/>
        <v>1.9870839542970691</v>
      </c>
      <c r="V22" s="3">
        <f t="shared" ca="1" si="9"/>
        <v>2.2415940224159403</v>
      </c>
      <c r="W22" s="3">
        <f t="shared" ca="1" si="10"/>
        <v>2.2460693785874719</v>
      </c>
      <c r="X22" s="3">
        <f t="shared" ca="1" si="11"/>
        <v>1.9980019980019983</v>
      </c>
      <c r="Z22" s="3">
        <f t="shared" ca="1" si="12"/>
        <v>0.88574267262791873</v>
      </c>
      <c r="AA22" s="3">
        <f t="shared" ca="1" si="13"/>
        <v>0.99601494396014956</v>
      </c>
      <c r="AB22" s="3">
        <f t="shared" ca="1" si="14"/>
        <v>0.98153231844272526</v>
      </c>
      <c r="AC22" s="3">
        <f t="shared" ca="1" si="15"/>
        <v>0.5661838161838163</v>
      </c>
      <c r="AE22" s="3">
        <f t="shared" ca="1" si="16"/>
        <v>0.5628415529134555</v>
      </c>
      <c r="AF22" s="3">
        <f t="shared" ca="1" si="17"/>
        <v>0.93051064182490417</v>
      </c>
      <c r="AG22" s="3">
        <f t="shared" ca="1" si="18"/>
        <v>0.923633651790705</v>
      </c>
      <c r="AH22" s="3">
        <f t="shared" ca="1" si="19"/>
        <v>0.41633362060302981</v>
      </c>
      <c r="AJ22" s="3">
        <f t="shared" ca="1" si="20"/>
        <v>1.7386984600099356</v>
      </c>
      <c r="AK22" s="3">
        <f t="shared" ca="1" si="21"/>
        <v>2.2415940224159403</v>
      </c>
      <c r="AL22" s="3">
        <f t="shared" ca="1" si="22"/>
        <v>2.2460693785874719</v>
      </c>
      <c r="AM22" s="3">
        <f t="shared" ca="1" si="23"/>
        <v>1.7482517482517483</v>
      </c>
      <c r="AO22" s="3">
        <f t="shared" ca="1" si="24"/>
        <v>0.49677098857426727</v>
      </c>
      <c r="AP22" s="3">
        <f t="shared" ca="1" si="25"/>
        <v>0.24906600249066005</v>
      </c>
      <c r="AQ22" s="3">
        <f t="shared" ca="1" si="26"/>
        <v>0.24956326428749689</v>
      </c>
      <c r="AR22" s="3">
        <f t="shared" ca="1" si="27"/>
        <v>0.99900099900099915</v>
      </c>
      <c r="AT22" s="3">
        <v>0.5339999794960022</v>
      </c>
      <c r="AU22" s="3">
        <v>1.0000000474974513E-3</v>
      </c>
      <c r="AV22" s="3">
        <v>4.0000001899898052E-3</v>
      </c>
      <c r="AW22" s="3">
        <v>0.50400000810623169</v>
      </c>
      <c r="AY22" s="3">
        <f t="shared" ca="1" si="28"/>
        <v>0.19895678092399413</v>
      </c>
      <c r="AZ22" s="3">
        <f t="shared" ca="1" si="29"/>
        <v>0.33225404732254038</v>
      </c>
      <c r="BA22" s="3">
        <f t="shared" ca="1" si="30"/>
        <v>0.40329423508859502</v>
      </c>
      <c r="BB22" s="3">
        <f t="shared" ca="1" si="31"/>
        <v>0.16258741258741263</v>
      </c>
      <c r="BD22" s="3">
        <f t="shared" ca="1" si="32"/>
        <v>0.21087930857454198</v>
      </c>
      <c r="BE22" s="3">
        <f t="shared" ca="1" si="33"/>
        <v>0.57733499518668707</v>
      </c>
      <c r="BF22" s="3">
        <f t="shared" ca="1" si="34"/>
        <v>0.4364861673269898</v>
      </c>
      <c r="BG22" s="3">
        <f t="shared" ca="1" si="35"/>
        <v>0.14985014091838492</v>
      </c>
      <c r="BI22" s="3">
        <f t="shared" ca="1" si="36"/>
        <v>0.99354197714853454</v>
      </c>
      <c r="BJ22" s="3">
        <f t="shared" ca="1" si="37"/>
        <v>1.2453300124533002</v>
      </c>
      <c r="BK22" s="3">
        <f t="shared" ca="1" si="38"/>
        <v>0.74868979286249071</v>
      </c>
      <c r="BL22" s="3">
        <f t="shared" ca="1" si="39"/>
        <v>0.49950049950049957</v>
      </c>
      <c r="BN22" s="3">
        <f t="shared" ca="1" si="40"/>
        <v>1.7386984600099356</v>
      </c>
      <c r="BO22" s="3">
        <f t="shared" ca="1" si="41"/>
        <v>1.4943960149439603</v>
      </c>
      <c r="BP22" s="3">
        <f t="shared" ca="1" si="42"/>
        <v>0.74868979286249071</v>
      </c>
      <c r="BQ22" s="3">
        <f t="shared" ca="1" si="43"/>
        <v>0.99900099900099915</v>
      </c>
      <c r="BS22" s="3">
        <v>1.284000039100647</v>
      </c>
      <c r="BT22" s="3">
        <v>1.0000000474974513E-3</v>
      </c>
      <c r="BU22" s="3">
        <v>0.72000002861022949</v>
      </c>
      <c r="BV22" s="3">
        <v>0.50400000810623169</v>
      </c>
      <c r="BX22" s="3">
        <f t="shared" ca="1" si="44"/>
        <v>1.6393442622950821E-2</v>
      </c>
      <c r="BY22" s="3">
        <f t="shared" ca="1" si="45"/>
        <v>0</v>
      </c>
      <c r="BZ22" s="3">
        <f t="shared" ca="1" si="46"/>
        <v>9.1340154729223841E-2</v>
      </c>
      <c r="CA22" s="3">
        <f t="shared" ca="1" si="47"/>
        <v>9.1658341658341663E-2</v>
      </c>
      <c r="CC22" s="3">
        <f t="shared" ca="1" si="48"/>
        <v>0</v>
      </c>
      <c r="CD22" s="3">
        <f t="shared" ca="1" si="49"/>
        <v>0</v>
      </c>
      <c r="CE22" s="3">
        <f t="shared" ca="1" si="50"/>
        <v>0.10831046050880687</v>
      </c>
      <c r="CF22" s="3">
        <f t="shared" ca="1" si="51"/>
        <v>0.108141850281905</v>
      </c>
      <c r="CH22" s="3">
        <f t="shared" ca="1" si="52"/>
        <v>0</v>
      </c>
      <c r="CI22" s="3">
        <f t="shared" ca="1" si="53"/>
        <v>0</v>
      </c>
      <c r="CJ22" s="3">
        <f t="shared" ca="1" si="54"/>
        <v>0.49912652857499379</v>
      </c>
      <c r="CK22" s="3">
        <f t="shared" ca="1" si="55"/>
        <v>0.49950049950049957</v>
      </c>
      <c r="CM22" s="3">
        <f t="shared" ca="1" si="56"/>
        <v>0.24838549428713363</v>
      </c>
      <c r="CN22" s="3">
        <f t="shared" ca="1" si="57"/>
        <v>0</v>
      </c>
      <c r="CO22" s="3">
        <f t="shared" ca="1" si="58"/>
        <v>0.49912652857499379</v>
      </c>
      <c r="CP22" s="3">
        <f t="shared" ca="1" si="59"/>
        <v>0.7492507492507493</v>
      </c>
      <c r="CR22" s="3">
        <v>4.0259999999999998</v>
      </c>
      <c r="CS22" s="3">
        <v>4.0149999999999997</v>
      </c>
      <c r="CT22" s="3">
        <v>1.6369999647140503</v>
      </c>
      <c r="CU22" s="3">
        <v>1.5379999876022339</v>
      </c>
      <c r="CV22" s="21">
        <f t="shared" ca="1" si="61"/>
        <v>0.4364861673269898</v>
      </c>
      <c r="CW22" s="16">
        <f t="shared" ca="1" si="60"/>
        <v>5.083333333333333</v>
      </c>
      <c r="CX22" s="17" t="s">
        <v>283</v>
      </c>
      <c r="CY22" s="75"/>
      <c r="CZ22" s="18" t="s">
        <v>299</v>
      </c>
      <c r="DA22" s="14" t="s">
        <v>319</v>
      </c>
      <c r="DB22" s="14" t="s">
        <v>334</v>
      </c>
      <c r="DC22" s="14" t="s">
        <v>349</v>
      </c>
      <c r="DD22" s="14" t="s">
        <v>284</v>
      </c>
    </row>
    <row r="23" spans="1:108" s="3" customFormat="1" x14ac:dyDescent="0.35">
      <c r="A23" s="2" t="s">
        <v>49</v>
      </c>
      <c r="B23" s="2">
        <v>5.083333333333333</v>
      </c>
      <c r="C23" s="2" t="s">
        <v>168</v>
      </c>
      <c r="D23" s="2" t="s">
        <v>403</v>
      </c>
      <c r="F23" s="3">
        <v>4.016</v>
      </c>
      <c r="G23" s="3">
        <v>4.016</v>
      </c>
      <c r="H23" s="3">
        <v>4.016</v>
      </c>
      <c r="I23" s="3">
        <v>4.0149999999999997</v>
      </c>
      <c r="K23" s="3">
        <f t="shared" ca="1" si="0"/>
        <v>0.88371513944223101</v>
      </c>
      <c r="L23" s="3">
        <f t="shared" ca="1" si="1"/>
        <v>0.99576693227091639</v>
      </c>
      <c r="M23" s="3">
        <f t="shared" ca="1" si="2"/>
        <v>0.99576693227091639</v>
      </c>
      <c r="N23" s="3">
        <f t="shared" ca="1" si="3"/>
        <v>0.90884184308841853</v>
      </c>
      <c r="P23" s="3">
        <f t="shared" ca="1" si="4"/>
        <v>0.78012948610868116</v>
      </c>
      <c r="Q23" s="3">
        <f t="shared" ca="1" si="5"/>
        <v>0.94596615206799006</v>
      </c>
      <c r="R23" s="3">
        <f t="shared" ca="1" si="6"/>
        <v>0.9663844132328413</v>
      </c>
      <c r="S23" s="3">
        <f t="shared" ca="1" si="7"/>
        <v>0.82963875043733637</v>
      </c>
      <c r="U23" s="3">
        <f t="shared" ca="1" si="8"/>
        <v>2.4900398406374502</v>
      </c>
      <c r="V23" s="3">
        <f t="shared" ca="1" si="9"/>
        <v>3.237051792828685</v>
      </c>
      <c r="W23" s="3">
        <f t="shared" ca="1" si="10"/>
        <v>1.9920318725099602</v>
      </c>
      <c r="X23" s="3">
        <f t="shared" ca="1" si="11"/>
        <v>2.2415940224159403</v>
      </c>
      <c r="Z23" s="3">
        <f t="shared" ca="1" si="12"/>
        <v>0.72211155378486069</v>
      </c>
      <c r="AA23" s="3">
        <f t="shared" ca="1" si="13"/>
        <v>0.99576693227091639</v>
      </c>
      <c r="AB23" s="3">
        <f t="shared" ca="1" si="14"/>
        <v>0.99576693227091639</v>
      </c>
      <c r="AC23" s="3">
        <f t="shared" ca="1" si="15"/>
        <v>0.74296388542963887</v>
      </c>
      <c r="AE23" s="3">
        <f t="shared" ca="1" si="16"/>
        <v>0.65986056667400073</v>
      </c>
      <c r="AF23" s="3">
        <f t="shared" ca="1" si="17"/>
        <v>0.94596615206799006</v>
      </c>
      <c r="AG23" s="3">
        <f t="shared" ca="1" si="18"/>
        <v>0.9663844132328413</v>
      </c>
      <c r="AH23" s="3">
        <f t="shared" ca="1" si="19"/>
        <v>0.6555416441498183</v>
      </c>
      <c r="AJ23" s="3">
        <f t="shared" ca="1" si="20"/>
        <v>1.9920318725099602</v>
      </c>
      <c r="AK23" s="3">
        <f t="shared" ca="1" si="21"/>
        <v>3.237051792828685</v>
      </c>
      <c r="AL23" s="3">
        <f t="shared" ca="1" si="22"/>
        <v>1.9920318725099602</v>
      </c>
      <c r="AM23" s="3">
        <f t="shared" ca="1" si="23"/>
        <v>1.7434620174346203</v>
      </c>
      <c r="AO23" s="3">
        <f t="shared" ca="1" si="24"/>
        <v>0.99601593625498008</v>
      </c>
      <c r="AP23" s="3">
        <f t="shared" ca="1" si="25"/>
        <v>0.24900398406374502</v>
      </c>
      <c r="AQ23" s="3">
        <f t="shared" ca="1" si="26"/>
        <v>0.24900398406374502</v>
      </c>
      <c r="AR23" s="3">
        <f t="shared" ca="1" si="27"/>
        <v>0.74719800747198017</v>
      </c>
      <c r="AT23" s="3">
        <v>0.51599997282028198</v>
      </c>
      <c r="AU23" s="3">
        <v>6.0000000521540642E-3</v>
      </c>
      <c r="AV23" s="3">
        <v>0</v>
      </c>
      <c r="AW23" s="3">
        <v>0.39500001072883606</v>
      </c>
      <c r="AY23" s="3">
        <f t="shared" ca="1" si="28"/>
        <v>0.17828685258964147</v>
      </c>
      <c r="AZ23" s="3">
        <f t="shared" ca="1" si="29"/>
        <v>4.5816733067729126E-2</v>
      </c>
      <c r="BA23" s="3">
        <f t="shared" ca="1" si="30"/>
        <v>8.21713147410362E-3</v>
      </c>
      <c r="BB23" s="3">
        <f t="shared" ca="1" si="31"/>
        <v>0</v>
      </c>
      <c r="BD23" s="3">
        <f t="shared" ca="1" si="32"/>
        <v>3.7350621356432183E-2</v>
      </c>
      <c r="BE23" s="3">
        <f t="shared" ca="1" si="33"/>
        <v>3.7350621356432183E-2</v>
      </c>
      <c r="BF23" s="3">
        <f t="shared" ca="1" si="34"/>
        <v>0</v>
      </c>
      <c r="BG23" s="3">
        <f t="shared" ca="1" si="35"/>
        <v>0</v>
      </c>
      <c r="BI23" s="3">
        <f t="shared" ca="1" si="36"/>
        <v>0.24900398406374502</v>
      </c>
      <c r="BJ23" s="3">
        <f t="shared" ca="1" si="37"/>
        <v>0.24900398406374502</v>
      </c>
      <c r="BK23" s="3">
        <f t="shared" ca="1" si="38"/>
        <v>0</v>
      </c>
      <c r="BL23" s="3">
        <f t="shared" ca="1" si="39"/>
        <v>0</v>
      </c>
      <c r="BN23" s="3">
        <f t="shared" ca="1" si="40"/>
        <v>0.99601593625498008</v>
      </c>
      <c r="BO23" s="3">
        <f t="shared" ca="1" si="41"/>
        <v>0.24900398406374502</v>
      </c>
      <c r="BP23" s="3">
        <f t="shared" ca="1" si="42"/>
        <v>0.24900398406374502</v>
      </c>
      <c r="BQ23" s="3">
        <f t="shared" ca="1" si="43"/>
        <v>0</v>
      </c>
      <c r="BS23" s="3">
        <v>3.8489999771118164</v>
      </c>
      <c r="BT23" s="3">
        <v>1.3049999475479126</v>
      </c>
      <c r="BU23" s="3">
        <v>4.016</v>
      </c>
      <c r="BV23" s="3">
        <v>4.0149999999999997</v>
      </c>
      <c r="BX23" s="3">
        <f t="shared" ca="1" si="44"/>
        <v>0.15388446215139454</v>
      </c>
      <c r="BY23" s="3">
        <f t="shared" ca="1" si="45"/>
        <v>0.34013944223107562</v>
      </c>
      <c r="BZ23" s="3">
        <f t="shared" ca="1" si="46"/>
        <v>0.31125498007968128</v>
      </c>
      <c r="CA23" s="3">
        <f t="shared" ca="1" si="47"/>
        <v>0.12876712328767123</v>
      </c>
      <c r="CC23" s="3">
        <f t="shared" ca="1" si="48"/>
        <v>0.22808762185602074</v>
      </c>
      <c r="CD23" s="3">
        <f t="shared" ca="1" si="49"/>
        <v>0.439740980157176</v>
      </c>
      <c r="CE23" s="3">
        <f t="shared" ca="1" si="50"/>
        <v>0.34835659323698021</v>
      </c>
      <c r="CF23" s="3">
        <f t="shared" ca="1" si="51"/>
        <v>2.4906635878243454E-2</v>
      </c>
      <c r="CH23" s="3">
        <f t="shared" ca="1" si="52"/>
        <v>0.24900398406374502</v>
      </c>
      <c r="CI23" s="3">
        <f t="shared" ca="1" si="53"/>
        <v>1.4940239043824701</v>
      </c>
      <c r="CJ23" s="3">
        <f t="shared" ca="1" si="54"/>
        <v>0.49800796812749004</v>
      </c>
      <c r="CK23" s="3">
        <f t="shared" ca="1" si="55"/>
        <v>0.24906600249066005</v>
      </c>
      <c r="CM23" s="3">
        <f t="shared" ca="1" si="56"/>
        <v>1.2450199203187251</v>
      </c>
      <c r="CN23" s="3">
        <f t="shared" ca="1" si="57"/>
        <v>1.4940239043824701</v>
      </c>
      <c r="CO23" s="3">
        <f t="shared" ca="1" si="58"/>
        <v>0.49800796812749004</v>
      </c>
      <c r="CP23" s="3">
        <f t="shared" ca="1" si="59"/>
        <v>1.2453300124533002</v>
      </c>
      <c r="CR23" s="3">
        <v>2.6830000877380371</v>
      </c>
      <c r="CS23" s="3">
        <v>6.0000000521540642E-3</v>
      </c>
      <c r="CT23" s="3">
        <v>0</v>
      </c>
      <c r="CU23" s="3">
        <v>2.9609999656677246</v>
      </c>
      <c r="CV23" s="21">
        <f t="shared" ca="1" si="61"/>
        <v>0</v>
      </c>
      <c r="CW23" s="16">
        <f t="shared" ca="1" si="60"/>
        <v>5.083333333333333</v>
      </c>
      <c r="CX23" s="17" t="s">
        <v>284</v>
      </c>
      <c r="CY23" s="76" t="s">
        <v>272</v>
      </c>
      <c r="CZ23" s="15" t="s">
        <v>288</v>
      </c>
      <c r="DA23" s="15" t="s">
        <v>288</v>
      </c>
      <c r="DB23" s="15" t="s">
        <v>288</v>
      </c>
      <c r="DC23" s="15" t="s">
        <v>288</v>
      </c>
      <c r="DD23" s="15" t="s">
        <v>273</v>
      </c>
    </row>
    <row r="24" spans="1:108" s="3" customFormat="1" x14ac:dyDescent="0.35">
      <c r="A24" s="2" t="s">
        <v>35</v>
      </c>
      <c r="B24" s="2">
        <v>5.166666666666667</v>
      </c>
      <c r="C24" s="2" t="s">
        <v>167</v>
      </c>
      <c r="D24" s="2" t="s">
        <v>403</v>
      </c>
      <c r="F24" s="3">
        <v>2.5089999999999999</v>
      </c>
      <c r="G24" s="3">
        <v>4.0279999999999996</v>
      </c>
      <c r="H24" s="3">
        <v>2.9590000000000005</v>
      </c>
      <c r="I24" s="3">
        <v>2.6120000000000001</v>
      </c>
      <c r="K24" s="3">
        <f t="shared" ca="1" si="0"/>
        <v>0.88959744918294148</v>
      </c>
      <c r="L24" s="3">
        <f t="shared" ca="1" si="1"/>
        <v>0.99280039721946389</v>
      </c>
      <c r="M24" s="3">
        <f t="shared" ca="1" si="2"/>
        <v>0.92903007772896251</v>
      </c>
      <c r="N24" s="3">
        <f t="shared" ca="1" si="3"/>
        <v>0.79747320061255733</v>
      </c>
      <c r="P24" s="3">
        <f t="shared" ca="1" si="4"/>
        <v>0.83618963990269934</v>
      </c>
      <c r="Q24" s="3">
        <f t="shared" ca="1" si="5"/>
        <v>0.89299900072525973</v>
      </c>
      <c r="R24" s="3">
        <f t="shared" ca="1" si="6"/>
        <v>0.77695163591925687</v>
      </c>
      <c r="S24" s="3">
        <f t="shared" ca="1" si="7"/>
        <v>0.39548236323352248</v>
      </c>
      <c r="U24" s="3">
        <f t="shared" ca="1" si="8"/>
        <v>1.5942606616181747</v>
      </c>
      <c r="V24" s="3">
        <f t="shared" ca="1" si="9"/>
        <v>1.7378351539225423</v>
      </c>
      <c r="W24" s="3">
        <f t="shared" ca="1" si="10"/>
        <v>2.7036160865157144</v>
      </c>
      <c r="X24" s="3">
        <f t="shared" ca="1" si="11"/>
        <v>1.1485451761102603</v>
      </c>
      <c r="Z24" s="3">
        <f t="shared" ca="1" si="12"/>
        <v>0.88322040653646883</v>
      </c>
      <c r="AA24" s="3">
        <f t="shared" ca="1" si="13"/>
        <v>0.99280039721946389</v>
      </c>
      <c r="AB24" s="3">
        <f t="shared" ca="1" si="14"/>
        <v>0.89523487664751589</v>
      </c>
      <c r="AC24" s="3">
        <f t="shared" ca="1" si="15"/>
        <v>0.66998468606431838</v>
      </c>
      <c r="AE24" s="3">
        <f t="shared" ca="1" si="16"/>
        <v>0.83618963990269934</v>
      </c>
      <c r="AF24" s="3">
        <f t="shared" ca="1" si="17"/>
        <v>0.89299900072525973</v>
      </c>
      <c r="AG24" s="3">
        <f t="shared" ca="1" si="18"/>
        <v>0.77695163591925687</v>
      </c>
      <c r="AH24" s="3">
        <f t="shared" ca="1" si="19"/>
        <v>0.39548236323352248</v>
      </c>
      <c r="AJ24" s="3">
        <f t="shared" ca="1" si="20"/>
        <v>1.5942606616181747</v>
      </c>
      <c r="AK24" s="3">
        <f t="shared" ca="1" si="21"/>
        <v>1.7378351539225423</v>
      </c>
      <c r="AL24" s="3">
        <f t="shared" ca="1" si="22"/>
        <v>2.7036160865157144</v>
      </c>
      <c r="AM24" s="3">
        <f t="shared" ca="1" si="23"/>
        <v>1.1485451761102603</v>
      </c>
      <c r="AO24" s="3">
        <f t="shared" ca="1" si="24"/>
        <v>0.79713033080908735</v>
      </c>
      <c r="AP24" s="3">
        <f t="shared" ca="1" si="25"/>
        <v>0.24826216484607749</v>
      </c>
      <c r="AQ24" s="3">
        <f t="shared" ca="1" si="26"/>
        <v>0.6759040216289286</v>
      </c>
      <c r="AR24" s="3">
        <f t="shared" ca="1" si="27"/>
        <v>0.76569678407350683</v>
      </c>
      <c r="AT24" s="3">
        <v>4.999999888241291E-3</v>
      </c>
      <c r="AU24" s="3">
        <v>2.3000000044703484E-2</v>
      </c>
      <c r="AV24" s="3">
        <v>0.2460000067949295</v>
      </c>
      <c r="AW24" s="3">
        <v>0.92500001192092896</v>
      </c>
      <c r="AY24" s="3">
        <f t="shared" ca="1" si="28"/>
        <v>0.19250697489039459</v>
      </c>
      <c r="AZ24" s="3">
        <f t="shared" ca="1" si="29"/>
        <v>0.7403177755710032</v>
      </c>
      <c r="BA24" s="3">
        <f t="shared" ca="1" si="30"/>
        <v>0.41094964515038879</v>
      </c>
      <c r="BB24" s="3">
        <f t="shared" ca="1" si="31"/>
        <v>3.1776416539050438E-2</v>
      </c>
      <c r="BD24" s="3">
        <f t="shared" ca="1" si="32"/>
        <v>0.33160620070206975</v>
      </c>
      <c r="BE24" s="3">
        <f t="shared" ca="1" si="33"/>
        <v>0.74851043825708297</v>
      </c>
      <c r="BF24" s="3">
        <f t="shared" ca="1" si="34"/>
        <v>0.36566398078503332</v>
      </c>
      <c r="BG24" s="3">
        <f t="shared" ca="1" si="35"/>
        <v>0</v>
      </c>
      <c r="BI24" s="3">
        <f t="shared" ca="1" si="36"/>
        <v>0.79713033080908735</v>
      </c>
      <c r="BJ24" s="3">
        <f t="shared" ca="1" si="37"/>
        <v>1.2413108242303874</v>
      </c>
      <c r="BK24" s="3">
        <f t="shared" ca="1" si="38"/>
        <v>1.3518080432578572</v>
      </c>
      <c r="BL24" s="3">
        <f t="shared" ca="1" si="39"/>
        <v>0</v>
      </c>
      <c r="BN24" s="3">
        <f t="shared" ca="1" si="40"/>
        <v>0.79713033080908735</v>
      </c>
      <c r="BO24" s="3">
        <f t="shared" ca="1" si="41"/>
        <v>0.74478649453823242</v>
      </c>
      <c r="BP24" s="3">
        <f t="shared" ca="1" si="42"/>
        <v>1.3518080432578572</v>
      </c>
      <c r="BQ24" s="3">
        <f t="shared" ca="1" si="43"/>
        <v>0.38284839203675342</v>
      </c>
      <c r="BS24" s="3">
        <v>0.60500001907348633</v>
      </c>
      <c r="BT24" s="3">
        <v>0.50599998235702515</v>
      </c>
      <c r="BU24" s="3">
        <v>0.76200002431869507</v>
      </c>
      <c r="BV24" s="3">
        <v>4.0110000000000001</v>
      </c>
      <c r="BX24" s="3">
        <f t="shared" ca="1" si="44"/>
        <v>0</v>
      </c>
      <c r="BY24" s="3">
        <f t="shared" ca="1" si="45"/>
        <v>2.879841112214496E-2</v>
      </c>
      <c r="BZ24" s="3">
        <f t="shared" ca="1" si="46"/>
        <v>0</v>
      </c>
      <c r="CA24" s="3">
        <f t="shared" ca="1" si="47"/>
        <v>6.5084226646247717E-3</v>
      </c>
      <c r="CC24" s="3">
        <f t="shared" ca="1" si="48"/>
        <v>0</v>
      </c>
      <c r="CD24" s="3">
        <f t="shared" ca="1" si="49"/>
        <v>2.8798395495902466E-2</v>
      </c>
      <c r="CE24" s="3">
        <f t="shared" ca="1" si="50"/>
        <v>0</v>
      </c>
      <c r="CF24" s="3">
        <f t="shared" ca="1" si="51"/>
        <v>0</v>
      </c>
      <c r="CH24" s="3">
        <f t="shared" ca="1" si="52"/>
        <v>0</v>
      </c>
      <c r="CI24" s="3">
        <f t="shared" ca="1" si="53"/>
        <v>0.24826216484607749</v>
      </c>
      <c r="CJ24" s="3">
        <f t="shared" ca="1" si="54"/>
        <v>0</v>
      </c>
      <c r="CK24" s="3">
        <f t="shared" ca="1" si="55"/>
        <v>0</v>
      </c>
      <c r="CM24" s="3">
        <f t="shared" ca="1" si="56"/>
        <v>0</v>
      </c>
      <c r="CN24" s="3">
        <f t="shared" ca="1" si="57"/>
        <v>0.24826216484607749</v>
      </c>
      <c r="CO24" s="3">
        <f t="shared" ca="1" si="58"/>
        <v>0</v>
      </c>
      <c r="CP24" s="3">
        <f t="shared" ca="1" si="59"/>
        <v>0.76569678407350683</v>
      </c>
      <c r="CR24" s="3">
        <v>4.0259999999999998</v>
      </c>
      <c r="CS24" s="3">
        <v>1.406000018119812</v>
      </c>
      <c r="CT24" s="3">
        <v>4.0090000000000003</v>
      </c>
      <c r="CU24" s="3">
        <v>4.0110000000000001</v>
      </c>
      <c r="CV24" s="21">
        <f t="shared" ca="1" si="61"/>
        <v>0.36566398078503332</v>
      </c>
      <c r="CW24" s="16">
        <f t="shared" ca="1" si="60"/>
        <v>5.166666666666667</v>
      </c>
      <c r="CY24" s="77"/>
      <c r="CZ24" s="15" t="s">
        <v>291</v>
      </c>
      <c r="DA24" s="15" t="s">
        <v>304</v>
      </c>
      <c r="DB24" s="15" t="s">
        <v>323</v>
      </c>
      <c r="DC24" s="15" t="s">
        <v>338</v>
      </c>
      <c r="DD24" s="15" t="s">
        <v>280</v>
      </c>
    </row>
    <row r="25" spans="1:108" s="3" customFormat="1" x14ac:dyDescent="0.35">
      <c r="A25" s="2" t="s">
        <v>19</v>
      </c>
      <c r="B25" s="2">
        <v>5.25</v>
      </c>
      <c r="C25" s="2" t="s">
        <v>168</v>
      </c>
      <c r="D25" s="2" t="s">
        <v>403</v>
      </c>
      <c r="F25" s="3">
        <v>4.016</v>
      </c>
      <c r="G25" s="3">
        <v>3.0939999999999999</v>
      </c>
      <c r="H25" s="3">
        <v>4.016</v>
      </c>
      <c r="I25" s="3">
        <v>4.016</v>
      </c>
      <c r="K25" s="3">
        <f t="shared" ca="1" si="0"/>
        <v>0.99576693227091628</v>
      </c>
      <c r="L25" s="3">
        <f t="shared" ca="1" si="1"/>
        <v>0.99612152553329025</v>
      </c>
      <c r="M25" s="3">
        <f t="shared" ca="1" si="2"/>
        <v>0.99576693227091639</v>
      </c>
      <c r="N25" s="3">
        <f t="shared" ca="1" si="3"/>
        <v>0.88371513944223101</v>
      </c>
      <c r="P25" s="3">
        <f t="shared" ca="1" si="4"/>
        <v>0.19098606064500087</v>
      </c>
      <c r="Q25" s="3">
        <f t="shared" ca="1" si="5"/>
        <v>0.22624437856766666</v>
      </c>
      <c r="R25" s="3">
        <f t="shared" ca="1" si="6"/>
        <v>6.2250996015936255E-2</v>
      </c>
      <c r="S25" s="3">
        <f t="shared" ca="1" si="7"/>
        <v>0.14940233700778854</v>
      </c>
      <c r="U25" s="3">
        <f t="shared" ca="1" si="8"/>
        <v>1.2450199203187251</v>
      </c>
      <c r="V25" s="3">
        <f t="shared" ca="1" si="9"/>
        <v>1.9392372333548804</v>
      </c>
      <c r="W25" s="3">
        <f t="shared" ca="1" si="10"/>
        <v>0.49800796812749004</v>
      </c>
      <c r="X25" s="3">
        <f t="shared" ca="1" si="11"/>
        <v>1.2450199203187251</v>
      </c>
      <c r="Z25" s="3">
        <f t="shared" ca="1" si="12"/>
        <v>0.56474103585657365</v>
      </c>
      <c r="AA25" s="3">
        <f t="shared" ca="1" si="13"/>
        <v>0.60827407886231422</v>
      </c>
      <c r="AB25" s="3">
        <f t="shared" ca="1" si="14"/>
        <v>0.4397410358565737</v>
      </c>
      <c r="AC25" s="3">
        <f t="shared" ca="1" si="15"/>
        <v>0.6431772908366532</v>
      </c>
      <c r="AE25" s="3">
        <f t="shared" ca="1" si="16"/>
        <v>0.19098606064500087</v>
      </c>
      <c r="AF25" s="3">
        <f t="shared" ca="1" si="17"/>
        <v>0.18875240200784951</v>
      </c>
      <c r="AG25" s="3">
        <f t="shared" ca="1" si="18"/>
        <v>3.7350561989256112E-2</v>
      </c>
      <c r="AH25" s="3">
        <f t="shared" ca="1" si="19"/>
        <v>0.11628483277393052</v>
      </c>
      <c r="AJ25" s="3">
        <f t="shared" ca="1" si="20"/>
        <v>1.2450199203187251</v>
      </c>
      <c r="AK25" s="3">
        <f t="shared" ca="1" si="21"/>
        <v>1.6160310277957337</v>
      </c>
      <c r="AL25" s="3">
        <f t="shared" ca="1" si="22"/>
        <v>0.24900398406374502</v>
      </c>
      <c r="AM25" s="3">
        <f t="shared" ca="1" si="23"/>
        <v>0.99601593625498008</v>
      </c>
      <c r="AO25" s="3">
        <f t="shared" ca="1" si="24"/>
        <v>6.9721115537848606</v>
      </c>
      <c r="AP25" s="3">
        <f t="shared" ca="1" si="25"/>
        <v>2.2624434389140271</v>
      </c>
      <c r="AQ25" s="3">
        <f t="shared" ca="1" si="26"/>
        <v>3.7350597609561751</v>
      </c>
      <c r="AR25" s="3">
        <f t="shared" ca="1" si="27"/>
        <v>1.9920318725099602</v>
      </c>
      <c r="AT25" s="3">
        <v>0.29899999499320984</v>
      </c>
      <c r="AU25" s="3">
        <v>0.52899998426437378</v>
      </c>
      <c r="AV25" s="3">
        <v>2.2890000343322754</v>
      </c>
      <c r="AW25" s="3">
        <v>1.3270000219345093</v>
      </c>
      <c r="AY25" s="3">
        <f t="shared" ca="1" si="28"/>
        <v>7.8934262948207129E-2</v>
      </c>
      <c r="AZ25" s="3">
        <f t="shared" ca="1" si="29"/>
        <v>9.1144149967679333E-2</v>
      </c>
      <c r="BA25" s="3">
        <f t="shared" ca="1" si="30"/>
        <v>1.2201195219123462E-2</v>
      </c>
      <c r="BB25" s="3">
        <f t="shared" ca="1" si="31"/>
        <v>0.11230079681274904</v>
      </c>
      <c r="BD25" s="3">
        <f t="shared" ca="1" si="32"/>
        <v>4.158366427003625E-2</v>
      </c>
      <c r="BE25" s="3">
        <f t="shared" ca="1" si="33"/>
        <v>3.7491918766043922E-2</v>
      </c>
      <c r="BF25" s="3">
        <f t="shared" ca="1" si="34"/>
        <v>0</v>
      </c>
      <c r="BG25" s="3">
        <f t="shared" ca="1" si="35"/>
        <v>9.1384458114426442E-2</v>
      </c>
      <c r="BI25" s="3">
        <f t="shared" ca="1" si="36"/>
        <v>0.24900398406374502</v>
      </c>
      <c r="BJ25" s="3">
        <f t="shared" ca="1" si="37"/>
        <v>0.32320620555914675</v>
      </c>
      <c r="BK25" s="3">
        <f t="shared" ca="1" si="38"/>
        <v>0</v>
      </c>
      <c r="BL25" s="3">
        <f t="shared" ca="1" si="39"/>
        <v>0.74701195219123506</v>
      </c>
      <c r="BN25" s="3">
        <f t="shared" ca="1" si="40"/>
        <v>3.7350597609561751</v>
      </c>
      <c r="BO25" s="3">
        <f t="shared" ca="1" si="41"/>
        <v>4.8480930833872016</v>
      </c>
      <c r="BP25" s="3">
        <f t="shared" ca="1" si="42"/>
        <v>1.4940239043824701</v>
      </c>
      <c r="BQ25" s="3">
        <f t="shared" ca="1" si="43"/>
        <v>3.237051792828685</v>
      </c>
      <c r="BS25" s="3">
        <v>0.29899999499320984</v>
      </c>
      <c r="BT25" s="3">
        <v>0.52899998426437378</v>
      </c>
      <c r="BU25" s="3">
        <v>4.016</v>
      </c>
      <c r="BV25" s="3">
        <v>1.3270000219345093</v>
      </c>
      <c r="BX25" s="3">
        <f t="shared" ca="1" si="44"/>
        <v>3.9840637450199237E-3</v>
      </c>
      <c r="BY25" s="3">
        <f t="shared" ca="1" si="45"/>
        <v>0</v>
      </c>
      <c r="BZ25" s="3">
        <f t="shared" ca="1" si="46"/>
        <v>0</v>
      </c>
      <c r="CA25" s="3">
        <f t="shared" ca="1" si="47"/>
        <v>2.0667330677290884E-2</v>
      </c>
      <c r="CC25" s="3">
        <f t="shared" ca="1" si="48"/>
        <v>0</v>
      </c>
      <c r="CD25" s="3">
        <f t="shared" ca="1" si="49"/>
        <v>0</v>
      </c>
      <c r="CE25" s="3">
        <f t="shared" ca="1" si="50"/>
        <v>0</v>
      </c>
      <c r="CF25" s="3">
        <f t="shared" ca="1" si="51"/>
        <v>2.4900374659504072E-2</v>
      </c>
      <c r="CH25" s="3">
        <f t="shared" ca="1" si="52"/>
        <v>0</v>
      </c>
      <c r="CI25" s="3">
        <f t="shared" ca="1" si="53"/>
        <v>0</v>
      </c>
      <c r="CJ25" s="3">
        <f t="shared" ca="1" si="54"/>
        <v>0</v>
      </c>
      <c r="CK25" s="3">
        <f t="shared" ca="1" si="55"/>
        <v>0.24900398406374502</v>
      </c>
      <c r="CM25" s="3">
        <f t="shared" ca="1" si="56"/>
        <v>0.24900398406374502</v>
      </c>
      <c r="CN25" s="3">
        <f t="shared" ca="1" si="57"/>
        <v>0.32320620555914675</v>
      </c>
      <c r="CO25" s="3">
        <f t="shared" ca="1" si="58"/>
        <v>1.2450199203187251</v>
      </c>
      <c r="CP25" s="3">
        <f t="shared" ca="1" si="59"/>
        <v>0.74701195219123506</v>
      </c>
      <c r="CR25" s="3">
        <v>4.016</v>
      </c>
      <c r="CS25" s="3">
        <v>4.016</v>
      </c>
      <c r="CT25" s="3">
        <v>4.016</v>
      </c>
      <c r="CU25" s="3">
        <v>3.7100000381469727</v>
      </c>
      <c r="CV25" s="21">
        <f t="shared" ca="1" si="61"/>
        <v>0</v>
      </c>
      <c r="CW25" s="16">
        <f t="shared" ca="1" si="60"/>
        <v>5.25</v>
      </c>
      <c r="CY25" s="77"/>
      <c r="CZ25" s="15" t="s">
        <v>294</v>
      </c>
      <c r="DA25" s="15" t="s">
        <v>308</v>
      </c>
      <c r="DB25" s="15" t="s">
        <v>326</v>
      </c>
      <c r="DC25" s="15" t="s">
        <v>341</v>
      </c>
      <c r="DD25" s="15" t="s">
        <v>281</v>
      </c>
    </row>
    <row r="26" spans="1:108" s="3" customFormat="1" x14ac:dyDescent="0.35">
      <c r="A26" s="2" t="s">
        <v>66</v>
      </c>
      <c r="B26" s="2">
        <v>5.333333333333333</v>
      </c>
      <c r="C26" s="2" t="s">
        <v>168</v>
      </c>
      <c r="D26" s="2" t="s">
        <v>403</v>
      </c>
      <c r="F26" s="3">
        <v>4.0110000000000001</v>
      </c>
      <c r="G26" s="3">
        <v>4.016</v>
      </c>
      <c r="H26" s="3">
        <v>4.0039999999999996</v>
      </c>
      <c r="I26" s="3">
        <v>4.01</v>
      </c>
      <c r="K26" s="3">
        <f t="shared" ca="1" si="0"/>
        <v>0.98878085265519822</v>
      </c>
      <c r="L26" s="3">
        <f t="shared" ca="1" si="1"/>
        <v>0.99601593625498008</v>
      </c>
      <c r="M26" s="3">
        <f t="shared" ca="1" si="2"/>
        <v>0.99450549450549464</v>
      </c>
      <c r="N26" s="3">
        <f t="shared" ca="1" si="3"/>
        <v>0.99725685785536167</v>
      </c>
      <c r="P26" s="3">
        <f t="shared" ca="1" si="4"/>
        <v>0.57317373419203266</v>
      </c>
      <c r="Q26" s="3">
        <f t="shared" ca="1" si="5"/>
        <v>0.42355582451974727</v>
      </c>
      <c r="R26" s="3">
        <f t="shared" ca="1" si="6"/>
        <v>0.53771238003696487</v>
      </c>
      <c r="S26" s="3">
        <f t="shared" ca="1" si="7"/>
        <v>0.81022435664536063</v>
      </c>
      <c r="U26" s="3">
        <f t="shared" ca="1" si="8"/>
        <v>3.2410870107205185</v>
      </c>
      <c r="V26" s="3">
        <f t="shared" ca="1" si="9"/>
        <v>3.237051792828685</v>
      </c>
      <c r="W26" s="3">
        <f t="shared" ca="1" si="10"/>
        <v>3.4965034965034967</v>
      </c>
      <c r="X26" s="3">
        <f t="shared" ca="1" si="11"/>
        <v>2.7431421446384041</v>
      </c>
      <c r="Z26" s="3">
        <f t="shared" ca="1" si="12"/>
        <v>0.98878085265519822</v>
      </c>
      <c r="AA26" s="3">
        <f t="shared" ca="1" si="13"/>
        <v>0.87126494023904399</v>
      </c>
      <c r="AB26" s="3">
        <f t="shared" ca="1" si="14"/>
        <v>0.99450549450549464</v>
      </c>
      <c r="AC26" s="3">
        <f t="shared" ca="1" si="15"/>
        <v>0.98478802992518699</v>
      </c>
      <c r="AE26" s="3">
        <f t="shared" ca="1" si="16"/>
        <v>0.57317373419203266</v>
      </c>
      <c r="AF26" s="3">
        <f t="shared" ca="1" si="17"/>
        <v>0.42355582451974727</v>
      </c>
      <c r="AG26" s="3">
        <f t="shared" ca="1" si="18"/>
        <v>0.53771238003696487</v>
      </c>
      <c r="AH26" s="3">
        <f t="shared" ca="1" si="19"/>
        <v>0.81022435664536063</v>
      </c>
      <c r="AJ26" s="3">
        <f t="shared" ca="1" si="20"/>
        <v>3.2410870107205185</v>
      </c>
      <c r="AK26" s="3">
        <f t="shared" ca="1" si="21"/>
        <v>3.237051792828685</v>
      </c>
      <c r="AL26" s="3">
        <f t="shared" ca="1" si="22"/>
        <v>3.4965034965034967</v>
      </c>
      <c r="AM26" s="3">
        <f t="shared" ca="1" si="23"/>
        <v>2.7431421446384041</v>
      </c>
      <c r="AO26" s="3">
        <f t="shared" ca="1" si="24"/>
        <v>0.24931438544003989</v>
      </c>
      <c r="AP26" s="3">
        <f t="shared" ca="1" si="25"/>
        <v>1.9920318725099602</v>
      </c>
      <c r="AQ26" s="3">
        <f t="shared" ca="1" si="26"/>
        <v>0.24975024975024979</v>
      </c>
      <c r="AR26" s="3">
        <f t="shared" ca="1" si="27"/>
        <v>0.49875311720698257</v>
      </c>
      <c r="AT26" s="3">
        <v>1.6000000759959221E-2</v>
      </c>
      <c r="AU26" s="3">
        <v>3.9999999105930328E-2</v>
      </c>
      <c r="AV26" s="3">
        <v>0.21600000560283661</v>
      </c>
      <c r="AW26" s="3">
        <v>7.2999998927116394E-2</v>
      </c>
      <c r="AY26" s="3">
        <f t="shared" ca="1" si="28"/>
        <v>3.3657442034405287E-2</v>
      </c>
      <c r="AZ26" s="3">
        <f t="shared" ca="1" si="29"/>
        <v>4.1334661354581602E-2</v>
      </c>
      <c r="BA26" s="3">
        <f t="shared" ca="1" si="30"/>
        <v>0.17907092907092906</v>
      </c>
      <c r="BB26" s="3">
        <f t="shared" ca="1" si="31"/>
        <v>0.25735660847880304</v>
      </c>
      <c r="BD26" s="3">
        <f t="shared" ca="1" si="32"/>
        <v>2.4931437522358681E-2</v>
      </c>
      <c r="BE26" s="3">
        <f t="shared" ca="1" si="33"/>
        <v>0</v>
      </c>
      <c r="BF26" s="3">
        <f t="shared" ca="1" si="34"/>
        <v>0.13361640505261951</v>
      </c>
      <c r="BG26" s="3">
        <f t="shared" ca="1" si="35"/>
        <v>0.26583540766613739</v>
      </c>
      <c r="BI26" s="3">
        <f t="shared" ca="1" si="36"/>
        <v>0.24931438544003989</v>
      </c>
      <c r="BJ26" s="3">
        <f t="shared" ca="1" si="37"/>
        <v>0</v>
      </c>
      <c r="BK26" s="3">
        <f t="shared" ca="1" si="38"/>
        <v>0.7492507492507493</v>
      </c>
      <c r="BL26" s="3">
        <f t="shared" ca="1" si="39"/>
        <v>0.49875311720698257</v>
      </c>
      <c r="BN26" s="3">
        <f t="shared" ca="1" si="40"/>
        <v>1.7452006980802792</v>
      </c>
      <c r="BO26" s="3">
        <f t="shared" ca="1" si="41"/>
        <v>1.9920318725099602</v>
      </c>
      <c r="BP26" s="3">
        <f t="shared" ca="1" si="42"/>
        <v>0.99900099900099915</v>
      </c>
      <c r="BQ26" s="3">
        <f t="shared" ca="1" si="43"/>
        <v>0.49875311720698257</v>
      </c>
      <c r="BS26" s="3">
        <v>1.6000000759959221E-2</v>
      </c>
      <c r="BT26" s="3">
        <v>4.016</v>
      </c>
      <c r="BU26" s="3">
        <v>3.0309998989105225</v>
      </c>
      <c r="BV26" s="3">
        <v>2.8389999866485596</v>
      </c>
      <c r="BX26" s="3">
        <f t="shared" ca="1" si="44"/>
        <v>0</v>
      </c>
      <c r="BY26" s="3">
        <f t="shared" ca="1" si="45"/>
        <v>0.12823705179282865</v>
      </c>
      <c r="BZ26" s="3">
        <f t="shared" ca="1" si="46"/>
        <v>0</v>
      </c>
      <c r="CA26" s="3">
        <f t="shared" ca="1" si="47"/>
        <v>0</v>
      </c>
      <c r="CC26" s="3">
        <f t="shared" ca="1" si="48"/>
        <v>0</v>
      </c>
      <c r="CD26" s="3">
        <f t="shared" ca="1" si="49"/>
        <v>9.5617525145945792E-2</v>
      </c>
      <c r="CE26" s="3">
        <f t="shared" ca="1" si="50"/>
        <v>0</v>
      </c>
      <c r="CF26" s="3">
        <f t="shared" ca="1" si="51"/>
        <v>0</v>
      </c>
      <c r="CH26" s="3">
        <f t="shared" ca="1" si="52"/>
        <v>0</v>
      </c>
      <c r="CI26" s="3">
        <f t="shared" ca="1" si="53"/>
        <v>0.49800796812749004</v>
      </c>
      <c r="CJ26" s="3">
        <f t="shared" ca="1" si="54"/>
        <v>0</v>
      </c>
      <c r="CK26" s="3">
        <f t="shared" ca="1" si="55"/>
        <v>0</v>
      </c>
      <c r="CM26" s="3">
        <f t="shared" ca="1" si="56"/>
        <v>0</v>
      </c>
      <c r="CN26" s="3">
        <f t="shared" ca="1" si="57"/>
        <v>2.241035856573705</v>
      </c>
      <c r="CO26" s="3">
        <f t="shared" ca="1" si="58"/>
        <v>0</v>
      </c>
      <c r="CP26" s="3">
        <f t="shared" ca="1" si="59"/>
        <v>0</v>
      </c>
      <c r="CR26" s="3">
        <v>4.0110000000000001</v>
      </c>
      <c r="CS26" s="3">
        <v>3.9999999105930328E-2</v>
      </c>
      <c r="CT26" s="3">
        <v>4.0039999999999996</v>
      </c>
      <c r="CU26" s="3">
        <v>4.01</v>
      </c>
      <c r="CV26" s="21">
        <f t="shared" ca="1" si="61"/>
        <v>0.13361640505261951</v>
      </c>
      <c r="CW26" s="16">
        <f t="shared" ca="1" si="60"/>
        <v>5.333333333333333</v>
      </c>
      <c r="CY26" s="77"/>
      <c r="CZ26" s="15" t="s">
        <v>298</v>
      </c>
      <c r="DA26" s="15" t="s">
        <v>312</v>
      </c>
      <c r="DB26" s="15" t="s">
        <v>329</v>
      </c>
      <c r="DC26" s="15" t="s">
        <v>344</v>
      </c>
      <c r="DD26" s="15" t="s">
        <v>282</v>
      </c>
    </row>
    <row r="27" spans="1:108" s="3" customFormat="1" x14ac:dyDescent="0.35">
      <c r="A27" s="2" t="s">
        <v>16</v>
      </c>
      <c r="B27" s="2">
        <v>5.5</v>
      </c>
      <c r="C27" s="2" t="s">
        <v>167</v>
      </c>
      <c r="D27" s="2" t="s">
        <v>403</v>
      </c>
      <c r="F27" s="3">
        <v>4.0039999999999996</v>
      </c>
      <c r="G27" s="3">
        <v>4.016</v>
      </c>
      <c r="H27" s="3">
        <v>4.0039999999999996</v>
      </c>
      <c r="I27" s="3">
        <v>2.2419999999999995</v>
      </c>
      <c r="K27" s="3">
        <f t="shared" ca="1" si="0"/>
        <v>0.99875124875124888</v>
      </c>
      <c r="L27" s="3">
        <f t="shared" ca="1" si="1"/>
        <v>0.99576693227091639</v>
      </c>
      <c r="M27" s="3">
        <f t="shared" ca="1" si="2"/>
        <v>0.98626373626373642</v>
      </c>
      <c r="N27" s="3">
        <f t="shared" ca="1" si="3"/>
        <v>0.89964317573595021</v>
      </c>
      <c r="P27" s="3">
        <f t="shared" ca="1" si="4"/>
        <v>0.79495508361470102</v>
      </c>
      <c r="Q27" s="3">
        <f t="shared" ca="1" si="5"/>
        <v>0.95866539304986953</v>
      </c>
      <c r="R27" s="3">
        <f t="shared" ca="1" si="6"/>
        <v>0.89835164162305214</v>
      </c>
      <c r="S27" s="3">
        <f t="shared" ca="1" si="7"/>
        <v>0.82426406044336875</v>
      </c>
      <c r="U27" s="3">
        <f t="shared" ca="1" si="8"/>
        <v>2.9970029970029972</v>
      </c>
      <c r="V27" s="3">
        <f t="shared" ca="1" si="9"/>
        <v>2.4900398406374502</v>
      </c>
      <c r="W27" s="3">
        <f t="shared" ca="1" si="10"/>
        <v>3.7462537462537466</v>
      </c>
      <c r="X27" s="3">
        <f t="shared" ca="1" si="11"/>
        <v>3.1222123104371104</v>
      </c>
      <c r="Z27" s="3">
        <f t="shared" ca="1" si="12"/>
        <v>0.99875124875124888</v>
      </c>
      <c r="AA27" s="3">
        <f t="shared" ca="1" si="13"/>
        <v>0.99576693227091639</v>
      </c>
      <c r="AB27" s="3">
        <f t="shared" ca="1" si="14"/>
        <v>0.96553446553446565</v>
      </c>
      <c r="AC27" s="3">
        <f t="shared" ca="1" si="15"/>
        <v>0.74397859054415727</v>
      </c>
      <c r="AE27" s="3">
        <f t="shared" ca="1" si="16"/>
        <v>0.79495508361470102</v>
      </c>
      <c r="AF27" s="3">
        <f t="shared" ca="1" si="17"/>
        <v>0.95866539304986953</v>
      </c>
      <c r="AG27" s="3">
        <f t="shared" ca="1" si="18"/>
        <v>0.89835164162305214</v>
      </c>
      <c r="AH27" s="3">
        <f t="shared" ca="1" si="19"/>
        <v>0.63826944130696339</v>
      </c>
      <c r="AJ27" s="3">
        <f t="shared" ca="1" si="20"/>
        <v>2.9970029970029972</v>
      </c>
      <c r="AK27" s="3">
        <f t="shared" ca="1" si="21"/>
        <v>2.4900398406374502</v>
      </c>
      <c r="AL27" s="3">
        <f t="shared" ca="1" si="22"/>
        <v>3.7462537462537466</v>
      </c>
      <c r="AM27" s="3">
        <f t="shared" ca="1" si="23"/>
        <v>2.676181980374666</v>
      </c>
      <c r="AO27" s="3">
        <f t="shared" ca="1" si="24"/>
        <v>0.24975024975024979</v>
      </c>
      <c r="AP27" s="3">
        <f t="shared" ca="1" si="25"/>
        <v>0.24900398406374502</v>
      </c>
      <c r="AQ27" s="3">
        <f t="shared" ca="1" si="26"/>
        <v>0.24975024975024979</v>
      </c>
      <c r="AR27" s="3">
        <f t="shared" ca="1" si="27"/>
        <v>1.7841213202497774</v>
      </c>
      <c r="AT27" s="3">
        <v>7.1000002324581146E-2</v>
      </c>
      <c r="AU27" s="3">
        <v>1.4999999664723873E-2</v>
      </c>
      <c r="AV27" s="3">
        <v>0.13199999928474426</v>
      </c>
      <c r="AW27" s="3">
        <v>3.2000001519918442E-2</v>
      </c>
      <c r="AY27" s="3">
        <f t="shared" ca="1" si="28"/>
        <v>0.25349650349650343</v>
      </c>
      <c r="AZ27" s="3">
        <f t="shared" ca="1" si="29"/>
        <v>0.54332669322709171</v>
      </c>
      <c r="BA27" s="3">
        <f t="shared" ca="1" si="30"/>
        <v>0.54095904095904113</v>
      </c>
      <c r="BB27" s="3">
        <f t="shared" ca="1" si="31"/>
        <v>0.3117752007136485</v>
      </c>
      <c r="BD27" s="3">
        <f t="shared" ca="1" si="32"/>
        <v>0.27897102492196224</v>
      </c>
      <c r="BE27" s="3">
        <f t="shared" ca="1" si="33"/>
        <v>0.5560259286507192</v>
      </c>
      <c r="BF27" s="3">
        <f t="shared" ca="1" si="34"/>
        <v>0.45304692589438766</v>
      </c>
      <c r="BG27" s="3">
        <f t="shared" ca="1" si="35"/>
        <v>0.32649423850635462</v>
      </c>
      <c r="BI27" s="3">
        <f t="shared" ca="1" si="36"/>
        <v>0.99900099900099915</v>
      </c>
      <c r="BJ27" s="3">
        <f t="shared" ca="1" si="37"/>
        <v>1.2450199203187251</v>
      </c>
      <c r="BK27" s="3">
        <f t="shared" ca="1" si="38"/>
        <v>1.7482517482517483</v>
      </c>
      <c r="BL27" s="3">
        <f t="shared" ca="1" si="39"/>
        <v>1.7841213202497774</v>
      </c>
      <c r="BN27" s="3">
        <f t="shared" ca="1" si="40"/>
        <v>1.2487512487512489</v>
      </c>
      <c r="BO27" s="3">
        <f t="shared" ca="1" si="41"/>
        <v>0.99601593625498008</v>
      </c>
      <c r="BP27" s="3">
        <f t="shared" ca="1" si="42"/>
        <v>0.7492507492507493</v>
      </c>
      <c r="BQ27" s="3">
        <f t="shared" ca="1" si="43"/>
        <v>2.2301516503122216</v>
      </c>
      <c r="BS27" s="3">
        <v>0.85399997234344482</v>
      </c>
      <c r="BT27" s="3">
        <v>0.49799999594688416</v>
      </c>
      <c r="BU27" s="3">
        <v>1.3990000486373901</v>
      </c>
      <c r="BV27" s="3">
        <v>0.38199999928474426</v>
      </c>
      <c r="BX27" s="3">
        <f t="shared" ca="1" si="44"/>
        <v>0.14160839160839173</v>
      </c>
      <c r="BY27" s="3">
        <f t="shared" ca="1" si="45"/>
        <v>0.1080677290836653</v>
      </c>
      <c r="BZ27" s="3">
        <f t="shared" ca="1" si="46"/>
        <v>4.995004995005E-2</v>
      </c>
      <c r="CA27" s="3">
        <f t="shared" ca="1" si="47"/>
        <v>0</v>
      </c>
      <c r="CC27" s="3">
        <f t="shared" ca="1" si="48"/>
        <v>0.13736265522616728</v>
      </c>
      <c r="CD27" s="3">
        <f t="shared" ca="1" si="49"/>
        <v>6.6484053771334345E-2</v>
      </c>
      <c r="CE27" s="3">
        <f t="shared" ca="1" si="50"/>
        <v>7.9170866803332171E-2</v>
      </c>
      <c r="CF27" s="3">
        <f t="shared" ca="1" si="51"/>
        <v>0</v>
      </c>
      <c r="CH27" s="3">
        <f t="shared" ca="1" si="52"/>
        <v>0.49950049950049957</v>
      </c>
      <c r="CI27" s="3">
        <f t="shared" ca="1" si="53"/>
        <v>0.24900398406374502</v>
      </c>
      <c r="CJ27" s="3">
        <f t="shared" ca="1" si="54"/>
        <v>0.24975024975024979</v>
      </c>
      <c r="CK27" s="3">
        <f t="shared" ca="1" si="55"/>
        <v>0</v>
      </c>
      <c r="CM27" s="3">
        <f t="shared" ca="1" si="56"/>
        <v>1.2487512487512489</v>
      </c>
      <c r="CN27" s="3">
        <f t="shared" ca="1" si="57"/>
        <v>0.74701195219123506</v>
      </c>
      <c r="CO27" s="3">
        <f t="shared" ca="1" si="58"/>
        <v>0.49950049950049957</v>
      </c>
      <c r="CP27" s="3">
        <f t="shared" ca="1" si="59"/>
        <v>1.338090990187333</v>
      </c>
      <c r="CR27" s="3">
        <v>1.9199999570846558</v>
      </c>
      <c r="CS27" s="3">
        <v>3.2309999465942383</v>
      </c>
      <c r="CT27" s="3">
        <v>2.747999906539917</v>
      </c>
      <c r="CU27" s="3">
        <v>4.0069999999999997</v>
      </c>
      <c r="CV27" s="21">
        <f t="shared" ca="1" si="61"/>
        <v>0.45304692589438766</v>
      </c>
      <c r="CW27" s="16">
        <f t="shared" ca="1" si="60"/>
        <v>5.5</v>
      </c>
      <c r="CY27" s="77"/>
      <c r="CZ27" s="18" t="s">
        <v>299</v>
      </c>
      <c r="DA27" s="15" t="s">
        <v>316</v>
      </c>
      <c r="DB27" s="15" t="s">
        <v>332</v>
      </c>
      <c r="DC27" s="15" t="s">
        <v>347</v>
      </c>
      <c r="DD27" s="15" t="s">
        <v>283</v>
      </c>
    </row>
    <row r="28" spans="1:108" s="3" customFormat="1" x14ac:dyDescent="0.35">
      <c r="A28" s="2" t="s">
        <v>69</v>
      </c>
      <c r="B28" s="2">
        <v>5.5</v>
      </c>
      <c r="C28" s="2" t="s">
        <v>167</v>
      </c>
      <c r="D28" s="2" t="s">
        <v>403</v>
      </c>
      <c r="F28" s="3">
        <v>4.016</v>
      </c>
      <c r="G28" s="11" t="e">
        <v>#N/A</v>
      </c>
      <c r="H28" s="3">
        <v>2.8980000000000001</v>
      </c>
      <c r="I28" s="3">
        <v>0.43399999999999972</v>
      </c>
      <c r="K28" s="3">
        <f t="shared" ca="1" si="0"/>
        <v>0.81324701195219129</v>
      </c>
      <c r="L28" s="3" t="e">
        <f t="shared" ca="1" si="1"/>
        <v>#N/A</v>
      </c>
      <c r="M28" s="3">
        <f t="shared" ca="1" si="2"/>
        <v>0.96583850931677007</v>
      </c>
      <c r="N28" s="3" t="e">
        <f t="shared" ca="1" si="3"/>
        <v>#N/A</v>
      </c>
      <c r="P28" s="3">
        <f t="shared" ca="1" si="4"/>
        <v>0.16185258370471667</v>
      </c>
      <c r="Q28" s="3" t="e">
        <f t="shared" ca="1" si="5"/>
        <v>#N/A</v>
      </c>
      <c r="R28" s="3">
        <f t="shared" ca="1" si="6"/>
        <v>0.58005508511045045</v>
      </c>
      <c r="S28" s="3" t="e">
        <f t="shared" ca="1" si="7"/>
        <v>#N/A</v>
      </c>
      <c r="U28" s="3">
        <f t="shared" ca="1" si="8"/>
        <v>0.99601593625498008</v>
      </c>
      <c r="V28" s="3" t="e">
        <f t="shared" ca="1" si="9"/>
        <v>#N/A</v>
      </c>
      <c r="W28" s="3">
        <f t="shared" ca="1" si="10"/>
        <v>2.7605244996549345</v>
      </c>
      <c r="X28" s="3" t="e">
        <f t="shared" ca="1" si="11"/>
        <v>#N/A</v>
      </c>
      <c r="Z28" s="3">
        <f t="shared" ca="1" si="12"/>
        <v>0.81324701195219129</v>
      </c>
      <c r="AA28" s="3" t="e">
        <f t="shared" ca="1" si="13"/>
        <v>#N/A</v>
      </c>
      <c r="AB28" s="3">
        <f t="shared" ca="1" si="14"/>
        <v>0.96583850931677007</v>
      </c>
      <c r="AC28" s="3" t="e">
        <f t="shared" ca="1" si="15"/>
        <v>#N/A</v>
      </c>
      <c r="AE28" s="3">
        <f t="shared" ca="1" si="16"/>
        <v>0.16185258370471667</v>
      </c>
      <c r="AF28" s="3" t="e">
        <f t="shared" ca="1" si="17"/>
        <v>#N/A</v>
      </c>
      <c r="AG28" s="3">
        <f t="shared" ca="1" si="18"/>
        <v>0.58005508511045045</v>
      </c>
      <c r="AH28" s="3" t="e">
        <f t="shared" ca="1" si="19"/>
        <v>#N/A</v>
      </c>
      <c r="AJ28" s="3">
        <f t="shared" ca="1" si="20"/>
        <v>0.99601593625498008</v>
      </c>
      <c r="AK28" s="3" t="e">
        <f t="shared" ca="1" si="21"/>
        <v>#N/A</v>
      </c>
      <c r="AL28" s="3">
        <f t="shared" ca="1" si="22"/>
        <v>2.7605244996549345</v>
      </c>
      <c r="AM28" s="3" t="e">
        <f t="shared" ca="1" si="23"/>
        <v>#N/A</v>
      </c>
      <c r="AO28" s="3">
        <f t="shared" ca="1" si="24"/>
        <v>0.24900398406374502</v>
      </c>
      <c r="AP28" s="3" t="e">
        <f t="shared" ca="1" si="25"/>
        <v>#N/A</v>
      </c>
      <c r="AQ28" s="3">
        <f t="shared" ca="1" si="26"/>
        <v>0.34506556245686681</v>
      </c>
      <c r="AR28" s="3" t="e">
        <f t="shared" ca="1" si="27"/>
        <v>#N/A</v>
      </c>
      <c r="AT28" s="3">
        <v>0.82099997997283936</v>
      </c>
      <c r="AU28" s="11" t="e">
        <v>#N/A</v>
      </c>
      <c r="AV28" s="3">
        <v>1.2009999752044678</v>
      </c>
      <c r="AW28" s="11" t="e">
        <v>#N/A</v>
      </c>
      <c r="AY28" s="3">
        <f t="shared" ca="1" si="28"/>
        <v>3.2868525896414424E-2</v>
      </c>
      <c r="AZ28" s="3" t="e">
        <f t="shared" ca="1" si="29"/>
        <v>#N/A</v>
      </c>
      <c r="BA28" s="3">
        <f t="shared" ca="1" si="30"/>
        <v>6.3146997929606638E-2</v>
      </c>
      <c r="BB28" s="3" t="e">
        <f t="shared" ca="1" si="31"/>
        <v>#N/A</v>
      </c>
      <c r="BD28" s="3">
        <f t="shared" ca="1" si="32"/>
        <v>0</v>
      </c>
      <c r="BE28" s="3" t="e">
        <f t="shared" ca="1" si="33"/>
        <v>#N/A</v>
      </c>
      <c r="BF28" s="3">
        <f t="shared" ca="1" si="34"/>
        <v>0</v>
      </c>
      <c r="BG28" s="3" t="e">
        <f t="shared" ca="1" si="35"/>
        <v>#N/A</v>
      </c>
      <c r="BI28" s="3">
        <f t="shared" ca="1" si="36"/>
        <v>0</v>
      </c>
      <c r="BJ28" s="3" t="e">
        <f t="shared" ca="1" si="37"/>
        <v>#N/A</v>
      </c>
      <c r="BK28" s="3">
        <f t="shared" ca="1" si="38"/>
        <v>0</v>
      </c>
      <c r="BL28" s="3" t="e">
        <f t="shared" ca="1" si="39"/>
        <v>#N/A</v>
      </c>
      <c r="BN28" s="3">
        <f t="shared" ca="1" si="40"/>
        <v>2.241035856573705</v>
      </c>
      <c r="BO28" s="3" t="e">
        <f t="shared" ca="1" si="41"/>
        <v>#N/A</v>
      </c>
      <c r="BP28" s="3">
        <f t="shared" ca="1" si="42"/>
        <v>2.0703933747412009</v>
      </c>
      <c r="BQ28" s="3" t="e">
        <f t="shared" ca="1" si="43"/>
        <v>#N/A</v>
      </c>
      <c r="BS28" s="3">
        <v>4.016</v>
      </c>
      <c r="BT28" s="11" t="e">
        <v>#N/A</v>
      </c>
      <c r="BU28" s="3">
        <v>4.016</v>
      </c>
      <c r="BV28" s="11" t="e">
        <v>#N/A</v>
      </c>
      <c r="BX28" s="3">
        <f t="shared" ca="1" si="44"/>
        <v>8.4661354581674203E-3</v>
      </c>
      <c r="BY28" s="3" t="e">
        <f t="shared" ca="1" si="45"/>
        <v>#N/A</v>
      </c>
      <c r="BZ28" s="3">
        <f t="shared" ca="1" si="46"/>
        <v>0.23533471359558314</v>
      </c>
      <c r="CA28" s="3" t="e">
        <f t="shared" ca="1" si="47"/>
        <v>#N/A</v>
      </c>
      <c r="CC28" s="3">
        <f t="shared" ca="1" si="48"/>
        <v>0</v>
      </c>
      <c r="CD28" s="3" t="e">
        <f t="shared" ca="1" si="49"/>
        <v>#N/A</v>
      </c>
      <c r="CE28" s="3">
        <f t="shared" ca="1" si="50"/>
        <v>0.21256036475413909</v>
      </c>
      <c r="CF28" s="3" t="e">
        <f t="shared" ca="1" si="51"/>
        <v>#N/A</v>
      </c>
      <c r="CH28" s="3">
        <f t="shared" ca="1" si="52"/>
        <v>0</v>
      </c>
      <c r="CI28" s="3" t="e">
        <f t="shared" ca="1" si="53"/>
        <v>#N/A</v>
      </c>
      <c r="CJ28" s="3">
        <f t="shared" ca="1" si="54"/>
        <v>0.69013112491373363</v>
      </c>
      <c r="CK28" s="3" t="e">
        <f t="shared" ca="1" si="55"/>
        <v>#N/A</v>
      </c>
      <c r="CM28" s="3">
        <f t="shared" ca="1" si="56"/>
        <v>2.241035856573705</v>
      </c>
      <c r="CN28" s="3" t="e">
        <f t="shared" ca="1" si="57"/>
        <v>#N/A</v>
      </c>
      <c r="CO28" s="3">
        <f t="shared" ca="1" si="58"/>
        <v>2.7605244996549345</v>
      </c>
      <c r="CP28" s="3" t="e">
        <f t="shared" ca="1" si="59"/>
        <v>#N/A</v>
      </c>
      <c r="CR28" s="3">
        <v>4.016</v>
      </c>
      <c r="CS28" s="11" t="e">
        <v>#N/A</v>
      </c>
      <c r="CT28" s="3">
        <v>3.0510001182556152</v>
      </c>
      <c r="CU28" s="11" t="e">
        <v>#N/A</v>
      </c>
      <c r="CV28" s="21">
        <f t="shared" ca="1" si="61"/>
        <v>0</v>
      </c>
      <c r="CW28" s="16">
        <f t="shared" ca="1" si="60"/>
        <v>5.5</v>
      </c>
      <c r="CY28" s="78"/>
      <c r="CZ28" s="18" t="s">
        <v>299</v>
      </c>
      <c r="DA28" s="15" t="s">
        <v>320</v>
      </c>
      <c r="DB28" s="15" t="s">
        <v>335</v>
      </c>
      <c r="DC28" s="15" t="s">
        <v>350</v>
      </c>
      <c r="DD28" s="15" t="s">
        <v>284</v>
      </c>
    </row>
    <row r="29" spans="1:108" s="3" customFormat="1" x14ac:dyDescent="0.35">
      <c r="A29" s="2" t="s">
        <v>74</v>
      </c>
      <c r="B29" s="2">
        <v>5.5</v>
      </c>
      <c r="C29" s="2" t="s">
        <v>168</v>
      </c>
      <c r="D29" s="2" t="s">
        <v>403</v>
      </c>
      <c r="F29" s="3">
        <v>4.0090000000000003</v>
      </c>
      <c r="G29" s="3">
        <v>4.0149999999999997</v>
      </c>
      <c r="H29" s="3">
        <v>3.044</v>
      </c>
      <c r="I29" s="3">
        <v>4.0110000000000001</v>
      </c>
      <c r="K29" s="3">
        <f t="shared" ca="1" si="0"/>
        <v>0.99326515340483901</v>
      </c>
      <c r="L29" s="3">
        <f t="shared" ca="1" si="1"/>
        <v>0.91706102117061039</v>
      </c>
      <c r="M29" s="3">
        <f t="shared" ca="1" si="2"/>
        <v>0.99047306176084104</v>
      </c>
      <c r="N29" s="3">
        <f t="shared" ca="1" si="3"/>
        <v>0.88506606831214163</v>
      </c>
      <c r="P29" s="3">
        <f t="shared" ca="1" si="4"/>
        <v>0.83537039041043393</v>
      </c>
      <c r="Q29" s="3">
        <f t="shared" ca="1" si="5"/>
        <v>0.84259020139093277</v>
      </c>
      <c r="R29" s="3">
        <f t="shared" ca="1" si="6"/>
        <v>0.91360058114128417</v>
      </c>
      <c r="S29" s="3">
        <f t="shared" ca="1" si="7"/>
        <v>0.73946650204769071</v>
      </c>
      <c r="U29" s="3">
        <f t="shared" ca="1" si="8"/>
        <v>1.4966325767024193</v>
      </c>
      <c r="V29" s="3">
        <f t="shared" ca="1" si="9"/>
        <v>2.2415940224159403</v>
      </c>
      <c r="W29" s="3">
        <f t="shared" ca="1" si="10"/>
        <v>2.6281208935611038</v>
      </c>
      <c r="X29" s="3">
        <f t="shared" ca="1" si="11"/>
        <v>2.7424582398404387</v>
      </c>
      <c r="Z29" s="3">
        <f t="shared" ca="1" si="12"/>
        <v>0.92242454477425773</v>
      </c>
      <c r="AA29" s="3">
        <f t="shared" ca="1" si="13"/>
        <v>0.91307596513075984</v>
      </c>
      <c r="AB29" s="3">
        <f t="shared" ca="1" si="14"/>
        <v>0.88107752956635998</v>
      </c>
      <c r="AC29" s="3">
        <f t="shared" ca="1" si="15"/>
        <v>0.88506606831214163</v>
      </c>
      <c r="AE29" s="3">
        <f t="shared" ca="1" si="16"/>
        <v>0.83537039041043393</v>
      </c>
      <c r="AF29" s="3">
        <f t="shared" ca="1" si="17"/>
        <v>0.84259020139093277</v>
      </c>
      <c r="AG29" s="3">
        <f t="shared" ca="1" si="18"/>
        <v>0.826215550778299</v>
      </c>
      <c r="AH29" s="3">
        <f t="shared" ca="1" si="19"/>
        <v>0.73946650204769071</v>
      </c>
      <c r="AJ29" s="3">
        <f t="shared" ca="1" si="20"/>
        <v>1.4966325767024193</v>
      </c>
      <c r="AK29" s="3">
        <f t="shared" ca="1" si="21"/>
        <v>2.2415940224159403</v>
      </c>
      <c r="AL29" s="3">
        <f t="shared" ca="1" si="22"/>
        <v>2.2996057818659659</v>
      </c>
      <c r="AM29" s="3">
        <f t="shared" ca="1" si="23"/>
        <v>2.7424582398404387</v>
      </c>
      <c r="AO29" s="3">
        <f t="shared" ca="1" si="24"/>
        <v>0.49887752556747317</v>
      </c>
      <c r="AP29" s="3">
        <f t="shared" ca="1" si="25"/>
        <v>0.24906600249066005</v>
      </c>
      <c r="AQ29" s="3">
        <f t="shared" ca="1" si="26"/>
        <v>0.65703022339027595</v>
      </c>
      <c r="AR29" s="3">
        <f t="shared" ca="1" si="27"/>
        <v>0.24931438544003989</v>
      </c>
      <c r="AT29" s="3">
        <v>1.0999999940395355E-2</v>
      </c>
      <c r="AU29" s="3">
        <v>0.35199999809265137</v>
      </c>
      <c r="AV29" s="3">
        <v>1.6000000759959221E-2</v>
      </c>
      <c r="AW29" s="3">
        <v>0.44499999284744263</v>
      </c>
      <c r="AY29" s="3">
        <f t="shared" ca="1" si="28"/>
        <v>0.44050885507607873</v>
      </c>
      <c r="AZ29" s="3">
        <f t="shared" ca="1" si="29"/>
        <v>0.42739726027397268</v>
      </c>
      <c r="BA29" s="3">
        <f t="shared" ca="1" si="30"/>
        <v>0.37187910643889621</v>
      </c>
      <c r="BB29" s="3">
        <f t="shared" ca="1" si="31"/>
        <v>0.19122413363251059</v>
      </c>
      <c r="BD29" s="3">
        <f t="shared" ca="1" si="32"/>
        <v>0.51958089934587182</v>
      </c>
      <c r="BE29" s="3">
        <f t="shared" ca="1" si="33"/>
        <v>0.39028644858677392</v>
      </c>
      <c r="BF29" s="3">
        <f t="shared" ca="1" si="34"/>
        <v>0.361038119814869</v>
      </c>
      <c r="BG29" s="3">
        <f t="shared" ca="1" si="35"/>
        <v>0.19097485705166201</v>
      </c>
      <c r="BI29" s="3">
        <f t="shared" ca="1" si="36"/>
        <v>0.99775505113494634</v>
      </c>
      <c r="BJ29" s="3">
        <f t="shared" ca="1" si="37"/>
        <v>0.4981320049813201</v>
      </c>
      <c r="BK29" s="3">
        <f t="shared" ca="1" si="38"/>
        <v>0.98554533508541386</v>
      </c>
      <c r="BL29" s="3">
        <f t="shared" ca="1" si="39"/>
        <v>0.99725754176015957</v>
      </c>
      <c r="BN29" s="3">
        <f t="shared" ca="1" si="40"/>
        <v>1.2471938139186829</v>
      </c>
      <c r="BO29" s="3">
        <f t="shared" ca="1" si="41"/>
        <v>0.74719800747198017</v>
      </c>
      <c r="BP29" s="3">
        <f t="shared" ca="1" si="42"/>
        <v>0.65703022339027595</v>
      </c>
      <c r="BQ29" s="3">
        <f t="shared" ca="1" si="43"/>
        <v>0.74794315632011965</v>
      </c>
      <c r="BS29" s="3">
        <v>0.57700002193450928</v>
      </c>
      <c r="BT29" s="3">
        <v>0.7850000262260437</v>
      </c>
      <c r="BU29" s="3">
        <v>0.53200000524520874</v>
      </c>
      <c r="BV29" s="3">
        <v>0.72899997234344482</v>
      </c>
      <c r="BX29" s="3">
        <f t="shared" ca="1" si="44"/>
        <v>0</v>
      </c>
      <c r="BY29" s="3">
        <f t="shared" ca="1" si="45"/>
        <v>0.17858032378580332</v>
      </c>
      <c r="BZ29" s="3">
        <f t="shared" ca="1" si="46"/>
        <v>0</v>
      </c>
      <c r="CA29" s="3">
        <f t="shared" ca="1" si="47"/>
        <v>0</v>
      </c>
      <c r="CC29" s="3">
        <f t="shared" ca="1" si="48"/>
        <v>0</v>
      </c>
      <c r="CD29" s="3">
        <f t="shared" ca="1" si="49"/>
        <v>0.18256536011084229</v>
      </c>
      <c r="CE29" s="3">
        <f t="shared" ca="1" si="50"/>
        <v>0</v>
      </c>
      <c r="CF29" s="3">
        <f t="shared" ca="1" si="51"/>
        <v>0</v>
      </c>
      <c r="CH29" s="3">
        <f t="shared" ca="1" si="52"/>
        <v>0</v>
      </c>
      <c r="CI29" s="3">
        <f t="shared" ca="1" si="53"/>
        <v>0.4981320049813201</v>
      </c>
      <c r="CJ29" s="3">
        <f t="shared" ca="1" si="54"/>
        <v>0</v>
      </c>
      <c r="CK29" s="3">
        <f t="shared" ca="1" si="55"/>
        <v>0</v>
      </c>
      <c r="CM29" s="3">
        <f t="shared" ca="1" si="56"/>
        <v>0</v>
      </c>
      <c r="CN29" s="3">
        <f t="shared" ca="1" si="57"/>
        <v>0.74719800747198017</v>
      </c>
      <c r="CO29" s="3">
        <f t="shared" ca="1" si="58"/>
        <v>0</v>
      </c>
      <c r="CP29" s="3">
        <f t="shared" ca="1" si="59"/>
        <v>0</v>
      </c>
      <c r="CR29" s="3">
        <v>4.0090000000000003</v>
      </c>
      <c r="CS29" s="3">
        <v>1.7020000219345093</v>
      </c>
      <c r="CT29" s="3">
        <v>4.0110000000000001</v>
      </c>
      <c r="CU29" s="3">
        <v>4.0110000000000001</v>
      </c>
      <c r="CV29" s="21">
        <f t="shared" ca="1" si="61"/>
        <v>0.361038119814869</v>
      </c>
      <c r="CW29" s="16">
        <f t="shared" ca="1" si="60"/>
        <v>5.5</v>
      </c>
    </row>
    <row r="30" spans="1:108" s="3" customFormat="1" x14ac:dyDescent="0.35">
      <c r="A30" s="2" t="s">
        <v>77</v>
      </c>
      <c r="B30" s="2">
        <v>5.583333333333333</v>
      </c>
      <c r="C30" s="2" t="s">
        <v>168</v>
      </c>
      <c r="D30" s="2" t="s">
        <v>403</v>
      </c>
      <c r="F30" s="3">
        <v>0.45000000000000018</v>
      </c>
      <c r="G30" s="3">
        <v>1.5549999999999997</v>
      </c>
      <c r="H30" s="3">
        <v>1.8520000000000003</v>
      </c>
      <c r="I30" s="3">
        <v>4.016</v>
      </c>
      <c r="K30" s="3" t="e">
        <f t="shared" ca="1" si="0"/>
        <v>#N/A</v>
      </c>
      <c r="L30" s="3" t="e">
        <f t="shared" ca="1" si="1"/>
        <v>#N/A</v>
      </c>
      <c r="M30" s="3" t="e">
        <f t="shared" ca="1" si="2"/>
        <v>#N/A</v>
      </c>
      <c r="N30" s="3">
        <f t="shared" ca="1" si="3"/>
        <v>0.99601593625497997</v>
      </c>
      <c r="P30" s="3" t="e">
        <f t="shared" ca="1" si="4"/>
        <v>#N/A</v>
      </c>
      <c r="Q30" s="3" t="e">
        <f t="shared" ca="1" si="5"/>
        <v>#N/A</v>
      </c>
      <c r="R30" s="3" t="e">
        <f t="shared" ca="1" si="6"/>
        <v>#N/A</v>
      </c>
      <c r="S30" s="3">
        <f t="shared" ca="1" si="7"/>
        <v>0.94173308039841008</v>
      </c>
      <c r="U30" s="3" t="e">
        <f t="shared" ca="1" si="8"/>
        <v>#N/A</v>
      </c>
      <c r="V30" s="3" t="e">
        <f t="shared" ca="1" si="9"/>
        <v>#N/A</v>
      </c>
      <c r="W30" s="3" t="e">
        <f t="shared" ca="1" si="10"/>
        <v>#N/A</v>
      </c>
      <c r="X30" s="3">
        <f t="shared" ca="1" si="11"/>
        <v>2.4900398406374502</v>
      </c>
      <c r="Z30" s="3" t="e">
        <f t="shared" ca="1" si="12"/>
        <v>#N/A</v>
      </c>
      <c r="AA30" s="3" t="e">
        <f t="shared" ca="1" si="13"/>
        <v>#N/A</v>
      </c>
      <c r="AB30" s="3" t="e">
        <f t="shared" ca="1" si="14"/>
        <v>#N/A</v>
      </c>
      <c r="AC30" s="3">
        <f t="shared" ca="1" si="15"/>
        <v>0.99601593625497997</v>
      </c>
      <c r="AE30" s="3" t="e">
        <f t="shared" ca="1" si="16"/>
        <v>#N/A</v>
      </c>
      <c r="AF30" s="3" t="e">
        <f t="shared" ca="1" si="17"/>
        <v>#N/A</v>
      </c>
      <c r="AG30" s="3" t="e">
        <f t="shared" ca="1" si="18"/>
        <v>#N/A</v>
      </c>
      <c r="AH30" s="3">
        <f t="shared" ca="1" si="19"/>
        <v>0.94173308039841008</v>
      </c>
      <c r="AJ30" s="3" t="e">
        <f t="shared" ca="1" si="20"/>
        <v>#N/A</v>
      </c>
      <c r="AK30" s="3" t="e">
        <f t="shared" ca="1" si="21"/>
        <v>#N/A</v>
      </c>
      <c r="AL30" s="3" t="e">
        <f t="shared" ca="1" si="22"/>
        <v>#N/A</v>
      </c>
      <c r="AM30" s="3">
        <f t="shared" ca="1" si="23"/>
        <v>2.4900398406374502</v>
      </c>
      <c r="AO30" s="3" t="e">
        <f t="shared" ca="1" si="24"/>
        <v>#N/A</v>
      </c>
      <c r="AP30" s="3" t="e">
        <f t="shared" ca="1" si="25"/>
        <v>#N/A</v>
      </c>
      <c r="AQ30" s="3" t="e">
        <f t="shared" ca="1" si="26"/>
        <v>#N/A</v>
      </c>
      <c r="AR30" s="3">
        <f t="shared" ca="1" si="27"/>
        <v>0.24900398406374502</v>
      </c>
      <c r="AT30" s="11" t="e">
        <v>#N/A</v>
      </c>
      <c r="AU30" s="11" t="e">
        <v>#N/A</v>
      </c>
      <c r="AV30" s="11" t="e">
        <v>#N/A</v>
      </c>
      <c r="AW30" s="3">
        <v>1.4999999664723873E-2</v>
      </c>
      <c r="AY30" s="3" t="e">
        <f t="shared" ca="1" si="28"/>
        <v>#N/A</v>
      </c>
      <c r="AZ30" s="3" t="e">
        <f t="shared" ca="1" si="29"/>
        <v>#N/A</v>
      </c>
      <c r="BA30" s="3" t="e">
        <f t="shared" ca="1" si="30"/>
        <v>#N/A</v>
      </c>
      <c r="BB30" s="3">
        <f t="shared" ca="1" si="31"/>
        <v>0.4275398406374501</v>
      </c>
      <c r="BD30" s="3" t="e">
        <f t="shared" ca="1" si="32"/>
        <v>#N/A</v>
      </c>
      <c r="BE30" s="3" t="e">
        <f t="shared" ca="1" si="33"/>
        <v>#N/A</v>
      </c>
      <c r="BF30" s="3" t="e">
        <f t="shared" ca="1" si="34"/>
        <v>#N/A</v>
      </c>
      <c r="BG30" s="3">
        <f t="shared" ca="1" si="35"/>
        <v>0.48132475272592795</v>
      </c>
      <c r="BI30" s="3" t="e">
        <f t="shared" ca="1" si="36"/>
        <v>#N/A</v>
      </c>
      <c r="BJ30" s="3" t="e">
        <f t="shared" ca="1" si="37"/>
        <v>#N/A</v>
      </c>
      <c r="BK30" s="3" t="e">
        <f t="shared" ca="1" si="38"/>
        <v>#N/A</v>
      </c>
      <c r="BL30" s="3">
        <f t="shared" ca="1" si="39"/>
        <v>1.4940239043824701</v>
      </c>
      <c r="BN30" s="3" t="e">
        <f t="shared" ca="1" si="40"/>
        <v>#N/A</v>
      </c>
      <c r="BO30" s="3" t="e">
        <f t="shared" ca="1" si="41"/>
        <v>#N/A</v>
      </c>
      <c r="BP30" s="3" t="e">
        <f t="shared" ca="1" si="42"/>
        <v>#N/A</v>
      </c>
      <c r="BQ30" s="3">
        <f t="shared" ca="1" si="43"/>
        <v>0.74701195219123506</v>
      </c>
      <c r="BS30" s="11" t="e">
        <v>#N/A</v>
      </c>
      <c r="BT30" s="11" t="e">
        <v>#N/A</v>
      </c>
      <c r="BU30" s="11" t="e">
        <v>#N/A</v>
      </c>
      <c r="BV30" s="3">
        <v>1.1319999694824219</v>
      </c>
      <c r="BX30" s="3" t="e">
        <f t="shared" ca="1" si="44"/>
        <v>#N/A</v>
      </c>
      <c r="BY30" s="3" t="e">
        <f t="shared" ca="1" si="45"/>
        <v>#N/A</v>
      </c>
      <c r="BZ30" s="3" t="e">
        <f t="shared" ca="1" si="46"/>
        <v>#N/A</v>
      </c>
      <c r="CA30" s="3">
        <f t="shared" ca="1" si="47"/>
        <v>0.28212151394422308</v>
      </c>
      <c r="CC30" s="3" t="e">
        <f t="shared" ca="1" si="48"/>
        <v>#N/A</v>
      </c>
      <c r="CD30" s="3" t="e">
        <f t="shared" ca="1" si="49"/>
        <v>#N/A</v>
      </c>
      <c r="CE30" s="3" t="e">
        <f t="shared" ca="1" si="50"/>
        <v>#N/A</v>
      </c>
      <c r="CF30" s="3">
        <f t="shared" ca="1" si="51"/>
        <v>0.16160350871751034</v>
      </c>
      <c r="CH30" s="3" t="e">
        <f t="shared" ca="1" si="52"/>
        <v>#N/A</v>
      </c>
      <c r="CI30" s="3" t="e">
        <f t="shared" ca="1" si="53"/>
        <v>#N/A</v>
      </c>
      <c r="CJ30" s="3" t="e">
        <f t="shared" ca="1" si="54"/>
        <v>#N/A</v>
      </c>
      <c r="CK30" s="3">
        <f t="shared" ca="1" si="55"/>
        <v>0.49800796812749004</v>
      </c>
      <c r="CM30" s="3" t="e">
        <f t="shared" ca="1" si="56"/>
        <v>#N/A</v>
      </c>
      <c r="CN30" s="3" t="e">
        <f t="shared" ca="1" si="57"/>
        <v>#N/A</v>
      </c>
      <c r="CO30" s="3" t="e">
        <f t="shared" ca="1" si="58"/>
        <v>#N/A</v>
      </c>
      <c r="CP30" s="3">
        <f t="shared" ca="1" si="59"/>
        <v>0.74701195219123506</v>
      </c>
      <c r="CR30" s="11" t="e">
        <v>#N/A</v>
      </c>
      <c r="CS30" s="11" t="e">
        <v>#N/A</v>
      </c>
      <c r="CT30" s="11" t="e">
        <v>#N/A</v>
      </c>
      <c r="CU30" s="3">
        <v>2.065000057220459</v>
      </c>
      <c r="CV30" s="21" t="e">
        <f t="shared" ca="1" si="61"/>
        <v>#N/A</v>
      </c>
      <c r="CW30" s="16">
        <f t="shared" ca="1" si="60"/>
        <v>5.583333333333333</v>
      </c>
    </row>
    <row r="31" spans="1:108" s="3" customFormat="1" x14ac:dyDescent="0.35">
      <c r="A31" s="2" t="s">
        <v>90</v>
      </c>
      <c r="B31" s="2">
        <v>5.583333333333333</v>
      </c>
      <c r="C31" s="2" t="s">
        <v>168</v>
      </c>
      <c r="D31" s="2" t="s">
        <v>403</v>
      </c>
      <c r="F31" s="3">
        <v>4.0149999999999997</v>
      </c>
      <c r="G31" s="3">
        <v>4.0140000000000002</v>
      </c>
      <c r="H31" s="3">
        <v>4.0259999999999998</v>
      </c>
      <c r="I31" s="3">
        <v>4.0149999999999997</v>
      </c>
      <c r="K31" s="3">
        <f t="shared" ca="1" si="0"/>
        <v>0.99178082191780836</v>
      </c>
      <c r="L31" s="3">
        <f t="shared" ca="1" si="1"/>
        <v>0.97533632286995509</v>
      </c>
      <c r="M31" s="3">
        <f t="shared" ca="1" si="2"/>
        <v>0.8857426726279185</v>
      </c>
      <c r="N31" s="3">
        <f t="shared" ca="1" si="3"/>
        <v>0.99601494396014956</v>
      </c>
      <c r="P31" s="3">
        <f t="shared" ca="1" si="4"/>
        <v>0.96313810975732728</v>
      </c>
      <c r="Q31" s="3">
        <f t="shared" ca="1" si="5"/>
        <v>0.94618838360253765</v>
      </c>
      <c r="R31" s="3">
        <f t="shared" ca="1" si="6"/>
        <v>0.87332330233293931</v>
      </c>
      <c r="S31" s="3">
        <f t="shared" ca="1" si="7"/>
        <v>0.81768374365857655</v>
      </c>
      <c r="U31" s="3">
        <f t="shared" ca="1" si="8"/>
        <v>1.9925280199252804</v>
      </c>
      <c r="V31" s="3">
        <f t="shared" ca="1" si="9"/>
        <v>1.4947683109118086</v>
      </c>
      <c r="W31" s="3">
        <f t="shared" ca="1" si="10"/>
        <v>0.99354197714853454</v>
      </c>
      <c r="X31" s="3">
        <f t="shared" ca="1" si="11"/>
        <v>2.9887920298879207</v>
      </c>
      <c r="Z31" s="3">
        <f t="shared" ca="1" si="12"/>
        <v>0.99178082191780836</v>
      </c>
      <c r="AA31" s="3">
        <f t="shared" ca="1" si="13"/>
        <v>0.97135027404085694</v>
      </c>
      <c r="AB31" s="3">
        <f t="shared" ca="1" si="14"/>
        <v>0.8857426726279185</v>
      </c>
      <c r="AC31" s="3">
        <f t="shared" ca="1" si="15"/>
        <v>0.93773349937733508</v>
      </c>
      <c r="AE31" s="3">
        <f t="shared" ca="1" si="16"/>
        <v>0.96313810975732728</v>
      </c>
      <c r="AF31" s="3">
        <f t="shared" ca="1" si="17"/>
        <v>0.94618838360253765</v>
      </c>
      <c r="AG31" s="3">
        <f t="shared" ca="1" si="18"/>
        <v>0.87332330233293931</v>
      </c>
      <c r="AH31" s="3">
        <f t="shared" ca="1" si="19"/>
        <v>0.81768374365857655</v>
      </c>
      <c r="AJ31" s="3">
        <f t="shared" ca="1" si="20"/>
        <v>1.9925280199252804</v>
      </c>
      <c r="AK31" s="3">
        <f t="shared" ca="1" si="21"/>
        <v>1.4947683109118086</v>
      </c>
      <c r="AL31" s="3">
        <f t="shared" ca="1" si="22"/>
        <v>0.99354197714853454</v>
      </c>
      <c r="AM31" s="3">
        <f t="shared" ca="1" si="23"/>
        <v>2.9887920298879207</v>
      </c>
      <c r="AO31" s="3">
        <f t="shared" ca="1" si="24"/>
        <v>0.24906600249066005</v>
      </c>
      <c r="AP31" s="3">
        <f t="shared" ca="1" si="25"/>
        <v>0.24912805181863476</v>
      </c>
      <c r="AQ31" s="3">
        <f t="shared" ca="1" si="26"/>
        <v>0.24838549428713363</v>
      </c>
      <c r="AR31" s="3">
        <f t="shared" ca="1" si="27"/>
        <v>0.4981320049813201</v>
      </c>
      <c r="AT31" s="3">
        <v>8.999999612569809E-3</v>
      </c>
      <c r="AU31" s="3">
        <v>0.12399999797344208</v>
      </c>
      <c r="AV31" s="3">
        <v>0.44900000095367432</v>
      </c>
      <c r="AW31" s="3">
        <v>0.26800000667572021</v>
      </c>
      <c r="AY31" s="3">
        <f t="shared" ca="1" si="28"/>
        <v>0.19078455790784565</v>
      </c>
      <c r="AZ31" s="3">
        <f t="shared" ca="1" si="29"/>
        <v>0.53512705530642757</v>
      </c>
      <c r="BA31" s="3">
        <f t="shared" ca="1" si="30"/>
        <v>0.46348733233979139</v>
      </c>
      <c r="BB31" s="3">
        <f t="shared" ca="1" si="31"/>
        <v>0.26973848069738487</v>
      </c>
      <c r="BD31" s="3">
        <f t="shared" ca="1" si="32"/>
        <v>0</v>
      </c>
      <c r="BE31" s="3">
        <f t="shared" ca="1" si="33"/>
        <v>0.34030890310351147</v>
      </c>
      <c r="BF31" s="3">
        <f t="shared" ca="1" si="34"/>
        <v>0.44684548077154562</v>
      </c>
      <c r="BG31" s="3">
        <f t="shared" ca="1" si="35"/>
        <v>0.33225408972126169</v>
      </c>
      <c r="BI31" s="3">
        <f t="shared" ca="1" si="36"/>
        <v>0</v>
      </c>
      <c r="BJ31" s="3">
        <f t="shared" ca="1" si="37"/>
        <v>0.49825610363726952</v>
      </c>
      <c r="BK31" s="3">
        <f t="shared" ca="1" si="38"/>
        <v>0.24838549428713363</v>
      </c>
      <c r="BL31" s="3">
        <f t="shared" ca="1" si="39"/>
        <v>1.2453300124533002</v>
      </c>
      <c r="BN31" s="3">
        <f t="shared" ca="1" si="40"/>
        <v>0.4981320049813201</v>
      </c>
      <c r="BO31" s="3">
        <f t="shared" ca="1" si="41"/>
        <v>1.4947683109118086</v>
      </c>
      <c r="BP31" s="3">
        <f t="shared" ca="1" si="42"/>
        <v>0.24838549428713363</v>
      </c>
      <c r="BQ31" s="3">
        <f t="shared" ca="1" si="43"/>
        <v>1.2453300124533002</v>
      </c>
      <c r="BS31" s="3">
        <v>4.0149999999999997</v>
      </c>
      <c r="BT31" s="3">
        <v>1.690000057220459</v>
      </c>
      <c r="BU31" s="3">
        <v>0.91600000858306885</v>
      </c>
      <c r="BV31" s="3">
        <v>0.91699999570846558</v>
      </c>
      <c r="BX31" s="3">
        <f t="shared" ca="1" si="44"/>
        <v>0.22814445828144456</v>
      </c>
      <c r="BY31" s="3">
        <f t="shared" ca="1" si="45"/>
        <v>0.10388639760837068</v>
      </c>
      <c r="BZ31" s="3">
        <f t="shared" ca="1" si="46"/>
        <v>0.13238946845504221</v>
      </c>
      <c r="CA31" s="3">
        <f t="shared" ca="1" si="47"/>
        <v>8.2689912826899123E-2</v>
      </c>
      <c r="CC31" s="3">
        <f t="shared" ca="1" si="48"/>
        <v>0.19925276135299752</v>
      </c>
      <c r="CD31" s="3">
        <f t="shared" ca="1" si="49"/>
        <v>0</v>
      </c>
      <c r="CE31" s="3">
        <f t="shared" ca="1" si="50"/>
        <v>0.28564328289837371</v>
      </c>
      <c r="CF31" s="3">
        <f t="shared" ca="1" si="51"/>
        <v>9.9377332262203091E-2</v>
      </c>
      <c r="CH31" s="3">
        <f t="shared" ca="1" si="52"/>
        <v>0.4981320049813201</v>
      </c>
      <c r="CI31" s="3">
        <f t="shared" ca="1" si="53"/>
        <v>0</v>
      </c>
      <c r="CJ31" s="3">
        <f t="shared" ca="1" si="54"/>
        <v>0.24838549428713363</v>
      </c>
      <c r="CK31" s="3">
        <f t="shared" ca="1" si="55"/>
        <v>0.24906600249066005</v>
      </c>
      <c r="CM31" s="3">
        <f t="shared" ca="1" si="56"/>
        <v>0.74719800747198017</v>
      </c>
      <c r="CN31" s="3">
        <f t="shared" ca="1" si="57"/>
        <v>0.49825610363726952</v>
      </c>
      <c r="CO31" s="3">
        <f t="shared" ca="1" si="58"/>
        <v>0.24838549428713363</v>
      </c>
      <c r="CP31" s="3">
        <f t="shared" ca="1" si="59"/>
        <v>0.4981320049813201</v>
      </c>
      <c r="CR31" s="3">
        <v>8.999999612569809E-3</v>
      </c>
      <c r="CS31" s="3">
        <v>4.0140000000000002</v>
      </c>
      <c r="CT31" s="3">
        <v>2.8650000095367432</v>
      </c>
      <c r="CU31" s="3">
        <v>0.26800000667572021</v>
      </c>
      <c r="CV31" s="21">
        <f t="shared" ca="1" si="61"/>
        <v>0.44684548077154562</v>
      </c>
      <c r="CW31" s="16">
        <f t="shared" ca="1" si="60"/>
        <v>5.583333333333333</v>
      </c>
    </row>
    <row r="32" spans="1:108" s="3" customFormat="1" x14ac:dyDescent="0.35">
      <c r="A32" s="2" t="s">
        <v>4</v>
      </c>
      <c r="B32" s="2">
        <v>5.833333333333333</v>
      </c>
      <c r="C32" s="2" t="s">
        <v>167</v>
      </c>
      <c r="D32" s="2" t="s">
        <v>403</v>
      </c>
      <c r="F32" s="3">
        <v>4.0149999999999997</v>
      </c>
      <c r="G32" s="3">
        <v>1.157</v>
      </c>
      <c r="H32" s="11" t="e">
        <v>#N/A</v>
      </c>
      <c r="I32" s="3">
        <v>4.016</v>
      </c>
      <c r="K32" s="3">
        <f t="shared" ca="1" si="0"/>
        <v>0.99601494396014956</v>
      </c>
      <c r="L32" s="3" t="e">
        <f t="shared" ca="1" si="1"/>
        <v>#N/A</v>
      </c>
      <c r="M32" s="3" t="e">
        <f t="shared" ca="1" si="2"/>
        <v>#N/A</v>
      </c>
      <c r="N32" s="3">
        <f t="shared" ca="1" si="3"/>
        <v>0.99576693227091639</v>
      </c>
      <c r="P32" s="3">
        <f t="shared" ca="1" si="4"/>
        <v>0.92552928717929883</v>
      </c>
      <c r="Q32" s="3" t="e">
        <f t="shared" ca="1" si="5"/>
        <v>#N/A</v>
      </c>
      <c r="R32" s="3" t="e">
        <f t="shared" ca="1" si="6"/>
        <v>#N/A</v>
      </c>
      <c r="S32" s="3">
        <f t="shared" ca="1" si="7"/>
        <v>0.74651398031835059</v>
      </c>
      <c r="U32" s="3">
        <f t="shared" ca="1" si="8"/>
        <v>2.2415940224159403</v>
      </c>
      <c r="V32" s="3" t="e">
        <f t="shared" ca="1" si="9"/>
        <v>#N/A</v>
      </c>
      <c r="W32" s="3" t="e">
        <f t="shared" ca="1" si="10"/>
        <v>#N/A</v>
      </c>
      <c r="X32" s="3">
        <f t="shared" ca="1" si="11"/>
        <v>1.4940239043824701</v>
      </c>
      <c r="Z32" s="3">
        <f t="shared" ca="1" si="12"/>
        <v>0.99601494396014956</v>
      </c>
      <c r="AA32" s="3" t="e">
        <f t="shared" ca="1" si="13"/>
        <v>#N/A</v>
      </c>
      <c r="AB32" s="3" t="e">
        <f t="shared" ca="1" si="14"/>
        <v>#N/A</v>
      </c>
      <c r="AC32" s="3">
        <f t="shared" ca="1" si="15"/>
        <v>0.97485059760956183</v>
      </c>
      <c r="AE32" s="3">
        <f t="shared" ca="1" si="16"/>
        <v>0.92552928717929883</v>
      </c>
      <c r="AF32" s="3" t="e">
        <f t="shared" ca="1" si="17"/>
        <v>#N/A</v>
      </c>
      <c r="AG32" s="3" t="e">
        <f t="shared" ca="1" si="18"/>
        <v>#N/A</v>
      </c>
      <c r="AH32" s="3">
        <f t="shared" ca="1" si="19"/>
        <v>0.74651398031835059</v>
      </c>
      <c r="AJ32" s="3">
        <f t="shared" ca="1" si="20"/>
        <v>2.2415940224159403</v>
      </c>
      <c r="AK32" s="3" t="e">
        <f t="shared" ca="1" si="21"/>
        <v>#N/A</v>
      </c>
      <c r="AL32" s="3" t="e">
        <f t="shared" ca="1" si="22"/>
        <v>#N/A</v>
      </c>
      <c r="AM32" s="3">
        <f t="shared" ca="1" si="23"/>
        <v>1.4940239043824701</v>
      </c>
      <c r="AO32" s="3">
        <f t="shared" ca="1" si="24"/>
        <v>0.24906600249066005</v>
      </c>
      <c r="AP32" s="3" t="e">
        <f t="shared" ca="1" si="25"/>
        <v>#N/A</v>
      </c>
      <c r="AQ32" s="3" t="e">
        <f t="shared" ca="1" si="26"/>
        <v>#N/A</v>
      </c>
      <c r="AR32" s="3">
        <f t="shared" ca="1" si="27"/>
        <v>0.49800796812749004</v>
      </c>
      <c r="AT32" s="3">
        <v>4.0000001899898052E-3</v>
      </c>
      <c r="AU32" s="11" t="e">
        <v>#N/A</v>
      </c>
      <c r="AV32" s="11" t="e">
        <v>#N/A</v>
      </c>
      <c r="AW32" s="3">
        <v>0</v>
      </c>
      <c r="AY32" s="3">
        <f t="shared" ca="1" si="28"/>
        <v>0.25753424657534263</v>
      </c>
      <c r="AZ32" s="3" t="e">
        <f t="shared" ca="1" si="29"/>
        <v>#N/A</v>
      </c>
      <c r="BA32" s="3" t="e">
        <f t="shared" ca="1" si="30"/>
        <v>#N/A</v>
      </c>
      <c r="BB32" s="3">
        <f t="shared" ca="1" si="31"/>
        <v>0.39815737051792832</v>
      </c>
      <c r="BD32" s="3">
        <f t="shared" ca="1" si="32"/>
        <v>0.25330007002035976</v>
      </c>
      <c r="BE32" s="3" t="e">
        <f t="shared" ca="1" si="33"/>
        <v>#N/A</v>
      </c>
      <c r="BF32" s="3" t="e">
        <f t="shared" ca="1" si="34"/>
        <v>#N/A</v>
      </c>
      <c r="BG32" s="3">
        <f t="shared" ca="1" si="35"/>
        <v>0.4106076263574015</v>
      </c>
      <c r="BI32" s="3">
        <f t="shared" ca="1" si="36"/>
        <v>0.9962640099626402</v>
      </c>
      <c r="BJ32" s="3" t="e">
        <f t="shared" ca="1" si="37"/>
        <v>#N/A</v>
      </c>
      <c r="BK32" s="3" t="e">
        <f t="shared" ca="1" si="38"/>
        <v>#N/A</v>
      </c>
      <c r="BL32" s="3">
        <f t="shared" ca="1" si="39"/>
        <v>0.49800796812749004</v>
      </c>
      <c r="BN32" s="3">
        <f t="shared" ca="1" si="40"/>
        <v>1.2453300124533002</v>
      </c>
      <c r="BO32" s="3" t="e">
        <f t="shared" ca="1" si="41"/>
        <v>#N/A</v>
      </c>
      <c r="BP32" s="3" t="e">
        <f t="shared" ca="1" si="42"/>
        <v>#N/A</v>
      </c>
      <c r="BQ32" s="3">
        <f t="shared" ca="1" si="43"/>
        <v>0.74701195219123506</v>
      </c>
      <c r="BS32" s="3">
        <v>0.97100001573562622</v>
      </c>
      <c r="BT32" s="11" t="e">
        <v>#N/A</v>
      </c>
      <c r="BU32" s="11" t="e">
        <v>#N/A</v>
      </c>
      <c r="BV32" s="3">
        <v>0.69999998807907104</v>
      </c>
      <c r="BX32" s="3">
        <f t="shared" ca="1" si="44"/>
        <v>0.17858032378580327</v>
      </c>
      <c r="BY32" s="3" t="e">
        <f t="shared" ca="1" si="45"/>
        <v>#N/A</v>
      </c>
      <c r="BZ32" s="3" t="e">
        <f t="shared" ca="1" si="46"/>
        <v>#N/A</v>
      </c>
      <c r="CA32" s="3">
        <f t="shared" ca="1" si="47"/>
        <v>0.10358565737051796</v>
      </c>
      <c r="CC32" s="3">
        <f t="shared" ca="1" si="48"/>
        <v>0.22415942599437902</v>
      </c>
      <c r="CD32" s="3" t="e">
        <f t="shared" ca="1" si="49"/>
        <v>#N/A</v>
      </c>
      <c r="CE32" s="3" t="e">
        <f t="shared" ca="1" si="50"/>
        <v>#N/A</v>
      </c>
      <c r="CF32" s="3">
        <f t="shared" ca="1" si="51"/>
        <v>3.7350561989256112E-2</v>
      </c>
      <c r="CH32" s="3">
        <f t="shared" ca="1" si="52"/>
        <v>0.24906600249066005</v>
      </c>
      <c r="CI32" s="3" t="e">
        <f t="shared" ca="1" si="53"/>
        <v>#N/A</v>
      </c>
      <c r="CJ32" s="3" t="e">
        <f t="shared" ca="1" si="54"/>
        <v>#N/A</v>
      </c>
      <c r="CK32" s="3">
        <f t="shared" ca="1" si="55"/>
        <v>0.24900398406374502</v>
      </c>
      <c r="CM32" s="3">
        <f t="shared" ca="1" si="56"/>
        <v>0.24906600249066005</v>
      </c>
      <c r="CN32" s="3" t="e">
        <f t="shared" ca="1" si="57"/>
        <v>#N/A</v>
      </c>
      <c r="CO32" s="3" t="e">
        <f t="shared" ca="1" si="58"/>
        <v>#N/A</v>
      </c>
      <c r="CP32" s="3">
        <f t="shared" ca="1" si="59"/>
        <v>1.2450199203187251</v>
      </c>
      <c r="CR32" s="3">
        <v>2.4869999885559082</v>
      </c>
      <c r="CS32" s="11" t="e">
        <v>#N/A</v>
      </c>
      <c r="CT32" s="11" t="e">
        <v>#N/A</v>
      </c>
      <c r="CU32" s="3">
        <v>1.9830000400543213</v>
      </c>
      <c r="CV32" s="21" t="e">
        <f t="shared" ca="1" si="61"/>
        <v>#N/A</v>
      </c>
      <c r="CW32" s="16">
        <f t="shared" ca="1" si="60"/>
        <v>5.833333333333333</v>
      </c>
    </row>
    <row r="33" spans="1:101" s="3" customFormat="1" x14ac:dyDescent="0.35">
      <c r="A33" s="2" t="s">
        <v>21</v>
      </c>
      <c r="B33" s="2">
        <v>5.916666666666667</v>
      </c>
      <c r="C33" s="2" t="s">
        <v>168</v>
      </c>
      <c r="D33" s="2" t="s">
        <v>403</v>
      </c>
      <c r="F33" s="11" t="e">
        <v>#N/A</v>
      </c>
      <c r="G33" s="11" t="e">
        <v>#N/A</v>
      </c>
      <c r="H33" s="3">
        <v>3.2159999999999997</v>
      </c>
      <c r="I33" s="3">
        <v>4.0149999999999997</v>
      </c>
      <c r="K33" s="3" t="e">
        <f t="shared" ca="1" si="0"/>
        <v>#N/A</v>
      </c>
      <c r="L33" s="3" t="e">
        <f t="shared" ca="1" si="1"/>
        <v>#N/A</v>
      </c>
      <c r="M33" s="3">
        <f t="shared" ca="1" si="2"/>
        <v>0.78264925373134342</v>
      </c>
      <c r="N33" s="3">
        <f t="shared" ca="1" si="3"/>
        <v>0.99601494396014956</v>
      </c>
      <c r="P33" s="3" t="e">
        <f t="shared" ca="1" si="4"/>
        <v>#N/A</v>
      </c>
      <c r="Q33" s="3" t="e">
        <f t="shared" ca="1" si="5"/>
        <v>#N/A</v>
      </c>
      <c r="R33" s="3">
        <f t="shared" ca="1" si="6"/>
        <v>0.12468900624199294</v>
      </c>
      <c r="S33" s="3">
        <f t="shared" ca="1" si="7"/>
        <v>0.92129515388871497</v>
      </c>
      <c r="U33" s="3" t="e">
        <f t="shared" ca="1" si="8"/>
        <v>#N/A</v>
      </c>
      <c r="V33" s="3" t="e">
        <f t="shared" ca="1" si="9"/>
        <v>#N/A</v>
      </c>
      <c r="W33" s="3">
        <f t="shared" ca="1" si="10"/>
        <v>0.93283582089552242</v>
      </c>
      <c r="X33" s="3">
        <f t="shared" ca="1" si="11"/>
        <v>2.4906600249066004</v>
      </c>
      <c r="Z33" s="3" t="e">
        <f t="shared" ca="1" si="12"/>
        <v>#N/A</v>
      </c>
      <c r="AA33" s="3" t="e">
        <f t="shared" ca="1" si="13"/>
        <v>#N/A</v>
      </c>
      <c r="AB33" s="3">
        <f t="shared" ca="1" si="14"/>
        <v>0.445584577114428</v>
      </c>
      <c r="AC33" s="3">
        <f t="shared" ca="1" si="15"/>
        <v>0.82166874221668762</v>
      </c>
      <c r="AE33" s="3" t="e">
        <f t="shared" ca="1" si="16"/>
        <v>#N/A</v>
      </c>
      <c r="AF33" s="3" t="e">
        <f t="shared" ca="1" si="17"/>
        <v>#N/A</v>
      </c>
      <c r="AG33" s="3">
        <f t="shared" ca="1" si="18"/>
        <v>0.12468900624199294</v>
      </c>
      <c r="AH33" s="3">
        <f t="shared" ca="1" si="19"/>
        <v>0.75093400438465785</v>
      </c>
      <c r="AJ33" s="3" t="e">
        <f t="shared" ca="1" si="20"/>
        <v>#N/A</v>
      </c>
      <c r="AK33" s="3" t="e">
        <f t="shared" ca="1" si="21"/>
        <v>#N/A</v>
      </c>
      <c r="AL33" s="3">
        <f t="shared" ca="1" si="22"/>
        <v>0.93283582089552242</v>
      </c>
      <c r="AM33" s="3">
        <f t="shared" ca="1" si="23"/>
        <v>2.2415940224159403</v>
      </c>
      <c r="AO33" s="3" t="e">
        <f t="shared" ca="1" si="24"/>
        <v>#N/A</v>
      </c>
      <c r="AP33" s="3" t="e">
        <f t="shared" ca="1" si="25"/>
        <v>#N/A</v>
      </c>
      <c r="AQ33" s="3">
        <f t="shared" ca="1" si="26"/>
        <v>1.8656716417910448</v>
      </c>
      <c r="AR33" s="3">
        <f t="shared" ca="1" si="27"/>
        <v>0.4981320049813201</v>
      </c>
      <c r="AT33" s="11" t="e">
        <v>#N/A</v>
      </c>
      <c r="AU33" s="11" t="e">
        <v>#N/A</v>
      </c>
      <c r="AV33" s="3">
        <v>0.36300000548362732</v>
      </c>
      <c r="AW33" s="3">
        <v>6.0000000521540642E-3</v>
      </c>
      <c r="AY33" s="3" t="e">
        <f t="shared" ca="1" si="28"/>
        <v>#N/A</v>
      </c>
      <c r="AZ33" s="3" t="e">
        <f t="shared" ca="1" si="29"/>
        <v>#N/A</v>
      </c>
      <c r="BA33" s="3">
        <f t="shared" ca="1" si="30"/>
        <v>0</v>
      </c>
      <c r="BB33" s="3">
        <f t="shared" ca="1" si="31"/>
        <v>0</v>
      </c>
      <c r="BD33" s="3" t="e">
        <f t="shared" ca="1" si="32"/>
        <v>#N/A</v>
      </c>
      <c r="BE33" s="3" t="e">
        <f t="shared" ca="1" si="33"/>
        <v>#N/A</v>
      </c>
      <c r="BF33" s="3">
        <f t="shared" ca="1" si="34"/>
        <v>0</v>
      </c>
      <c r="BG33" s="3">
        <f t="shared" ca="1" si="35"/>
        <v>0</v>
      </c>
      <c r="BI33" s="3" t="e">
        <f t="shared" ca="1" si="36"/>
        <v>#N/A</v>
      </c>
      <c r="BJ33" s="3" t="e">
        <f t="shared" ca="1" si="37"/>
        <v>#N/A</v>
      </c>
      <c r="BK33" s="3">
        <f t="shared" ca="1" si="38"/>
        <v>0</v>
      </c>
      <c r="BL33" s="3">
        <f t="shared" ca="1" si="39"/>
        <v>0</v>
      </c>
      <c r="BN33" s="3" t="e">
        <f t="shared" ca="1" si="40"/>
        <v>#N/A</v>
      </c>
      <c r="BO33" s="3" t="e">
        <f t="shared" ca="1" si="41"/>
        <v>#N/A</v>
      </c>
      <c r="BP33" s="3">
        <f t="shared" ca="1" si="42"/>
        <v>0</v>
      </c>
      <c r="BQ33" s="3">
        <f t="shared" ca="1" si="43"/>
        <v>0</v>
      </c>
      <c r="BS33" s="11" t="e">
        <v>#N/A</v>
      </c>
      <c r="BT33" s="11" t="e">
        <v>#N/A</v>
      </c>
      <c r="BU33" s="3">
        <v>4.0149999999999997</v>
      </c>
      <c r="BV33" s="3">
        <v>4.0149999999999997</v>
      </c>
      <c r="BX33" s="3" t="e">
        <f t="shared" ca="1" si="44"/>
        <v>#N/A</v>
      </c>
      <c r="BY33" s="3" t="e">
        <f t="shared" ca="1" si="45"/>
        <v>#N/A</v>
      </c>
      <c r="BZ33" s="3">
        <f t="shared" ca="1" si="46"/>
        <v>0</v>
      </c>
      <c r="CA33" s="3">
        <f t="shared" ca="1" si="47"/>
        <v>0</v>
      </c>
      <c r="CC33" s="3" t="e">
        <f t="shared" ca="1" si="48"/>
        <v>#N/A</v>
      </c>
      <c r="CD33" s="3" t="e">
        <f t="shared" ca="1" si="49"/>
        <v>#N/A</v>
      </c>
      <c r="CE33" s="3">
        <f t="shared" ca="1" si="50"/>
        <v>0</v>
      </c>
      <c r="CF33" s="3">
        <f t="shared" ca="1" si="51"/>
        <v>0</v>
      </c>
      <c r="CH33" s="3" t="e">
        <f t="shared" ca="1" si="52"/>
        <v>#N/A</v>
      </c>
      <c r="CI33" s="3" t="e">
        <f t="shared" ca="1" si="53"/>
        <v>#N/A</v>
      </c>
      <c r="CJ33" s="3">
        <f t="shared" ca="1" si="54"/>
        <v>0</v>
      </c>
      <c r="CK33" s="3">
        <f t="shared" ca="1" si="55"/>
        <v>0</v>
      </c>
      <c r="CM33" s="3" t="e">
        <f t="shared" ca="1" si="56"/>
        <v>#N/A</v>
      </c>
      <c r="CN33" s="3" t="e">
        <f t="shared" ca="1" si="57"/>
        <v>#N/A</v>
      </c>
      <c r="CO33" s="3">
        <f t="shared" ca="1" si="58"/>
        <v>0</v>
      </c>
      <c r="CP33" s="3">
        <f t="shared" ca="1" si="59"/>
        <v>0</v>
      </c>
      <c r="CR33" s="11" t="e">
        <v>#N/A</v>
      </c>
      <c r="CS33" s="11" t="e">
        <v>#N/A</v>
      </c>
      <c r="CT33" s="3">
        <v>4.0149999999999997</v>
      </c>
      <c r="CU33" s="3">
        <v>4.0149999999999997</v>
      </c>
      <c r="CV33" s="21">
        <f t="shared" ca="1" si="61"/>
        <v>0</v>
      </c>
      <c r="CW33" s="16">
        <f t="shared" ca="1" si="60"/>
        <v>5.916666666666667</v>
      </c>
    </row>
    <row r="34" spans="1:101" s="3" customFormat="1" x14ac:dyDescent="0.35">
      <c r="A34" s="2" t="s">
        <v>24</v>
      </c>
      <c r="B34" s="2">
        <v>5.916666666666667</v>
      </c>
      <c r="C34" s="2" t="s">
        <v>168</v>
      </c>
      <c r="D34" s="2" t="s">
        <v>403</v>
      </c>
      <c r="F34" s="3">
        <v>4.016</v>
      </c>
      <c r="G34" s="11" t="e">
        <v>#N/A</v>
      </c>
      <c r="H34" s="3">
        <v>4.0149999999999997</v>
      </c>
      <c r="I34" s="3">
        <v>4.0149999999999997</v>
      </c>
      <c r="K34" s="3">
        <f t="shared" ca="1" si="0"/>
        <v>0.91259960159362552</v>
      </c>
      <c r="L34" s="3" t="e">
        <f t="shared" ca="1" si="1"/>
        <v>#N/A</v>
      </c>
      <c r="M34" s="3">
        <f t="shared" ca="1" si="2"/>
        <v>0.82590286425902881</v>
      </c>
      <c r="N34" s="3">
        <f t="shared" ca="1" si="3"/>
        <v>0.8879202988792031</v>
      </c>
      <c r="P34" s="3">
        <f t="shared" ca="1" si="4"/>
        <v>0.14118525937971366</v>
      </c>
      <c r="Q34" s="3" t="e">
        <f t="shared" ca="1" si="5"/>
        <v>#N/A</v>
      </c>
      <c r="R34" s="3">
        <f t="shared" ca="1" si="6"/>
        <v>0.44433363941805454</v>
      </c>
      <c r="S34" s="3">
        <f t="shared" ca="1" si="7"/>
        <v>0.24906600249066005</v>
      </c>
      <c r="U34" s="3">
        <f t="shared" ca="1" si="8"/>
        <v>0.99601593625498008</v>
      </c>
      <c r="V34" s="3" t="e">
        <f t="shared" ca="1" si="9"/>
        <v>#N/A</v>
      </c>
      <c r="W34" s="3">
        <f t="shared" ca="1" si="10"/>
        <v>1.9925280199252804</v>
      </c>
      <c r="X34" s="3">
        <f t="shared" ca="1" si="11"/>
        <v>1.2453300124533002</v>
      </c>
      <c r="Z34" s="3">
        <f t="shared" ca="1" si="12"/>
        <v>0.74252988047808766</v>
      </c>
      <c r="AA34" s="3" t="e">
        <f t="shared" ca="1" si="13"/>
        <v>#N/A</v>
      </c>
      <c r="AB34" s="3">
        <f t="shared" ca="1" si="14"/>
        <v>0.81743462017434632</v>
      </c>
      <c r="AC34" s="3">
        <f t="shared" ca="1" si="15"/>
        <v>0.72627646326276474</v>
      </c>
      <c r="AE34" s="3">
        <f t="shared" ca="1" si="16"/>
        <v>0.14118525937971366</v>
      </c>
      <c r="AF34" s="3" t="e">
        <f t="shared" ca="1" si="17"/>
        <v>#N/A</v>
      </c>
      <c r="AG34" s="3">
        <f t="shared" ca="1" si="18"/>
        <v>0.44433363941805454</v>
      </c>
      <c r="AH34" s="3">
        <f t="shared" ca="1" si="19"/>
        <v>0.22415939630339779</v>
      </c>
      <c r="AJ34" s="3">
        <f t="shared" ca="1" si="20"/>
        <v>0.99601593625498008</v>
      </c>
      <c r="AK34" s="3" t="e">
        <f t="shared" ca="1" si="21"/>
        <v>#N/A</v>
      </c>
      <c r="AL34" s="3">
        <f t="shared" ca="1" si="22"/>
        <v>1.9925280199252804</v>
      </c>
      <c r="AM34" s="3">
        <f t="shared" ca="1" si="23"/>
        <v>0.9962640099626402</v>
      </c>
      <c r="AO34" s="3">
        <f t="shared" ca="1" si="24"/>
        <v>1.2450199203187251</v>
      </c>
      <c r="AP34" s="3" t="e">
        <f t="shared" ca="1" si="25"/>
        <v>#N/A</v>
      </c>
      <c r="AQ34" s="3">
        <f t="shared" ca="1" si="26"/>
        <v>0.4981320049813201</v>
      </c>
      <c r="AR34" s="3">
        <f t="shared" ca="1" si="27"/>
        <v>1.2453300124533002</v>
      </c>
      <c r="AT34" s="3">
        <v>0.39500001072883606</v>
      </c>
      <c r="AU34" s="11" t="e">
        <v>#N/A</v>
      </c>
      <c r="AV34" s="3">
        <v>0.68500000238418579</v>
      </c>
      <c r="AW34" s="3">
        <v>0.28700000047683716</v>
      </c>
      <c r="AY34" s="3">
        <f t="shared" ca="1" si="28"/>
        <v>4.2330677290836416E-3</v>
      </c>
      <c r="AZ34" s="3" t="e">
        <f t="shared" ca="1" si="29"/>
        <v>#N/A</v>
      </c>
      <c r="BA34" s="3">
        <f t="shared" ca="1" si="30"/>
        <v>0.27820672478206737</v>
      </c>
      <c r="BB34" s="3">
        <f t="shared" ca="1" si="31"/>
        <v>9.1656288916562925E-2</v>
      </c>
      <c r="BD34" s="3">
        <f t="shared" ca="1" si="32"/>
        <v>0</v>
      </c>
      <c r="BE34" s="3" t="e">
        <f t="shared" ca="1" si="33"/>
        <v>#N/A</v>
      </c>
      <c r="BF34" s="3">
        <f t="shared" ca="1" si="34"/>
        <v>0.29041087196891663</v>
      </c>
      <c r="BG34" s="3">
        <f t="shared" ca="1" si="35"/>
        <v>4.9813182683543282E-2</v>
      </c>
      <c r="BI34" s="3">
        <f t="shared" ca="1" si="36"/>
        <v>0</v>
      </c>
      <c r="BJ34" s="3" t="e">
        <f t="shared" ca="1" si="37"/>
        <v>#N/A</v>
      </c>
      <c r="BK34" s="3">
        <f t="shared" ca="1" si="38"/>
        <v>1.2453300124533002</v>
      </c>
      <c r="BL34" s="3">
        <f t="shared" ca="1" si="39"/>
        <v>0.24906600249066005</v>
      </c>
      <c r="BN34" s="3">
        <f t="shared" ca="1" si="40"/>
        <v>2.241035856573705</v>
      </c>
      <c r="BO34" s="3" t="e">
        <f t="shared" ca="1" si="41"/>
        <v>#N/A</v>
      </c>
      <c r="BP34" s="3">
        <f t="shared" ca="1" si="42"/>
        <v>2.7397260273972606</v>
      </c>
      <c r="BQ34" s="3">
        <f t="shared" ca="1" si="43"/>
        <v>2.4906600249066004</v>
      </c>
      <c r="BS34" s="3">
        <v>4.016</v>
      </c>
      <c r="BT34" s="11" t="e">
        <v>#N/A</v>
      </c>
      <c r="BU34" s="3">
        <v>2.502000093460083</v>
      </c>
      <c r="BV34" s="3">
        <v>0.80400002002716064</v>
      </c>
      <c r="BX34" s="3">
        <f t="shared" ca="1" si="44"/>
        <v>5.3784860557768863E-2</v>
      </c>
      <c r="BY34" s="3" t="e">
        <f t="shared" ca="1" si="45"/>
        <v>#N/A</v>
      </c>
      <c r="BZ34" s="3">
        <f t="shared" ca="1" si="46"/>
        <v>4.9813200498132024E-2</v>
      </c>
      <c r="CA34" s="3">
        <f t="shared" ca="1" si="47"/>
        <v>4.5579078455790858E-2</v>
      </c>
      <c r="CC34" s="3">
        <f t="shared" ca="1" si="48"/>
        <v>3.7350621356432183E-2</v>
      </c>
      <c r="CD34" s="3" t="e">
        <f t="shared" ca="1" si="49"/>
        <v>#N/A</v>
      </c>
      <c r="CE34" s="3">
        <f t="shared" ca="1" si="50"/>
        <v>5.4047324440696029E-2</v>
      </c>
      <c r="CF34" s="3">
        <f t="shared" ca="1" si="51"/>
        <v>0</v>
      </c>
      <c r="CH34" s="3">
        <f t="shared" ca="1" si="52"/>
        <v>0.24900398406374502</v>
      </c>
      <c r="CI34" s="3" t="e">
        <f t="shared" ca="1" si="53"/>
        <v>#N/A</v>
      </c>
      <c r="CJ34" s="3">
        <f t="shared" ca="1" si="54"/>
        <v>0.24906600249066005</v>
      </c>
      <c r="CK34" s="3">
        <f t="shared" ca="1" si="55"/>
        <v>0</v>
      </c>
      <c r="CM34" s="3">
        <f t="shared" ca="1" si="56"/>
        <v>0.99601593625498008</v>
      </c>
      <c r="CN34" s="3" t="e">
        <f t="shared" ca="1" si="57"/>
        <v>#N/A</v>
      </c>
      <c r="CO34" s="3">
        <f t="shared" ca="1" si="58"/>
        <v>0.4981320049813201</v>
      </c>
      <c r="CP34" s="3">
        <f t="shared" ca="1" si="59"/>
        <v>0.9962640099626402</v>
      </c>
      <c r="CR34" s="3">
        <v>3.5109999179840088</v>
      </c>
      <c r="CS34" s="11" t="e">
        <v>#N/A</v>
      </c>
      <c r="CT34" s="3">
        <v>0.68500000238418579</v>
      </c>
      <c r="CU34" s="3">
        <v>4.0149999999999997</v>
      </c>
      <c r="CV34" s="21">
        <f t="shared" ca="1" si="61"/>
        <v>0.29041087196891663</v>
      </c>
      <c r="CW34" s="16">
        <f t="shared" ca="1" si="60"/>
        <v>5.916666666666667</v>
      </c>
    </row>
    <row r="35" spans="1:101" s="3" customFormat="1" x14ac:dyDescent="0.35">
      <c r="A35" s="2" t="s">
        <v>39</v>
      </c>
      <c r="B35" s="2">
        <v>6.083333333333333</v>
      </c>
      <c r="C35" s="2" t="s">
        <v>167</v>
      </c>
      <c r="D35" s="2" t="s">
        <v>403</v>
      </c>
      <c r="F35" s="3">
        <v>4.016</v>
      </c>
      <c r="G35" s="3">
        <v>4.016</v>
      </c>
      <c r="H35" s="3">
        <v>4.016</v>
      </c>
      <c r="I35" s="3">
        <v>4.0149999999999997</v>
      </c>
      <c r="K35" s="3">
        <f t="shared" ca="1" si="0"/>
        <v>0.91683266932270924</v>
      </c>
      <c r="L35" s="3">
        <f t="shared" ca="1" si="1"/>
        <v>0.99576693227091628</v>
      </c>
      <c r="M35" s="3">
        <f t="shared" ca="1" si="2"/>
        <v>0.91259960159362541</v>
      </c>
      <c r="N35" s="3">
        <f t="shared" ca="1" si="3"/>
        <v>0.99601494396014945</v>
      </c>
      <c r="P35" s="3">
        <f t="shared" ca="1" si="4"/>
        <v>0.72584659662617157</v>
      </c>
      <c r="Q35" s="3">
        <f t="shared" ca="1" si="5"/>
        <v>0.94521912839820244</v>
      </c>
      <c r="R35" s="3">
        <f t="shared" ca="1" si="6"/>
        <v>0.88745021665713697</v>
      </c>
      <c r="S35" s="3">
        <f t="shared" ca="1" si="7"/>
        <v>0.94196764893764884</v>
      </c>
      <c r="U35" s="3">
        <f t="shared" ca="1" si="8"/>
        <v>2.241035856573705</v>
      </c>
      <c r="V35" s="3">
        <f t="shared" ca="1" si="9"/>
        <v>3.237051792828685</v>
      </c>
      <c r="W35" s="3">
        <f t="shared" ca="1" si="10"/>
        <v>1.7430278884462151</v>
      </c>
      <c r="X35" s="3">
        <f t="shared" ca="1" si="11"/>
        <v>2.7397260273972606</v>
      </c>
      <c r="Z35" s="3">
        <f t="shared" ca="1" si="12"/>
        <v>0.91284860557768932</v>
      </c>
      <c r="AA35" s="3">
        <f t="shared" ca="1" si="13"/>
        <v>0.99576693227091628</v>
      </c>
      <c r="AB35" s="3">
        <f t="shared" ca="1" si="14"/>
        <v>0.91259960159362541</v>
      </c>
      <c r="AC35" s="3">
        <f t="shared" ca="1" si="15"/>
        <v>0.84657534246575339</v>
      </c>
      <c r="AE35" s="3">
        <f t="shared" ca="1" si="16"/>
        <v>0.72584659662617157</v>
      </c>
      <c r="AF35" s="3">
        <f t="shared" ca="1" si="17"/>
        <v>0.94521912839820244</v>
      </c>
      <c r="AG35" s="3">
        <f t="shared" ca="1" si="18"/>
        <v>0.88745021665713697</v>
      </c>
      <c r="AH35" s="3">
        <f t="shared" ca="1" si="19"/>
        <v>0.81344958357652131</v>
      </c>
      <c r="AJ35" s="3">
        <f t="shared" ca="1" si="20"/>
        <v>2.241035856573705</v>
      </c>
      <c r="AK35" s="3">
        <f t="shared" ca="1" si="21"/>
        <v>3.237051792828685</v>
      </c>
      <c r="AL35" s="3">
        <f t="shared" ca="1" si="22"/>
        <v>1.7430278884462151</v>
      </c>
      <c r="AM35" s="3">
        <f t="shared" ca="1" si="23"/>
        <v>2.4906600249066004</v>
      </c>
      <c r="AO35" s="3">
        <f t="shared" ca="1" si="24"/>
        <v>0.24900398406374502</v>
      </c>
      <c r="AP35" s="3">
        <f t="shared" ca="1" si="25"/>
        <v>0.24900398406374502</v>
      </c>
      <c r="AQ35" s="3">
        <f t="shared" ca="1" si="26"/>
        <v>0.24900398406374502</v>
      </c>
      <c r="AR35" s="3">
        <f t="shared" ca="1" si="27"/>
        <v>0.4981320049813201</v>
      </c>
      <c r="AT35" s="3">
        <v>0.40999999642372131</v>
      </c>
      <c r="AU35" s="3">
        <v>8.0000003799796104E-3</v>
      </c>
      <c r="AV35" s="3">
        <v>0.34700000286102295</v>
      </c>
      <c r="AW35" s="3">
        <v>8.0000003799796104E-3</v>
      </c>
      <c r="AY35" s="3">
        <f t="shared" ca="1" si="28"/>
        <v>0.38994023904382463</v>
      </c>
      <c r="AZ35" s="3">
        <f t="shared" ca="1" si="29"/>
        <v>0.29855577689243024</v>
      </c>
      <c r="BA35" s="3">
        <f t="shared" ca="1" si="30"/>
        <v>0.69696215139442219</v>
      </c>
      <c r="BB35" s="3">
        <f t="shared" ca="1" si="31"/>
        <v>0.26550435865504357</v>
      </c>
      <c r="BD35" s="3">
        <f t="shared" ca="1" si="32"/>
        <v>0.41484066185010859</v>
      </c>
      <c r="BE35" s="3">
        <f t="shared" ca="1" si="33"/>
        <v>0.31499002143681287</v>
      </c>
      <c r="BF35" s="3">
        <f t="shared" ca="1" si="34"/>
        <v>0.77963149939400267</v>
      </c>
      <c r="BG35" s="3">
        <f t="shared" ca="1" si="35"/>
        <v>0.28642591177155341</v>
      </c>
      <c r="BI35" s="3">
        <f t="shared" ca="1" si="36"/>
        <v>1.2450199203187251</v>
      </c>
      <c r="BJ35" s="3">
        <f t="shared" ca="1" si="37"/>
        <v>1.4940239043824701</v>
      </c>
      <c r="BK35" s="3">
        <f t="shared" ca="1" si="38"/>
        <v>1.4940239043824701</v>
      </c>
      <c r="BL35" s="3">
        <f t="shared" ca="1" si="39"/>
        <v>0.74719800747198017</v>
      </c>
      <c r="BN35" s="3">
        <f t="shared" ca="1" si="40"/>
        <v>0.99601593625498008</v>
      </c>
      <c r="BO35" s="3">
        <f t="shared" ca="1" si="41"/>
        <v>0.99601593625498008</v>
      </c>
      <c r="BP35" s="3">
        <f t="shared" ca="1" si="42"/>
        <v>0.49800796812749004</v>
      </c>
      <c r="BQ35" s="3">
        <f t="shared" ca="1" si="43"/>
        <v>0.4981320049813201</v>
      </c>
      <c r="BS35" s="3">
        <v>0.40999999642372131</v>
      </c>
      <c r="BT35" s="3">
        <v>0.57499998807907104</v>
      </c>
      <c r="BU35" s="3">
        <v>0.34700000286102295</v>
      </c>
      <c r="BV35" s="3">
        <v>0.49099999666213989</v>
      </c>
      <c r="BX35" s="3">
        <f t="shared" ca="1" si="44"/>
        <v>6.2250996015936255E-2</v>
      </c>
      <c r="BY35" s="3">
        <f t="shared" ca="1" si="45"/>
        <v>0</v>
      </c>
      <c r="BZ35" s="3">
        <f t="shared" ca="1" si="46"/>
        <v>0</v>
      </c>
      <c r="CA35" s="3">
        <f t="shared" ca="1" si="47"/>
        <v>2.9140722291407222E-2</v>
      </c>
      <c r="CC35" s="3">
        <f t="shared" ca="1" si="48"/>
        <v>8.2918312920042245E-2</v>
      </c>
      <c r="CD35" s="3">
        <f t="shared" ca="1" si="49"/>
        <v>0</v>
      </c>
      <c r="CE35" s="3">
        <f t="shared" ca="1" si="50"/>
        <v>0</v>
      </c>
      <c r="CF35" s="3">
        <f t="shared" ca="1" si="51"/>
        <v>0</v>
      </c>
      <c r="CH35" s="3">
        <f t="shared" ca="1" si="52"/>
        <v>0.24900398406374502</v>
      </c>
      <c r="CI35" s="3">
        <f t="shared" ca="1" si="53"/>
        <v>0</v>
      </c>
      <c r="CJ35" s="3">
        <f t="shared" ca="1" si="54"/>
        <v>0</v>
      </c>
      <c r="CK35" s="3">
        <f t="shared" ca="1" si="55"/>
        <v>0</v>
      </c>
      <c r="CM35" s="3">
        <f t="shared" ca="1" si="56"/>
        <v>0.24900398406374502</v>
      </c>
      <c r="CN35" s="3">
        <f t="shared" ca="1" si="57"/>
        <v>0</v>
      </c>
      <c r="CO35" s="3">
        <f t="shared" ca="1" si="58"/>
        <v>0</v>
      </c>
      <c r="CP35" s="3">
        <f t="shared" ca="1" si="59"/>
        <v>0.24906600249066005</v>
      </c>
      <c r="CR35" s="3">
        <v>3.4430000782012939</v>
      </c>
      <c r="CS35" s="3">
        <v>4.016</v>
      </c>
      <c r="CT35" s="3">
        <v>4.016</v>
      </c>
      <c r="CU35" s="3">
        <v>4.0149999999999997</v>
      </c>
      <c r="CV35" s="21">
        <f t="shared" ca="1" si="61"/>
        <v>0.77963149939400267</v>
      </c>
      <c r="CW35" s="16">
        <f t="shared" ca="1" si="60"/>
        <v>6.083333333333333</v>
      </c>
    </row>
    <row r="36" spans="1:101" s="3" customFormat="1" x14ac:dyDescent="0.35">
      <c r="A36" s="2" t="s">
        <v>1</v>
      </c>
      <c r="B36" s="2">
        <v>6.166666666666667</v>
      </c>
      <c r="C36" s="2" t="s">
        <v>167</v>
      </c>
      <c r="D36" s="2" t="s">
        <v>403</v>
      </c>
      <c r="F36" s="3">
        <v>2.746</v>
      </c>
      <c r="G36" s="11" t="e">
        <v>#N/A</v>
      </c>
      <c r="H36" s="3">
        <v>4.016</v>
      </c>
      <c r="I36" s="3">
        <v>4.0090000000000003</v>
      </c>
      <c r="K36" s="3">
        <f t="shared" ref="K36:K67" ca="1" si="62">INDIRECT("'Data_Netteyage'!" &amp; LEFT(ADDRESS(1,COLUMN(),4),LEN(ADDRESS(1,COLUMN(),4))-1) &amp; ROW())/F36</f>
        <v>0.99490167516387484</v>
      </c>
      <c r="L36" s="3" t="e">
        <f t="shared" ref="L36:L67" ca="1" si="63">INDIRECT("'Data_Netteyage'!" &amp; LEFT(ADDRESS(1,COLUMN(),4),LEN(ADDRESS(1,COLUMN(),4))-1) &amp; ROW())/G36</f>
        <v>#N/A</v>
      </c>
      <c r="M36" s="3">
        <f t="shared" ref="M36:M67" ca="1" si="64">INDIRECT("'Data_Netteyage'!" &amp; LEFT(ADDRESS(1,COLUMN(),4),LEN(ADDRESS(1,COLUMN(),4))-1) &amp; ROW())/H36</f>
        <v>0.9957669322709165</v>
      </c>
      <c r="N36" s="3">
        <f t="shared" ref="N36:N67" ca="1" si="65">INDIRECT("'Data_Netteyage'!" &amp; LEFT(ADDRESS(1,COLUMN(),4),LEN(ADDRESS(1,COLUMN(),4))-1) &amp; ROW())/I36</f>
        <v>0.99750561237216262</v>
      </c>
      <c r="P36" s="3">
        <f t="shared" ref="P36:P67" ca="1" si="66">INDIRECT("'Data_Netteyage'!" &amp; LEFT(ADDRESS(1,COLUMN(),4),LEN(ADDRESS(1,COLUMN(),4))-1) &amp; ROW())/F36</f>
        <v>0.83721767112515044</v>
      </c>
      <c r="Q36" s="3" t="e">
        <f t="shared" ref="Q36:Q67" ca="1" si="67">INDIRECT("'Data_Netteyage'!" &amp; LEFT(ADDRESS(1,COLUMN(),4),LEN(ADDRESS(1,COLUMN(),4))-1) &amp; ROW())/G36</f>
        <v>#N/A</v>
      </c>
      <c r="R36" s="3">
        <f t="shared" ref="R36:R67" ca="1" si="68">INDIRECT("'Data_Netteyage'!" &amp; LEFT(ADDRESS(1,COLUMN(),4),LEN(ADDRESS(1,COLUMN(),4))-1) &amp; ROW())/H36</f>
        <v>0.8879481969365064</v>
      </c>
      <c r="S36" s="3">
        <f t="shared" ref="S36:S67" ca="1" si="69">INDIRECT("'Data_Netteyage'!" &amp; LEFT(ADDRESS(1,COLUMN(),4),LEN(ADDRESS(1,COLUMN(),4))-1) &amp; ROW())/I36</f>
        <v>0.74432525076631828</v>
      </c>
      <c r="U36" s="3">
        <f t="shared" ref="U36:U67" ca="1" si="70">INDIRECT("'Data_Netteyage'!" &amp; LEFT(ADDRESS(1,COLUMN(),4),LEN(ADDRESS(1,COLUMN(),4))-1) &amp; ROW())/F36</f>
        <v>3.2774945375091042</v>
      </c>
      <c r="V36" s="3" t="e">
        <f t="shared" ref="V36:V67" ca="1" si="71">INDIRECT("'Data_Netteyage'!" &amp; LEFT(ADDRESS(1,COLUMN(),4),LEN(ADDRESS(1,COLUMN(),4))-1) &amp; ROW())/G36</f>
        <v>#N/A</v>
      </c>
      <c r="W36" s="3">
        <f t="shared" ref="W36:W67" ca="1" si="72">INDIRECT("'Data_Netteyage'!" &amp; LEFT(ADDRESS(1,COLUMN(),4),LEN(ADDRESS(1,COLUMN(),4))-1) &amp; ROW())/H36</f>
        <v>3.4860557768924303</v>
      </c>
      <c r="X36" s="3">
        <f t="shared" ref="X36:X67" ca="1" si="73">INDIRECT("'Data_Netteyage'!" &amp; LEFT(ADDRESS(1,COLUMN(),4),LEN(ADDRESS(1,COLUMN(),4))-1) &amp; ROW())/I36</f>
        <v>3.7415814417560487</v>
      </c>
      <c r="Z36" s="3">
        <f t="shared" ref="Z36:Z67" ca="1" si="74">INDIRECT("'Data_Netteyage'!" &amp; LEFT(ADDRESS(1,COLUMN(),4),LEN(ADDRESS(1,COLUMN(),4))-1) &amp; ROW())/F36</f>
        <v>0.99490167516387484</v>
      </c>
      <c r="AA36" s="3" t="e">
        <f t="shared" ref="AA36:AA67" ca="1" si="75">INDIRECT("'Data_Netteyage'!" &amp; LEFT(ADDRESS(1,COLUMN(),4),LEN(ADDRESS(1,COLUMN(),4))-1) &amp; ROW())/G36</f>
        <v>#N/A</v>
      </c>
      <c r="AB36" s="3">
        <f t="shared" ref="AB36:AB67" ca="1" si="76">INDIRECT("'Data_Netteyage'!" &amp; LEFT(ADDRESS(1,COLUMN(),4),LEN(ADDRESS(1,COLUMN(),4))-1) &amp; ROW())/H36</f>
        <v>0.9957669322709165</v>
      </c>
      <c r="AC36" s="3">
        <f t="shared" ref="AC36:AC67" ca="1" si="77">INDIRECT("'Data_Netteyage'!" &amp; LEFT(ADDRESS(1,COLUMN(),4),LEN(ADDRESS(1,COLUMN(),4))-1) &amp; ROW())/I36</f>
        <v>0.92691444250436517</v>
      </c>
      <c r="AE36" s="3">
        <f t="shared" ref="AE36:AE67" ca="1" si="78">INDIRECT("'Data_Netteyage'!" &amp; LEFT(ADDRESS(1,COLUMN(),4),LEN(ADDRESS(1,COLUMN(),4))-1) &amp; ROW())/F36</f>
        <v>0.83721767112515044</v>
      </c>
      <c r="AF36" s="3" t="e">
        <f t="shared" ref="AF36:AF67" ca="1" si="79">INDIRECT("'Data_Netteyage'!" &amp; LEFT(ADDRESS(1,COLUMN(),4),LEN(ADDRESS(1,COLUMN(),4))-1) &amp; ROW())/G36</f>
        <v>#N/A</v>
      </c>
      <c r="AG36" s="3">
        <f t="shared" ref="AG36:AG67" ca="1" si="80">INDIRECT("'Data_Netteyage'!" &amp; LEFT(ADDRESS(1,COLUMN(),4),LEN(ADDRESS(1,COLUMN(),4))-1) &amp; ROW())/H36</f>
        <v>0.8879481969365064</v>
      </c>
      <c r="AH36" s="3">
        <f t="shared" ref="AH36:AH67" ca="1" si="81">INDIRECT("'Data_Netteyage'!" &amp; LEFT(ADDRESS(1,COLUMN(),4),LEN(ADDRESS(1,COLUMN(),4))-1) &amp; ROW())/I36</f>
        <v>0.74432525076631828</v>
      </c>
      <c r="AJ36" s="3">
        <f t="shared" ref="AJ36:AJ67" ca="1" si="82">INDIRECT("'Data_Netteyage'!" &amp; LEFT(ADDRESS(1,COLUMN(),4),LEN(ADDRESS(1,COLUMN(),4))-1) &amp; ROW())/F36</f>
        <v>3.2774945375091042</v>
      </c>
      <c r="AK36" s="3" t="e">
        <f t="shared" ref="AK36:AK67" ca="1" si="83">INDIRECT("'Data_Netteyage'!" &amp; LEFT(ADDRESS(1,COLUMN(),4),LEN(ADDRESS(1,COLUMN(),4))-1) &amp; ROW())/G36</f>
        <v>#N/A</v>
      </c>
      <c r="AL36" s="3">
        <f t="shared" ref="AL36:AL67" ca="1" si="84">INDIRECT("'Data_Netteyage'!" &amp; LEFT(ADDRESS(1,COLUMN(),4),LEN(ADDRESS(1,COLUMN(),4))-1) &amp; ROW())/H36</f>
        <v>3.4860557768924303</v>
      </c>
      <c r="AM36" s="3">
        <f t="shared" ref="AM36:AM67" ca="1" si="85">INDIRECT("'Data_Netteyage'!" &amp; LEFT(ADDRESS(1,COLUMN(),4),LEN(ADDRESS(1,COLUMN(),4))-1) &amp; ROW())/I36</f>
        <v>3.7415814417560487</v>
      </c>
      <c r="AO36" s="3">
        <f t="shared" ref="AO36:AO67" ca="1" si="86">INDIRECT("'Data_Netteyage'!" &amp; LEFT(ADDRESS(1,COLUMN(),4),LEN(ADDRESS(1,COLUMN(),4))-1) &amp; ROW())/F36</f>
        <v>0.36416605972323379</v>
      </c>
      <c r="AP36" s="3" t="e">
        <f t="shared" ref="AP36:AP67" ca="1" si="87">INDIRECT("'Data_Netteyage'!" &amp; LEFT(ADDRESS(1,COLUMN(),4),LEN(ADDRESS(1,COLUMN(),4))-1) &amp; ROW())/G36</f>
        <v>#N/A</v>
      </c>
      <c r="AQ36" s="3">
        <f t="shared" ref="AQ36:AQ67" ca="1" si="88">INDIRECT("'Data_Netteyage'!" &amp; LEFT(ADDRESS(1,COLUMN(),4),LEN(ADDRESS(1,COLUMN(),4))-1) &amp; ROW())/H36</f>
        <v>0.24900398406374502</v>
      </c>
      <c r="AR36" s="3">
        <f t="shared" ref="AR36:AR67" ca="1" si="89">INDIRECT("'Data_Netteyage'!" &amp; LEFT(ADDRESS(1,COLUMN(),4),LEN(ADDRESS(1,COLUMN(),4))-1) &amp; ROW())/I36</f>
        <v>0.49887752556747317</v>
      </c>
      <c r="AT36" s="3">
        <v>1.4000000432133675E-2</v>
      </c>
      <c r="AU36" s="11" t="e">
        <v>#N/A</v>
      </c>
      <c r="AV36" s="3">
        <v>2.0000000949949026E-3</v>
      </c>
      <c r="AW36" s="3">
        <v>2.6000000536441803E-2</v>
      </c>
      <c r="AY36" s="3">
        <f t="shared" ref="AY36:AY67" ca="1" si="90">INDIRECT("'Data_Netteyage'!" &amp; LEFT(ADDRESS(1,COLUMN(),4),LEN(ADDRESS(1,COLUMN(),4))-1) &amp; ROW())/F36</f>
        <v>0.35797523670793885</v>
      </c>
      <c r="AZ36" s="3" t="e">
        <f t="shared" ref="AZ36:AZ67" ca="1" si="91">INDIRECT("'Data_Netteyage'!" &amp; LEFT(ADDRESS(1,COLUMN(),4),LEN(ADDRESS(1,COLUMN(),4))-1) &amp; ROW())/G36</f>
        <v>#N/A</v>
      </c>
      <c r="BA36" s="3">
        <f t="shared" ref="BA36:BA67" ca="1" si="92">INDIRECT("'Data_Netteyage'!" &amp; LEFT(ADDRESS(1,COLUMN(),4),LEN(ADDRESS(1,COLUMN(),4))-1) &amp; ROW())/H36</f>
        <v>0.19945219123505964</v>
      </c>
      <c r="BB36" s="3">
        <f t="shared" ref="BB36:BB67" ca="1" si="93">INDIRECT("'Data_Netteyage'!" &amp; LEFT(ADDRESS(1,COLUMN(),4),LEN(ADDRESS(1,COLUMN(),4))-1) &amp; ROW())/I36</f>
        <v>0.51134946370665979</v>
      </c>
      <c r="BD36" s="3">
        <f t="shared" ref="BD36:BD67" ca="1" si="94">INDIRECT("'Data_Netteyage'!" &amp; LEFT(ADDRESS(1,COLUMN(),4),LEN(ADDRESS(1,COLUMN(),4))-1) &amp; ROW())/F36</f>
        <v>0.35833930413564974</v>
      </c>
      <c r="BE36" s="3" t="e">
        <f t="shared" ref="BE36:BE67" ca="1" si="95">INDIRECT("'Data_Netteyage'!" &amp; LEFT(ADDRESS(1,COLUMN(),4),LEN(ADDRESS(1,COLUMN(),4))-1) &amp; ROW())/G36</f>
        <v>#N/A</v>
      </c>
      <c r="BF36" s="3">
        <f t="shared" ref="BF36:BF67" ca="1" si="96">INDIRECT("'Data_Netteyage'!" &amp; LEFT(ADDRESS(1,COLUMN(),4),LEN(ADDRESS(1,COLUMN(),4))-1) &amp; ROW())/H36</f>
        <v>0.15338640882674442</v>
      </c>
      <c r="BG36" s="3">
        <f t="shared" ref="BG36:BG67" ca="1" si="97">INDIRECT("'Data_Netteyage'!" &amp; LEFT(ADDRESS(1,COLUMN(),4),LEN(ADDRESS(1,COLUMN(),4))-1) &amp; ROW())/I36</f>
        <v>0.47817412948751126</v>
      </c>
      <c r="BI36" s="3">
        <f t="shared" ref="BI36:BI67" ca="1" si="98">INDIRECT("'Data_Netteyage'!" &amp; LEFT(ADDRESS(1,COLUMN(),4),LEN(ADDRESS(1,COLUMN(),4))-1) &amp; ROW())/F36</f>
        <v>1.4566642388929352</v>
      </c>
      <c r="BJ36" s="3" t="e">
        <f t="shared" ref="BJ36:BJ67" ca="1" si="99">INDIRECT("'Data_Netteyage'!" &amp; LEFT(ADDRESS(1,COLUMN(),4),LEN(ADDRESS(1,COLUMN(),4))-1) &amp; ROW())/G36</f>
        <v>#N/A</v>
      </c>
      <c r="BK36" s="3">
        <f t="shared" ref="BK36:BK67" ca="1" si="100">INDIRECT("'Data_Netteyage'!" &amp; LEFT(ADDRESS(1,COLUMN(),4),LEN(ADDRESS(1,COLUMN(),4))-1) &amp; ROW())/H36</f>
        <v>0.74701195219123506</v>
      </c>
      <c r="BL36" s="3">
        <f t="shared" ref="BL36:BL67" ca="1" si="101">INDIRECT("'Data_Netteyage'!" &amp; LEFT(ADDRESS(1,COLUMN(),4),LEN(ADDRESS(1,COLUMN(),4))-1) &amp; ROW())/I36</f>
        <v>2.2449488650536291</v>
      </c>
      <c r="BN36" s="3">
        <f t="shared" ref="BN36:BN67" ca="1" si="102">INDIRECT("'Data_Netteyage'!" &amp; LEFT(ADDRESS(1,COLUMN(),4),LEN(ADDRESS(1,COLUMN(),4))-1) &amp; ROW())/F36</f>
        <v>0.72833211944646759</v>
      </c>
      <c r="BO36" s="3" t="e">
        <f t="shared" ref="BO36:BO67" ca="1" si="103">INDIRECT("'Data_Netteyage'!" &amp; LEFT(ADDRESS(1,COLUMN(),4),LEN(ADDRESS(1,COLUMN(),4))-1) &amp; ROW())/G36</f>
        <v>#N/A</v>
      </c>
      <c r="BP36" s="3">
        <f t="shared" ref="BP36:BP67" ca="1" si="104">INDIRECT("'Data_Netteyage'!" &amp; LEFT(ADDRESS(1,COLUMN(),4),LEN(ADDRESS(1,COLUMN(),4))-1) &amp; ROW())/H36</f>
        <v>1.2450199203187251</v>
      </c>
      <c r="BQ36" s="3">
        <f t="shared" ref="BQ36:BQ67" ca="1" si="105">INDIRECT("'Data_Netteyage'!" &amp; LEFT(ADDRESS(1,COLUMN(),4),LEN(ADDRESS(1,COLUMN(),4))-1) &amp; ROW())/I36</f>
        <v>1.4966325767024193</v>
      </c>
      <c r="BS36" s="3">
        <v>1.2460000514984131</v>
      </c>
      <c r="BT36" s="11" t="e">
        <v>#N/A</v>
      </c>
      <c r="BU36" s="3">
        <v>1.6019999980926514</v>
      </c>
      <c r="BV36" s="3">
        <v>0.35899999737739563</v>
      </c>
      <c r="BX36" s="3">
        <f t="shared" ref="BX36:BX67" ca="1" si="106">INDIRECT("'Data_Netteyage'!" &amp; LEFT(ADDRESS(1,COLUMN(),4),LEN(ADDRESS(1,COLUMN(),4))-1) &amp; ROW())/F36</f>
        <v>2.4399126001456665E-2</v>
      </c>
      <c r="BY36" s="3" t="e">
        <f t="shared" ref="BY36:BY67" ca="1" si="107">INDIRECT("'Data_Netteyage'!" &amp; LEFT(ADDRESS(1,COLUMN(),4),LEN(ADDRESS(1,COLUMN(),4))-1) &amp; ROW())/G36</f>
        <v>#N/A</v>
      </c>
      <c r="BZ36" s="3">
        <f t="shared" ref="BZ36:BZ67" ca="1" si="108">INDIRECT("'Data_Netteyage'!" &amp; LEFT(ADDRESS(1,COLUMN(),4),LEN(ADDRESS(1,COLUMN(),4))-1) &amp; ROW())/H36</f>
        <v>0</v>
      </c>
      <c r="CA36" s="3">
        <f t="shared" ref="CA36:CA67" ca="1" si="109">INDIRECT("'Data_Netteyage'!" &amp; LEFT(ADDRESS(1,COLUMN(),4),LEN(ADDRESS(1,COLUMN(),4))-1) &amp; ROW())/I36</f>
        <v>0</v>
      </c>
      <c r="CC36" s="3">
        <f t="shared" ref="CC36:CC67" ca="1" si="110">INDIRECT("'Data_Netteyage'!" &amp; LEFT(ADDRESS(1,COLUMN(),4),LEN(ADDRESS(1,COLUMN(),4))-1) &amp; ROW())/F36</f>
        <v>0</v>
      </c>
      <c r="CD36" s="3" t="e">
        <f t="shared" ref="CD36:CD67" ca="1" si="111">INDIRECT("'Data_Netteyage'!" &amp; LEFT(ADDRESS(1,COLUMN(),4),LEN(ADDRESS(1,COLUMN(),4))-1) &amp; ROW())/G36</f>
        <v>#N/A</v>
      </c>
      <c r="CE36" s="3">
        <f t="shared" ref="CE36:CE67" ca="1" si="112">INDIRECT("'Data_Netteyage'!" &amp; LEFT(ADDRESS(1,COLUMN(),4),LEN(ADDRESS(1,COLUMN(),4))-1) &amp; ROW())/H36</f>
        <v>0</v>
      </c>
      <c r="CF36" s="3">
        <f t="shared" ref="CF36:CF67" ca="1" si="113">INDIRECT("'Data_Netteyage'!" &amp; LEFT(ADDRESS(1,COLUMN(),4),LEN(ADDRESS(1,COLUMN(),4))-1) &amp; ROW())/I36</f>
        <v>0</v>
      </c>
      <c r="CH36" s="3">
        <f t="shared" ref="CH36:CH67" ca="1" si="114">INDIRECT("'Data_Netteyage'!" &amp; LEFT(ADDRESS(1,COLUMN(),4),LEN(ADDRESS(1,COLUMN(),4))-1) &amp; ROW())/F36</f>
        <v>0</v>
      </c>
      <c r="CI36" s="3" t="e">
        <f t="shared" ref="CI36:CI67" ca="1" si="115">INDIRECT("'Data_Netteyage'!" &amp; LEFT(ADDRESS(1,COLUMN(),4),LEN(ADDRESS(1,COLUMN(),4))-1) &amp; ROW())/G36</f>
        <v>#N/A</v>
      </c>
      <c r="CJ36" s="3">
        <f t="shared" ref="CJ36:CJ67" ca="1" si="116">INDIRECT("'Data_Netteyage'!" &amp; LEFT(ADDRESS(1,COLUMN(),4),LEN(ADDRESS(1,COLUMN(),4))-1) &amp; ROW())/H36</f>
        <v>0</v>
      </c>
      <c r="CK36" s="3">
        <f t="shared" ref="CK36:CK67" ca="1" si="117">INDIRECT("'Data_Netteyage'!" &amp; LEFT(ADDRESS(1,COLUMN(),4),LEN(ADDRESS(1,COLUMN(),4))-1) &amp; ROW())/I36</f>
        <v>0</v>
      </c>
      <c r="CM36" s="3">
        <f t="shared" ref="CM36:CM67" ca="1" si="118">INDIRECT("'Data_Netteyage'!" &amp; LEFT(ADDRESS(1,COLUMN(),4),LEN(ADDRESS(1,COLUMN(),4))-1) &amp; ROW())/F36</f>
        <v>1.0924981791697015</v>
      </c>
      <c r="CN36" s="3" t="e">
        <f t="shared" ref="CN36:CN67" ca="1" si="119">INDIRECT("'Data_Netteyage'!" &amp; LEFT(ADDRESS(1,COLUMN(),4),LEN(ADDRESS(1,COLUMN(),4))-1) &amp; ROW())/G36</f>
        <v>#N/A</v>
      </c>
      <c r="CO36" s="3">
        <f t="shared" ref="CO36:CO67" ca="1" si="120">INDIRECT("'Data_Netteyage'!" &amp; LEFT(ADDRESS(1,COLUMN(),4),LEN(ADDRESS(1,COLUMN(),4))-1) &amp; ROW())/H36</f>
        <v>0</v>
      </c>
      <c r="CP36" s="3">
        <f t="shared" ref="CP36:CP67" ca="1" si="121">INDIRECT("'Data_Netteyage'!" &amp; LEFT(ADDRESS(1,COLUMN(),4),LEN(ADDRESS(1,COLUMN(),4))-1) &amp; ROW())/I36</f>
        <v>0</v>
      </c>
      <c r="CR36" s="3">
        <v>4.0149999999999997</v>
      </c>
      <c r="CS36" s="11" t="e">
        <v>#N/A</v>
      </c>
      <c r="CT36" s="3">
        <v>4.016</v>
      </c>
      <c r="CU36" s="3">
        <v>4.0090000000000003</v>
      </c>
      <c r="CV36" s="21">
        <f t="shared" ca="1" si="61"/>
        <v>0.15338640882674442</v>
      </c>
      <c r="CW36" s="16">
        <f t="shared" ca="1" si="60"/>
        <v>6.166666666666667</v>
      </c>
    </row>
    <row r="37" spans="1:101" s="3" customFormat="1" x14ac:dyDescent="0.35">
      <c r="A37" s="2" t="s">
        <v>70</v>
      </c>
      <c r="B37" s="2">
        <v>6.166666666666667</v>
      </c>
      <c r="C37" s="2" t="s">
        <v>168</v>
      </c>
      <c r="D37" s="2" t="s">
        <v>403</v>
      </c>
      <c r="F37" s="3">
        <v>4.0090000000000003</v>
      </c>
      <c r="G37" s="3">
        <v>4.0149999999999997</v>
      </c>
      <c r="H37" s="3">
        <v>4.01</v>
      </c>
      <c r="I37" s="3">
        <v>0.97500000000000009</v>
      </c>
      <c r="K37" s="3">
        <f t="shared" ca="1" si="62"/>
        <v>0.89348964829134436</v>
      </c>
      <c r="L37" s="3">
        <f t="shared" ca="1" si="63"/>
        <v>0.99601494396014945</v>
      </c>
      <c r="M37" s="3">
        <f t="shared" ca="1" si="64"/>
        <v>0.99326683291770579</v>
      </c>
      <c r="N37" s="3" t="e">
        <f t="shared" ca="1" si="65"/>
        <v>#N/A</v>
      </c>
      <c r="P37" s="3">
        <f t="shared" ca="1" si="66"/>
        <v>0.72312285906657747</v>
      </c>
      <c r="Q37" s="3">
        <f t="shared" ca="1" si="67"/>
        <v>0.7676214527148536</v>
      </c>
      <c r="R37" s="3">
        <f t="shared" ca="1" si="68"/>
        <v>0.84389017713709069</v>
      </c>
      <c r="S37" s="3" t="e">
        <f t="shared" ca="1" si="69"/>
        <v>#N/A</v>
      </c>
      <c r="U37" s="3">
        <f t="shared" ca="1" si="70"/>
        <v>1.9955101022698927</v>
      </c>
      <c r="V37" s="3">
        <f t="shared" ca="1" si="71"/>
        <v>2.4906600249066004</v>
      </c>
      <c r="W37" s="3">
        <f t="shared" ca="1" si="72"/>
        <v>2.2443890274314215</v>
      </c>
      <c r="X37" s="3" t="e">
        <f t="shared" ca="1" si="73"/>
        <v>#N/A</v>
      </c>
      <c r="Z37" s="3">
        <f t="shared" ca="1" si="74"/>
        <v>0.86031429284110739</v>
      </c>
      <c r="AA37" s="3">
        <f t="shared" ca="1" si="75"/>
        <v>0.99601494396014945</v>
      </c>
      <c r="AB37" s="3">
        <f t="shared" ca="1" si="76"/>
        <v>0.92269326683291775</v>
      </c>
      <c r="AC37" s="3" t="e">
        <f t="shared" ca="1" si="77"/>
        <v>#N/A</v>
      </c>
      <c r="AE37" s="3">
        <f t="shared" ca="1" si="78"/>
        <v>0.72312285906657747</v>
      </c>
      <c r="AF37" s="3">
        <f t="shared" ca="1" si="79"/>
        <v>0.7676214527148536</v>
      </c>
      <c r="AG37" s="3">
        <f t="shared" ca="1" si="80"/>
        <v>0.84389017713709069</v>
      </c>
      <c r="AH37" s="3" t="e">
        <f t="shared" ca="1" si="81"/>
        <v>#N/A</v>
      </c>
      <c r="AJ37" s="3">
        <f t="shared" ca="1" si="82"/>
        <v>1.9955101022698927</v>
      </c>
      <c r="AK37" s="3">
        <f t="shared" ca="1" si="83"/>
        <v>2.4906600249066004</v>
      </c>
      <c r="AL37" s="3">
        <f t="shared" ca="1" si="84"/>
        <v>2.2443890274314215</v>
      </c>
      <c r="AM37" s="3" t="e">
        <f t="shared" ca="1" si="85"/>
        <v>#N/A</v>
      </c>
      <c r="AO37" s="3">
        <f t="shared" ca="1" si="86"/>
        <v>0.49887752556747317</v>
      </c>
      <c r="AP37" s="3">
        <f t="shared" ca="1" si="87"/>
        <v>0.24906600249066005</v>
      </c>
      <c r="AQ37" s="3">
        <f t="shared" ca="1" si="88"/>
        <v>0.49875311720698257</v>
      </c>
      <c r="AR37" s="3" t="e">
        <f t="shared" ca="1" si="89"/>
        <v>#N/A</v>
      </c>
      <c r="AT37" s="3">
        <v>0.44600000977516174</v>
      </c>
      <c r="AU37" s="3">
        <v>1.3000000268220901E-2</v>
      </c>
      <c r="AV37" s="3">
        <v>1.2000000104308128E-2</v>
      </c>
      <c r="AW37" s="11" t="e">
        <v>#N/A</v>
      </c>
      <c r="AY37" s="3">
        <f t="shared" ca="1" si="90"/>
        <v>0.22424544774257918</v>
      </c>
      <c r="AZ37" s="3">
        <f t="shared" ca="1" si="91"/>
        <v>0.37359900373599009</v>
      </c>
      <c r="BA37" s="3">
        <f t="shared" ca="1" si="92"/>
        <v>0.28254364089775563</v>
      </c>
      <c r="BB37" s="3" t="e">
        <f t="shared" ca="1" si="93"/>
        <v>#N/A</v>
      </c>
      <c r="BD37" s="3">
        <f t="shared" ca="1" si="94"/>
        <v>0.22000492169215333</v>
      </c>
      <c r="BE37" s="3">
        <f t="shared" ca="1" si="95"/>
        <v>0.35292651703764466</v>
      </c>
      <c r="BF37" s="3">
        <f t="shared" ca="1" si="96"/>
        <v>0.31197002701033977</v>
      </c>
      <c r="BG37" s="3" t="e">
        <f t="shared" ca="1" si="97"/>
        <v>#N/A</v>
      </c>
      <c r="BI37" s="3">
        <f t="shared" ca="1" si="98"/>
        <v>0.49887752556747317</v>
      </c>
      <c r="BJ37" s="3">
        <f t="shared" ca="1" si="99"/>
        <v>0.9962640099626402</v>
      </c>
      <c r="BK37" s="3">
        <f t="shared" ca="1" si="100"/>
        <v>0.99750623441396513</v>
      </c>
      <c r="BL37" s="3" t="e">
        <f t="shared" ca="1" si="101"/>
        <v>#N/A</v>
      </c>
      <c r="BN37" s="3">
        <f t="shared" ca="1" si="102"/>
        <v>0.49887752556747317</v>
      </c>
      <c r="BO37" s="3">
        <f t="shared" ca="1" si="103"/>
        <v>0.74719800747198017</v>
      </c>
      <c r="BP37" s="3">
        <f t="shared" ca="1" si="104"/>
        <v>0.49875311720698257</v>
      </c>
      <c r="BQ37" s="3" t="e">
        <f t="shared" ca="1" si="105"/>
        <v>#N/A</v>
      </c>
      <c r="BS37" s="3">
        <v>1.8459999561309814</v>
      </c>
      <c r="BT37" s="3">
        <v>0.42899999022483826</v>
      </c>
      <c r="BU37" s="3">
        <v>1.2450000047683716</v>
      </c>
      <c r="BV37" s="11" t="e">
        <v>#N/A</v>
      </c>
      <c r="BX37" s="3">
        <f t="shared" ca="1" si="106"/>
        <v>0.14143177849837868</v>
      </c>
      <c r="BY37" s="3">
        <f t="shared" ca="1" si="107"/>
        <v>0</v>
      </c>
      <c r="BZ37" s="3">
        <f t="shared" ca="1" si="108"/>
        <v>0.13291770573566097</v>
      </c>
      <c r="CA37" s="3" t="e">
        <f t="shared" ca="1" si="109"/>
        <v>#N/A</v>
      </c>
      <c r="CC37" s="3">
        <f t="shared" ca="1" si="110"/>
        <v>0.10002494958547856</v>
      </c>
      <c r="CD37" s="3">
        <f t="shared" ca="1" si="111"/>
        <v>0</v>
      </c>
      <c r="CE37" s="3">
        <f t="shared" ca="1" si="112"/>
        <v>0.1538653326153458</v>
      </c>
      <c r="CF37" s="3" t="e">
        <f t="shared" ca="1" si="113"/>
        <v>#N/A</v>
      </c>
      <c r="CH37" s="3">
        <f t="shared" ca="1" si="114"/>
        <v>0.49887752556747317</v>
      </c>
      <c r="CI37" s="3">
        <f t="shared" ca="1" si="115"/>
        <v>0</v>
      </c>
      <c r="CJ37" s="3">
        <f t="shared" ca="1" si="116"/>
        <v>0.49875311720698257</v>
      </c>
      <c r="CK37" s="3" t="e">
        <f t="shared" ca="1" si="117"/>
        <v>#N/A</v>
      </c>
      <c r="CM37" s="3">
        <f t="shared" ca="1" si="118"/>
        <v>1.2471938139186829</v>
      </c>
      <c r="CN37" s="3">
        <f t="shared" ca="1" si="119"/>
        <v>0.4981320049813201</v>
      </c>
      <c r="CO37" s="3">
        <f t="shared" ca="1" si="120"/>
        <v>0.74812967581047385</v>
      </c>
      <c r="CP37" s="3" t="e">
        <f t="shared" ca="1" si="121"/>
        <v>#N/A</v>
      </c>
      <c r="CR37" s="3">
        <v>1.3619999885559082</v>
      </c>
      <c r="CS37" s="3">
        <v>4.0149999999999997</v>
      </c>
      <c r="CT37" s="3">
        <v>0.79600000381469727</v>
      </c>
      <c r="CU37" s="11" t="e">
        <v>#N/A</v>
      </c>
      <c r="CV37" s="21">
        <f t="shared" ca="1" si="61"/>
        <v>0.31197002701033977</v>
      </c>
      <c r="CW37" s="16">
        <f t="shared" ca="1" si="60"/>
        <v>6.166666666666667</v>
      </c>
    </row>
    <row r="38" spans="1:101" s="3" customFormat="1" x14ac:dyDescent="0.35">
      <c r="A38" s="2" t="s">
        <v>83</v>
      </c>
      <c r="B38" s="2">
        <v>6.166666666666667</v>
      </c>
      <c r="C38" s="2" t="s">
        <v>168</v>
      </c>
      <c r="D38" s="2" t="s">
        <v>403</v>
      </c>
      <c r="F38" s="3">
        <v>4.0170000000000003</v>
      </c>
      <c r="G38" s="3">
        <v>4.0149999999999997</v>
      </c>
      <c r="H38" s="3">
        <v>4.0049999999999999</v>
      </c>
      <c r="I38" s="3">
        <v>4.016</v>
      </c>
      <c r="K38" s="3">
        <f t="shared" ca="1" si="62"/>
        <v>0.89195917351257148</v>
      </c>
      <c r="L38" s="3">
        <f t="shared" ca="1" si="63"/>
        <v>0.99202988792029889</v>
      </c>
      <c r="M38" s="3">
        <f t="shared" ca="1" si="64"/>
        <v>0.92784019975031218</v>
      </c>
      <c r="N38" s="3">
        <f t="shared" ca="1" si="65"/>
        <v>0.98754980079681276</v>
      </c>
      <c r="P38" s="3">
        <f t="shared" ca="1" si="66"/>
        <v>0.76723913366532837</v>
      </c>
      <c r="Q38" s="3">
        <f t="shared" ca="1" si="67"/>
        <v>0.82216683176727701</v>
      </c>
      <c r="R38" s="3">
        <f t="shared" ca="1" si="68"/>
        <v>0.71535569647054997</v>
      </c>
      <c r="S38" s="3">
        <f t="shared" ca="1" si="69"/>
        <v>0.77938247313542086</v>
      </c>
      <c r="U38" s="3">
        <f t="shared" ca="1" si="70"/>
        <v>1.7425939756036841</v>
      </c>
      <c r="V38" s="3">
        <f t="shared" ca="1" si="71"/>
        <v>1.9925280199252804</v>
      </c>
      <c r="W38" s="3">
        <f t="shared" ca="1" si="72"/>
        <v>1.9975031210986267</v>
      </c>
      <c r="X38" s="3">
        <f t="shared" ca="1" si="73"/>
        <v>1.9920318725099602</v>
      </c>
      <c r="Z38" s="3">
        <f t="shared" ca="1" si="74"/>
        <v>0.89195917351257148</v>
      </c>
      <c r="AA38" s="3">
        <f t="shared" ca="1" si="75"/>
        <v>0.77633872976338714</v>
      </c>
      <c r="AB38" s="3">
        <f t="shared" ca="1" si="76"/>
        <v>0.92359550561797754</v>
      </c>
      <c r="AC38" s="3">
        <f t="shared" ca="1" si="77"/>
        <v>0.87126494023904388</v>
      </c>
      <c r="AE38" s="3">
        <f t="shared" ca="1" si="78"/>
        <v>0.76723913366532837</v>
      </c>
      <c r="AF38" s="3">
        <f t="shared" ca="1" si="79"/>
        <v>0.67272725402566602</v>
      </c>
      <c r="AG38" s="3">
        <f t="shared" ca="1" si="80"/>
        <v>0.71535569647054997</v>
      </c>
      <c r="AH38" s="3">
        <f t="shared" ca="1" si="81"/>
        <v>0.77938247313542086</v>
      </c>
      <c r="AJ38" s="3">
        <f t="shared" ca="1" si="82"/>
        <v>1.7425939756036841</v>
      </c>
      <c r="AK38" s="3">
        <f t="shared" ca="1" si="83"/>
        <v>1.7434620174346203</v>
      </c>
      <c r="AL38" s="3">
        <f t="shared" ca="1" si="84"/>
        <v>1.9975031210986267</v>
      </c>
      <c r="AM38" s="3">
        <f t="shared" ca="1" si="85"/>
        <v>1.9920318725099602</v>
      </c>
      <c r="AO38" s="3">
        <f t="shared" ca="1" si="86"/>
        <v>0.24894199651481203</v>
      </c>
      <c r="AP38" s="3">
        <f t="shared" ca="1" si="87"/>
        <v>0.74719800747198017</v>
      </c>
      <c r="AQ38" s="3">
        <f t="shared" ca="1" si="88"/>
        <v>0.24968789013732834</v>
      </c>
      <c r="AR38" s="3">
        <f t="shared" ca="1" si="89"/>
        <v>0.99601593625498008</v>
      </c>
      <c r="AT38" s="3">
        <v>0.37999999523162842</v>
      </c>
      <c r="AU38" s="3">
        <v>2.7000000700354576E-2</v>
      </c>
      <c r="AV38" s="3">
        <v>1.6000000759959221E-2</v>
      </c>
      <c r="AW38" s="3">
        <v>1.0000000474974513E-3</v>
      </c>
      <c r="AY38" s="3">
        <f t="shared" ca="1" si="90"/>
        <v>0.29474732387353741</v>
      </c>
      <c r="AZ38" s="3">
        <f t="shared" ca="1" si="91"/>
        <v>0.24059775840597741</v>
      </c>
      <c r="BA38" s="3">
        <f t="shared" ca="1" si="92"/>
        <v>8.3146067415730274E-2</v>
      </c>
      <c r="BB38" s="3">
        <f t="shared" ca="1" si="93"/>
        <v>8.7151394422310763E-2</v>
      </c>
      <c r="BD38" s="3">
        <f t="shared" ca="1" si="94"/>
        <v>0.27383620210153292</v>
      </c>
      <c r="BE38" s="3">
        <f t="shared" ca="1" si="95"/>
        <v>0.38605232167511178</v>
      </c>
      <c r="BF38" s="3">
        <f t="shared" ca="1" si="96"/>
        <v>0</v>
      </c>
      <c r="BG38" s="3">
        <f t="shared" ca="1" si="97"/>
        <v>0.14516930893597849</v>
      </c>
      <c r="BI38" s="3">
        <f t="shared" ca="1" si="98"/>
        <v>0.49788399302962405</v>
      </c>
      <c r="BJ38" s="3">
        <f t="shared" ca="1" si="99"/>
        <v>0.74719800747198017</v>
      </c>
      <c r="BK38" s="3">
        <f t="shared" ca="1" si="100"/>
        <v>0</v>
      </c>
      <c r="BL38" s="3">
        <f t="shared" ca="1" si="101"/>
        <v>0.24900398406374502</v>
      </c>
      <c r="BN38" s="3">
        <f t="shared" ca="1" si="102"/>
        <v>0.74682598954443613</v>
      </c>
      <c r="BO38" s="3">
        <f t="shared" ca="1" si="103"/>
        <v>1.7434620174346203</v>
      </c>
      <c r="BP38" s="3">
        <f t="shared" ca="1" si="104"/>
        <v>0.74906367041198507</v>
      </c>
      <c r="BQ38" s="3">
        <f t="shared" ca="1" si="105"/>
        <v>0.74701195219123506</v>
      </c>
      <c r="BS38" s="3">
        <v>0.89600002765655518</v>
      </c>
      <c r="BT38" s="3">
        <v>0.86000001430511475</v>
      </c>
      <c r="BU38" s="3">
        <v>4.0049999999999999</v>
      </c>
      <c r="BV38" s="3">
        <v>2.3340001106262207</v>
      </c>
      <c r="BX38" s="3">
        <f t="shared" ca="1" si="106"/>
        <v>1.2447099825740613E-2</v>
      </c>
      <c r="BY38" s="3">
        <f t="shared" ca="1" si="107"/>
        <v>4.2341220423412242E-3</v>
      </c>
      <c r="BZ38" s="3">
        <f t="shared" ca="1" si="108"/>
        <v>8.4893882646692263E-3</v>
      </c>
      <c r="CA38" s="3">
        <f t="shared" ca="1" si="109"/>
        <v>0</v>
      </c>
      <c r="CC38" s="3">
        <f t="shared" ca="1" si="110"/>
        <v>0</v>
      </c>
      <c r="CD38" s="3">
        <f t="shared" ca="1" si="111"/>
        <v>0</v>
      </c>
      <c r="CE38" s="3">
        <f t="shared" ca="1" si="112"/>
        <v>0</v>
      </c>
      <c r="CF38" s="3">
        <f t="shared" ca="1" si="113"/>
        <v>0</v>
      </c>
      <c r="CH38" s="3">
        <f t="shared" ca="1" si="114"/>
        <v>0</v>
      </c>
      <c r="CI38" s="3">
        <f t="shared" ca="1" si="115"/>
        <v>0</v>
      </c>
      <c r="CJ38" s="3">
        <f t="shared" ca="1" si="116"/>
        <v>0</v>
      </c>
      <c r="CK38" s="3">
        <f t="shared" ca="1" si="117"/>
        <v>0</v>
      </c>
      <c r="CM38" s="3">
        <f t="shared" ca="1" si="118"/>
        <v>0.24894199651481203</v>
      </c>
      <c r="CN38" s="3">
        <f t="shared" ca="1" si="119"/>
        <v>0.4981320049813201</v>
      </c>
      <c r="CO38" s="3">
        <f t="shared" ca="1" si="120"/>
        <v>0.24968789013732834</v>
      </c>
      <c r="CP38" s="3">
        <f t="shared" ca="1" si="121"/>
        <v>0.24900398406374502</v>
      </c>
      <c r="CR38" s="3">
        <v>4.0170000000000003</v>
      </c>
      <c r="CS38" s="3">
        <v>4.0149999999999997</v>
      </c>
      <c r="CT38" s="3">
        <v>4.0049999999999999</v>
      </c>
      <c r="CU38" s="3">
        <v>4.016</v>
      </c>
      <c r="CV38" s="21">
        <f t="shared" ca="1" si="61"/>
        <v>0</v>
      </c>
      <c r="CW38" s="16">
        <f t="shared" ca="1" si="60"/>
        <v>6.166666666666667</v>
      </c>
    </row>
    <row r="39" spans="1:101" s="3" customFormat="1" x14ac:dyDescent="0.35">
      <c r="A39" s="2" t="s">
        <v>25</v>
      </c>
      <c r="B39" s="2">
        <v>6.25</v>
      </c>
      <c r="C39" s="2" t="s">
        <v>168</v>
      </c>
      <c r="D39" s="2" t="s">
        <v>403</v>
      </c>
      <c r="F39" s="3">
        <v>4.01</v>
      </c>
      <c r="G39" s="3">
        <v>4.0110000000000001</v>
      </c>
      <c r="H39" s="3">
        <v>4.01</v>
      </c>
      <c r="I39" s="3">
        <v>4.0110000000000001</v>
      </c>
      <c r="K39" s="3">
        <f t="shared" ca="1" si="62"/>
        <v>0.99301745635910232</v>
      </c>
      <c r="L39" s="3">
        <f t="shared" ca="1" si="63"/>
        <v>0.99301919720767884</v>
      </c>
      <c r="M39" s="3">
        <f t="shared" ca="1" si="64"/>
        <v>0.99725685785536156</v>
      </c>
      <c r="N39" s="3">
        <f t="shared" ca="1" si="65"/>
        <v>0.99700822737471939</v>
      </c>
      <c r="P39" s="3">
        <f t="shared" ca="1" si="66"/>
        <v>0.80199506170954793</v>
      </c>
      <c r="Q39" s="3">
        <f t="shared" ca="1" si="67"/>
        <v>0.7519321499902748</v>
      </c>
      <c r="R39" s="3">
        <f t="shared" ca="1" si="68"/>
        <v>0.53142147171229792</v>
      </c>
      <c r="S39" s="3">
        <f t="shared" ca="1" si="69"/>
        <v>0.58115188232538284</v>
      </c>
      <c r="U39" s="3">
        <f t="shared" ca="1" si="70"/>
        <v>2.7431421446384041</v>
      </c>
      <c r="V39" s="3">
        <f t="shared" ca="1" si="71"/>
        <v>3.2410870107205185</v>
      </c>
      <c r="W39" s="3">
        <f t="shared" ca="1" si="72"/>
        <v>2.7431421446384041</v>
      </c>
      <c r="X39" s="3">
        <f t="shared" ca="1" si="73"/>
        <v>2.4931438544003988</v>
      </c>
      <c r="Z39" s="3">
        <f t="shared" ca="1" si="74"/>
        <v>0.99301745635910232</v>
      </c>
      <c r="AA39" s="3">
        <f t="shared" ca="1" si="75"/>
        <v>0.93891797556719025</v>
      </c>
      <c r="AB39" s="3">
        <f t="shared" ca="1" si="76"/>
        <v>0.92643391521196994</v>
      </c>
      <c r="AC39" s="3">
        <f t="shared" ca="1" si="77"/>
        <v>0.99700822737471939</v>
      </c>
      <c r="AE39" s="3">
        <f t="shared" ca="1" si="78"/>
        <v>0.80199506170954793</v>
      </c>
      <c r="AF39" s="3">
        <f t="shared" ca="1" si="79"/>
        <v>0.7519321499902748</v>
      </c>
      <c r="AG39" s="3">
        <f t="shared" ca="1" si="80"/>
        <v>0.53142147171229792</v>
      </c>
      <c r="AH39" s="3">
        <f t="shared" ca="1" si="81"/>
        <v>0.58115188232538284</v>
      </c>
      <c r="AJ39" s="3">
        <f t="shared" ca="1" si="82"/>
        <v>2.7431421446384041</v>
      </c>
      <c r="AK39" s="3">
        <f t="shared" ca="1" si="83"/>
        <v>3.2410870107205185</v>
      </c>
      <c r="AL39" s="3">
        <f t="shared" ca="1" si="84"/>
        <v>2.7431421446384041</v>
      </c>
      <c r="AM39" s="3">
        <f t="shared" ca="1" si="85"/>
        <v>2.4931438544003988</v>
      </c>
      <c r="AO39" s="3">
        <f t="shared" ca="1" si="86"/>
        <v>0.24937655860349128</v>
      </c>
      <c r="AP39" s="3">
        <f t="shared" ca="1" si="87"/>
        <v>0.74794315632011965</v>
      </c>
      <c r="AQ39" s="3">
        <f t="shared" ca="1" si="88"/>
        <v>0.74812967581047385</v>
      </c>
      <c r="AR39" s="3">
        <f t="shared" ca="1" si="89"/>
        <v>0.24931438544003989</v>
      </c>
      <c r="AT39" s="3">
        <v>1.4000000432133675E-2</v>
      </c>
      <c r="AU39" s="3">
        <v>0.11100000143051147</v>
      </c>
      <c r="AV39" s="3">
        <v>2.199999988079071E-2</v>
      </c>
      <c r="AW39" s="3">
        <v>3.0000000260770321E-3</v>
      </c>
      <c r="AY39" s="3">
        <f t="shared" ca="1" si="90"/>
        <v>0.11620947630922698</v>
      </c>
      <c r="AZ39" s="3">
        <f t="shared" ca="1" si="91"/>
        <v>0.10770381451009718</v>
      </c>
      <c r="BA39" s="3">
        <f t="shared" ca="1" si="92"/>
        <v>9.9750623441396541E-2</v>
      </c>
      <c r="BB39" s="3">
        <f t="shared" ca="1" si="93"/>
        <v>0.2408376963350784</v>
      </c>
      <c r="BD39" s="3">
        <f t="shared" ca="1" si="94"/>
        <v>0.11221946326277203</v>
      </c>
      <c r="BE39" s="3">
        <f t="shared" ca="1" si="95"/>
        <v>0.14958859262725593</v>
      </c>
      <c r="BF39" s="3">
        <f t="shared" ca="1" si="96"/>
        <v>9.5511255716147866E-2</v>
      </c>
      <c r="BG39" s="3">
        <f t="shared" ca="1" si="97"/>
        <v>0.23261032642379154</v>
      </c>
      <c r="BI39" s="3">
        <f t="shared" ca="1" si="98"/>
        <v>0.49875311720698257</v>
      </c>
      <c r="BJ39" s="3">
        <f t="shared" ca="1" si="99"/>
        <v>0.74794315632011965</v>
      </c>
      <c r="BK39" s="3">
        <f t="shared" ca="1" si="100"/>
        <v>0.24937655860349128</v>
      </c>
      <c r="BL39" s="3">
        <f t="shared" ca="1" si="101"/>
        <v>0.74794315632011965</v>
      </c>
      <c r="BN39" s="3">
        <f t="shared" ca="1" si="102"/>
        <v>1.2468827930174564</v>
      </c>
      <c r="BO39" s="3">
        <f t="shared" ca="1" si="103"/>
        <v>2.2438294689603588</v>
      </c>
      <c r="BP39" s="3">
        <f t="shared" ca="1" si="104"/>
        <v>0.74812967581047385</v>
      </c>
      <c r="BQ39" s="3">
        <f t="shared" ca="1" si="105"/>
        <v>3.4904013961605584</v>
      </c>
      <c r="BS39" s="3">
        <v>1.3300000429153442</v>
      </c>
      <c r="BT39" s="3">
        <v>0.6940000057220459</v>
      </c>
      <c r="BU39" s="3">
        <v>1.937999963760376</v>
      </c>
      <c r="BV39" s="3">
        <v>3.0000000260770321E-3</v>
      </c>
      <c r="BX39" s="3">
        <f t="shared" ca="1" si="106"/>
        <v>0</v>
      </c>
      <c r="BY39" s="3">
        <f t="shared" ca="1" si="107"/>
        <v>0</v>
      </c>
      <c r="BZ39" s="3">
        <f t="shared" ca="1" si="108"/>
        <v>0</v>
      </c>
      <c r="CA39" s="3">
        <f t="shared" ca="1" si="109"/>
        <v>0</v>
      </c>
      <c r="CC39" s="3">
        <f t="shared" ca="1" si="110"/>
        <v>0</v>
      </c>
      <c r="CD39" s="3">
        <f t="shared" ca="1" si="111"/>
        <v>0</v>
      </c>
      <c r="CE39" s="3">
        <f t="shared" ca="1" si="112"/>
        <v>0</v>
      </c>
      <c r="CF39" s="3">
        <f t="shared" ca="1" si="113"/>
        <v>0</v>
      </c>
      <c r="CH39" s="3">
        <f t="shared" ca="1" si="114"/>
        <v>0</v>
      </c>
      <c r="CI39" s="3">
        <f t="shared" ca="1" si="115"/>
        <v>0</v>
      </c>
      <c r="CJ39" s="3">
        <f t="shared" ca="1" si="116"/>
        <v>0</v>
      </c>
      <c r="CK39" s="3">
        <f t="shared" ca="1" si="117"/>
        <v>0</v>
      </c>
      <c r="CM39" s="3">
        <f t="shared" ca="1" si="118"/>
        <v>0</v>
      </c>
      <c r="CN39" s="3">
        <f t="shared" ca="1" si="119"/>
        <v>0</v>
      </c>
      <c r="CO39" s="3">
        <f t="shared" ca="1" si="120"/>
        <v>0</v>
      </c>
      <c r="CP39" s="3">
        <f t="shared" ca="1" si="121"/>
        <v>0</v>
      </c>
      <c r="CR39" s="3">
        <v>4.01</v>
      </c>
      <c r="CS39" s="3">
        <v>4.0110000000000001</v>
      </c>
      <c r="CT39" s="3">
        <v>4.01</v>
      </c>
      <c r="CU39" s="3">
        <v>4.0110000000000001</v>
      </c>
      <c r="CV39" s="21">
        <f t="shared" ca="1" si="61"/>
        <v>9.5511255716147866E-2</v>
      </c>
      <c r="CW39" s="16">
        <f t="shared" ca="1" si="60"/>
        <v>6.25</v>
      </c>
    </row>
    <row r="40" spans="1:101" s="3" customFormat="1" x14ac:dyDescent="0.35">
      <c r="A40" s="2" t="s">
        <v>51</v>
      </c>
      <c r="B40" s="2">
        <v>6.25</v>
      </c>
      <c r="C40" s="2" t="s">
        <v>167</v>
      </c>
      <c r="D40" s="2" t="s">
        <v>403</v>
      </c>
      <c r="F40" s="11" t="e">
        <v>#N/A</v>
      </c>
      <c r="G40" s="3">
        <v>3.0429999999999997</v>
      </c>
      <c r="H40" s="3">
        <v>4.01</v>
      </c>
      <c r="I40" s="3">
        <v>4.01</v>
      </c>
      <c r="K40" s="3" t="e">
        <f t="shared" ca="1" si="62"/>
        <v>#N/A</v>
      </c>
      <c r="L40" s="3">
        <f t="shared" ca="1" si="63"/>
        <v>0.98061123890897151</v>
      </c>
      <c r="M40" s="3">
        <f t="shared" ca="1" si="64"/>
        <v>0.99725685785536167</v>
      </c>
      <c r="N40" s="3">
        <f t="shared" ca="1" si="65"/>
        <v>0.99725685785536167</v>
      </c>
      <c r="P40" s="3" t="e">
        <f t="shared" ca="1" si="66"/>
        <v>#N/A</v>
      </c>
      <c r="Q40" s="3">
        <f t="shared" ca="1" si="67"/>
        <v>0.89286888557517763</v>
      </c>
      <c r="R40" s="3">
        <f t="shared" ca="1" si="68"/>
        <v>0.95536162301043326</v>
      </c>
      <c r="S40" s="3">
        <f t="shared" ca="1" si="69"/>
        <v>0.74837895997444592</v>
      </c>
      <c r="U40" s="3" t="e">
        <f t="shared" ca="1" si="70"/>
        <v>#N/A</v>
      </c>
      <c r="V40" s="3">
        <f t="shared" ca="1" si="71"/>
        <v>3.2862306933946765</v>
      </c>
      <c r="W40" s="3">
        <f t="shared" ca="1" si="72"/>
        <v>2.4937655860349128</v>
      </c>
      <c r="X40" s="3">
        <f t="shared" ca="1" si="73"/>
        <v>2.4937655860349128</v>
      </c>
      <c r="Z40" s="3" t="e">
        <f t="shared" ca="1" si="74"/>
        <v>#N/A</v>
      </c>
      <c r="AA40" s="3">
        <f t="shared" ca="1" si="75"/>
        <v>0.99145580019717394</v>
      </c>
      <c r="AB40" s="3">
        <f t="shared" ca="1" si="76"/>
        <v>0.99301745635910232</v>
      </c>
      <c r="AC40" s="3">
        <f t="shared" ca="1" si="77"/>
        <v>0.9017456359102245</v>
      </c>
      <c r="AE40" s="3" t="e">
        <f t="shared" ca="1" si="78"/>
        <v>#N/A</v>
      </c>
      <c r="AF40" s="3">
        <f t="shared" ca="1" si="79"/>
        <v>0.89286888557517763</v>
      </c>
      <c r="AG40" s="3">
        <f t="shared" ca="1" si="80"/>
        <v>0.95536162301043326</v>
      </c>
      <c r="AH40" s="3">
        <f t="shared" ca="1" si="81"/>
        <v>0.74837895997444592</v>
      </c>
      <c r="AJ40" s="3" t="e">
        <f t="shared" ca="1" si="82"/>
        <v>#N/A</v>
      </c>
      <c r="AK40" s="3">
        <f t="shared" ca="1" si="83"/>
        <v>3.2862306933946765</v>
      </c>
      <c r="AL40" s="3">
        <f t="shared" ca="1" si="84"/>
        <v>2.4937655860349128</v>
      </c>
      <c r="AM40" s="3">
        <f t="shared" ca="1" si="85"/>
        <v>2.4937655860349128</v>
      </c>
      <c r="AO40" s="3" t="e">
        <f t="shared" ca="1" si="86"/>
        <v>#N/A</v>
      </c>
      <c r="AP40" s="3">
        <f t="shared" ca="1" si="87"/>
        <v>0.65724613867893533</v>
      </c>
      <c r="AQ40" s="3">
        <f t="shared" ca="1" si="88"/>
        <v>0.24937655860349128</v>
      </c>
      <c r="AR40" s="3">
        <f t="shared" ca="1" si="89"/>
        <v>0.49875311720698257</v>
      </c>
      <c r="AT40" s="11" t="e">
        <v>#N/A</v>
      </c>
      <c r="AU40" s="3">
        <v>1.3000000268220901E-2</v>
      </c>
      <c r="AV40" s="3">
        <v>1.7000000923871994E-2</v>
      </c>
      <c r="AW40" s="3">
        <v>0.47200000286102295</v>
      </c>
      <c r="AY40" s="3" t="e">
        <f t="shared" ca="1" si="90"/>
        <v>#N/A</v>
      </c>
      <c r="AZ40" s="3">
        <f t="shared" ca="1" si="91"/>
        <v>0.14262241209332888</v>
      </c>
      <c r="BA40" s="3">
        <f t="shared" ca="1" si="92"/>
        <v>0.54014962593516203</v>
      </c>
      <c r="BB40" s="3">
        <f t="shared" ca="1" si="93"/>
        <v>0.66907730673316723</v>
      </c>
      <c r="BD40" s="3" t="e">
        <f t="shared" ca="1" si="94"/>
        <v>#N/A</v>
      </c>
      <c r="BE40" s="3">
        <f t="shared" ca="1" si="95"/>
        <v>0.11501810169125952</v>
      </c>
      <c r="BF40" s="3">
        <f t="shared" ca="1" si="96"/>
        <v>0.50249377688267582</v>
      </c>
      <c r="BG40" s="3">
        <f t="shared" ca="1" si="97"/>
        <v>0.59875304859475309</v>
      </c>
      <c r="BI40" s="3" t="e">
        <f t="shared" ca="1" si="98"/>
        <v>#N/A</v>
      </c>
      <c r="BJ40" s="3">
        <f t="shared" ca="1" si="99"/>
        <v>0.65724613867893533</v>
      </c>
      <c r="BK40" s="3">
        <f t="shared" ca="1" si="100"/>
        <v>1.4962593516209477</v>
      </c>
      <c r="BL40" s="3">
        <f t="shared" ca="1" si="101"/>
        <v>1.9950124688279303</v>
      </c>
      <c r="BN40" s="3" t="e">
        <f t="shared" ca="1" si="102"/>
        <v>#N/A</v>
      </c>
      <c r="BO40" s="3">
        <f t="shared" ca="1" si="103"/>
        <v>0.65724613867893533</v>
      </c>
      <c r="BP40" s="3">
        <f t="shared" ca="1" si="104"/>
        <v>0.99750623441396513</v>
      </c>
      <c r="BQ40" s="3">
        <f t="shared" ca="1" si="105"/>
        <v>1.2468827930174564</v>
      </c>
      <c r="BS40" s="11" t="e">
        <v>#N/A</v>
      </c>
      <c r="BT40" s="3">
        <v>0.56300002336502075</v>
      </c>
      <c r="BU40" s="3">
        <v>0.66699999570846558</v>
      </c>
      <c r="BV40" s="3">
        <v>0.47200000286102295</v>
      </c>
      <c r="BX40" s="3" t="e">
        <f t="shared" ca="1" si="106"/>
        <v>#N/A</v>
      </c>
      <c r="BY40" s="3">
        <f t="shared" ca="1" si="107"/>
        <v>0.23003614853762727</v>
      </c>
      <c r="BZ40" s="3">
        <f t="shared" ca="1" si="108"/>
        <v>0</v>
      </c>
      <c r="CA40" s="3">
        <f t="shared" ca="1" si="109"/>
        <v>0</v>
      </c>
      <c r="CC40" s="3" t="e">
        <f t="shared" ca="1" si="110"/>
        <v>#N/A</v>
      </c>
      <c r="CD40" s="3">
        <f t="shared" ca="1" si="111"/>
        <v>0.20276044804212337</v>
      </c>
      <c r="CE40" s="3">
        <f t="shared" ca="1" si="112"/>
        <v>0</v>
      </c>
      <c r="CF40" s="3">
        <f t="shared" ca="1" si="113"/>
        <v>0</v>
      </c>
      <c r="CH40" s="3" t="e">
        <f t="shared" ca="1" si="114"/>
        <v>#N/A</v>
      </c>
      <c r="CI40" s="3">
        <f t="shared" ca="1" si="115"/>
        <v>0.98586920801840294</v>
      </c>
      <c r="CJ40" s="3">
        <f t="shared" ca="1" si="116"/>
        <v>0</v>
      </c>
      <c r="CK40" s="3">
        <f t="shared" ca="1" si="117"/>
        <v>0</v>
      </c>
      <c r="CM40" s="3" t="e">
        <f t="shared" ca="1" si="118"/>
        <v>#N/A</v>
      </c>
      <c r="CN40" s="3">
        <f t="shared" ca="1" si="119"/>
        <v>0.65724613867893533</v>
      </c>
      <c r="CO40" s="3">
        <f t="shared" ca="1" si="120"/>
        <v>0</v>
      </c>
      <c r="CP40" s="3">
        <f t="shared" ca="1" si="121"/>
        <v>0.24937655860349128</v>
      </c>
      <c r="CR40" s="11" t="e">
        <v>#N/A</v>
      </c>
      <c r="CS40" s="3">
        <v>0.93000000715255737</v>
      </c>
      <c r="CT40" s="3">
        <v>4.01</v>
      </c>
      <c r="CU40" s="3">
        <v>4.01</v>
      </c>
      <c r="CV40" s="21">
        <f t="shared" ca="1" si="61"/>
        <v>0.50249377688267582</v>
      </c>
      <c r="CW40" s="16">
        <f t="shared" ca="1" si="60"/>
        <v>6.25</v>
      </c>
    </row>
    <row r="41" spans="1:101" s="3" customFormat="1" x14ac:dyDescent="0.35">
      <c r="A41" s="2" t="s">
        <v>87</v>
      </c>
      <c r="B41" s="2">
        <v>6.333333333333333</v>
      </c>
      <c r="C41" s="2" t="s">
        <v>167</v>
      </c>
      <c r="D41" s="2" t="s">
        <v>403</v>
      </c>
      <c r="F41" s="3">
        <v>4.0259999999999998</v>
      </c>
      <c r="G41" s="3">
        <v>4.0359999999999996</v>
      </c>
      <c r="H41" s="3">
        <v>4.0110000000000001</v>
      </c>
      <c r="I41" s="3">
        <v>4.0110000000000001</v>
      </c>
      <c r="K41" s="3">
        <f t="shared" ca="1" si="62"/>
        <v>0.99751614505712871</v>
      </c>
      <c r="L41" s="3">
        <f t="shared" ca="1" si="63"/>
        <v>0.99504459861248773</v>
      </c>
      <c r="M41" s="3">
        <f t="shared" ca="1" si="64"/>
        <v>0.9970082273747195</v>
      </c>
      <c r="N41" s="3">
        <f t="shared" ca="1" si="65"/>
        <v>0.9970082273747195</v>
      </c>
      <c r="P41" s="3">
        <f t="shared" ca="1" si="66"/>
        <v>0.93989081829286636</v>
      </c>
      <c r="Q41" s="3">
        <f t="shared" ca="1" si="67"/>
        <v>0.81739334871381442</v>
      </c>
      <c r="R41" s="3">
        <f t="shared" ca="1" si="68"/>
        <v>0.8768386038485102</v>
      </c>
      <c r="S41" s="3">
        <f t="shared" ca="1" si="69"/>
        <v>0.84293190282134456</v>
      </c>
      <c r="U41" s="3">
        <f t="shared" ca="1" si="70"/>
        <v>1.9870839542970691</v>
      </c>
      <c r="V41" s="3">
        <f t="shared" ca="1" si="71"/>
        <v>1.9821605550049557</v>
      </c>
      <c r="W41" s="3">
        <f t="shared" ca="1" si="72"/>
        <v>2.4931438544003988</v>
      </c>
      <c r="X41" s="3">
        <f t="shared" ca="1" si="73"/>
        <v>2.4931438544003988</v>
      </c>
      <c r="Z41" s="3">
        <f t="shared" ca="1" si="74"/>
        <v>0.99751614505712871</v>
      </c>
      <c r="AA41" s="3">
        <f t="shared" ca="1" si="75"/>
        <v>0.87091179385530249</v>
      </c>
      <c r="AB41" s="3">
        <f t="shared" ca="1" si="76"/>
        <v>0.9970082273747195</v>
      </c>
      <c r="AC41" s="3">
        <f t="shared" ca="1" si="77"/>
        <v>0.9970082273747195</v>
      </c>
      <c r="AE41" s="3">
        <f t="shared" ca="1" si="78"/>
        <v>0.93989081829286636</v>
      </c>
      <c r="AF41" s="3">
        <f t="shared" ca="1" si="79"/>
        <v>0.81739334871381442</v>
      </c>
      <c r="AG41" s="3">
        <f t="shared" ca="1" si="80"/>
        <v>0.8768386038485102</v>
      </c>
      <c r="AH41" s="3">
        <f t="shared" ca="1" si="81"/>
        <v>0.84293190282134456</v>
      </c>
      <c r="AJ41" s="3">
        <f t="shared" ca="1" si="82"/>
        <v>1.9870839542970691</v>
      </c>
      <c r="AK41" s="3">
        <f t="shared" ca="1" si="83"/>
        <v>1.9821605550049557</v>
      </c>
      <c r="AL41" s="3">
        <f t="shared" ca="1" si="84"/>
        <v>2.4931438544003988</v>
      </c>
      <c r="AM41" s="3">
        <f t="shared" ca="1" si="85"/>
        <v>2.4931438544003988</v>
      </c>
      <c r="AO41" s="3">
        <f t="shared" ca="1" si="86"/>
        <v>0.24838549428713363</v>
      </c>
      <c r="AP41" s="3">
        <f t="shared" ca="1" si="87"/>
        <v>0.74331020812685833</v>
      </c>
      <c r="AQ41" s="3">
        <f t="shared" ca="1" si="88"/>
        <v>0.24931438544003989</v>
      </c>
      <c r="AR41" s="3">
        <f t="shared" ca="1" si="89"/>
        <v>0.24931438544003989</v>
      </c>
      <c r="AT41" s="3">
        <v>4.0000001899898052E-3</v>
      </c>
      <c r="AU41" s="3">
        <v>1.0999999940395355E-2</v>
      </c>
      <c r="AV41" s="3">
        <v>4.0000001899898052E-3</v>
      </c>
      <c r="AW41" s="3">
        <v>7.0000002160668373E-3</v>
      </c>
      <c r="AY41" s="3">
        <f t="shared" ca="1" si="90"/>
        <v>0.33109786388474932</v>
      </c>
      <c r="AZ41" s="3">
        <f t="shared" ca="1" si="91"/>
        <v>0.5616947472745295</v>
      </c>
      <c r="BA41" s="3">
        <f t="shared" ca="1" si="92"/>
        <v>0.71902268760907506</v>
      </c>
      <c r="BB41" s="3">
        <f t="shared" ca="1" si="93"/>
        <v>0.3819496384941411</v>
      </c>
      <c r="BD41" s="3">
        <f t="shared" ca="1" si="94"/>
        <v>0.33979137313366681</v>
      </c>
      <c r="BE41" s="3">
        <f t="shared" ca="1" si="95"/>
        <v>0.53691769496891262</v>
      </c>
      <c r="BF41" s="3">
        <f t="shared" ca="1" si="96"/>
        <v>0.55297922386667786</v>
      </c>
      <c r="BG41" s="3">
        <f t="shared" ca="1" si="97"/>
        <v>0.38219884695539569</v>
      </c>
      <c r="BI41" s="3">
        <f t="shared" ca="1" si="98"/>
        <v>0.7451564828614009</v>
      </c>
      <c r="BJ41" s="3">
        <f t="shared" ca="1" si="99"/>
        <v>1.2388503468780971</v>
      </c>
      <c r="BK41" s="3">
        <f t="shared" ca="1" si="100"/>
        <v>1.9945150835203191</v>
      </c>
      <c r="BL41" s="3">
        <f t="shared" ca="1" si="101"/>
        <v>1.2465719272001994</v>
      </c>
      <c r="BN41" s="3">
        <f t="shared" ca="1" si="102"/>
        <v>1.2419274714356683</v>
      </c>
      <c r="BO41" s="3">
        <f t="shared" ca="1" si="103"/>
        <v>1.2388503468780971</v>
      </c>
      <c r="BP41" s="3">
        <f t="shared" ca="1" si="104"/>
        <v>1.4958863126402393</v>
      </c>
      <c r="BQ41" s="3">
        <f t="shared" ca="1" si="105"/>
        <v>1.7452006980802792</v>
      </c>
      <c r="BS41" s="3">
        <v>4.0000001899898052E-3</v>
      </c>
      <c r="BT41" s="3">
        <v>0.47699999809265137</v>
      </c>
      <c r="BU41" s="3">
        <v>0.41999998688697815</v>
      </c>
      <c r="BV41" s="3">
        <v>0.32400000095367432</v>
      </c>
      <c r="BX41" s="3">
        <f t="shared" ca="1" si="106"/>
        <v>0</v>
      </c>
      <c r="BY41" s="3">
        <f t="shared" ca="1" si="107"/>
        <v>0</v>
      </c>
      <c r="BZ41" s="3">
        <f t="shared" ca="1" si="108"/>
        <v>0</v>
      </c>
      <c r="CA41" s="3">
        <f t="shared" ca="1" si="109"/>
        <v>1.6454749439042592E-2</v>
      </c>
      <c r="CC41" s="3">
        <f t="shared" ca="1" si="110"/>
        <v>0</v>
      </c>
      <c r="CD41" s="3">
        <f t="shared" ca="1" si="111"/>
        <v>0</v>
      </c>
      <c r="CE41" s="3">
        <f t="shared" ca="1" si="112"/>
        <v>0</v>
      </c>
      <c r="CF41" s="3">
        <f t="shared" ca="1" si="113"/>
        <v>0</v>
      </c>
      <c r="CH41" s="3">
        <f t="shared" ca="1" si="114"/>
        <v>0</v>
      </c>
      <c r="CI41" s="3">
        <f t="shared" ca="1" si="115"/>
        <v>0</v>
      </c>
      <c r="CJ41" s="3">
        <f t="shared" ca="1" si="116"/>
        <v>0</v>
      </c>
      <c r="CK41" s="3">
        <f t="shared" ca="1" si="117"/>
        <v>0</v>
      </c>
      <c r="CM41" s="3">
        <f t="shared" ca="1" si="118"/>
        <v>0</v>
      </c>
      <c r="CN41" s="3">
        <f t="shared" ca="1" si="119"/>
        <v>0</v>
      </c>
      <c r="CO41" s="3">
        <f t="shared" ca="1" si="120"/>
        <v>0</v>
      </c>
      <c r="CP41" s="3">
        <f t="shared" ca="1" si="121"/>
        <v>0.74794315632011965</v>
      </c>
      <c r="CR41" s="3">
        <v>4.0259999999999998</v>
      </c>
      <c r="CS41" s="3">
        <v>4.0359999999999996</v>
      </c>
      <c r="CT41" s="3">
        <v>4.0110000000000001</v>
      </c>
      <c r="CU41" s="3">
        <v>4.0110000000000001</v>
      </c>
      <c r="CV41" s="21">
        <f t="shared" ca="1" si="61"/>
        <v>0.55297922386667786</v>
      </c>
      <c r="CW41" s="16">
        <f t="shared" ca="1" si="60"/>
        <v>6.333333333333333</v>
      </c>
    </row>
    <row r="42" spans="1:101" s="3" customFormat="1" x14ac:dyDescent="0.35">
      <c r="A42" s="2" t="s">
        <v>55</v>
      </c>
      <c r="B42" s="2">
        <v>6.416666666666667</v>
      </c>
      <c r="C42" s="2" t="s">
        <v>168</v>
      </c>
      <c r="D42" s="2" t="s">
        <v>403</v>
      </c>
      <c r="F42" s="3">
        <v>2.9099999999999997</v>
      </c>
      <c r="G42" s="11" t="e">
        <v>#N/A</v>
      </c>
      <c r="H42" s="3">
        <v>4.0270000000000001</v>
      </c>
      <c r="I42" s="3">
        <v>0.96499999999999986</v>
      </c>
      <c r="K42" s="3">
        <f t="shared" ca="1" si="62"/>
        <v>0.89931271477663244</v>
      </c>
      <c r="L42" s="3" t="e">
        <f t="shared" ca="1" si="63"/>
        <v>#N/A</v>
      </c>
      <c r="M42" s="3">
        <f t="shared" ca="1" si="64"/>
        <v>0.95157685622051147</v>
      </c>
      <c r="N42" s="3" t="e">
        <f t="shared" ca="1" si="65"/>
        <v>#N/A</v>
      </c>
      <c r="P42" s="3">
        <f t="shared" ca="1" si="66"/>
        <v>0.74467358765067526</v>
      </c>
      <c r="Q42" s="3" t="e">
        <f t="shared" ca="1" si="67"/>
        <v>#N/A</v>
      </c>
      <c r="R42" s="3">
        <f t="shared" ca="1" si="68"/>
        <v>0.84827405102005182</v>
      </c>
      <c r="S42" s="3" t="e">
        <f t="shared" ca="1" si="69"/>
        <v>#N/A</v>
      </c>
      <c r="U42" s="3">
        <f t="shared" ca="1" si="70"/>
        <v>1.3745704467353954</v>
      </c>
      <c r="V42" s="3" t="e">
        <f t="shared" ca="1" si="71"/>
        <v>#N/A</v>
      </c>
      <c r="W42" s="3">
        <f t="shared" ca="1" si="72"/>
        <v>3.4765333995530172</v>
      </c>
      <c r="X42" s="3" t="e">
        <f t="shared" ca="1" si="73"/>
        <v>#N/A</v>
      </c>
      <c r="Z42" s="3">
        <f t="shared" ca="1" si="74"/>
        <v>0.89931271477663244</v>
      </c>
      <c r="AA42" s="3" t="e">
        <f t="shared" ca="1" si="75"/>
        <v>#N/A</v>
      </c>
      <c r="AB42" s="3">
        <f t="shared" ca="1" si="76"/>
        <v>0.82319344425130381</v>
      </c>
      <c r="AC42" s="3" t="e">
        <f t="shared" ca="1" si="77"/>
        <v>#N/A</v>
      </c>
      <c r="AE42" s="3">
        <f t="shared" ca="1" si="78"/>
        <v>0.74467358765067526</v>
      </c>
      <c r="AF42" s="3" t="e">
        <f t="shared" ca="1" si="79"/>
        <v>#N/A</v>
      </c>
      <c r="AG42" s="3">
        <f t="shared" ca="1" si="80"/>
        <v>0.75713924481735828</v>
      </c>
      <c r="AH42" s="3" t="e">
        <f t="shared" ca="1" si="81"/>
        <v>#N/A</v>
      </c>
      <c r="AJ42" s="3">
        <f t="shared" ca="1" si="82"/>
        <v>1.3745704467353954</v>
      </c>
      <c r="AK42" s="3" t="e">
        <f t="shared" ca="1" si="83"/>
        <v>#N/A</v>
      </c>
      <c r="AL42" s="3">
        <f t="shared" ca="1" si="84"/>
        <v>2.9798857710454429</v>
      </c>
      <c r="AM42" s="3" t="e">
        <f t="shared" ca="1" si="85"/>
        <v>#N/A</v>
      </c>
      <c r="AO42" s="3">
        <f t="shared" ca="1" si="86"/>
        <v>0.68728522336769771</v>
      </c>
      <c r="AP42" s="3" t="e">
        <f t="shared" ca="1" si="87"/>
        <v>#N/A</v>
      </c>
      <c r="AQ42" s="3">
        <f t="shared" ca="1" si="88"/>
        <v>0.99329525701514776</v>
      </c>
      <c r="AR42" s="3" t="e">
        <f t="shared" ca="1" si="89"/>
        <v>#N/A</v>
      </c>
      <c r="AT42" s="3">
        <v>4.999999888241291E-3</v>
      </c>
      <c r="AU42" s="11" t="e">
        <v>#N/A</v>
      </c>
      <c r="AV42" s="3">
        <v>6.0000000521540642E-3</v>
      </c>
      <c r="AW42" s="11" t="e">
        <v>#N/A</v>
      </c>
      <c r="AY42" s="3">
        <f t="shared" ca="1" si="90"/>
        <v>0</v>
      </c>
      <c r="AZ42" s="3" t="e">
        <f t="shared" ca="1" si="91"/>
        <v>#N/A</v>
      </c>
      <c r="BA42" s="3">
        <f t="shared" ca="1" si="92"/>
        <v>8.2691830146511033E-2</v>
      </c>
      <c r="BB42" s="3" t="e">
        <f t="shared" ca="1" si="93"/>
        <v>#N/A</v>
      </c>
      <c r="BD42" s="3">
        <f t="shared" ca="1" si="94"/>
        <v>0</v>
      </c>
      <c r="BE42" s="3" t="e">
        <f t="shared" ca="1" si="95"/>
        <v>#N/A</v>
      </c>
      <c r="BF42" s="3">
        <f t="shared" ca="1" si="96"/>
        <v>4.5443250193381565E-2</v>
      </c>
      <c r="BG42" s="3" t="e">
        <f t="shared" ca="1" si="97"/>
        <v>#N/A</v>
      </c>
      <c r="BI42" s="3">
        <f t="shared" ca="1" si="98"/>
        <v>0</v>
      </c>
      <c r="BJ42" s="3" t="e">
        <f t="shared" ca="1" si="99"/>
        <v>#N/A</v>
      </c>
      <c r="BK42" s="3">
        <f t="shared" ca="1" si="100"/>
        <v>0.24832381425378694</v>
      </c>
      <c r="BL42" s="3" t="e">
        <f t="shared" ca="1" si="101"/>
        <v>#N/A</v>
      </c>
      <c r="BN42" s="3">
        <f t="shared" ca="1" si="102"/>
        <v>0</v>
      </c>
      <c r="BO42" s="3" t="e">
        <f t="shared" ca="1" si="103"/>
        <v>#N/A</v>
      </c>
      <c r="BP42" s="3">
        <f t="shared" ca="1" si="104"/>
        <v>0.74497144276136074</v>
      </c>
      <c r="BQ42" s="3" t="e">
        <f t="shared" ca="1" si="105"/>
        <v>#N/A</v>
      </c>
      <c r="BS42" s="3">
        <v>4.0259999999999998</v>
      </c>
      <c r="BT42" s="11" t="e">
        <v>#N/A</v>
      </c>
      <c r="BU42" s="3">
        <v>1.621999979019165</v>
      </c>
      <c r="BV42" s="11" t="e">
        <v>#N/A</v>
      </c>
      <c r="BX42" s="3">
        <f t="shared" ca="1" si="106"/>
        <v>0.14914089347079046</v>
      </c>
      <c r="BY42" s="3" t="e">
        <f t="shared" ca="1" si="107"/>
        <v>#N/A</v>
      </c>
      <c r="BZ42" s="3">
        <f t="shared" ca="1" si="108"/>
        <v>0.11994040228457908</v>
      </c>
      <c r="CA42" s="3" t="e">
        <f t="shared" ca="1" si="109"/>
        <v>#N/A</v>
      </c>
      <c r="CC42" s="3">
        <f t="shared" ca="1" si="110"/>
        <v>0.12611685339937506</v>
      </c>
      <c r="CD42" s="3" t="e">
        <f t="shared" ca="1" si="111"/>
        <v>#N/A</v>
      </c>
      <c r="CE42" s="3">
        <f t="shared" ca="1" si="112"/>
        <v>0.16538366543090696</v>
      </c>
      <c r="CF42" s="3" t="e">
        <f t="shared" ca="1" si="113"/>
        <v>#N/A</v>
      </c>
      <c r="CH42" s="3">
        <f t="shared" ca="1" si="114"/>
        <v>0.34364261168384885</v>
      </c>
      <c r="CI42" s="3" t="e">
        <f t="shared" ca="1" si="115"/>
        <v>#N/A</v>
      </c>
      <c r="CJ42" s="3">
        <f t="shared" ca="1" si="116"/>
        <v>0.49664762850757388</v>
      </c>
      <c r="CK42" s="3" t="e">
        <f t="shared" ca="1" si="117"/>
        <v>#N/A</v>
      </c>
      <c r="CM42" s="3">
        <f t="shared" ca="1" si="118"/>
        <v>1.3745704467353954</v>
      </c>
      <c r="CN42" s="3" t="e">
        <f t="shared" ca="1" si="119"/>
        <v>#N/A</v>
      </c>
      <c r="CO42" s="3">
        <f t="shared" ca="1" si="120"/>
        <v>0.74497144276136074</v>
      </c>
      <c r="CP42" s="3" t="e">
        <f t="shared" ca="1" si="121"/>
        <v>#N/A</v>
      </c>
      <c r="CR42" s="3">
        <v>0.7720000147819519</v>
      </c>
      <c r="CS42" s="11" t="e">
        <v>#N/A</v>
      </c>
      <c r="CT42" s="3">
        <v>6.0000000521540642E-3</v>
      </c>
      <c r="CU42" s="11" t="e">
        <v>#N/A</v>
      </c>
      <c r="CV42" s="21">
        <f t="shared" ca="1" si="61"/>
        <v>4.5443250193381565E-2</v>
      </c>
      <c r="CW42" s="16">
        <f t="shared" ca="1" si="60"/>
        <v>6.416666666666667</v>
      </c>
    </row>
    <row r="43" spans="1:101" s="3" customFormat="1" x14ac:dyDescent="0.35">
      <c r="A43" s="2" t="s">
        <v>72</v>
      </c>
      <c r="B43" s="2">
        <v>6.416666666666667</v>
      </c>
      <c r="C43" s="2" t="s">
        <v>168</v>
      </c>
      <c r="D43" s="2" t="s">
        <v>403</v>
      </c>
      <c r="F43" s="11" t="e">
        <v>#N/A</v>
      </c>
      <c r="G43" s="3">
        <v>4.0069999999999997</v>
      </c>
      <c r="H43" s="3">
        <v>4.008</v>
      </c>
      <c r="I43" s="11" t="e">
        <v>#N/A</v>
      </c>
      <c r="K43" s="3" t="e">
        <f t="shared" ca="1" si="62"/>
        <v>#N/A</v>
      </c>
      <c r="L43" s="3">
        <f t="shared" ca="1" si="63"/>
        <v>0.99775393062141271</v>
      </c>
      <c r="M43" s="3">
        <f t="shared" ca="1" si="64"/>
        <v>0.9977544910179641</v>
      </c>
      <c r="N43" s="3" t="e">
        <f t="shared" ca="1" si="65"/>
        <v>#N/A</v>
      </c>
      <c r="P43" s="3" t="e">
        <f t="shared" ca="1" si="66"/>
        <v>#N/A</v>
      </c>
      <c r="Q43" s="3">
        <f t="shared" ca="1" si="67"/>
        <v>0.89842774134779146</v>
      </c>
      <c r="R43" s="3">
        <f t="shared" ca="1" si="68"/>
        <v>0.95983032818452385</v>
      </c>
      <c r="S43" s="3" t="e">
        <f t="shared" ca="1" si="69"/>
        <v>#N/A</v>
      </c>
      <c r="U43" s="3" t="e">
        <f t="shared" ca="1" si="70"/>
        <v>#N/A</v>
      </c>
      <c r="V43" s="3">
        <f t="shared" ca="1" si="71"/>
        <v>2.2460693785874719</v>
      </c>
      <c r="W43" s="3">
        <f t="shared" ca="1" si="72"/>
        <v>2.2455089820359282</v>
      </c>
      <c r="X43" s="3" t="e">
        <f t="shared" ca="1" si="73"/>
        <v>#N/A</v>
      </c>
      <c r="Z43" s="3" t="e">
        <f t="shared" ca="1" si="74"/>
        <v>#N/A</v>
      </c>
      <c r="AA43" s="3">
        <f t="shared" ca="1" si="75"/>
        <v>0.99775393062141271</v>
      </c>
      <c r="AB43" s="3">
        <f t="shared" ca="1" si="76"/>
        <v>0.9977544910179641</v>
      </c>
      <c r="AC43" s="3" t="e">
        <f t="shared" ca="1" si="77"/>
        <v>#N/A</v>
      </c>
      <c r="AE43" s="3" t="e">
        <f t="shared" ca="1" si="78"/>
        <v>#N/A</v>
      </c>
      <c r="AF43" s="3">
        <f t="shared" ca="1" si="79"/>
        <v>0.89842774134779146</v>
      </c>
      <c r="AG43" s="3">
        <f t="shared" ca="1" si="80"/>
        <v>0.95983032818452385</v>
      </c>
      <c r="AH43" s="3" t="e">
        <f t="shared" ca="1" si="81"/>
        <v>#N/A</v>
      </c>
      <c r="AJ43" s="3" t="e">
        <f t="shared" ca="1" si="82"/>
        <v>#N/A</v>
      </c>
      <c r="AK43" s="3">
        <f t="shared" ca="1" si="83"/>
        <v>2.2460693785874719</v>
      </c>
      <c r="AL43" s="3">
        <f t="shared" ca="1" si="84"/>
        <v>2.2455089820359282</v>
      </c>
      <c r="AM43" s="3" t="e">
        <f t="shared" ca="1" si="85"/>
        <v>#N/A</v>
      </c>
      <c r="AO43" s="3" t="e">
        <f t="shared" ca="1" si="86"/>
        <v>#N/A</v>
      </c>
      <c r="AP43" s="3">
        <f t="shared" ca="1" si="87"/>
        <v>0.24956326428749689</v>
      </c>
      <c r="AQ43" s="3">
        <f t="shared" ca="1" si="88"/>
        <v>0.249500998003992</v>
      </c>
      <c r="AR43" s="3" t="e">
        <f t="shared" ca="1" si="89"/>
        <v>#N/A</v>
      </c>
      <c r="AT43" s="11" t="e">
        <v>#N/A</v>
      </c>
      <c r="AU43" s="3">
        <v>4.999999888241291E-3</v>
      </c>
      <c r="AV43" s="3">
        <v>6.0000000521540642E-3</v>
      </c>
      <c r="AW43" s="11" t="e">
        <v>#N/A</v>
      </c>
      <c r="AY43" s="3" t="e">
        <f t="shared" ca="1" si="90"/>
        <v>#N/A</v>
      </c>
      <c r="AZ43" s="3">
        <f t="shared" ca="1" si="91"/>
        <v>0.15348140753681069</v>
      </c>
      <c r="BA43" s="3">
        <f t="shared" ca="1" si="92"/>
        <v>0</v>
      </c>
      <c r="BB43" s="3" t="e">
        <f t="shared" ca="1" si="93"/>
        <v>#N/A</v>
      </c>
      <c r="BD43" s="3" t="e">
        <f t="shared" ca="1" si="94"/>
        <v>#N/A</v>
      </c>
      <c r="BE43" s="3">
        <f t="shared" ca="1" si="95"/>
        <v>0.19116546853629318</v>
      </c>
      <c r="BF43" s="3">
        <f t="shared" ca="1" si="96"/>
        <v>0</v>
      </c>
      <c r="BG43" s="3" t="e">
        <f t="shared" ca="1" si="97"/>
        <v>#N/A</v>
      </c>
      <c r="BI43" s="3" t="e">
        <f t="shared" ca="1" si="98"/>
        <v>#N/A</v>
      </c>
      <c r="BJ43" s="3">
        <f t="shared" ca="1" si="99"/>
        <v>0.49912652857499379</v>
      </c>
      <c r="BK43" s="3">
        <f t="shared" ca="1" si="100"/>
        <v>0</v>
      </c>
      <c r="BL43" s="3" t="e">
        <f t="shared" ca="1" si="101"/>
        <v>#N/A</v>
      </c>
      <c r="BN43" s="3" t="e">
        <f t="shared" ca="1" si="102"/>
        <v>#N/A</v>
      </c>
      <c r="BO43" s="3">
        <f t="shared" ca="1" si="103"/>
        <v>1.2478163214374844</v>
      </c>
      <c r="BP43" s="3">
        <f t="shared" ca="1" si="104"/>
        <v>0</v>
      </c>
      <c r="BQ43" s="3" t="e">
        <f t="shared" ca="1" si="105"/>
        <v>#N/A</v>
      </c>
      <c r="BS43" s="11" t="e">
        <v>#N/A</v>
      </c>
      <c r="BT43" s="3">
        <v>1.687999963760376</v>
      </c>
      <c r="BU43" s="3">
        <v>4.008</v>
      </c>
      <c r="BV43" s="11" t="e">
        <v>#N/A</v>
      </c>
      <c r="BX43" s="3" t="e">
        <f t="shared" ca="1" si="106"/>
        <v>#N/A</v>
      </c>
      <c r="BY43" s="3">
        <f t="shared" ca="1" si="107"/>
        <v>3.9930122285999538E-3</v>
      </c>
      <c r="BZ43" s="3">
        <f t="shared" ca="1" si="108"/>
        <v>0.49900199600798401</v>
      </c>
      <c r="CA43" s="3" t="e">
        <f t="shared" ca="1" si="109"/>
        <v>#N/A</v>
      </c>
      <c r="CC43" s="3" t="e">
        <f t="shared" ca="1" si="110"/>
        <v>#N/A</v>
      </c>
      <c r="CD43" s="3">
        <f t="shared" ca="1" si="111"/>
        <v>0</v>
      </c>
      <c r="CE43" s="3">
        <f t="shared" ca="1" si="112"/>
        <v>0.63173656101838616</v>
      </c>
      <c r="CF43" s="3" t="e">
        <f t="shared" ca="1" si="113"/>
        <v>#N/A</v>
      </c>
      <c r="CH43" s="3" t="e">
        <f t="shared" ca="1" si="114"/>
        <v>#N/A</v>
      </c>
      <c r="CI43" s="3">
        <f t="shared" ca="1" si="115"/>
        <v>0</v>
      </c>
      <c r="CJ43" s="3">
        <f t="shared" ca="1" si="116"/>
        <v>1.2475049900199602</v>
      </c>
      <c r="CK43" s="3" t="e">
        <f t="shared" ca="1" si="117"/>
        <v>#N/A</v>
      </c>
      <c r="CM43" s="3" t="e">
        <f t="shared" ca="1" si="118"/>
        <v>#N/A</v>
      </c>
      <c r="CN43" s="3">
        <f t="shared" ca="1" si="119"/>
        <v>1.4973795857249814</v>
      </c>
      <c r="CO43" s="3">
        <f t="shared" ca="1" si="120"/>
        <v>1.2475049900199602</v>
      </c>
      <c r="CP43" s="3" t="e">
        <f t="shared" ca="1" si="121"/>
        <v>#N/A</v>
      </c>
      <c r="CR43" s="11" t="e">
        <v>#N/A</v>
      </c>
      <c r="CS43" s="3">
        <v>4.0069999999999997</v>
      </c>
      <c r="CT43" s="3">
        <v>6.0000000521540642E-3</v>
      </c>
      <c r="CU43" s="11" t="e">
        <v>#N/A</v>
      </c>
      <c r="CV43" s="21">
        <f t="shared" ca="1" si="61"/>
        <v>0</v>
      </c>
      <c r="CW43" s="16">
        <f t="shared" ca="1" si="60"/>
        <v>6.416666666666667</v>
      </c>
    </row>
    <row r="44" spans="1:101" s="3" customFormat="1" x14ac:dyDescent="0.35">
      <c r="A44" s="2" t="s">
        <v>93</v>
      </c>
      <c r="B44" s="2">
        <v>6.666666666666667</v>
      </c>
      <c r="C44" s="2" t="s">
        <v>167</v>
      </c>
      <c r="D44" s="2" t="s">
        <v>403</v>
      </c>
      <c r="F44" s="3">
        <v>1.6</v>
      </c>
      <c r="G44" s="3">
        <v>0.79900000000000038</v>
      </c>
      <c r="H44" s="11" t="e">
        <v>#N/A</v>
      </c>
      <c r="I44" s="3">
        <v>2.1440000000000001</v>
      </c>
      <c r="K44" s="3" t="e">
        <f t="shared" ca="1" si="62"/>
        <v>#N/A</v>
      </c>
      <c r="L44" s="3" t="e">
        <f t="shared" ca="1" si="63"/>
        <v>#N/A</v>
      </c>
      <c r="M44" s="3" t="e">
        <f t="shared" ca="1" si="64"/>
        <v>#N/A</v>
      </c>
      <c r="N44" s="3">
        <f t="shared" ca="1" si="65"/>
        <v>0.6833022388059703</v>
      </c>
      <c r="P44" s="3" t="e">
        <f t="shared" ca="1" si="66"/>
        <v>#N/A</v>
      </c>
      <c r="Q44" s="3" t="e">
        <f t="shared" ca="1" si="67"/>
        <v>#N/A</v>
      </c>
      <c r="R44" s="3" t="e">
        <f t="shared" ca="1" si="68"/>
        <v>#N/A</v>
      </c>
      <c r="S44" s="3">
        <f t="shared" ca="1" si="69"/>
        <v>0.48134331382922269</v>
      </c>
      <c r="U44" s="3" t="e">
        <f t="shared" ca="1" si="70"/>
        <v>#N/A</v>
      </c>
      <c r="V44" s="3" t="e">
        <f t="shared" ca="1" si="71"/>
        <v>#N/A</v>
      </c>
      <c r="W44" s="3" t="e">
        <f t="shared" ca="1" si="72"/>
        <v>#N/A</v>
      </c>
      <c r="X44" s="3">
        <f t="shared" ca="1" si="73"/>
        <v>0.46641791044776115</v>
      </c>
      <c r="Z44" s="3" t="e">
        <f t="shared" ca="1" si="74"/>
        <v>#N/A</v>
      </c>
      <c r="AA44" s="3" t="e">
        <f t="shared" ca="1" si="75"/>
        <v>#N/A</v>
      </c>
      <c r="AB44" s="3" t="e">
        <f t="shared" ca="1" si="76"/>
        <v>#N/A</v>
      </c>
      <c r="AC44" s="3">
        <f t="shared" ca="1" si="77"/>
        <v>0.49673507462686572</v>
      </c>
      <c r="AE44" s="3" t="e">
        <f t="shared" ca="1" si="78"/>
        <v>#N/A</v>
      </c>
      <c r="AF44" s="3" t="e">
        <f t="shared" ca="1" si="79"/>
        <v>#N/A</v>
      </c>
      <c r="AG44" s="3" t="e">
        <f t="shared" ca="1" si="80"/>
        <v>#N/A</v>
      </c>
      <c r="AH44" s="3">
        <f t="shared" ca="1" si="81"/>
        <v>0.48134331382922269</v>
      </c>
      <c r="AJ44" s="3" t="e">
        <f t="shared" ca="1" si="82"/>
        <v>#N/A</v>
      </c>
      <c r="AK44" s="3" t="e">
        <f t="shared" ca="1" si="83"/>
        <v>#N/A</v>
      </c>
      <c r="AL44" s="3" t="e">
        <f t="shared" ca="1" si="84"/>
        <v>#N/A</v>
      </c>
      <c r="AM44" s="3">
        <f t="shared" ca="1" si="85"/>
        <v>0.46641791044776115</v>
      </c>
      <c r="AO44" s="3" t="e">
        <f t="shared" ca="1" si="86"/>
        <v>#N/A</v>
      </c>
      <c r="AP44" s="3" t="e">
        <f t="shared" ca="1" si="87"/>
        <v>#N/A</v>
      </c>
      <c r="AQ44" s="3" t="e">
        <f t="shared" ca="1" si="88"/>
        <v>#N/A</v>
      </c>
      <c r="AR44" s="3">
        <f t="shared" ca="1" si="89"/>
        <v>1.3992537313432836</v>
      </c>
      <c r="AT44" s="11" t="e">
        <v>#N/A</v>
      </c>
      <c r="AU44" s="11" t="e">
        <v>#N/A</v>
      </c>
      <c r="AV44" s="11" t="e">
        <v>#N/A</v>
      </c>
      <c r="AW44" s="3">
        <v>2.246999979019165</v>
      </c>
      <c r="AY44" s="3" t="e">
        <f t="shared" ca="1" si="90"/>
        <v>#N/A</v>
      </c>
      <c r="AZ44" s="3" t="e">
        <f t="shared" ca="1" si="91"/>
        <v>#N/A</v>
      </c>
      <c r="BA44" s="3" t="e">
        <f t="shared" ca="1" si="92"/>
        <v>#N/A</v>
      </c>
      <c r="BB44" s="3">
        <f t="shared" ca="1" si="93"/>
        <v>0</v>
      </c>
      <c r="BD44" s="3" t="e">
        <f t="shared" ca="1" si="94"/>
        <v>#N/A</v>
      </c>
      <c r="BE44" s="3" t="e">
        <f t="shared" ca="1" si="95"/>
        <v>#N/A</v>
      </c>
      <c r="BF44" s="3" t="e">
        <f t="shared" ca="1" si="96"/>
        <v>#N/A</v>
      </c>
      <c r="BG44" s="3">
        <f t="shared" ca="1" si="97"/>
        <v>0</v>
      </c>
      <c r="BI44" s="3" t="e">
        <f t="shared" ca="1" si="98"/>
        <v>#N/A</v>
      </c>
      <c r="BJ44" s="3" t="e">
        <f t="shared" ca="1" si="99"/>
        <v>#N/A</v>
      </c>
      <c r="BK44" s="3" t="e">
        <f t="shared" ca="1" si="100"/>
        <v>#N/A</v>
      </c>
      <c r="BL44" s="3">
        <f t="shared" ca="1" si="101"/>
        <v>0</v>
      </c>
      <c r="BN44" s="3" t="e">
        <f t="shared" ca="1" si="102"/>
        <v>#N/A</v>
      </c>
      <c r="BO44" s="3" t="e">
        <f t="shared" ca="1" si="103"/>
        <v>#N/A</v>
      </c>
      <c r="BP44" s="3" t="e">
        <f t="shared" ca="1" si="104"/>
        <v>#N/A</v>
      </c>
      <c r="BQ44" s="3">
        <f t="shared" ca="1" si="105"/>
        <v>0</v>
      </c>
      <c r="BS44" s="11" t="e">
        <v>#N/A</v>
      </c>
      <c r="BT44" s="11" t="e">
        <v>#N/A</v>
      </c>
      <c r="BU44" s="11" t="e">
        <v>#N/A</v>
      </c>
      <c r="BV44" s="3">
        <v>4.008</v>
      </c>
      <c r="BX44" s="3" t="e">
        <f t="shared" ca="1" si="106"/>
        <v>#N/A</v>
      </c>
      <c r="BY44" s="3" t="e">
        <f t="shared" ca="1" si="107"/>
        <v>#N/A</v>
      </c>
      <c r="BZ44" s="3" t="e">
        <f t="shared" ca="1" si="108"/>
        <v>#N/A</v>
      </c>
      <c r="CA44" s="3">
        <f t="shared" ca="1" si="109"/>
        <v>0</v>
      </c>
      <c r="CC44" s="3" t="e">
        <f t="shared" ca="1" si="110"/>
        <v>#N/A</v>
      </c>
      <c r="CD44" s="3" t="e">
        <f t="shared" ca="1" si="111"/>
        <v>#N/A</v>
      </c>
      <c r="CE44" s="3" t="e">
        <f t="shared" ca="1" si="112"/>
        <v>#N/A</v>
      </c>
      <c r="CF44" s="3">
        <f t="shared" ca="1" si="113"/>
        <v>0</v>
      </c>
      <c r="CH44" s="3" t="e">
        <f t="shared" ca="1" si="114"/>
        <v>#N/A</v>
      </c>
      <c r="CI44" s="3" t="e">
        <f t="shared" ca="1" si="115"/>
        <v>#N/A</v>
      </c>
      <c r="CJ44" s="3" t="e">
        <f t="shared" ca="1" si="116"/>
        <v>#N/A</v>
      </c>
      <c r="CK44" s="3">
        <f t="shared" ca="1" si="117"/>
        <v>0</v>
      </c>
      <c r="CM44" s="3" t="e">
        <f t="shared" ca="1" si="118"/>
        <v>#N/A</v>
      </c>
      <c r="CN44" s="3" t="e">
        <f t="shared" ca="1" si="119"/>
        <v>#N/A</v>
      </c>
      <c r="CO44" s="3" t="e">
        <f t="shared" ca="1" si="120"/>
        <v>#N/A</v>
      </c>
      <c r="CP44" s="3">
        <f t="shared" ca="1" si="121"/>
        <v>0</v>
      </c>
      <c r="CR44" s="11" t="e">
        <v>#N/A</v>
      </c>
      <c r="CS44" s="11" t="e">
        <v>#N/A</v>
      </c>
      <c r="CT44" s="11" t="e">
        <v>#N/A</v>
      </c>
      <c r="CU44" s="3">
        <v>4.008</v>
      </c>
      <c r="CV44" s="21" t="e">
        <f t="shared" ca="1" si="61"/>
        <v>#N/A</v>
      </c>
      <c r="CW44" s="16">
        <f t="shared" ca="1" si="60"/>
        <v>6.666666666666667</v>
      </c>
    </row>
    <row r="45" spans="1:101" s="3" customFormat="1" x14ac:dyDescent="0.35">
      <c r="A45" s="2" t="s">
        <v>7</v>
      </c>
      <c r="B45" s="2">
        <v>6.75</v>
      </c>
      <c r="C45" s="2" t="s">
        <v>167</v>
      </c>
      <c r="D45" s="2" t="s">
        <v>403</v>
      </c>
      <c r="F45" s="3">
        <v>4.0129999999999999</v>
      </c>
      <c r="G45" s="3">
        <v>4.0060000000000002</v>
      </c>
      <c r="H45" s="3">
        <v>4.008</v>
      </c>
      <c r="I45" s="3">
        <v>4.0110000000000001</v>
      </c>
      <c r="K45" s="3">
        <f t="shared" ca="1" si="62"/>
        <v>0.93845003737851984</v>
      </c>
      <c r="L45" s="3">
        <f t="shared" ca="1" si="63"/>
        <v>0.9398402396405392</v>
      </c>
      <c r="M45" s="3">
        <f t="shared" ca="1" si="64"/>
        <v>0.91017964071856294</v>
      </c>
      <c r="N45" s="3">
        <f t="shared" ca="1" si="65"/>
        <v>0.91398653702318633</v>
      </c>
      <c r="P45" s="3">
        <f t="shared" ca="1" si="66"/>
        <v>0.73087462260038105</v>
      </c>
      <c r="Q45" s="3">
        <f t="shared" ca="1" si="67"/>
        <v>0.47803296708965443</v>
      </c>
      <c r="R45" s="3">
        <f t="shared" ca="1" si="68"/>
        <v>0.77245490785368431</v>
      </c>
      <c r="S45" s="3">
        <f t="shared" ca="1" si="69"/>
        <v>0.82273739319256611</v>
      </c>
      <c r="U45" s="3">
        <f t="shared" ca="1" si="70"/>
        <v>1.74433092449539</v>
      </c>
      <c r="V45" s="3">
        <f t="shared" ca="1" si="71"/>
        <v>1.7473789316025961</v>
      </c>
      <c r="W45" s="3">
        <f t="shared" ca="1" si="72"/>
        <v>2.2455089820359282</v>
      </c>
      <c r="X45" s="3">
        <f t="shared" ca="1" si="73"/>
        <v>3.2410870107205185</v>
      </c>
      <c r="Z45" s="3">
        <f t="shared" ca="1" si="74"/>
        <v>0.93022676302018437</v>
      </c>
      <c r="AA45" s="3">
        <f t="shared" ca="1" si="75"/>
        <v>0.9398402396405392</v>
      </c>
      <c r="AB45" s="3">
        <f t="shared" ca="1" si="76"/>
        <v>0.91017964071856294</v>
      </c>
      <c r="AC45" s="3">
        <f t="shared" ca="1" si="77"/>
        <v>0.70630765395163309</v>
      </c>
      <c r="AE45" s="3">
        <f t="shared" ca="1" si="78"/>
        <v>0.73087462260038105</v>
      </c>
      <c r="AF45" s="3">
        <f t="shared" ca="1" si="79"/>
        <v>0.47803296708965443</v>
      </c>
      <c r="AG45" s="3">
        <f t="shared" ca="1" si="80"/>
        <v>0.77245490785368431</v>
      </c>
      <c r="AH45" s="3">
        <f t="shared" ca="1" si="81"/>
        <v>0.6564446843137054</v>
      </c>
      <c r="AJ45" s="3">
        <f t="shared" ca="1" si="82"/>
        <v>1.74433092449539</v>
      </c>
      <c r="AK45" s="3">
        <f t="shared" ca="1" si="83"/>
        <v>1.7473789316025961</v>
      </c>
      <c r="AL45" s="3">
        <f t="shared" ca="1" si="84"/>
        <v>2.2455089820359282</v>
      </c>
      <c r="AM45" s="3">
        <f t="shared" ca="1" si="85"/>
        <v>2.7424582398404387</v>
      </c>
      <c r="AO45" s="3">
        <f t="shared" ca="1" si="86"/>
        <v>0.49838026414154002</v>
      </c>
      <c r="AP45" s="3">
        <f t="shared" ca="1" si="87"/>
        <v>0.24962556165751371</v>
      </c>
      <c r="AQ45" s="3">
        <f t="shared" ca="1" si="88"/>
        <v>0.249500998003992</v>
      </c>
      <c r="AR45" s="3">
        <f t="shared" ca="1" si="89"/>
        <v>0.74794315632011965</v>
      </c>
      <c r="AT45" s="3">
        <v>1.3000000268220901E-2</v>
      </c>
      <c r="AU45" s="3">
        <v>0.23499999940395355</v>
      </c>
      <c r="AV45" s="3">
        <v>0.35499998927116394</v>
      </c>
      <c r="AW45" s="3">
        <v>0.34900000691413879</v>
      </c>
      <c r="AY45" s="3">
        <f t="shared" ca="1" si="90"/>
        <v>0.48168452529279843</v>
      </c>
      <c r="AZ45" s="3">
        <f t="shared" ca="1" si="91"/>
        <v>0.42436345481777327</v>
      </c>
      <c r="BA45" s="3">
        <f t="shared" ca="1" si="92"/>
        <v>0.58607784431137733</v>
      </c>
      <c r="BB45" s="3">
        <f t="shared" ca="1" si="93"/>
        <v>0</v>
      </c>
      <c r="BD45" s="3">
        <f t="shared" ca="1" si="94"/>
        <v>0.46100173541919093</v>
      </c>
      <c r="BE45" s="3">
        <f t="shared" ca="1" si="95"/>
        <v>0.37418872013844312</v>
      </c>
      <c r="BF45" s="3">
        <f t="shared" ca="1" si="96"/>
        <v>0.41117765262217343</v>
      </c>
      <c r="BG45" s="3">
        <f t="shared" ca="1" si="97"/>
        <v>0</v>
      </c>
      <c r="BI45" s="3">
        <f t="shared" ca="1" si="98"/>
        <v>0.74757039621231003</v>
      </c>
      <c r="BJ45" s="3">
        <f t="shared" ca="1" si="99"/>
        <v>1.2481278082875686</v>
      </c>
      <c r="BK45" s="3">
        <f t="shared" ca="1" si="100"/>
        <v>0.74850299401197606</v>
      </c>
      <c r="BL45" s="3">
        <f t="shared" ca="1" si="101"/>
        <v>0</v>
      </c>
      <c r="BN45" s="3">
        <f t="shared" ca="1" si="102"/>
        <v>0.74757039621231003</v>
      </c>
      <c r="BO45" s="3">
        <f t="shared" ca="1" si="103"/>
        <v>0.74887668497254112</v>
      </c>
      <c r="BP45" s="3">
        <f t="shared" ca="1" si="104"/>
        <v>0.99800399201596801</v>
      </c>
      <c r="BQ45" s="3">
        <f t="shared" ca="1" si="105"/>
        <v>0.24931438544003989</v>
      </c>
      <c r="BS45" s="3">
        <v>0.41299998760223389</v>
      </c>
      <c r="BT45" s="3">
        <v>0.86799997091293335</v>
      </c>
      <c r="BU45" s="3">
        <v>0.35499998927116394</v>
      </c>
      <c r="BV45" s="3">
        <v>4.0110000000000001</v>
      </c>
      <c r="BX45" s="3">
        <f t="shared" ca="1" si="106"/>
        <v>0</v>
      </c>
      <c r="BY45" s="3">
        <f t="shared" ca="1" si="107"/>
        <v>0</v>
      </c>
      <c r="BZ45" s="3">
        <f t="shared" ca="1" si="108"/>
        <v>0</v>
      </c>
      <c r="CA45" s="3">
        <f t="shared" ca="1" si="109"/>
        <v>2.0942408376963369E-2</v>
      </c>
      <c r="CC45" s="3">
        <f t="shared" ca="1" si="110"/>
        <v>0</v>
      </c>
      <c r="CD45" s="3">
        <f t="shared" ca="1" si="111"/>
        <v>0</v>
      </c>
      <c r="CE45" s="3">
        <f t="shared" ca="1" si="112"/>
        <v>0</v>
      </c>
      <c r="CF45" s="3">
        <f t="shared" ca="1" si="113"/>
        <v>0</v>
      </c>
      <c r="CH45" s="3">
        <f t="shared" ca="1" si="114"/>
        <v>0</v>
      </c>
      <c r="CI45" s="3">
        <f t="shared" ca="1" si="115"/>
        <v>0</v>
      </c>
      <c r="CJ45" s="3">
        <f t="shared" ca="1" si="116"/>
        <v>0</v>
      </c>
      <c r="CK45" s="3">
        <f t="shared" ca="1" si="117"/>
        <v>0</v>
      </c>
      <c r="CM45" s="3">
        <f t="shared" ca="1" si="118"/>
        <v>0</v>
      </c>
      <c r="CN45" s="3">
        <f t="shared" ca="1" si="119"/>
        <v>0</v>
      </c>
      <c r="CO45" s="3">
        <f t="shared" ca="1" si="120"/>
        <v>0</v>
      </c>
      <c r="CP45" s="3">
        <f t="shared" ca="1" si="121"/>
        <v>0.74794315632011965</v>
      </c>
      <c r="CR45" s="3">
        <v>4.0129999999999999</v>
      </c>
      <c r="CS45" s="3">
        <v>4.0060000000000002</v>
      </c>
      <c r="CT45" s="3">
        <v>4.008</v>
      </c>
      <c r="CU45" s="3">
        <v>4.0110000000000001</v>
      </c>
      <c r="CV45" s="21">
        <f t="shared" ca="1" si="61"/>
        <v>0.41117765262217343</v>
      </c>
      <c r="CW45" s="16">
        <f t="shared" ca="1" si="60"/>
        <v>6.75</v>
      </c>
    </row>
    <row r="46" spans="1:101" s="3" customFormat="1" x14ac:dyDescent="0.35">
      <c r="A46" s="2" t="s">
        <v>28</v>
      </c>
      <c r="B46" s="2">
        <v>6.833333333333333</v>
      </c>
      <c r="C46" s="2" t="s">
        <v>168</v>
      </c>
      <c r="D46" s="2" t="s">
        <v>403</v>
      </c>
      <c r="F46" s="3">
        <v>4.0090000000000003</v>
      </c>
      <c r="G46" s="3">
        <v>4.0259999999999998</v>
      </c>
      <c r="H46" s="3">
        <v>4.01</v>
      </c>
      <c r="I46" s="3">
        <v>4.0090000000000003</v>
      </c>
      <c r="K46" s="3">
        <f t="shared" ca="1" si="62"/>
        <v>0.96433025692192564</v>
      </c>
      <c r="L46" s="3">
        <f t="shared" ca="1" si="63"/>
        <v>0.99751614505712871</v>
      </c>
      <c r="M46" s="3">
        <f t="shared" ca="1" si="64"/>
        <v>0.99725685785536156</v>
      </c>
      <c r="N46" s="3">
        <f t="shared" ca="1" si="65"/>
        <v>0.90197056622599159</v>
      </c>
      <c r="P46" s="3">
        <f t="shared" ca="1" si="66"/>
        <v>0.78099275444118299</v>
      </c>
      <c r="Q46" s="3">
        <f t="shared" ca="1" si="67"/>
        <v>0.90660714098820039</v>
      </c>
      <c r="R46" s="3">
        <f t="shared" ca="1" si="68"/>
        <v>0.89376565264050212</v>
      </c>
      <c r="S46" s="3">
        <f t="shared" ca="1" si="69"/>
        <v>0.86829626045788444</v>
      </c>
      <c r="U46" s="3">
        <f t="shared" ca="1" si="70"/>
        <v>1.9955101022698927</v>
      </c>
      <c r="V46" s="3">
        <f t="shared" ca="1" si="71"/>
        <v>1.7386984600099356</v>
      </c>
      <c r="W46" s="3">
        <f t="shared" ca="1" si="72"/>
        <v>0.99750623441396513</v>
      </c>
      <c r="X46" s="3">
        <f t="shared" ca="1" si="73"/>
        <v>1.9955101022698927</v>
      </c>
      <c r="Z46" s="3">
        <f t="shared" ca="1" si="74"/>
        <v>0.89773010725866786</v>
      </c>
      <c r="AA46" s="3">
        <f t="shared" ca="1" si="75"/>
        <v>0.97690014903129663</v>
      </c>
      <c r="AB46" s="3">
        <f t="shared" ca="1" si="76"/>
        <v>0.99725685785536156</v>
      </c>
      <c r="AC46" s="3">
        <f t="shared" ca="1" si="77"/>
        <v>0.90197056622599159</v>
      </c>
      <c r="AE46" s="3">
        <f t="shared" ca="1" si="78"/>
        <v>0.75604887964958023</v>
      </c>
      <c r="AF46" s="3">
        <f t="shared" ca="1" si="79"/>
        <v>0.90660714098820039</v>
      </c>
      <c r="AG46" s="3">
        <f t="shared" ca="1" si="80"/>
        <v>0.89376565264050212</v>
      </c>
      <c r="AH46" s="3">
        <f t="shared" ca="1" si="81"/>
        <v>0.86829626045788444</v>
      </c>
      <c r="AJ46" s="3">
        <f t="shared" ca="1" si="82"/>
        <v>1.746071339486156</v>
      </c>
      <c r="AK46" s="3">
        <f t="shared" ca="1" si="83"/>
        <v>1.7386984600099356</v>
      </c>
      <c r="AL46" s="3">
        <f t="shared" ca="1" si="84"/>
        <v>0.99750623441396513</v>
      </c>
      <c r="AM46" s="3">
        <f t="shared" ca="1" si="85"/>
        <v>1.9955101022698927</v>
      </c>
      <c r="AO46" s="3">
        <f t="shared" ca="1" si="86"/>
        <v>0.74831628835120967</v>
      </c>
      <c r="AP46" s="3">
        <f t="shared" ca="1" si="87"/>
        <v>0.7451564828614009</v>
      </c>
      <c r="AQ46" s="3">
        <f t="shared" ca="1" si="88"/>
        <v>0.24937655860349128</v>
      </c>
      <c r="AR46" s="3">
        <f t="shared" ca="1" si="89"/>
        <v>0.24943876278373658</v>
      </c>
      <c r="AT46" s="3">
        <v>0.28200000524520874</v>
      </c>
      <c r="AU46" s="3">
        <v>8.0000003799796104E-3</v>
      </c>
      <c r="AV46" s="3">
        <v>1.0999999940395355E-2</v>
      </c>
      <c r="AW46" s="3">
        <v>0.38499999046325684</v>
      </c>
      <c r="AY46" s="3">
        <f t="shared" ca="1" si="90"/>
        <v>0.35744574706909449</v>
      </c>
      <c r="AZ46" s="3">
        <f t="shared" ca="1" si="91"/>
        <v>8.2960755091902649E-2</v>
      </c>
      <c r="BA46" s="3">
        <f t="shared" ca="1" si="92"/>
        <v>0.30324189526184547</v>
      </c>
      <c r="BB46" s="3">
        <f t="shared" ca="1" si="93"/>
        <v>0</v>
      </c>
      <c r="BD46" s="3">
        <f t="shared" ca="1" si="94"/>
        <v>0.39037167059569383</v>
      </c>
      <c r="BE46" s="3">
        <f t="shared" ca="1" si="95"/>
        <v>0</v>
      </c>
      <c r="BF46" s="3">
        <f t="shared" ca="1" si="96"/>
        <v>0.32019951099766758</v>
      </c>
      <c r="BG46" s="3">
        <f t="shared" ca="1" si="97"/>
        <v>0</v>
      </c>
      <c r="BI46" s="3">
        <f t="shared" ca="1" si="98"/>
        <v>0.74831628835120967</v>
      </c>
      <c r="BJ46" s="3">
        <f t="shared" ca="1" si="99"/>
        <v>0</v>
      </c>
      <c r="BK46" s="3">
        <f t="shared" ca="1" si="100"/>
        <v>0.49875311720698257</v>
      </c>
      <c r="BL46" s="3">
        <f t="shared" ca="1" si="101"/>
        <v>0</v>
      </c>
      <c r="BN46" s="3">
        <f t="shared" ca="1" si="102"/>
        <v>0.49887752556747317</v>
      </c>
      <c r="BO46" s="3">
        <f t="shared" ca="1" si="103"/>
        <v>0.24838549428713363</v>
      </c>
      <c r="BP46" s="3">
        <f t="shared" ca="1" si="104"/>
        <v>0.24937655860349128</v>
      </c>
      <c r="BQ46" s="3">
        <f t="shared" ca="1" si="105"/>
        <v>0</v>
      </c>
      <c r="BS46" s="3">
        <v>0.28200000524520874</v>
      </c>
      <c r="BT46" s="3">
        <v>4.0259999999999998</v>
      </c>
      <c r="BU46" s="3">
        <v>1.2940000295639038</v>
      </c>
      <c r="BV46" s="3">
        <v>4.0090000000000003</v>
      </c>
      <c r="BX46" s="3">
        <f t="shared" ca="1" si="106"/>
        <v>6.6600149663257641E-2</v>
      </c>
      <c r="BY46" s="3">
        <f t="shared" ca="1" si="107"/>
        <v>0.56706408345752612</v>
      </c>
      <c r="BZ46" s="3">
        <f t="shared" ca="1" si="108"/>
        <v>0</v>
      </c>
      <c r="CA46" s="3">
        <f t="shared" ca="1" si="109"/>
        <v>0.39486156148665491</v>
      </c>
      <c r="CC46" s="3">
        <f t="shared" ca="1" si="110"/>
        <v>0.10401597787805196</v>
      </c>
      <c r="CD46" s="3">
        <f t="shared" ca="1" si="111"/>
        <v>0.59190267045559786</v>
      </c>
      <c r="CE46" s="3">
        <f t="shared" ca="1" si="112"/>
        <v>0</v>
      </c>
      <c r="CF46" s="3">
        <f t="shared" ca="1" si="113"/>
        <v>0.41132451709472317</v>
      </c>
      <c r="CH46" s="3">
        <f t="shared" ca="1" si="114"/>
        <v>0.24943876278373658</v>
      </c>
      <c r="CI46" s="3">
        <f t="shared" ca="1" si="115"/>
        <v>1.2419274714356683</v>
      </c>
      <c r="CJ46" s="3">
        <f t="shared" ca="1" si="116"/>
        <v>0</v>
      </c>
      <c r="CK46" s="3">
        <f t="shared" ca="1" si="117"/>
        <v>0.74831628835120967</v>
      </c>
      <c r="CM46" s="3">
        <f t="shared" ca="1" si="118"/>
        <v>0.99775505113494634</v>
      </c>
      <c r="CN46" s="3">
        <f t="shared" ca="1" si="119"/>
        <v>1.7386984600099356</v>
      </c>
      <c r="CO46" s="3">
        <f t="shared" ca="1" si="120"/>
        <v>0</v>
      </c>
      <c r="CP46" s="3">
        <f t="shared" ca="1" si="121"/>
        <v>0.74831628835120967</v>
      </c>
      <c r="CR46" s="3">
        <v>3.1480000019073486</v>
      </c>
      <c r="CS46" s="3">
        <v>8.0000003799796104E-3</v>
      </c>
      <c r="CT46" s="3">
        <v>4.01</v>
      </c>
      <c r="CU46" s="3">
        <v>0.38499999046325684</v>
      </c>
      <c r="CV46" s="21">
        <f t="shared" ca="1" si="61"/>
        <v>0.32019951099766758</v>
      </c>
      <c r="CW46" s="16">
        <f t="shared" ca="1" si="60"/>
        <v>6.833333333333333</v>
      </c>
    </row>
    <row r="47" spans="1:101" s="3" customFormat="1" x14ac:dyDescent="0.35">
      <c r="A47" s="2" t="s">
        <v>6</v>
      </c>
      <c r="B47" s="2">
        <v>6.916666666666667</v>
      </c>
      <c r="C47" s="2" t="s">
        <v>167</v>
      </c>
      <c r="D47" s="2" t="s">
        <v>403</v>
      </c>
      <c r="F47" s="3">
        <v>4.0119999999999996</v>
      </c>
      <c r="G47" s="3">
        <v>4</v>
      </c>
      <c r="H47" s="11" t="e">
        <v>#N/A</v>
      </c>
      <c r="I47" s="3">
        <v>4.0090000000000003</v>
      </c>
      <c r="K47" s="3">
        <f t="shared" ca="1" si="62"/>
        <v>0.99675972083748765</v>
      </c>
      <c r="L47" s="3">
        <f t="shared" ca="1" si="63"/>
        <v>0.99575000000000002</v>
      </c>
      <c r="M47" s="3" t="e">
        <f t="shared" ca="1" si="64"/>
        <v>#N/A</v>
      </c>
      <c r="N47" s="3">
        <f t="shared" ca="1" si="65"/>
        <v>0.99351459216762283</v>
      </c>
      <c r="P47" s="3">
        <f t="shared" ca="1" si="66"/>
        <v>0.48554332876728401</v>
      </c>
      <c r="Q47" s="3">
        <f t="shared" ca="1" si="67"/>
        <v>0.73724988149479032</v>
      </c>
      <c r="R47" s="3" t="e">
        <f t="shared" ca="1" si="68"/>
        <v>#N/A</v>
      </c>
      <c r="S47" s="3">
        <f t="shared" ca="1" si="69"/>
        <v>0.15365424916523593</v>
      </c>
      <c r="U47" s="3">
        <f t="shared" ca="1" si="70"/>
        <v>2.9910269192422736</v>
      </c>
      <c r="V47" s="3">
        <f t="shared" ca="1" si="71"/>
        <v>3</v>
      </c>
      <c r="W47" s="3" t="e">
        <f t="shared" ca="1" si="72"/>
        <v>#N/A</v>
      </c>
      <c r="X47" s="3">
        <f t="shared" ca="1" si="73"/>
        <v>0.99775505113494634</v>
      </c>
      <c r="Z47" s="3">
        <f t="shared" ca="1" si="74"/>
        <v>0.90927218344965111</v>
      </c>
      <c r="AA47" s="3">
        <f t="shared" ca="1" si="75"/>
        <v>0.97075</v>
      </c>
      <c r="AB47" s="3" t="e">
        <f t="shared" ca="1" si="76"/>
        <v>#N/A</v>
      </c>
      <c r="AC47" s="3">
        <f t="shared" ca="1" si="77"/>
        <v>0.72761287104015959</v>
      </c>
      <c r="AE47" s="3">
        <f t="shared" ca="1" si="78"/>
        <v>0.48554332876728401</v>
      </c>
      <c r="AF47" s="3">
        <f t="shared" ca="1" si="79"/>
        <v>0.73724988149479032</v>
      </c>
      <c r="AG47" s="3" t="e">
        <f t="shared" ca="1" si="80"/>
        <v>#N/A</v>
      </c>
      <c r="AH47" s="3">
        <f t="shared" ca="1" si="81"/>
        <v>0.15365424916523593</v>
      </c>
      <c r="AJ47" s="3">
        <f t="shared" ca="1" si="82"/>
        <v>2.9910269192422736</v>
      </c>
      <c r="AK47" s="3">
        <f t="shared" ca="1" si="83"/>
        <v>3</v>
      </c>
      <c r="AL47" s="3" t="e">
        <f t="shared" ca="1" si="84"/>
        <v>#N/A</v>
      </c>
      <c r="AM47" s="3">
        <f t="shared" ca="1" si="85"/>
        <v>0.99775505113494634</v>
      </c>
      <c r="AO47" s="3">
        <f t="shared" ca="1" si="86"/>
        <v>1.9940179461615157</v>
      </c>
      <c r="AP47" s="3">
        <f t="shared" ca="1" si="87"/>
        <v>0.5</v>
      </c>
      <c r="AQ47" s="3" t="e">
        <f t="shared" ca="1" si="88"/>
        <v>#N/A</v>
      </c>
      <c r="AR47" s="3">
        <f t="shared" ca="1" si="89"/>
        <v>3.7415814417560487</v>
      </c>
      <c r="AT47" s="3">
        <v>0.15099999308586121</v>
      </c>
      <c r="AU47" s="3">
        <v>1.6000000759959221E-2</v>
      </c>
      <c r="AV47" s="11" t="e">
        <v>#N/A</v>
      </c>
      <c r="AW47" s="3">
        <v>0.11500000208616257</v>
      </c>
      <c r="AY47" s="3">
        <f t="shared" ca="1" si="90"/>
        <v>7.851445663010978E-2</v>
      </c>
      <c r="AZ47" s="3">
        <f t="shared" ca="1" si="91"/>
        <v>0.65399999999999991</v>
      </c>
      <c r="BA47" s="3" t="e">
        <f t="shared" ca="1" si="92"/>
        <v>#N/A</v>
      </c>
      <c r="BB47" s="3">
        <f t="shared" ca="1" si="93"/>
        <v>0.20778248939885238</v>
      </c>
      <c r="BD47" s="3">
        <f t="shared" ca="1" si="94"/>
        <v>4.5613122960981564E-2</v>
      </c>
      <c r="BE47" s="3">
        <f t="shared" ca="1" si="95"/>
        <v>0.71224990533664823</v>
      </c>
      <c r="BF47" s="3" t="e">
        <f t="shared" ca="1" si="96"/>
        <v>#N/A</v>
      </c>
      <c r="BG47" s="3">
        <f t="shared" ca="1" si="97"/>
        <v>3.3175329758836074E-2</v>
      </c>
      <c r="BI47" s="3">
        <f t="shared" ca="1" si="98"/>
        <v>0.24925224327018947</v>
      </c>
      <c r="BJ47" s="3">
        <f t="shared" ca="1" si="99"/>
        <v>2.75</v>
      </c>
      <c r="BK47" s="3" t="e">
        <f t="shared" ca="1" si="100"/>
        <v>#N/A</v>
      </c>
      <c r="BL47" s="3">
        <f t="shared" ca="1" si="101"/>
        <v>0.24943876278373658</v>
      </c>
      <c r="BN47" s="3">
        <f t="shared" ca="1" si="102"/>
        <v>2.9910269192422736</v>
      </c>
      <c r="BO47" s="3">
        <f t="shared" ca="1" si="103"/>
        <v>3</v>
      </c>
      <c r="BP47" s="3" t="e">
        <f t="shared" ca="1" si="104"/>
        <v>#N/A</v>
      </c>
      <c r="BQ47" s="3">
        <f t="shared" ca="1" si="105"/>
        <v>4.4898977301072582</v>
      </c>
      <c r="BS47" s="3">
        <v>2.8670001029968262</v>
      </c>
      <c r="BT47" s="3">
        <v>1.6000000759959221E-2</v>
      </c>
      <c r="BU47" s="11" t="e">
        <v>#N/A</v>
      </c>
      <c r="BV47" s="3">
        <v>2.0980000495910645</v>
      </c>
      <c r="BX47" s="3">
        <f t="shared" ca="1" si="106"/>
        <v>0</v>
      </c>
      <c r="BY47" s="3">
        <f t="shared" ca="1" si="107"/>
        <v>1.6750000000000043E-2</v>
      </c>
      <c r="BZ47" s="3" t="e">
        <f t="shared" ca="1" si="108"/>
        <v>#N/A</v>
      </c>
      <c r="CA47" s="3">
        <f t="shared" ca="1" si="109"/>
        <v>0</v>
      </c>
      <c r="CC47" s="3">
        <f t="shared" ca="1" si="110"/>
        <v>0</v>
      </c>
      <c r="CD47" s="3">
        <f t="shared" ca="1" si="111"/>
        <v>0</v>
      </c>
      <c r="CE47" s="3" t="e">
        <f t="shared" ca="1" si="112"/>
        <v>#N/A</v>
      </c>
      <c r="CF47" s="3">
        <f t="shared" ca="1" si="113"/>
        <v>0</v>
      </c>
      <c r="CH47" s="3">
        <f t="shared" ca="1" si="114"/>
        <v>0</v>
      </c>
      <c r="CI47" s="3">
        <f t="shared" ca="1" si="115"/>
        <v>0</v>
      </c>
      <c r="CJ47" s="3" t="e">
        <f t="shared" ca="1" si="116"/>
        <v>#N/A</v>
      </c>
      <c r="CK47" s="3">
        <f t="shared" ca="1" si="117"/>
        <v>0</v>
      </c>
      <c r="CM47" s="3">
        <f t="shared" ca="1" si="118"/>
        <v>0</v>
      </c>
      <c r="CN47" s="3">
        <f t="shared" ca="1" si="119"/>
        <v>1</v>
      </c>
      <c r="CO47" s="3" t="e">
        <f t="shared" ca="1" si="120"/>
        <v>#N/A</v>
      </c>
      <c r="CP47" s="3">
        <f t="shared" ca="1" si="121"/>
        <v>0.49887752556747317</v>
      </c>
      <c r="CR47" s="3">
        <v>4.0119999999999996</v>
      </c>
      <c r="CS47" s="3">
        <v>4</v>
      </c>
      <c r="CT47" s="11" t="e">
        <v>#N/A</v>
      </c>
      <c r="CU47" s="3">
        <v>4.0090000000000003</v>
      </c>
      <c r="CV47" s="21" t="e">
        <f t="shared" ca="1" si="61"/>
        <v>#N/A</v>
      </c>
      <c r="CW47" s="16">
        <f t="shared" ca="1" si="60"/>
        <v>6.916666666666667</v>
      </c>
    </row>
    <row r="48" spans="1:101" s="3" customFormat="1" x14ac:dyDescent="0.35">
      <c r="A48" s="2" t="s">
        <v>88</v>
      </c>
      <c r="B48" s="2">
        <v>6.916666666666667</v>
      </c>
      <c r="C48" s="2" t="s">
        <v>168</v>
      </c>
      <c r="D48" s="2" t="s">
        <v>403</v>
      </c>
      <c r="F48" s="3">
        <v>4.0049999999999999</v>
      </c>
      <c r="G48" s="3">
        <v>4.0140000000000002</v>
      </c>
      <c r="H48" s="3">
        <v>4.0149999999999997</v>
      </c>
      <c r="I48" s="3">
        <v>1.8519999999999999</v>
      </c>
      <c r="K48" s="3">
        <f t="shared" ca="1" si="62"/>
        <v>0.99450686641697883</v>
      </c>
      <c r="L48" s="3">
        <f t="shared" ca="1" si="63"/>
        <v>0.65595416043846533</v>
      </c>
      <c r="M48" s="3">
        <f t="shared" ca="1" si="64"/>
        <v>0.99601494396014945</v>
      </c>
      <c r="N48" s="3" t="e">
        <f t="shared" ca="1" si="65"/>
        <v>#N/A</v>
      </c>
      <c r="P48" s="3">
        <f t="shared" ca="1" si="66"/>
        <v>0.95305863963195891</v>
      </c>
      <c r="Q48" s="3">
        <f t="shared" ca="1" si="67"/>
        <v>0.6223218575840157</v>
      </c>
      <c r="R48" s="3">
        <f t="shared" ca="1" si="68"/>
        <v>0.93748448149835784</v>
      </c>
      <c r="S48" s="3" t="e">
        <f t="shared" ca="1" si="69"/>
        <v>#N/A</v>
      </c>
      <c r="U48" s="3">
        <f t="shared" ca="1" si="70"/>
        <v>1.7478152309612984</v>
      </c>
      <c r="V48" s="3">
        <f t="shared" ca="1" si="71"/>
        <v>2.2421524663677128</v>
      </c>
      <c r="W48" s="3">
        <f t="shared" ca="1" si="72"/>
        <v>2.4906600249066004</v>
      </c>
      <c r="X48" s="3" t="e">
        <f t="shared" ca="1" si="73"/>
        <v>#N/A</v>
      </c>
      <c r="Z48" s="3">
        <f t="shared" ca="1" si="74"/>
        <v>0.99450686641697883</v>
      </c>
      <c r="AA48" s="3">
        <f t="shared" ca="1" si="75"/>
        <v>0.65994020926756347</v>
      </c>
      <c r="AB48" s="3">
        <f t="shared" ca="1" si="76"/>
        <v>0.99601494396014945</v>
      </c>
      <c r="AC48" s="3" t="e">
        <f t="shared" ca="1" si="77"/>
        <v>#N/A</v>
      </c>
      <c r="AE48" s="3">
        <f t="shared" ca="1" si="78"/>
        <v>0.95305863963195891</v>
      </c>
      <c r="AF48" s="3">
        <f t="shared" ca="1" si="79"/>
        <v>0.6223218575840157</v>
      </c>
      <c r="AG48" s="3">
        <f t="shared" ca="1" si="80"/>
        <v>0.93748448149835784</v>
      </c>
      <c r="AH48" s="3" t="e">
        <f t="shared" ca="1" si="81"/>
        <v>#N/A</v>
      </c>
      <c r="AJ48" s="3">
        <f t="shared" ca="1" si="82"/>
        <v>1.7478152309612984</v>
      </c>
      <c r="AK48" s="3">
        <f t="shared" ca="1" si="83"/>
        <v>2.2421524663677128</v>
      </c>
      <c r="AL48" s="3">
        <f t="shared" ca="1" si="84"/>
        <v>2.4906600249066004</v>
      </c>
      <c r="AM48" s="3" t="e">
        <f t="shared" ca="1" si="85"/>
        <v>#N/A</v>
      </c>
      <c r="AO48" s="3">
        <f t="shared" ca="1" si="86"/>
        <v>0.24968789013732834</v>
      </c>
      <c r="AP48" s="3">
        <f t="shared" ca="1" si="87"/>
        <v>0.24912805181863476</v>
      </c>
      <c r="AQ48" s="3">
        <f t="shared" ca="1" si="88"/>
        <v>0.24906600249066005</v>
      </c>
      <c r="AR48" s="3" t="e">
        <f t="shared" ca="1" si="89"/>
        <v>#N/A</v>
      </c>
      <c r="AT48" s="3">
        <v>7.0000002160668373E-3</v>
      </c>
      <c r="AU48" s="3">
        <v>0.33500000834465027</v>
      </c>
      <c r="AV48" s="3">
        <v>8.0000003799796104E-3</v>
      </c>
      <c r="AW48" s="11" t="e">
        <v>#N/A</v>
      </c>
      <c r="AY48" s="3">
        <f t="shared" ca="1" si="90"/>
        <v>0.58701622971285916</v>
      </c>
      <c r="AZ48" s="3">
        <f t="shared" ca="1" si="91"/>
        <v>0.14100647732934724</v>
      </c>
      <c r="BA48" s="3">
        <f t="shared" ca="1" si="92"/>
        <v>0.14520547945205486</v>
      </c>
      <c r="BB48" s="3" t="e">
        <f t="shared" ca="1" si="93"/>
        <v>#N/A</v>
      </c>
      <c r="BD48" s="3">
        <f t="shared" ca="1" si="94"/>
        <v>0.59101126911339541</v>
      </c>
      <c r="BE48" s="3">
        <f t="shared" ca="1" si="95"/>
        <v>0.16193325744081505</v>
      </c>
      <c r="BF48" s="3">
        <f t="shared" ca="1" si="96"/>
        <v>9.539233495111335E-2</v>
      </c>
      <c r="BG48" s="3" t="e">
        <f t="shared" ca="1" si="97"/>
        <v>#N/A</v>
      </c>
      <c r="BI48" s="3">
        <f t="shared" ca="1" si="98"/>
        <v>0.74906367041198507</v>
      </c>
      <c r="BJ48" s="3">
        <f t="shared" ca="1" si="99"/>
        <v>0.74738415545590431</v>
      </c>
      <c r="BK48" s="3">
        <f t="shared" ca="1" si="100"/>
        <v>0.74719800747198017</v>
      </c>
      <c r="BL48" s="3" t="e">
        <f t="shared" ca="1" si="101"/>
        <v>#N/A</v>
      </c>
      <c r="BN48" s="3">
        <f t="shared" ca="1" si="102"/>
        <v>0.99875156054931336</v>
      </c>
      <c r="BO48" s="3">
        <f t="shared" ca="1" si="103"/>
        <v>0.74738415545590431</v>
      </c>
      <c r="BP48" s="3">
        <f t="shared" ca="1" si="104"/>
        <v>0.74719800747198017</v>
      </c>
      <c r="BQ48" s="3" t="e">
        <f t="shared" ca="1" si="105"/>
        <v>#N/A</v>
      </c>
      <c r="BS48" s="3">
        <v>0.42399999499320984</v>
      </c>
      <c r="BT48" s="3">
        <v>0.5350000262260437</v>
      </c>
      <c r="BU48" s="3">
        <v>0.3580000102519989</v>
      </c>
      <c r="BV48" s="11" t="e">
        <v>#N/A</v>
      </c>
      <c r="BX48" s="3">
        <f t="shared" ca="1" si="106"/>
        <v>0.14157303370786517</v>
      </c>
      <c r="BY48" s="3">
        <f t="shared" ca="1" si="107"/>
        <v>0</v>
      </c>
      <c r="BZ48" s="3">
        <f t="shared" ca="1" si="108"/>
        <v>0</v>
      </c>
      <c r="CA48" s="3" t="e">
        <f t="shared" ca="1" si="109"/>
        <v>#N/A</v>
      </c>
      <c r="CC48" s="3">
        <f t="shared" ca="1" si="110"/>
        <v>0.17902618936831585</v>
      </c>
      <c r="CD48" s="3">
        <f t="shared" ca="1" si="111"/>
        <v>0</v>
      </c>
      <c r="CE48" s="3">
        <f t="shared" ca="1" si="112"/>
        <v>0</v>
      </c>
      <c r="CF48" s="3" t="e">
        <f t="shared" ca="1" si="113"/>
        <v>#N/A</v>
      </c>
      <c r="CH48" s="3">
        <f t="shared" ca="1" si="114"/>
        <v>0.24968789013732834</v>
      </c>
      <c r="CI48" s="3">
        <f t="shared" ca="1" si="115"/>
        <v>0</v>
      </c>
      <c r="CJ48" s="3">
        <f t="shared" ca="1" si="116"/>
        <v>0</v>
      </c>
      <c r="CK48" s="3" t="e">
        <f t="shared" ca="1" si="117"/>
        <v>#N/A</v>
      </c>
      <c r="CM48" s="3">
        <f t="shared" ca="1" si="118"/>
        <v>0.24968789013732834</v>
      </c>
      <c r="CN48" s="3">
        <f t="shared" ca="1" si="119"/>
        <v>0</v>
      </c>
      <c r="CO48" s="3">
        <f t="shared" ca="1" si="120"/>
        <v>0</v>
      </c>
      <c r="CP48" s="3" t="e">
        <f t="shared" ca="1" si="121"/>
        <v>#N/A</v>
      </c>
      <c r="CR48" s="3">
        <v>1.6230000257492065</v>
      </c>
      <c r="CS48" s="3">
        <v>4.0140000000000002</v>
      </c>
      <c r="CT48" s="3">
        <v>4.0149999999999997</v>
      </c>
      <c r="CU48" s="11" t="e">
        <v>#N/A</v>
      </c>
      <c r="CV48" s="21">
        <f t="shared" ca="1" si="61"/>
        <v>9.539233495111335E-2</v>
      </c>
      <c r="CW48" s="16">
        <f t="shared" ca="1" si="60"/>
        <v>6.916666666666667</v>
      </c>
    </row>
    <row r="49" spans="1:101" s="3" customFormat="1" x14ac:dyDescent="0.35">
      <c r="A49" s="2" t="s">
        <v>85</v>
      </c>
      <c r="B49" s="2">
        <v>7.083333333333333</v>
      </c>
      <c r="C49" s="2" t="s">
        <v>168</v>
      </c>
      <c r="D49" s="2" t="s">
        <v>403</v>
      </c>
      <c r="F49" s="3">
        <v>4.0149999999999997</v>
      </c>
      <c r="G49" s="3">
        <v>4.0309999999999997</v>
      </c>
      <c r="H49" s="3">
        <v>4.0259999999999998</v>
      </c>
      <c r="I49" s="3">
        <v>4.0149999999999997</v>
      </c>
      <c r="K49" s="3">
        <f t="shared" ca="1" si="62"/>
        <v>0.99601494396014945</v>
      </c>
      <c r="L49" s="3">
        <f t="shared" ca="1" si="63"/>
        <v>0.97147109898288275</v>
      </c>
      <c r="M49" s="3">
        <f t="shared" ca="1" si="64"/>
        <v>0.99329359165424735</v>
      </c>
      <c r="N49" s="3">
        <f t="shared" ca="1" si="65"/>
        <v>0.99601494396014945</v>
      </c>
      <c r="P49" s="3">
        <f t="shared" ca="1" si="66"/>
        <v>0.93424664357976339</v>
      </c>
      <c r="Q49" s="3">
        <f t="shared" ca="1" si="67"/>
        <v>0.93401140246666925</v>
      </c>
      <c r="R49" s="3">
        <f t="shared" ca="1" si="68"/>
        <v>0.9642324756906806</v>
      </c>
      <c r="S49" s="3">
        <f t="shared" ca="1" si="69"/>
        <v>0.94221679222390786</v>
      </c>
      <c r="U49" s="3">
        <f t="shared" ca="1" si="70"/>
        <v>1.7434620174346203</v>
      </c>
      <c r="V49" s="3">
        <f t="shared" ca="1" si="71"/>
        <v>2.2326966013396183</v>
      </c>
      <c r="W49" s="3">
        <f t="shared" ca="1" si="72"/>
        <v>1.9870839542970691</v>
      </c>
      <c r="X49" s="3">
        <f t="shared" ca="1" si="73"/>
        <v>2.9887920298879207</v>
      </c>
      <c r="Z49" s="3">
        <f t="shared" ca="1" si="74"/>
        <v>0.99601494396014945</v>
      </c>
      <c r="AA49" s="3">
        <f t="shared" ca="1" si="75"/>
        <v>0.97147109898288275</v>
      </c>
      <c r="AB49" s="3">
        <f t="shared" ca="1" si="76"/>
        <v>0.99329359165424735</v>
      </c>
      <c r="AC49" s="3">
        <f t="shared" ca="1" si="77"/>
        <v>0.99601494396014945</v>
      </c>
      <c r="AE49" s="3">
        <f t="shared" ca="1" si="78"/>
        <v>0.93424664357976339</v>
      </c>
      <c r="AF49" s="3">
        <f t="shared" ca="1" si="79"/>
        <v>0.93401140246666925</v>
      </c>
      <c r="AG49" s="3">
        <f t="shared" ca="1" si="80"/>
        <v>0.9642324756906806</v>
      </c>
      <c r="AH49" s="3">
        <f t="shared" ca="1" si="81"/>
        <v>0.94221679222390786</v>
      </c>
      <c r="AJ49" s="3">
        <f t="shared" ca="1" si="82"/>
        <v>1.7434620174346203</v>
      </c>
      <c r="AK49" s="3">
        <f t="shared" ca="1" si="83"/>
        <v>2.2326966013396183</v>
      </c>
      <c r="AL49" s="3">
        <f t="shared" ca="1" si="84"/>
        <v>1.9870839542970691</v>
      </c>
      <c r="AM49" s="3">
        <f t="shared" ca="1" si="85"/>
        <v>2.9887920298879207</v>
      </c>
      <c r="AO49" s="3">
        <f t="shared" ca="1" si="86"/>
        <v>0.24906600249066005</v>
      </c>
      <c r="AP49" s="3">
        <f t="shared" ca="1" si="87"/>
        <v>0.24807740014884647</v>
      </c>
      <c r="AQ49" s="3">
        <f t="shared" ca="1" si="88"/>
        <v>0.24838549428713363</v>
      </c>
      <c r="AR49" s="3">
        <f t="shared" ca="1" si="89"/>
        <v>0.24906600249066005</v>
      </c>
      <c r="AT49" s="3">
        <v>3.7999998778104782E-2</v>
      </c>
      <c r="AU49" s="3">
        <v>1.0999999940395355E-2</v>
      </c>
      <c r="AV49" s="3">
        <v>1.0999999940395355E-2</v>
      </c>
      <c r="AW49" s="3">
        <v>1.3000000268220901E-2</v>
      </c>
      <c r="AY49" s="3">
        <f t="shared" ca="1" si="90"/>
        <v>0.74271481942714812</v>
      </c>
      <c r="AZ49" s="3">
        <f t="shared" ca="1" si="91"/>
        <v>0.61572810716943693</v>
      </c>
      <c r="BA49" s="3">
        <f t="shared" ca="1" si="92"/>
        <v>0.56706408345752612</v>
      </c>
      <c r="BB49" s="3">
        <f t="shared" ca="1" si="93"/>
        <v>0.60149439601494392</v>
      </c>
      <c r="BD49" s="3">
        <f t="shared" ca="1" si="94"/>
        <v>0.71432136212606656</v>
      </c>
      <c r="BE49" s="3">
        <f t="shared" ca="1" si="95"/>
        <v>0.6571570302735662</v>
      </c>
      <c r="BF49" s="3">
        <f t="shared" ca="1" si="96"/>
        <v>0.53402877718550734</v>
      </c>
      <c r="BG49" s="3">
        <f t="shared" ca="1" si="97"/>
        <v>0.60199261602399368</v>
      </c>
      <c r="BI49" s="3">
        <f t="shared" ca="1" si="98"/>
        <v>1.2453300124533002</v>
      </c>
      <c r="BJ49" s="3">
        <f t="shared" ca="1" si="99"/>
        <v>1.4884644008930787</v>
      </c>
      <c r="BK49" s="3">
        <f t="shared" ca="1" si="100"/>
        <v>0.99354197714853454</v>
      </c>
      <c r="BL49" s="3">
        <f t="shared" ca="1" si="101"/>
        <v>1.9925280199252804</v>
      </c>
      <c r="BN49" s="3">
        <f t="shared" ca="1" si="102"/>
        <v>0.4981320049813201</v>
      </c>
      <c r="BO49" s="3">
        <f t="shared" ca="1" si="103"/>
        <v>0.74423220044653937</v>
      </c>
      <c r="BP49" s="3">
        <f t="shared" ca="1" si="104"/>
        <v>0.49677098857426727</v>
      </c>
      <c r="BQ49" s="3">
        <f t="shared" ca="1" si="105"/>
        <v>0.9962640099626402</v>
      </c>
      <c r="BS49" s="3">
        <v>0.53799998760223389</v>
      </c>
      <c r="BT49" s="3">
        <v>0.56099998950958252</v>
      </c>
      <c r="BU49" s="3">
        <v>0.49500000476837158</v>
      </c>
      <c r="BV49" s="3">
        <v>0.52899998426437378</v>
      </c>
      <c r="BX49" s="3">
        <f t="shared" ca="1" si="106"/>
        <v>0</v>
      </c>
      <c r="BY49" s="3">
        <f t="shared" ca="1" si="107"/>
        <v>0</v>
      </c>
      <c r="BZ49" s="3">
        <f t="shared" ca="1" si="108"/>
        <v>0</v>
      </c>
      <c r="CA49" s="3">
        <f t="shared" ca="1" si="109"/>
        <v>0</v>
      </c>
      <c r="CC49" s="3">
        <f t="shared" ca="1" si="110"/>
        <v>0</v>
      </c>
      <c r="CD49" s="3">
        <f t="shared" ca="1" si="111"/>
        <v>0</v>
      </c>
      <c r="CE49" s="3">
        <f t="shared" ca="1" si="112"/>
        <v>0</v>
      </c>
      <c r="CF49" s="3">
        <f t="shared" ca="1" si="113"/>
        <v>0</v>
      </c>
      <c r="CH49" s="3">
        <f t="shared" ca="1" si="114"/>
        <v>0</v>
      </c>
      <c r="CI49" s="3">
        <f t="shared" ca="1" si="115"/>
        <v>0</v>
      </c>
      <c r="CJ49" s="3">
        <f t="shared" ca="1" si="116"/>
        <v>0</v>
      </c>
      <c r="CK49" s="3">
        <f t="shared" ca="1" si="117"/>
        <v>0</v>
      </c>
      <c r="CM49" s="3">
        <f t="shared" ca="1" si="118"/>
        <v>0</v>
      </c>
      <c r="CN49" s="3">
        <f t="shared" ca="1" si="119"/>
        <v>0</v>
      </c>
      <c r="CO49" s="3">
        <f t="shared" ca="1" si="120"/>
        <v>0</v>
      </c>
      <c r="CP49" s="3">
        <f t="shared" ca="1" si="121"/>
        <v>0</v>
      </c>
      <c r="CR49" s="3">
        <v>4.0149999999999997</v>
      </c>
      <c r="CS49" s="3">
        <v>4.0309999999999997</v>
      </c>
      <c r="CT49" s="3">
        <v>4.0259999999999998</v>
      </c>
      <c r="CU49" s="3">
        <v>4.0149999999999997</v>
      </c>
      <c r="CV49" s="21">
        <f t="shared" ca="1" si="61"/>
        <v>0.53402877718550734</v>
      </c>
      <c r="CW49" s="16">
        <f t="shared" ca="1" si="60"/>
        <v>7.083333333333333</v>
      </c>
    </row>
    <row r="50" spans="1:101" s="3" customFormat="1" x14ac:dyDescent="0.35">
      <c r="A50" s="2" t="s">
        <v>86</v>
      </c>
      <c r="B50" s="2">
        <v>7.333333333333333</v>
      </c>
      <c r="C50" s="2" t="s">
        <v>167</v>
      </c>
      <c r="D50" s="2" t="s">
        <v>403</v>
      </c>
      <c r="F50" s="3">
        <v>4.0469999999999997</v>
      </c>
      <c r="G50" s="3">
        <v>4.016</v>
      </c>
      <c r="H50" s="3">
        <v>4.0149999999999997</v>
      </c>
      <c r="I50" s="3">
        <v>3.0479999999999996</v>
      </c>
      <c r="K50" s="3">
        <f t="shared" ca="1" si="62"/>
        <v>0.99234000494193242</v>
      </c>
      <c r="L50" s="3">
        <f t="shared" ca="1" si="63"/>
        <v>0.99576693227091639</v>
      </c>
      <c r="M50" s="3">
        <f t="shared" ca="1" si="64"/>
        <v>0.99601494396014945</v>
      </c>
      <c r="N50" s="3">
        <f t="shared" ca="1" si="65"/>
        <v>0.99475065616797897</v>
      </c>
      <c r="P50" s="3">
        <f t="shared" ca="1" si="66"/>
        <v>0.89770202527951692</v>
      </c>
      <c r="Q50" s="3">
        <f t="shared" ca="1" si="67"/>
        <v>0.96688244125524725</v>
      </c>
      <c r="R50" s="3">
        <f t="shared" ca="1" si="68"/>
        <v>0.90834375709796311</v>
      </c>
      <c r="S50" s="3">
        <f t="shared" ca="1" si="69"/>
        <v>0.68897626844290993</v>
      </c>
      <c r="U50" s="3">
        <f t="shared" ca="1" si="70"/>
        <v>3.2122559920929086</v>
      </c>
      <c r="V50" s="3">
        <f t="shared" ca="1" si="71"/>
        <v>1.9920318725099602</v>
      </c>
      <c r="W50" s="3">
        <f t="shared" ca="1" si="72"/>
        <v>1.9925280199252804</v>
      </c>
      <c r="X50" s="3">
        <f t="shared" ca="1" si="73"/>
        <v>2.2965879265091869</v>
      </c>
      <c r="Z50" s="3">
        <f t="shared" ca="1" si="74"/>
        <v>0.94292068198665679</v>
      </c>
      <c r="AA50" s="3">
        <f t="shared" ca="1" si="75"/>
        <v>0.99576693227091639</v>
      </c>
      <c r="AB50" s="3">
        <f t="shared" ca="1" si="76"/>
        <v>0.99601494396014945</v>
      </c>
      <c r="AC50" s="3">
        <f t="shared" ca="1" si="77"/>
        <v>0.55774278215223083</v>
      </c>
      <c r="AE50" s="3">
        <f t="shared" ca="1" si="78"/>
        <v>0.85643689029152559</v>
      </c>
      <c r="AF50" s="3">
        <f t="shared" ca="1" si="79"/>
        <v>0.96688244125524725</v>
      </c>
      <c r="AG50" s="3">
        <f t="shared" ca="1" si="80"/>
        <v>0.90834375709796311</v>
      </c>
      <c r="AH50" s="3">
        <f t="shared" ca="1" si="81"/>
        <v>0.49770343804296868</v>
      </c>
      <c r="AJ50" s="3">
        <f t="shared" ca="1" si="82"/>
        <v>2.9651593773165308</v>
      </c>
      <c r="AK50" s="3">
        <f t="shared" ca="1" si="83"/>
        <v>1.9920318725099602</v>
      </c>
      <c r="AL50" s="3">
        <f t="shared" ca="1" si="84"/>
        <v>1.9925280199252804</v>
      </c>
      <c r="AM50" s="3">
        <f t="shared" ca="1" si="85"/>
        <v>0.98425196850393715</v>
      </c>
      <c r="AO50" s="3">
        <f t="shared" ca="1" si="86"/>
        <v>0.24709661477637759</v>
      </c>
      <c r="AP50" s="3">
        <f t="shared" ca="1" si="87"/>
        <v>0.24900398406374502</v>
      </c>
      <c r="AQ50" s="3">
        <f t="shared" ca="1" si="88"/>
        <v>0.24906600249066005</v>
      </c>
      <c r="AR50" s="3">
        <f t="shared" ca="1" si="89"/>
        <v>0.98425196850393715</v>
      </c>
      <c r="AT50" s="3">
        <v>0.20999999344348907</v>
      </c>
      <c r="AU50" s="3">
        <v>1.0000000474974513E-3</v>
      </c>
      <c r="AV50" s="3">
        <v>3.0000000260770321E-3</v>
      </c>
      <c r="AW50" s="3">
        <v>0.3580000102519989</v>
      </c>
      <c r="AY50" s="3">
        <f t="shared" ca="1" si="90"/>
        <v>0.10279219174697309</v>
      </c>
      <c r="AZ50" s="3">
        <f t="shared" ca="1" si="91"/>
        <v>0.63471115537848599</v>
      </c>
      <c r="BA50" s="3">
        <f t="shared" ca="1" si="92"/>
        <v>0.2114570361145704</v>
      </c>
      <c r="BB50" s="3">
        <f t="shared" ca="1" si="93"/>
        <v>0.40485564304461946</v>
      </c>
      <c r="BD50" s="3">
        <f t="shared" ca="1" si="94"/>
        <v>0.12750185387264748</v>
      </c>
      <c r="BE50" s="3">
        <f t="shared" ca="1" si="95"/>
        <v>0.68476095617529875</v>
      </c>
      <c r="BF50" s="3">
        <f t="shared" ca="1" si="96"/>
        <v>0.18630136143077505</v>
      </c>
      <c r="BG50" s="3">
        <f t="shared" ca="1" si="97"/>
        <v>0.4593176165903648</v>
      </c>
      <c r="BI50" s="3">
        <f t="shared" ca="1" si="98"/>
        <v>0.24709661477637759</v>
      </c>
      <c r="BJ50" s="3">
        <f t="shared" ca="1" si="99"/>
        <v>0.99601593625498008</v>
      </c>
      <c r="BK50" s="3">
        <f t="shared" ca="1" si="100"/>
        <v>0.4981320049813201</v>
      </c>
      <c r="BL50" s="3">
        <f t="shared" ca="1" si="101"/>
        <v>0.6561679790026248</v>
      </c>
      <c r="BN50" s="3">
        <f t="shared" ca="1" si="102"/>
        <v>0.98838645910551037</v>
      </c>
      <c r="BO50" s="3">
        <f t="shared" ca="1" si="103"/>
        <v>0.74701195219123506</v>
      </c>
      <c r="BP50" s="3">
        <f t="shared" ca="1" si="104"/>
        <v>0.4981320049813201</v>
      </c>
      <c r="BQ50" s="3">
        <f t="shared" ca="1" si="105"/>
        <v>1.3123359580052496</v>
      </c>
      <c r="BS50" s="3">
        <v>0.37700000405311584</v>
      </c>
      <c r="BT50" s="3">
        <v>0.55099999904632568</v>
      </c>
      <c r="BU50" s="3">
        <v>0.95300000905990601</v>
      </c>
      <c r="BV50" s="3">
        <v>2.5569999217987061</v>
      </c>
      <c r="BX50" s="3">
        <f t="shared" ca="1" si="106"/>
        <v>0.16036570298986905</v>
      </c>
      <c r="BY50" s="3">
        <f t="shared" ca="1" si="107"/>
        <v>4.980079681274905E-2</v>
      </c>
      <c r="BZ50" s="3">
        <f t="shared" ca="1" si="108"/>
        <v>0.11606475716064751</v>
      </c>
      <c r="CA50" s="3">
        <f t="shared" ca="1" si="109"/>
        <v>0</v>
      </c>
      <c r="CC50" s="3">
        <f t="shared" ca="1" si="110"/>
        <v>0.22658760941762057</v>
      </c>
      <c r="CD50" s="3">
        <f t="shared" ca="1" si="111"/>
        <v>6.6484053771334345E-2</v>
      </c>
      <c r="CE50" s="3">
        <f t="shared" ca="1" si="112"/>
        <v>0.132752177427299</v>
      </c>
      <c r="CF50" s="3">
        <f t="shared" ca="1" si="113"/>
        <v>0</v>
      </c>
      <c r="CH50" s="3">
        <f t="shared" ca="1" si="114"/>
        <v>0.49419322955275519</v>
      </c>
      <c r="CI50" s="3">
        <f t="shared" ca="1" si="115"/>
        <v>0.24900398406374502</v>
      </c>
      <c r="CJ50" s="3">
        <f t="shared" ca="1" si="116"/>
        <v>0.4981320049813201</v>
      </c>
      <c r="CK50" s="3">
        <f t="shared" ca="1" si="117"/>
        <v>0</v>
      </c>
      <c r="CM50" s="3">
        <f t="shared" ca="1" si="118"/>
        <v>0.49419322955275519</v>
      </c>
      <c r="CN50" s="3">
        <f t="shared" ca="1" si="119"/>
        <v>0.24900398406374502</v>
      </c>
      <c r="CO50" s="3">
        <f t="shared" ca="1" si="120"/>
        <v>0.74719800747198017</v>
      </c>
      <c r="CP50" s="3">
        <f t="shared" ca="1" si="121"/>
        <v>0</v>
      </c>
      <c r="CR50" s="3">
        <v>2.9930000305175781</v>
      </c>
      <c r="CS50" s="3">
        <v>3.0499999523162842</v>
      </c>
      <c r="CT50" s="3">
        <v>3.4019999504089355</v>
      </c>
      <c r="CU50" s="3">
        <v>4.0149999999999997</v>
      </c>
      <c r="CV50" s="21">
        <f t="shared" ca="1" si="61"/>
        <v>0.18630136143077505</v>
      </c>
      <c r="CW50" s="16">
        <f t="shared" ca="1" si="60"/>
        <v>7.333333333333333</v>
      </c>
    </row>
    <row r="51" spans="1:101" s="3" customFormat="1" x14ac:dyDescent="0.35">
      <c r="A51" s="2" t="s">
        <v>23</v>
      </c>
      <c r="B51" s="2">
        <v>7.416666666666667</v>
      </c>
      <c r="C51" s="2" t="s">
        <v>168</v>
      </c>
      <c r="D51" s="2" t="s">
        <v>403</v>
      </c>
      <c r="F51" s="3">
        <v>4.016</v>
      </c>
      <c r="G51" s="3">
        <v>4.0149999999999997</v>
      </c>
      <c r="H51" s="3">
        <v>4.0149999999999997</v>
      </c>
      <c r="I51" s="3">
        <v>4.0140000000000002</v>
      </c>
      <c r="K51" s="3">
        <f t="shared" ca="1" si="62"/>
        <v>0.89616533864541825</v>
      </c>
      <c r="L51" s="3">
        <f t="shared" ca="1" si="63"/>
        <v>0.97110834371108357</v>
      </c>
      <c r="M51" s="3">
        <f t="shared" ca="1" si="64"/>
        <v>0.99601494396014967</v>
      </c>
      <c r="N51" s="3">
        <f t="shared" ca="1" si="65"/>
        <v>0.99626307922272039</v>
      </c>
      <c r="P51" s="3">
        <f t="shared" ca="1" si="66"/>
        <v>0.80876483533724375</v>
      </c>
      <c r="Q51" s="3">
        <f t="shared" ca="1" si="67"/>
        <v>0.7880449332157673</v>
      </c>
      <c r="R51" s="3">
        <f t="shared" ca="1" si="68"/>
        <v>0.85479459524674262</v>
      </c>
      <c r="S51" s="3">
        <f t="shared" ca="1" si="69"/>
        <v>0.85550569105516572</v>
      </c>
      <c r="U51" s="3">
        <f t="shared" ca="1" si="70"/>
        <v>2.9880478087649402</v>
      </c>
      <c r="V51" s="3">
        <f t="shared" ca="1" si="71"/>
        <v>2.4906600249066004</v>
      </c>
      <c r="W51" s="3">
        <f t="shared" ca="1" si="72"/>
        <v>1.9925280199252804</v>
      </c>
      <c r="X51" s="3">
        <f t="shared" ca="1" si="73"/>
        <v>3.4877927254608867</v>
      </c>
      <c r="Z51" s="3">
        <f t="shared" ca="1" si="74"/>
        <v>0.87549800796812749</v>
      </c>
      <c r="AA51" s="3">
        <f t="shared" ca="1" si="75"/>
        <v>0.96687422166874237</v>
      </c>
      <c r="AB51" s="3">
        <f t="shared" ca="1" si="76"/>
        <v>0.93773349937733508</v>
      </c>
      <c r="AC51" s="3">
        <f t="shared" ca="1" si="77"/>
        <v>0.80916791230692564</v>
      </c>
      <c r="AE51" s="3">
        <f t="shared" ca="1" si="78"/>
        <v>0.80876483533724375</v>
      </c>
      <c r="AF51" s="3">
        <f t="shared" ca="1" si="79"/>
        <v>0.7880449332157673</v>
      </c>
      <c r="AG51" s="3">
        <f t="shared" ca="1" si="80"/>
        <v>0.85479459524674262</v>
      </c>
      <c r="AH51" s="3">
        <f t="shared" ca="1" si="81"/>
        <v>0.689088147436141</v>
      </c>
      <c r="AJ51" s="3">
        <f t="shared" ca="1" si="82"/>
        <v>2.9880478087649402</v>
      </c>
      <c r="AK51" s="3">
        <f t="shared" ca="1" si="83"/>
        <v>2.4906600249066004</v>
      </c>
      <c r="AL51" s="3">
        <f t="shared" ca="1" si="84"/>
        <v>1.9925280199252804</v>
      </c>
      <c r="AM51" s="3">
        <f t="shared" ca="1" si="85"/>
        <v>2.7404085700049823</v>
      </c>
      <c r="AO51" s="3">
        <f t="shared" ca="1" si="86"/>
        <v>0.49800796812749004</v>
      </c>
      <c r="AP51" s="3">
        <f t="shared" ca="1" si="87"/>
        <v>0.24906600249066005</v>
      </c>
      <c r="AQ51" s="3">
        <f t="shared" ca="1" si="88"/>
        <v>0.4981320049813201</v>
      </c>
      <c r="AR51" s="3">
        <f t="shared" ca="1" si="89"/>
        <v>1.2456402590931739</v>
      </c>
      <c r="AT51" s="3">
        <v>0.41899999976158142</v>
      </c>
      <c r="AU51" s="3">
        <v>0.1289999932050705</v>
      </c>
      <c r="AV51" s="3">
        <v>9.9999997764825821E-3</v>
      </c>
      <c r="AW51" s="3">
        <v>0.43399998545646667</v>
      </c>
      <c r="AY51" s="3">
        <f t="shared" ca="1" si="90"/>
        <v>7.4701195219123481E-2</v>
      </c>
      <c r="AZ51" s="3">
        <f t="shared" ca="1" si="91"/>
        <v>0.53947696139476953</v>
      </c>
      <c r="BA51" s="3">
        <f t="shared" ca="1" si="92"/>
        <v>0.10809464508094645</v>
      </c>
      <c r="BB51" s="3">
        <f t="shared" ca="1" si="93"/>
        <v>0.26557050323866455</v>
      </c>
      <c r="BD51" s="3">
        <f t="shared" ca="1" si="94"/>
        <v>0</v>
      </c>
      <c r="BE51" s="3">
        <f t="shared" ca="1" si="95"/>
        <v>0.59750939662548563</v>
      </c>
      <c r="BF51" s="3">
        <f t="shared" ca="1" si="96"/>
        <v>0.12453300124533002</v>
      </c>
      <c r="BG51" s="3">
        <f t="shared" ca="1" si="97"/>
        <v>0.29870452694353561</v>
      </c>
      <c r="BI51" s="3">
        <f t="shared" ca="1" si="98"/>
        <v>0</v>
      </c>
      <c r="BJ51" s="3">
        <f t="shared" ca="1" si="99"/>
        <v>1.4943960149439603</v>
      </c>
      <c r="BK51" s="3">
        <f t="shared" ca="1" si="100"/>
        <v>0.24906600249066005</v>
      </c>
      <c r="BL51" s="3">
        <f t="shared" ca="1" si="101"/>
        <v>0.99651220727453904</v>
      </c>
      <c r="BN51" s="3">
        <f t="shared" ca="1" si="102"/>
        <v>0.49800796812749004</v>
      </c>
      <c r="BO51" s="3">
        <f t="shared" ca="1" si="103"/>
        <v>0.74719800747198017</v>
      </c>
      <c r="BP51" s="3">
        <f t="shared" ca="1" si="104"/>
        <v>0.74719800747198017</v>
      </c>
      <c r="BQ51" s="3">
        <f t="shared" ca="1" si="105"/>
        <v>1.2456402590931739</v>
      </c>
      <c r="BS51" s="3">
        <v>4.016</v>
      </c>
      <c r="BT51" s="3">
        <v>0.52899998426437378</v>
      </c>
      <c r="BU51" s="3">
        <v>3.4590001106262207</v>
      </c>
      <c r="BV51" s="3">
        <v>0.43399998545646667</v>
      </c>
      <c r="BX51" s="3">
        <f t="shared" ca="1" si="106"/>
        <v>0.14915338645418322</v>
      </c>
      <c r="BY51" s="3">
        <f t="shared" ca="1" si="107"/>
        <v>3.3125778331257787E-2</v>
      </c>
      <c r="BZ51" s="3">
        <f t="shared" ca="1" si="108"/>
        <v>6.2266500622664964E-2</v>
      </c>
      <c r="CA51" s="3">
        <f t="shared" ca="1" si="109"/>
        <v>8.7443946188340782E-2</v>
      </c>
      <c r="CC51" s="3">
        <f t="shared" ca="1" si="110"/>
        <v>0.21140437677087062</v>
      </c>
      <c r="CD51" s="3">
        <f t="shared" ca="1" si="111"/>
        <v>3.3125778657858582E-2</v>
      </c>
      <c r="CE51" s="3">
        <f t="shared" ca="1" si="112"/>
        <v>0</v>
      </c>
      <c r="CF51" s="3">
        <f t="shared" ca="1" si="113"/>
        <v>5.4060789145339939E-2</v>
      </c>
      <c r="CH51" s="3">
        <f t="shared" ca="1" si="114"/>
        <v>1.2450199203187251</v>
      </c>
      <c r="CI51" s="3">
        <f t="shared" ca="1" si="115"/>
        <v>0.24906600249066005</v>
      </c>
      <c r="CJ51" s="3">
        <f t="shared" ca="1" si="116"/>
        <v>0</v>
      </c>
      <c r="CK51" s="3">
        <f t="shared" ca="1" si="117"/>
        <v>0.49825610363726952</v>
      </c>
      <c r="CM51" s="3">
        <f t="shared" ca="1" si="118"/>
        <v>1.9920318725099602</v>
      </c>
      <c r="CN51" s="3">
        <f t="shared" ca="1" si="119"/>
        <v>0.4981320049813201</v>
      </c>
      <c r="CO51" s="3">
        <f t="shared" ca="1" si="120"/>
        <v>0.4981320049813201</v>
      </c>
      <c r="CP51" s="3">
        <f t="shared" ca="1" si="121"/>
        <v>0.99651220727453904</v>
      </c>
      <c r="CR51" s="3">
        <v>1.2690000534057617</v>
      </c>
      <c r="CS51" s="3">
        <v>0.1289999932050705</v>
      </c>
      <c r="CT51" s="3">
        <v>4.0149999999999997</v>
      </c>
      <c r="CU51" s="3">
        <v>2.3499999046325684</v>
      </c>
      <c r="CV51" s="21">
        <f t="shared" ca="1" si="61"/>
        <v>0.12453300124533002</v>
      </c>
      <c r="CW51" s="16">
        <f t="shared" ca="1" si="60"/>
        <v>7.416666666666667</v>
      </c>
    </row>
    <row r="52" spans="1:101" s="3" customFormat="1" x14ac:dyDescent="0.35">
      <c r="A52" s="2" t="s">
        <v>45</v>
      </c>
      <c r="B52" s="2">
        <v>7.583333333333333</v>
      </c>
      <c r="C52" s="2" t="s">
        <v>167</v>
      </c>
      <c r="D52" s="2" t="s">
        <v>403</v>
      </c>
      <c r="F52" s="3">
        <v>4.016</v>
      </c>
      <c r="G52" s="3">
        <v>4.016</v>
      </c>
      <c r="H52" s="3">
        <v>4.0149999999999997</v>
      </c>
      <c r="I52" s="3">
        <v>4.0309999999999997</v>
      </c>
      <c r="K52" s="3">
        <f t="shared" ca="1" si="62"/>
        <v>0.99576693227091639</v>
      </c>
      <c r="L52" s="3">
        <f t="shared" ca="1" si="63"/>
        <v>0.9957669322709165</v>
      </c>
      <c r="M52" s="3">
        <f t="shared" ca="1" si="64"/>
        <v>0.99178082191780836</v>
      </c>
      <c r="N52" s="3">
        <f t="shared" ca="1" si="65"/>
        <v>0.92185561895311341</v>
      </c>
      <c r="P52" s="3">
        <f t="shared" ca="1" si="66"/>
        <v>0.72584660497468068</v>
      </c>
      <c r="Q52" s="3">
        <f t="shared" ca="1" si="67"/>
        <v>0.9218127480304551</v>
      </c>
      <c r="R52" s="3">
        <f t="shared" ca="1" si="68"/>
        <v>0.87571599953349777</v>
      </c>
      <c r="S52" s="3">
        <f t="shared" ca="1" si="69"/>
        <v>0.81046885634970944</v>
      </c>
      <c r="U52" s="3">
        <f t="shared" ca="1" si="70"/>
        <v>1.9920318725099602</v>
      </c>
      <c r="V52" s="3">
        <f t="shared" ca="1" si="71"/>
        <v>2.241035856573705</v>
      </c>
      <c r="W52" s="3">
        <f t="shared" ca="1" si="72"/>
        <v>2.2415940224159403</v>
      </c>
      <c r="X52" s="3">
        <f t="shared" ca="1" si="73"/>
        <v>2.7288514016373111</v>
      </c>
      <c r="Z52" s="3">
        <f t="shared" ca="1" si="74"/>
        <v>0.94995019920318735</v>
      </c>
      <c r="AA52" s="3">
        <f t="shared" ca="1" si="75"/>
        <v>0.97933266932270935</v>
      </c>
      <c r="AB52" s="3">
        <f t="shared" ca="1" si="76"/>
        <v>0.99178082191780836</v>
      </c>
      <c r="AC52" s="3">
        <f t="shared" ca="1" si="77"/>
        <v>0.92185561895311341</v>
      </c>
      <c r="AE52" s="3">
        <f t="shared" ca="1" si="78"/>
        <v>0.6884959984600425</v>
      </c>
      <c r="AF52" s="3">
        <f t="shared" ca="1" si="79"/>
        <v>0.9218127480304551</v>
      </c>
      <c r="AG52" s="3">
        <f t="shared" ca="1" si="80"/>
        <v>0.87571599953349777</v>
      </c>
      <c r="AH52" s="3">
        <f t="shared" ca="1" si="81"/>
        <v>0.81046885634970944</v>
      </c>
      <c r="AJ52" s="3">
        <f t="shared" ca="1" si="82"/>
        <v>1.7430278884462151</v>
      </c>
      <c r="AK52" s="3">
        <f t="shared" ca="1" si="83"/>
        <v>2.241035856573705</v>
      </c>
      <c r="AL52" s="3">
        <f t="shared" ca="1" si="84"/>
        <v>2.2415940224159403</v>
      </c>
      <c r="AM52" s="3">
        <f t="shared" ca="1" si="85"/>
        <v>2.7288514016373111</v>
      </c>
      <c r="AO52" s="3">
        <f t="shared" ca="1" si="86"/>
        <v>0.49800796812749004</v>
      </c>
      <c r="AP52" s="3">
        <f t="shared" ca="1" si="87"/>
        <v>0.49800796812749004</v>
      </c>
      <c r="AQ52" s="3">
        <f t="shared" ca="1" si="88"/>
        <v>0.24906600249066005</v>
      </c>
      <c r="AR52" s="3">
        <f t="shared" ca="1" si="89"/>
        <v>0.24807740014884647</v>
      </c>
      <c r="AT52" s="3">
        <v>8.999999612569809E-3</v>
      </c>
      <c r="AU52" s="3">
        <v>2.0000000949949026E-3</v>
      </c>
      <c r="AV52" s="3">
        <v>3.2000001519918442E-2</v>
      </c>
      <c r="AW52" s="3">
        <v>0.33700001239776611</v>
      </c>
      <c r="AY52" s="3">
        <f t="shared" ca="1" si="90"/>
        <v>0.43152390438247001</v>
      </c>
      <c r="AZ52" s="3">
        <f t="shared" ca="1" si="91"/>
        <v>0.53934262948207168</v>
      </c>
      <c r="BA52" s="3">
        <f t="shared" ca="1" si="92"/>
        <v>0.35267745952677471</v>
      </c>
      <c r="BB52" s="3">
        <f t="shared" ca="1" si="93"/>
        <v>0.50855867030513535</v>
      </c>
      <c r="BD52" s="3">
        <f t="shared" ca="1" si="94"/>
        <v>0.42305781461476566</v>
      </c>
      <c r="BE52" s="3">
        <f t="shared" ca="1" si="95"/>
        <v>0.47758966684341431</v>
      </c>
      <c r="BF52" s="3">
        <f t="shared" ca="1" si="96"/>
        <v>0.32777084063177242</v>
      </c>
      <c r="BG52" s="3">
        <f t="shared" ca="1" si="97"/>
        <v>0.57032997866653978</v>
      </c>
      <c r="BI52" s="3">
        <f t="shared" ca="1" si="98"/>
        <v>0.74701195219123506</v>
      </c>
      <c r="BJ52" s="3">
        <f t="shared" ca="1" si="99"/>
        <v>1.2450199203187251</v>
      </c>
      <c r="BK52" s="3">
        <f t="shared" ca="1" si="100"/>
        <v>0.74719800747198017</v>
      </c>
      <c r="BL52" s="3">
        <f t="shared" ca="1" si="101"/>
        <v>1.7365418010419251</v>
      </c>
      <c r="BN52" s="3">
        <f t="shared" ca="1" si="102"/>
        <v>0.99601593625498008</v>
      </c>
      <c r="BO52" s="3">
        <f t="shared" ca="1" si="103"/>
        <v>0.74701195219123506</v>
      </c>
      <c r="BP52" s="3">
        <f t="shared" ca="1" si="104"/>
        <v>0.74719800747198017</v>
      </c>
      <c r="BQ52" s="3">
        <f t="shared" ca="1" si="105"/>
        <v>0.99230960059538587</v>
      </c>
      <c r="BS52" s="3">
        <v>8.999999612569809E-3</v>
      </c>
      <c r="BT52" s="3">
        <v>0.50099998712539673</v>
      </c>
      <c r="BU52" s="3">
        <v>0.34799998998641968</v>
      </c>
      <c r="BV52" s="3">
        <v>0.33700001239776611</v>
      </c>
      <c r="BX52" s="3">
        <f t="shared" ca="1" si="106"/>
        <v>4.980079681274905E-2</v>
      </c>
      <c r="BY52" s="3">
        <f t="shared" ca="1" si="107"/>
        <v>5.8017928286852614E-2</v>
      </c>
      <c r="BZ52" s="3">
        <f t="shared" ca="1" si="108"/>
        <v>0.17011207970112083</v>
      </c>
      <c r="CA52" s="3">
        <f t="shared" ca="1" si="109"/>
        <v>4.5398164227238746E-2</v>
      </c>
      <c r="CC52" s="3">
        <f t="shared" ca="1" si="110"/>
        <v>4.1583619744654195E-2</v>
      </c>
      <c r="CD52" s="3">
        <f t="shared" ca="1" si="111"/>
        <v>9.9601617372368431E-2</v>
      </c>
      <c r="CE52" s="3">
        <f t="shared" ca="1" si="112"/>
        <v>0.203237854231933</v>
      </c>
      <c r="CF52" s="3">
        <f t="shared" ca="1" si="113"/>
        <v>0</v>
      </c>
      <c r="CH52" s="3">
        <f t="shared" ca="1" si="114"/>
        <v>0.24900398406374502</v>
      </c>
      <c r="CI52" s="3">
        <f t="shared" ca="1" si="115"/>
        <v>0.24900398406374502</v>
      </c>
      <c r="CJ52" s="3">
        <f t="shared" ca="1" si="116"/>
        <v>0.24906600249066005</v>
      </c>
      <c r="CK52" s="3">
        <f t="shared" ca="1" si="117"/>
        <v>0</v>
      </c>
      <c r="CM52" s="3">
        <f t="shared" ca="1" si="118"/>
        <v>0.24900398406374502</v>
      </c>
      <c r="CN52" s="3">
        <f t="shared" ca="1" si="119"/>
        <v>0.49800796812749004</v>
      </c>
      <c r="CO52" s="3">
        <f t="shared" ca="1" si="120"/>
        <v>0.24906600249066005</v>
      </c>
      <c r="CP52" s="3">
        <f t="shared" ca="1" si="121"/>
        <v>0.49615480029769293</v>
      </c>
      <c r="CR52" s="3">
        <v>3.8410000801086426</v>
      </c>
      <c r="CS52" s="3">
        <v>1.9509999752044678</v>
      </c>
      <c r="CT52" s="3">
        <v>1.1150000095367432</v>
      </c>
      <c r="CU52" s="3">
        <v>4.0309999999999997</v>
      </c>
      <c r="CV52" s="21">
        <f t="shared" ca="1" si="61"/>
        <v>0.32777084063177242</v>
      </c>
      <c r="CW52" s="16">
        <f t="shared" ca="1" si="60"/>
        <v>7.583333333333333</v>
      </c>
    </row>
    <row r="53" spans="1:101" s="3" customFormat="1" x14ac:dyDescent="0.35">
      <c r="A53" s="2" t="s">
        <v>68</v>
      </c>
      <c r="B53" s="2">
        <v>7.666666666666667</v>
      </c>
      <c r="C53" s="2" t="s">
        <v>167</v>
      </c>
      <c r="D53" s="2" t="s">
        <v>403</v>
      </c>
      <c r="F53" s="3">
        <v>4.0149999999999997</v>
      </c>
      <c r="G53" s="3">
        <v>4.0110000000000001</v>
      </c>
      <c r="H53" s="3">
        <v>4.0149999999999997</v>
      </c>
      <c r="I53" s="3">
        <v>4.0110000000000001</v>
      </c>
      <c r="K53" s="3">
        <f t="shared" ca="1" si="62"/>
        <v>0.76388542963885431</v>
      </c>
      <c r="L53" s="3">
        <f t="shared" ca="1" si="63"/>
        <v>0.94714535028671165</v>
      </c>
      <c r="M53" s="3">
        <f t="shared" ca="1" si="64"/>
        <v>0.95865504358655051</v>
      </c>
      <c r="N53" s="3">
        <f t="shared" ca="1" si="65"/>
        <v>0.98878085265519822</v>
      </c>
      <c r="P53" s="3">
        <f t="shared" ca="1" si="66"/>
        <v>0.64308848579972056</v>
      </c>
      <c r="Q53" s="3">
        <f t="shared" ca="1" si="67"/>
        <v>0.26975825477258669</v>
      </c>
      <c r="R53" s="3">
        <f t="shared" ca="1" si="68"/>
        <v>0.26600249529181802</v>
      </c>
      <c r="S53" s="3">
        <f t="shared" ca="1" si="69"/>
        <v>0.41560713518471287</v>
      </c>
      <c r="U53" s="3">
        <f t="shared" ca="1" si="70"/>
        <v>1.9925280199252804</v>
      </c>
      <c r="V53" s="3">
        <f t="shared" ca="1" si="71"/>
        <v>1.9945150835203191</v>
      </c>
      <c r="W53" s="3">
        <f t="shared" ca="1" si="72"/>
        <v>1.2453300124533002</v>
      </c>
      <c r="X53" s="3">
        <f t="shared" ca="1" si="73"/>
        <v>1.9945150835203191</v>
      </c>
      <c r="Z53" s="3">
        <f t="shared" ca="1" si="74"/>
        <v>0.7887920298879203</v>
      </c>
      <c r="AA53" s="3">
        <f t="shared" ca="1" si="75"/>
        <v>0.98030416355023686</v>
      </c>
      <c r="AB53" s="3">
        <f t="shared" ca="1" si="76"/>
        <v>0.87148194271481938</v>
      </c>
      <c r="AC53" s="3">
        <f t="shared" ca="1" si="77"/>
        <v>0.93467963101470952</v>
      </c>
      <c r="AE53" s="3">
        <f t="shared" ca="1" si="78"/>
        <v>0.64308848579972056</v>
      </c>
      <c r="AF53" s="3">
        <f t="shared" ca="1" si="79"/>
        <v>0.26975825477258669</v>
      </c>
      <c r="AG53" s="3">
        <f t="shared" ca="1" si="80"/>
        <v>0.26600249529181802</v>
      </c>
      <c r="AH53" s="3">
        <f t="shared" ca="1" si="81"/>
        <v>0.41560713518471287</v>
      </c>
      <c r="AJ53" s="3">
        <f t="shared" ca="1" si="82"/>
        <v>1.9925280199252804</v>
      </c>
      <c r="AK53" s="3">
        <f t="shared" ca="1" si="83"/>
        <v>1.9945150835203191</v>
      </c>
      <c r="AL53" s="3">
        <f t="shared" ca="1" si="84"/>
        <v>1.2453300124533002</v>
      </c>
      <c r="AM53" s="3">
        <f t="shared" ca="1" si="85"/>
        <v>1.9945150835203191</v>
      </c>
      <c r="AO53" s="3">
        <f t="shared" ca="1" si="86"/>
        <v>1.2453300124533002</v>
      </c>
      <c r="AP53" s="3">
        <f t="shared" ca="1" si="87"/>
        <v>0.24931438544003989</v>
      </c>
      <c r="AQ53" s="3">
        <f t="shared" ca="1" si="88"/>
        <v>0.4981320049813201</v>
      </c>
      <c r="AR53" s="3">
        <f t="shared" ca="1" si="89"/>
        <v>0.74794315632011965</v>
      </c>
      <c r="AT53" s="3">
        <v>0.18400000035762787</v>
      </c>
      <c r="AU53" s="3">
        <v>0.10999999940395355</v>
      </c>
      <c r="AV53" s="3">
        <v>0.38400000333786011</v>
      </c>
      <c r="AW53" s="3">
        <v>4.5000001788139343E-2</v>
      </c>
      <c r="AY53" s="3">
        <f t="shared" ca="1" si="90"/>
        <v>2.0921544209215461E-2</v>
      </c>
      <c r="AZ53" s="3">
        <f t="shared" ca="1" si="91"/>
        <v>0</v>
      </c>
      <c r="BA53" s="3">
        <f t="shared" ca="1" si="92"/>
        <v>7.4719800747198029E-2</v>
      </c>
      <c r="BB53" s="3">
        <f t="shared" ca="1" si="93"/>
        <v>0.14535028671154335</v>
      </c>
      <c r="BD53" s="3">
        <f t="shared" ca="1" si="94"/>
        <v>0</v>
      </c>
      <c r="BE53" s="3">
        <f t="shared" ca="1" si="95"/>
        <v>0</v>
      </c>
      <c r="BF53" s="3">
        <f t="shared" ca="1" si="96"/>
        <v>0.11631381021787043</v>
      </c>
      <c r="BG53" s="3">
        <f t="shared" ca="1" si="97"/>
        <v>0.21590627181919339</v>
      </c>
      <c r="BI53" s="3">
        <f t="shared" ca="1" si="98"/>
        <v>0</v>
      </c>
      <c r="BJ53" s="3">
        <f t="shared" ca="1" si="99"/>
        <v>0</v>
      </c>
      <c r="BK53" s="3">
        <f t="shared" ca="1" si="100"/>
        <v>0.74719800747198017</v>
      </c>
      <c r="BL53" s="3">
        <f t="shared" ca="1" si="101"/>
        <v>0.99725754176015957</v>
      </c>
      <c r="BN53" s="3">
        <f t="shared" ca="1" si="102"/>
        <v>0.4981320049813201</v>
      </c>
      <c r="BO53" s="3">
        <f t="shared" ca="1" si="103"/>
        <v>0.24931438544003989</v>
      </c>
      <c r="BP53" s="3">
        <f t="shared" ca="1" si="104"/>
        <v>1.9925280199252804</v>
      </c>
      <c r="BQ53" s="3">
        <f t="shared" ca="1" si="105"/>
        <v>3.7397157816005984</v>
      </c>
      <c r="BS53" s="3">
        <v>4.0149999999999997</v>
      </c>
      <c r="BT53" s="3">
        <v>4.0110000000000001</v>
      </c>
      <c r="BU53" s="3">
        <v>0.38400000333786011</v>
      </c>
      <c r="BV53" s="3">
        <v>1.0279999971389771</v>
      </c>
      <c r="BX53" s="3">
        <f t="shared" ca="1" si="106"/>
        <v>0.12453300124532997</v>
      </c>
      <c r="BY53" s="3">
        <f t="shared" ca="1" si="107"/>
        <v>0.13737222637746199</v>
      </c>
      <c r="BZ53" s="3">
        <f t="shared" ca="1" si="108"/>
        <v>2.515566625155663E-2</v>
      </c>
      <c r="CA53" s="3">
        <f t="shared" ca="1" si="109"/>
        <v>3.7646472201446027E-2</v>
      </c>
      <c r="CC53" s="3">
        <f t="shared" ca="1" si="110"/>
        <v>5.3798276490321942E-2</v>
      </c>
      <c r="CD53" s="3">
        <f t="shared" ca="1" si="111"/>
        <v>7.8783341994816986E-2</v>
      </c>
      <c r="CE53" s="3">
        <f t="shared" ca="1" si="112"/>
        <v>0</v>
      </c>
      <c r="CF53" s="3">
        <f t="shared" ca="1" si="113"/>
        <v>3.3408143341437269E-2</v>
      </c>
      <c r="CH53" s="3">
        <f t="shared" ca="1" si="114"/>
        <v>0.24906600249066005</v>
      </c>
      <c r="CI53" s="3">
        <f t="shared" ca="1" si="115"/>
        <v>0.49862877088007979</v>
      </c>
      <c r="CJ53" s="3">
        <f t="shared" ca="1" si="116"/>
        <v>0</v>
      </c>
      <c r="CK53" s="3">
        <f t="shared" ca="1" si="117"/>
        <v>0.24931438544003989</v>
      </c>
      <c r="CM53" s="3">
        <f t="shared" ca="1" si="118"/>
        <v>2.4906600249066004</v>
      </c>
      <c r="CN53" s="3">
        <f t="shared" ca="1" si="119"/>
        <v>4.4876589379207177</v>
      </c>
      <c r="CO53" s="3">
        <f t="shared" ca="1" si="120"/>
        <v>1.7434620174346203</v>
      </c>
      <c r="CP53" s="3">
        <f t="shared" ca="1" si="121"/>
        <v>2.2438294689603588</v>
      </c>
      <c r="CR53" s="3">
        <v>3.75</v>
      </c>
      <c r="CS53" s="3">
        <v>1.3259999752044678</v>
      </c>
      <c r="CT53" s="3">
        <v>4.0149999999999997</v>
      </c>
      <c r="CU53" s="3">
        <v>2.7939999103546143</v>
      </c>
      <c r="CV53" s="21">
        <f t="shared" ca="1" si="61"/>
        <v>0.11631381021787043</v>
      </c>
      <c r="CW53" s="16">
        <f t="shared" ca="1" si="60"/>
        <v>7.666666666666667</v>
      </c>
    </row>
    <row r="54" spans="1:101" s="3" customFormat="1" x14ac:dyDescent="0.35">
      <c r="A54" s="2" t="s">
        <v>18</v>
      </c>
      <c r="B54" s="2">
        <v>8</v>
      </c>
      <c r="C54" s="2" t="s">
        <v>168</v>
      </c>
      <c r="D54" s="2" t="s">
        <v>403</v>
      </c>
      <c r="F54" s="3">
        <v>4.0149999999999997</v>
      </c>
      <c r="G54" s="3">
        <v>4.0149999999999997</v>
      </c>
      <c r="H54" s="3">
        <v>4.016</v>
      </c>
      <c r="I54" s="3">
        <v>4.016</v>
      </c>
      <c r="K54" s="3">
        <f t="shared" ca="1" si="62"/>
        <v>0.97509339975093412</v>
      </c>
      <c r="L54" s="3">
        <f t="shared" ca="1" si="63"/>
        <v>0.99601494396014945</v>
      </c>
      <c r="M54" s="3">
        <f t="shared" ca="1" si="64"/>
        <v>0.92953187250996017</v>
      </c>
      <c r="N54" s="3">
        <f t="shared" ca="1" si="65"/>
        <v>0.99576693227091628</v>
      </c>
      <c r="P54" s="3">
        <f t="shared" ca="1" si="66"/>
        <v>0.2276462791568761</v>
      </c>
      <c r="Q54" s="3">
        <f t="shared" ca="1" si="67"/>
        <v>0.54396012354906598</v>
      </c>
      <c r="R54" s="3">
        <f t="shared" ca="1" si="68"/>
        <v>0.34013947850442028</v>
      </c>
      <c r="S54" s="3">
        <f t="shared" ca="1" si="69"/>
        <v>0.41135451737865508</v>
      </c>
      <c r="U54" s="3">
        <f t="shared" ca="1" si="70"/>
        <v>1.2453300124533002</v>
      </c>
      <c r="V54" s="3">
        <f t="shared" ca="1" si="71"/>
        <v>2.4906600249066004</v>
      </c>
      <c r="W54" s="3">
        <f t="shared" ca="1" si="72"/>
        <v>2.241035856573705</v>
      </c>
      <c r="X54" s="3">
        <f t="shared" ca="1" si="73"/>
        <v>2.739043824701195</v>
      </c>
      <c r="Z54" s="3">
        <f t="shared" ca="1" si="74"/>
        <v>0.82141967621419687</v>
      </c>
      <c r="AA54" s="3">
        <f t="shared" ca="1" si="75"/>
        <v>0.98779576587795781</v>
      </c>
      <c r="AB54" s="3">
        <f t="shared" ca="1" si="76"/>
        <v>0.74277888446215146</v>
      </c>
      <c r="AC54" s="3">
        <f t="shared" ca="1" si="77"/>
        <v>0.99576693227091628</v>
      </c>
      <c r="AE54" s="3">
        <f t="shared" ca="1" si="78"/>
        <v>0.2276462791568761</v>
      </c>
      <c r="AF54" s="3">
        <f t="shared" ca="1" si="79"/>
        <v>0.54396012354906598</v>
      </c>
      <c r="AG54" s="3">
        <f t="shared" ca="1" si="80"/>
        <v>0.2487549907064058</v>
      </c>
      <c r="AH54" s="3">
        <f t="shared" ca="1" si="81"/>
        <v>0.41135451737865508</v>
      </c>
      <c r="AJ54" s="3">
        <f t="shared" ca="1" si="82"/>
        <v>1.2453300124533002</v>
      </c>
      <c r="AK54" s="3">
        <f t="shared" ca="1" si="83"/>
        <v>2.4906600249066004</v>
      </c>
      <c r="AL54" s="3">
        <f t="shared" ca="1" si="84"/>
        <v>1.9920318725099602</v>
      </c>
      <c r="AM54" s="3">
        <f t="shared" ca="1" si="85"/>
        <v>2.739043824701195</v>
      </c>
      <c r="AO54" s="3">
        <f t="shared" ca="1" si="86"/>
        <v>0.4981320049813201</v>
      </c>
      <c r="AP54" s="3">
        <f t="shared" ca="1" si="87"/>
        <v>0.4981320049813201</v>
      </c>
      <c r="AQ54" s="3">
        <f t="shared" ca="1" si="88"/>
        <v>1.7430278884462151</v>
      </c>
      <c r="AR54" s="3">
        <f t="shared" ca="1" si="89"/>
        <v>0.24900398406374502</v>
      </c>
      <c r="AT54" s="3">
        <v>0.17499999701976776</v>
      </c>
      <c r="AU54" s="3">
        <v>0.4440000057220459</v>
      </c>
      <c r="AV54" s="3">
        <v>0.42800000309944153</v>
      </c>
      <c r="AW54" s="3">
        <v>0.29600000381469727</v>
      </c>
      <c r="AY54" s="3">
        <f t="shared" ca="1" si="90"/>
        <v>1.2453300124533013E-2</v>
      </c>
      <c r="AZ54" s="3">
        <f t="shared" ca="1" si="91"/>
        <v>0.24458281444582816</v>
      </c>
      <c r="BA54" s="3">
        <f t="shared" ca="1" si="92"/>
        <v>2.0667330677290773E-2</v>
      </c>
      <c r="BB54" s="3">
        <f t="shared" ca="1" si="93"/>
        <v>5.8017928286852656E-2</v>
      </c>
      <c r="BD54" s="3">
        <f t="shared" ca="1" si="94"/>
        <v>0</v>
      </c>
      <c r="BE54" s="3">
        <f t="shared" ca="1" si="95"/>
        <v>0.31980075693664933</v>
      </c>
      <c r="BF54" s="3">
        <f t="shared" ca="1" si="96"/>
        <v>2.913349178207823E-2</v>
      </c>
      <c r="BG54" s="3">
        <f t="shared" ca="1" si="97"/>
        <v>5.8266946459671412E-2</v>
      </c>
      <c r="BI54" s="3">
        <f t="shared" ca="1" si="98"/>
        <v>0</v>
      </c>
      <c r="BJ54" s="3">
        <f t="shared" ca="1" si="99"/>
        <v>1.2453300124533002</v>
      </c>
      <c r="BK54" s="3">
        <f t="shared" ca="1" si="100"/>
        <v>0.24900398406374502</v>
      </c>
      <c r="BL54" s="3">
        <f t="shared" ca="1" si="101"/>
        <v>0.49800796812749004</v>
      </c>
      <c r="BN54" s="3">
        <f t="shared" ca="1" si="102"/>
        <v>1.4943960149439603</v>
      </c>
      <c r="BO54" s="3">
        <f t="shared" ca="1" si="103"/>
        <v>2.4906600249066004</v>
      </c>
      <c r="BP54" s="3">
        <f t="shared" ca="1" si="104"/>
        <v>4.7310756972111552</v>
      </c>
      <c r="BQ54" s="3">
        <f t="shared" ca="1" si="105"/>
        <v>2.241035856573705</v>
      </c>
      <c r="BS54" s="3">
        <v>4.0149999999999997</v>
      </c>
      <c r="BT54" s="3">
        <v>0.4440000057220459</v>
      </c>
      <c r="BU54" s="3">
        <v>2.2439999580383301</v>
      </c>
      <c r="BV54" s="3">
        <v>0.29600000381469727</v>
      </c>
      <c r="BX54" s="3">
        <f t="shared" ca="1" si="106"/>
        <v>2.4657534246575283E-2</v>
      </c>
      <c r="BY54" s="3">
        <f t="shared" ca="1" si="107"/>
        <v>0</v>
      </c>
      <c r="BZ54" s="3">
        <f t="shared" ca="1" si="108"/>
        <v>4.5816733067729168E-2</v>
      </c>
      <c r="CA54" s="3">
        <f t="shared" ca="1" si="109"/>
        <v>0</v>
      </c>
      <c r="CC54" s="3">
        <f t="shared" ca="1" si="110"/>
        <v>0</v>
      </c>
      <c r="CD54" s="3">
        <f t="shared" ca="1" si="111"/>
        <v>0</v>
      </c>
      <c r="CE54" s="3">
        <f t="shared" ca="1" si="112"/>
        <v>5.8017967944126204E-2</v>
      </c>
      <c r="CF54" s="3">
        <f t="shared" ca="1" si="113"/>
        <v>0</v>
      </c>
      <c r="CH54" s="3">
        <f t="shared" ca="1" si="114"/>
        <v>0</v>
      </c>
      <c r="CI54" s="3">
        <f t="shared" ca="1" si="115"/>
        <v>0</v>
      </c>
      <c r="CJ54" s="3">
        <f t="shared" ca="1" si="116"/>
        <v>0.49800796812749004</v>
      </c>
      <c r="CK54" s="3">
        <f t="shared" ca="1" si="117"/>
        <v>0</v>
      </c>
      <c r="CM54" s="3">
        <f t="shared" ca="1" si="118"/>
        <v>0.9962640099626402</v>
      </c>
      <c r="CN54" s="3">
        <f t="shared" ca="1" si="119"/>
        <v>0</v>
      </c>
      <c r="CO54" s="3">
        <f t="shared" ca="1" si="120"/>
        <v>1.9920318725099602</v>
      </c>
      <c r="CP54" s="3">
        <f t="shared" ca="1" si="121"/>
        <v>0</v>
      </c>
      <c r="CR54" s="3">
        <v>4.0149999999999997</v>
      </c>
      <c r="CS54" s="3">
        <v>4.0149999999999997</v>
      </c>
      <c r="CT54" s="3">
        <v>1.5279999971389771</v>
      </c>
      <c r="CU54" s="3">
        <v>4.016</v>
      </c>
      <c r="CV54" s="21">
        <f t="shared" ca="1" si="61"/>
        <v>2.913349178207823E-2</v>
      </c>
      <c r="CW54" s="16">
        <f t="shared" ca="1" si="60"/>
        <v>8</v>
      </c>
    </row>
    <row r="55" spans="1:101" s="3" customFormat="1" x14ac:dyDescent="0.35">
      <c r="A55" s="2" t="s">
        <v>3</v>
      </c>
      <c r="B55" s="2">
        <v>8.0833333333333339</v>
      </c>
      <c r="C55" s="2" t="s">
        <v>168</v>
      </c>
      <c r="D55" s="2" t="s">
        <v>403</v>
      </c>
      <c r="F55" s="3">
        <v>2.3439999999999999</v>
      </c>
      <c r="G55" s="3">
        <v>2.15</v>
      </c>
      <c r="H55" s="3">
        <v>3.0569999999999999</v>
      </c>
      <c r="I55" s="3">
        <v>0.41999999999999993</v>
      </c>
      <c r="K55" s="3">
        <f t="shared" ca="1" si="62"/>
        <v>0.78242320819112621</v>
      </c>
      <c r="L55" s="3">
        <f t="shared" ca="1" si="63"/>
        <v>0.96883720930232575</v>
      </c>
      <c r="M55" s="3">
        <f t="shared" ca="1" si="64"/>
        <v>0.43048740595354906</v>
      </c>
      <c r="N55" s="3" t="e">
        <f t="shared" ca="1" si="65"/>
        <v>#N/A</v>
      </c>
      <c r="P55" s="3">
        <f t="shared" ca="1" si="66"/>
        <v>0.61134807129768787</v>
      </c>
      <c r="Q55" s="3">
        <f t="shared" ca="1" si="67"/>
        <v>0.82930221114047742</v>
      </c>
      <c r="R55" s="3">
        <f t="shared" ca="1" si="68"/>
        <v>0.59437344266887115</v>
      </c>
      <c r="S55" s="3" t="e">
        <f t="shared" ca="1" si="69"/>
        <v>#N/A</v>
      </c>
      <c r="U55" s="3">
        <f t="shared" ca="1" si="70"/>
        <v>1.7064846416382253</v>
      </c>
      <c r="V55" s="3">
        <f t="shared" ca="1" si="71"/>
        <v>2.3255813953488373</v>
      </c>
      <c r="W55" s="3">
        <f t="shared" ca="1" si="72"/>
        <v>2.2898266274124959</v>
      </c>
      <c r="X55" s="3" t="e">
        <f t="shared" ca="1" si="73"/>
        <v>#N/A</v>
      </c>
      <c r="Z55" s="3">
        <f t="shared" ca="1" si="74"/>
        <v>0.66851535836177467</v>
      </c>
      <c r="AA55" s="3">
        <f t="shared" ca="1" si="75"/>
        <v>0.79069767441860472</v>
      </c>
      <c r="AB55" s="3">
        <f t="shared" ca="1" si="76"/>
        <v>0.30552829571475293</v>
      </c>
      <c r="AC55" s="3" t="e">
        <f t="shared" ca="1" si="77"/>
        <v>#N/A</v>
      </c>
      <c r="AE55" s="3">
        <f t="shared" ca="1" si="78"/>
        <v>0.61134807129768787</v>
      </c>
      <c r="AF55" s="3">
        <f t="shared" ca="1" si="79"/>
        <v>0.68232547405154209</v>
      </c>
      <c r="AG55" s="3">
        <f t="shared" ca="1" si="80"/>
        <v>0.24533848923173729</v>
      </c>
      <c r="AH55" s="3" t="e">
        <f t="shared" ca="1" si="81"/>
        <v>#N/A</v>
      </c>
      <c r="AJ55" s="3">
        <f t="shared" ca="1" si="82"/>
        <v>1.7064846416382253</v>
      </c>
      <c r="AK55" s="3">
        <f t="shared" ca="1" si="83"/>
        <v>1.8604651162790697</v>
      </c>
      <c r="AL55" s="3">
        <f t="shared" ca="1" si="84"/>
        <v>1.3084723585214262</v>
      </c>
      <c r="AM55" s="3" t="e">
        <f t="shared" ca="1" si="85"/>
        <v>#N/A</v>
      </c>
      <c r="AO55" s="3">
        <f t="shared" ca="1" si="86"/>
        <v>1.7064846416382253</v>
      </c>
      <c r="AP55" s="3">
        <f t="shared" ca="1" si="87"/>
        <v>1.8604651162790697</v>
      </c>
      <c r="AQ55" s="3">
        <f t="shared" ca="1" si="88"/>
        <v>1.6355904481517829</v>
      </c>
      <c r="AR55" s="3" t="e">
        <f t="shared" ca="1" si="89"/>
        <v>#N/A</v>
      </c>
      <c r="AT55" s="3">
        <v>0.29399999976158142</v>
      </c>
      <c r="AU55" s="3">
        <v>0.75499999523162842</v>
      </c>
      <c r="AV55" s="3">
        <v>2.0360000133514404</v>
      </c>
      <c r="AW55" s="11" t="e">
        <v>#N/A</v>
      </c>
      <c r="AY55" s="3">
        <f t="shared" ca="1" si="90"/>
        <v>0</v>
      </c>
      <c r="AZ55" s="3">
        <f t="shared" ca="1" si="91"/>
        <v>0</v>
      </c>
      <c r="BA55" s="3">
        <f t="shared" ca="1" si="92"/>
        <v>0</v>
      </c>
      <c r="BB55" s="3" t="e">
        <f t="shared" ca="1" si="93"/>
        <v>#N/A</v>
      </c>
      <c r="BD55" s="3">
        <f t="shared" ca="1" si="94"/>
        <v>0</v>
      </c>
      <c r="BE55" s="3">
        <f t="shared" ca="1" si="95"/>
        <v>0</v>
      </c>
      <c r="BF55" s="3">
        <f t="shared" ca="1" si="96"/>
        <v>0</v>
      </c>
      <c r="BG55" s="3" t="e">
        <f t="shared" ca="1" si="97"/>
        <v>#N/A</v>
      </c>
      <c r="BI55" s="3">
        <f t="shared" ca="1" si="98"/>
        <v>0</v>
      </c>
      <c r="BJ55" s="3">
        <f t="shared" ca="1" si="99"/>
        <v>0</v>
      </c>
      <c r="BK55" s="3">
        <f t="shared" ca="1" si="100"/>
        <v>0</v>
      </c>
      <c r="BL55" s="3" t="e">
        <f t="shared" ca="1" si="101"/>
        <v>#N/A</v>
      </c>
      <c r="BN55" s="3">
        <f t="shared" ca="1" si="102"/>
        <v>0</v>
      </c>
      <c r="BO55" s="3">
        <f t="shared" ca="1" si="103"/>
        <v>0</v>
      </c>
      <c r="BP55" s="3">
        <f t="shared" ca="1" si="104"/>
        <v>0</v>
      </c>
      <c r="BQ55" s="3" t="e">
        <f t="shared" ca="1" si="105"/>
        <v>#N/A</v>
      </c>
      <c r="BS55" s="3">
        <v>4.0010000000000003</v>
      </c>
      <c r="BT55" s="3">
        <v>4.0110000000000001</v>
      </c>
      <c r="BU55" s="3">
        <v>4.01</v>
      </c>
      <c r="BV55" s="11" t="e">
        <v>#N/A</v>
      </c>
      <c r="BX55" s="3">
        <f t="shared" ca="1" si="106"/>
        <v>5.716723549488055E-2</v>
      </c>
      <c r="BY55" s="3">
        <f t="shared" ca="1" si="107"/>
        <v>0.24046511627906975</v>
      </c>
      <c r="BZ55" s="3">
        <f t="shared" ca="1" si="108"/>
        <v>0.1089303238469088</v>
      </c>
      <c r="CA55" s="3" t="e">
        <f t="shared" ca="1" si="109"/>
        <v>#N/A</v>
      </c>
      <c r="CC55" s="3">
        <f t="shared" ca="1" si="110"/>
        <v>4.948802775490406E-2</v>
      </c>
      <c r="CD55" s="3">
        <f t="shared" ca="1" si="111"/>
        <v>0.24790691774944928</v>
      </c>
      <c r="CE55" s="3">
        <f t="shared" ca="1" si="112"/>
        <v>0.11449130017421275</v>
      </c>
      <c r="CF55" s="3" t="e">
        <f t="shared" ca="1" si="113"/>
        <v>#N/A</v>
      </c>
      <c r="CH55" s="3">
        <f t="shared" ca="1" si="114"/>
        <v>0.42662116040955633</v>
      </c>
      <c r="CI55" s="3">
        <f t="shared" ca="1" si="115"/>
        <v>0.46511627906976744</v>
      </c>
      <c r="CJ55" s="3">
        <f t="shared" ca="1" si="116"/>
        <v>0.32711808963035655</v>
      </c>
      <c r="CK55" s="3" t="e">
        <f t="shared" ca="1" si="117"/>
        <v>#N/A</v>
      </c>
      <c r="CM55" s="3">
        <f t="shared" ca="1" si="118"/>
        <v>1.2798634812286691</v>
      </c>
      <c r="CN55" s="3">
        <f t="shared" ca="1" si="119"/>
        <v>0.46511627906976744</v>
      </c>
      <c r="CO55" s="3">
        <f t="shared" ca="1" si="120"/>
        <v>0.32711808963035655</v>
      </c>
      <c r="CP55" s="3" t="e">
        <f t="shared" ca="1" si="121"/>
        <v>#N/A</v>
      </c>
      <c r="CR55" s="3">
        <v>1.2940000295639038</v>
      </c>
      <c r="CS55" s="3">
        <v>1.7050000429153442</v>
      </c>
      <c r="CT55" s="3">
        <v>3.5520000457763672</v>
      </c>
      <c r="CU55" s="11" t="e">
        <v>#N/A</v>
      </c>
      <c r="CV55" s="21">
        <f t="shared" ca="1" si="61"/>
        <v>0</v>
      </c>
      <c r="CW55" s="16">
        <f t="shared" ca="1" si="60"/>
        <v>8.0833333333333339</v>
      </c>
    </row>
    <row r="56" spans="1:101" s="3" customFormat="1" x14ac:dyDescent="0.35">
      <c r="A56" s="2" t="s">
        <v>15</v>
      </c>
      <c r="B56" s="2">
        <v>8.25</v>
      </c>
      <c r="C56" s="2" t="s">
        <v>168</v>
      </c>
      <c r="D56" s="2" t="s">
        <v>403</v>
      </c>
      <c r="F56" s="3">
        <v>4.016</v>
      </c>
      <c r="G56" s="3">
        <v>4.016</v>
      </c>
      <c r="H56" s="3">
        <v>4.016</v>
      </c>
      <c r="I56" s="3">
        <v>4.0149999999999997</v>
      </c>
      <c r="K56" s="3">
        <f t="shared" ca="1" si="62"/>
        <v>0.99551792828685259</v>
      </c>
      <c r="L56" s="3">
        <f t="shared" ca="1" si="63"/>
        <v>0.95443227091633476</v>
      </c>
      <c r="M56" s="3">
        <f t="shared" ca="1" si="64"/>
        <v>0.99576693227091628</v>
      </c>
      <c r="N56" s="3">
        <f t="shared" ca="1" si="65"/>
        <v>0.99601494396014956</v>
      </c>
      <c r="P56" s="3">
        <f t="shared" ca="1" si="66"/>
        <v>0.99551796716493202</v>
      </c>
      <c r="Q56" s="3">
        <f t="shared" ca="1" si="67"/>
        <v>0.86354571941913483</v>
      </c>
      <c r="R56" s="3">
        <f t="shared" ca="1" si="68"/>
        <v>0.92529888409542371</v>
      </c>
      <c r="S56" s="3">
        <f t="shared" ca="1" si="69"/>
        <v>0.93349933599331802</v>
      </c>
      <c r="U56" s="3">
        <f t="shared" ca="1" si="70"/>
        <v>0.24900398406374502</v>
      </c>
      <c r="V56" s="3">
        <f t="shared" ca="1" si="71"/>
        <v>2.241035856573705</v>
      </c>
      <c r="W56" s="3">
        <f t="shared" ca="1" si="72"/>
        <v>1.2450199203187251</v>
      </c>
      <c r="X56" s="3">
        <f t="shared" ca="1" si="73"/>
        <v>1.9925280199252804</v>
      </c>
      <c r="Z56" s="3">
        <f t="shared" ca="1" si="74"/>
        <v>0.99551792828685259</v>
      </c>
      <c r="AA56" s="3">
        <f t="shared" ca="1" si="75"/>
        <v>0.92554780876494025</v>
      </c>
      <c r="AB56" s="3">
        <f t="shared" ca="1" si="76"/>
        <v>0.99576693227091628</v>
      </c>
      <c r="AC56" s="3">
        <f t="shared" ca="1" si="77"/>
        <v>0.82988792029887926</v>
      </c>
      <c r="AE56" s="3">
        <f t="shared" ca="1" si="78"/>
        <v>0.99551796716493202</v>
      </c>
      <c r="AF56" s="3">
        <f t="shared" ca="1" si="79"/>
        <v>0.86354571941913483</v>
      </c>
      <c r="AG56" s="3">
        <f t="shared" ca="1" si="80"/>
        <v>0.92529888409542371</v>
      </c>
      <c r="AH56" s="3">
        <f t="shared" ca="1" si="81"/>
        <v>0.78007469413590946</v>
      </c>
      <c r="AJ56" s="3">
        <f t="shared" ca="1" si="82"/>
        <v>0.24900398406374502</v>
      </c>
      <c r="AK56" s="3">
        <f t="shared" ca="1" si="83"/>
        <v>2.241035856573705</v>
      </c>
      <c r="AL56" s="3">
        <f t="shared" ca="1" si="84"/>
        <v>1.2450199203187251</v>
      </c>
      <c r="AM56" s="3">
        <f t="shared" ca="1" si="85"/>
        <v>1.7434620174346203</v>
      </c>
      <c r="AO56" s="3">
        <f t="shared" ca="1" si="86"/>
        <v>0.24900398406374502</v>
      </c>
      <c r="AP56" s="3">
        <f t="shared" ca="1" si="87"/>
        <v>0.49800796812749004</v>
      </c>
      <c r="AQ56" s="3">
        <f t="shared" ca="1" si="88"/>
        <v>0.24900398406374502</v>
      </c>
      <c r="AR56" s="3">
        <f t="shared" ca="1" si="89"/>
        <v>0.4981320049813201</v>
      </c>
      <c r="AT56" s="3">
        <v>1.3000000268220901E-2</v>
      </c>
      <c r="AU56" s="3">
        <v>1.6000000759959221E-2</v>
      </c>
      <c r="AV56" s="3">
        <v>0.22699999809265137</v>
      </c>
      <c r="AW56" s="3">
        <v>1.0000000474974513E-3</v>
      </c>
      <c r="AY56" s="3">
        <f t="shared" ca="1" si="90"/>
        <v>0.99551792828685259</v>
      </c>
      <c r="AZ56" s="3">
        <f t="shared" ca="1" si="91"/>
        <v>0.23655378486055775</v>
      </c>
      <c r="BA56" s="3">
        <f t="shared" ca="1" si="92"/>
        <v>0.88371513944223101</v>
      </c>
      <c r="BB56" s="3">
        <f t="shared" ca="1" si="93"/>
        <v>0.60572851805728523</v>
      </c>
      <c r="BD56" s="3">
        <f t="shared" ca="1" si="94"/>
        <v>0.99551796716493202</v>
      </c>
      <c r="BE56" s="3">
        <f t="shared" ca="1" si="95"/>
        <v>0.27813742436335026</v>
      </c>
      <c r="BF56" s="3">
        <f t="shared" ca="1" si="96"/>
        <v>0.85458175772689726</v>
      </c>
      <c r="BG56" s="3">
        <f t="shared" ca="1" si="97"/>
        <v>0.57683684312243244</v>
      </c>
      <c r="BI56" s="3">
        <f t="shared" ca="1" si="98"/>
        <v>0.24900398406374502</v>
      </c>
      <c r="BJ56" s="3">
        <f t="shared" ca="1" si="99"/>
        <v>0.49800796812749004</v>
      </c>
      <c r="BK56" s="3">
        <f t="shared" ca="1" si="100"/>
        <v>0.99601593625498008</v>
      </c>
      <c r="BL56" s="3">
        <f t="shared" ca="1" si="101"/>
        <v>1.2453300124533002</v>
      </c>
      <c r="BN56" s="3">
        <f t="shared" ca="1" si="102"/>
        <v>0.24900398406374502</v>
      </c>
      <c r="BO56" s="3">
        <f t="shared" ca="1" si="103"/>
        <v>0.49800796812749004</v>
      </c>
      <c r="BP56" s="3">
        <f t="shared" ca="1" si="104"/>
        <v>0.49800796812749004</v>
      </c>
      <c r="BQ56" s="3">
        <f t="shared" ca="1" si="105"/>
        <v>0.74719800747198017</v>
      </c>
      <c r="BS56" s="3">
        <v>1.3000000268220901E-2</v>
      </c>
      <c r="BT56" s="3">
        <v>1.6000000759959221E-2</v>
      </c>
      <c r="BU56" s="3">
        <v>0.52700001001358032</v>
      </c>
      <c r="BV56" s="3">
        <v>0.51800000667572021</v>
      </c>
      <c r="BX56" s="3">
        <f t="shared" ca="1" si="106"/>
        <v>0</v>
      </c>
      <c r="BY56" s="3">
        <f t="shared" ca="1" si="107"/>
        <v>2.0916334661354601E-2</v>
      </c>
      <c r="BZ56" s="3">
        <f t="shared" ca="1" si="108"/>
        <v>4.233067729083665E-3</v>
      </c>
      <c r="CA56" s="3">
        <f t="shared" ca="1" si="109"/>
        <v>0</v>
      </c>
      <c r="CC56" s="3">
        <f t="shared" ca="1" si="110"/>
        <v>0</v>
      </c>
      <c r="CD56" s="3">
        <f t="shared" ca="1" si="111"/>
        <v>2.4900374659504072E-2</v>
      </c>
      <c r="CE56" s="3">
        <f t="shared" ca="1" si="112"/>
        <v>0</v>
      </c>
      <c r="CF56" s="3">
        <f t="shared" ca="1" si="113"/>
        <v>0</v>
      </c>
      <c r="CH56" s="3">
        <f t="shared" ca="1" si="114"/>
        <v>0</v>
      </c>
      <c r="CI56" s="3">
        <f t="shared" ca="1" si="115"/>
        <v>0.24900398406374502</v>
      </c>
      <c r="CJ56" s="3">
        <f t="shared" ca="1" si="116"/>
        <v>0</v>
      </c>
      <c r="CK56" s="3">
        <f t="shared" ca="1" si="117"/>
        <v>0</v>
      </c>
      <c r="CM56" s="3">
        <f t="shared" ca="1" si="118"/>
        <v>0</v>
      </c>
      <c r="CN56" s="3">
        <f t="shared" ca="1" si="119"/>
        <v>0.24900398406374502</v>
      </c>
      <c r="CO56" s="3">
        <f t="shared" ca="1" si="120"/>
        <v>0.24900398406374502</v>
      </c>
      <c r="CP56" s="3">
        <f t="shared" ca="1" si="121"/>
        <v>0</v>
      </c>
      <c r="CR56" s="3">
        <v>4.016</v>
      </c>
      <c r="CS56" s="3">
        <v>1.9830000400543213</v>
      </c>
      <c r="CT56" s="3">
        <v>4.016</v>
      </c>
      <c r="CU56" s="3">
        <v>4.0149999999999997</v>
      </c>
      <c r="CV56" s="21">
        <f t="shared" ca="1" si="61"/>
        <v>0.85458175772689726</v>
      </c>
      <c r="CW56" s="16">
        <f t="shared" ca="1" si="60"/>
        <v>8.25</v>
      </c>
    </row>
    <row r="57" spans="1:101" s="3" customFormat="1" x14ac:dyDescent="0.35">
      <c r="A57" s="2" t="s">
        <v>29</v>
      </c>
      <c r="B57" s="2">
        <v>8.5</v>
      </c>
      <c r="C57" s="2" t="s">
        <v>168</v>
      </c>
      <c r="D57" s="2" t="s">
        <v>403</v>
      </c>
      <c r="F57" s="3">
        <v>4.0110000000000001</v>
      </c>
      <c r="G57" s="3">
        <v>4.0110000000000001</v>
      </c>
      <c r="H57" s="3">
        <v>4.0309999999999997</v>
      </c>
      <c r="I57" s="3">
        <v>4.01</v>
      </c>
      <c r="K57" s="3">
        <f t="shared" ca="1" si="62"/>
        <v>0.99675891298927943</v>
      </c>
      <c r="L57" s="3">
        <f t="shared" ca="1" si="63"/>
        <v>0.9845425081027176</v>
      </c>
      <c r="M57" s="3">
        <f t="shared" ca="1" si="64"/>
        <v>0.99627883899776737</v>
      </c>
      <c r="N57" s="3">
        <f t="shared" ca="1" si="65"/>
        <v>0.77306733167082298</v>
      </c>
      <c r="P57" s="3">
        <f t="shared" ca="1" si="66"/>
        <v>0.97132879510202386</v>
      </c>
      <c r="Q57" s="3">
        <f t="shared" ca="1" si="67"/>
        <v>0.90152080948885993</v>
      </c>
      <c r="R57" s="3">
        <f t="shared" ca="1" si="68"/>
        <v>0.83527658749265499</v>
      </c>
      <c r="S57" s="3">
        <f t="shared" ca="1" si="69"/>
        <v>0.710473869209575</v>
      </c>
      <c r="U57" s="3">
        <f t="shared" ca="1" si="70"/>
        <v>1.4958863126402393</v>
      </c>
      <c r="V57" s="3">
        <f t="shared" ca="1" si="71"/>
        <v>0.99725754176015957</v>
      </c>
      <c r="W57" s="3">
        <f t="shared" ca="1" si="72"/>
        <v>2.4807740014884647</v>
      </c>
      <c r="X57" s="3">
        <f t="shared" ca="1" si="73"/>
        <v>1.4962593516209477</v>
      </c>
      <c r="Z57" s="3">
        <f t="shared" ca="1" si="74"/>
        <v>0.99675891298927943</v>
      </c>
      <c r="AA57" s="3">
        <f t="shared" ca="1" si="75"/>
        <v>0.9845425081027176</v>
      </c>
      <c r="AB57" s="3">
        <f t="shared" ca="1" si="76"/>
        <v>0.99627883899776737</v>
      </c>
      <c r="AC57" s="3">
        <f t="shared" ca="1" si="77"/>
        <v>0.31197007481296768</v>
      </c>
      <c r="AE57" s="3">
        <f t="shared" ca="1" si="78"/>
        <v>0.97132879510202386</v>
      </c>
      <c r="AF57" s="3">
        <f t="shared" ca="1" si="79"/>
        <v>0.90152080948885993</v>
      </c>
      <c r="AG57" s="3">
        <f t="shared" ca="1" si="80"/>
        <v>0.83527658749265499</v>
      </c>
      <c r="AH57" s="3">
        <f t="shared" ca="1" si="81"/>
        <v>0.28254367466876634</v>
      </c>
      <c r="AJ57" s="3">
        <f t="shared" ca="1" si="82"/>
        <v>1.4958863126402393</v>
      </c>
      <c r="AK57" s="3">
        <f t="shared" ca="1" si="83"/>
        <v>0.99725754176015957</v>
      </c>
      <c r="AL57" s="3">
        <f t="shared" ca="1" si="84"/>
        <v>2.4807740014884647</v>
      </c>
      <c r="AM57" s="3">
        <f t="shared" ca="1" si="85"/>
        <v>0.99750623441396513</v>
      </c>
      <c r="AO57" s="3">
        <f t="shared" ca="1" si="86"/>
        <v>0.24931438544003989</v>
      </c>
      <c r="AP57" s="3">
        <f t="shared" ca="1" si="87"/>
        <v>0.24931438544003989</v>
      </c>
      <c r="AQ57" s="3">
        <f t="shared" ca="1" si="88"/>
        <v>0.24807740014884647</v>
      </c>
      <c r="AR57" s="3">
        <f t="shared" ca="1" si="89"/>
        <v>0.74812967581047385</v>
      </c>
      <c r="AT57" s="3">
        <v>4.0000001899898052E-3</v>
      </c>
      <c r="AU57" s="3">
        <v>0.125</v>
      </c>
      <c r="AV57" s="3">
        <v>0.20600000023841858</v>
      </c>
      <c r="AW57" s="3">
        <v>0.26899999380111694</v>
      </c>
      <c r="AY57" s="3">
        <f t="shared" ca="1" si="90"/>
        <v>0.56494639740713037</v>
      </c>
      <c r="AZ57" s="3">
        <f t="shared" ca="1" si="91"/>
        <v>0</v>
      </c>
      <c r="BA57" s="3">
        <f t="shared" ca="1" si="92"/>
        <v>0.59538576035723145</v>
      </c>
      <c r="BB57" s="3">
        <f t="shared" ca="1" si="93"/>
        <v>2.4688279301745632E-2</v>
      </c>
      <c r="BD57" s="3">
        <f t="shared" ca="1" si="94"/>
        <v>0.58539015965638863</v>
      </c>
      <c r="BE57" s="3">
        <f t="shared" ca="1" si="95"/>
        <v>0</v>
      </c>
      <c r="BF57" s="3">
        <f t="shared" ca="1" si="96"/>
        <v>0.6162242095661471</v>
      </c>
      <c r="BG57" s="3">
        <f t="shared" ca="1" si="97"/>
        <v>0</v>
      </c>
      <c r="BI57" s="3">
        <f t="shared" ca="1" si="98"/>
        <v>0.49862877088007979</v>
      </c>
      <c r="BJ57" s="3">
        <f t="shared" ca="1" si="99"/>
        <v>0</v>
      </c>
      <c r="BK57" s="3">
        <f t="shared" ca="1" si="100"/>
        <v>1.4884644008930787</v>
      </c>
      <c r="BL57" s="3">
        <f t="shared" ca="1" si="101"/>
        <v>0</v>
      </c>
      <c r="BN57" s="3">
        <f t="shared" ca="1" si="102"/>
        <v>0.24931438544003989</v>
      </c>
      <c r="BO57" s="3">
        <f t="shared" ca="1" si="103"/>
        <v>0.24931438544003989</v>
      </c>
      <c r="BP57" s="3">
        <f t="shared" ca="1" si="104"/>
        <v>1.2403870007442324</v>
      </c>
      <c r="BQ57" s="3">
        <f t="shared" ca="1" si="105"/>
        <v>0.49875311720698257</v>
      </c>
      <c r="BS57" s="3">
        <v>0.58700001239776611</v>
      </c>
      <c r="BT57" s="3">
        <v>4.0110000000000001</v>
      </c>
      <c r="BU57" s="3">
        <v>0.20600000023841858</v>
      </c>
      <c r="BV57" s="3">
        <v>4.01</v>
      </c>
      <c r="BX57" s="3">
        <f t="shared" ca="1" si="106"/>
        <v>0.21166791323859391</v>
      </c>
      <c r="BY57" s="3">
        <f t="shared" ca="1" si="107"/>
        <v>0.72700074794315628</v>
      </c>
      <c r="BZ57" s="3">
        <f t="shared" ca="1" si="108"/>
        <v>8.2857851649714737E-2</v>
      </c>
      <c r="CA57" s="3">
        <f t="shared" ca="1" si="109"/>
        <v>8.2294264339152125E-3</v>
      </c>
      <c r="CC57" s="3">
        <f t="shared" ca="1" si="110"/>
        <v>0.21166790753224043</v>
      </c>
      <c r="CD57" s="3">
        <f t="shared" ca="1" si="111"/>
        <v>0.5774121128748968</v>
      </c>
      <c r="CE57" s="3">
        <f t="shared" ca="1" si="112"/>
        <v>9.5013648278953963E-2</v>
      </c>
      <c r="CF57" s="3">
        <f t="shared" ca="1" si="113"/>
        <v>0</v>
      </c>
      <c r="CH57" s="3">
        <f t="shared" ca="1" si="114"/>
        <v>0.49862877088007979</v>
      </c>
      <c r="CI57" s="3">
        <f t="shared" ca="1" si="115"/>
        <v>0.49862877088007979</v>
      </c>
      <c r="CJ57" s="3">
        <f t="shared" ca="1" si="116"/>
        <v>0.24807740014884647</v>
      </c>
      <c r="CK57" s="3">
        <f t="shared" ca="1" si="117"/>
        <v>0</v>
      </c>
      <c r="CM57" s="3">
        <f t="shared" ca="1" si="118"/>
        <v>0.24931438544003989</v>
      </c>
      <c r="CN57" s="3">
        <f t="shared" ca="1" si="119"/>
        <v>0.99725754176015957</v>
      </c>
      <c r="CO57" s="3">
        <f t="shared" ca="1" si="120"/>
        <v>0.24807740014884647</v>
      </c>
      <c r="CP57" s="3">
        <f t="shared" ca="1" si="121"/>
        <v>0.24937655860349128</v>
      </c>
      <c r="CR57" s="3">
        <v>3.1189999580383301</v>
      </c>
      <c r="CS57" s="3">
        <v>0.125</v>
      </c>
      <c r="CT57" s="3">
        <v>1.1890000104904175</v>
      </c>
      <c r="CU57" s="3">
        <v>4.01</v>
      </c>
      <c r="CV57" s="21">
        <f t="shared" ca="1" si="61"/>
        <v>0.6162242095661471</v>
      </c>
      <c r="CW57" s="16">
        <f t="shared" ca="1" si="60"/>
        <v>8.5</v>
      </c>
    </row>
    <row r="58" spans="1:101" s="3" customFormat="1" x14ac:dyDescent="0.35">
      <c r="A58" s="2" t="s">
        <v>71</v>
      </c>
      <c r="B58" s="2">
        <v>8.5</v>
      </c>
      <c r="C58" s="2" t="s">
        <v>167</v>
      </c>
      <c r="D58" s="2" t="s">
        <v>403</v>
      </c>
      <c r="F58" s="3">
        <v>1.9500000000000002</v>
      </c>
      <c r="G58" s="3">
        <v>2.0960000000000001</v>
      </c>
      <c r="H58" s="3">
        <v>4.0049999999999999</v>
      </c>
      <c r="I58" s="3">
        <v>2.778</v>
      </c>
      <c r="K58" s="3" t="e">
        <f t="shared" ca="1" si="62"/>
        <v>#N/A</v>
      </c>
      <c r="L58" s="3">
        <f t="shared" ca="1" si="63"/>
        <v>0.99379770992366412</v>
      </c>
      <c r="M58" s="3">
        <f t="shared" ca="1" si="64"/>
        <v>0.99450686641697883</v>
      </c>
      <c r="N58" s="3">
        <f t="shared" ca="1" si="65"/>
        <v>0.99568034557235419</v>
      </c>
      <c r="P58" s="3" t="e">
        <f t="shared" ca="1" si="66"/>
        <v>#N/A</v>
      </c>
      <c r="Q58" s="3">
        <f t="shared" ca="1" si="67"/>
        <v>0.46946580400903715</v>
      </c>
      <c r="R58" s="3">
        <f t="shared" ca="1" si="68"/>
        <v>0.11635460657126895</v>
      </c>
      <c r="S58" s="3">
        <f t="shared" ca="1" si="69"/>
        <v>0.32973364384441256</v>
      </c>
      <c r="U58" s="3" t="e">
        <f t="shared" ca="1" si="70"/>
        <v>#N/A</v>
      </c>
      <c r="V58" s="3">
        <f t="shared" ca="1" si="71"/>
        <v>2.3854961832061066</v>
      </c>
      <c r="W58" s="3">
        <f t="shared" ca="1" si="72"/>
        <v>0.74906367041198507</v>
      </c>
      <c r="X58" s="3">
        <f t="shared" ca="1" si="73"/>
        <v>1.7998560115190785</v>
      </c>
      <c r="Z58" s="3" t="e">
        <f t="shared" ca="1" si="74"/>
        <v>#N/A</v>
      </c>
      <c r="AA58" s="3">
        <f t="shared" ca="1" si="75"/>
        <v>0.82681297709923651</v>
      </c>
      <c r="AB58" s="3">
        <f t="shared" ca="1" si="76"/>
        <v>0.85293383270911383</v>
      </c>
      <c r="AC58" s="3">
        <f t="shared" ca="1" si="77"/>
        <v>0.78581713462922975</v>
      </c>
      <c r="AE58" s="3" t="e">
        <f t="shared" ca="1" si="78"/>
        <v>#N/A</v>
      </c>
      <c r="AF58" s="3">
        <f t="shared" ca="1" si="79"/>
        <v>0.36593520914325278</v>
      </c>
      <c r="AG58" s="3">
        <f t="shared" ca="1" si="80"/>
        <v>0.11635460657126895</v>
      </c>
      <c r="AH58" s="3">
        <f t="shared" ca="1" si="81"/>
        <v>0.32973364384441256</v>
      </c>
      <c r="AJ58" s="3" t="e">
        <f t="shared" ca="1" si="82"/>
        <v>#N/A</v>
      </c>
      <c r="AK58" s="3">
        <f t="shared" ca="1" si="83"/>
        <v>1.4312977099236641</v>
      </c>
      <c r="AL58" s="3">
        <f t="shared" ca="1" si="84"/>
        <v>0.74906367041198507</v>
      </c>
      <c r="AM58" s="3">
        <f t="shared" ca="1" si="85"/>
        <v>1.7998560115190785</v>
      </c>
      <c r="AO58" s="3" t="e">
        <f t="shared" ca="1" si="86"/>
        <v>#N/A</v>
      </c>
      <c r="AP58" s="3">
        <f t="shared" ca="1" si="87"/>
        <v>1.4312977099236641</v>
      </c>
      <c r="AQ58" s="3">
        <f t="shared" ca="1" si="88"/>
        <v>1.2484394506866416</v>
      </c>
      <c r="AR58" s="3">
        <f t="shared" ca="1" si="89"/>
        <v>2.159827213822894</v>
      </c>
      <c r="AT58" s="11" t="e">
        <v>#N/A</v>
      </c>
      <c r="AU58" s="3">
        <v>2.3059999942779541</v>
      </c>
      <c r="AV58" s="3">
        <v>1.3600000143051147</v>
      </c>
      <c r="AW58" s="3">
        <v>1.2000000104308128E-2</v>
      </c>
      <c r="AY58" s="3" t="e">
        <f t="shared" ca="1" si="90"/>
        <v>#N/A</v>
      </c>
      <c r="AZ58" s="3">
        <f t="shared" ca="1" si="91"/>
        <v>0.11879770992366438</v>
      </c>
      <c r="BA58" s="3">
        <f t="shared" ca="1" si="92"/>
        <v>5.4182272159800128E-2</v>
      </c>
      <c r="BB58" s="3">
        <f t="shared" ca="1" si="93"/>
        <v>6.0115190784737156E-2</v>
      </c>
      <c r="BD58" s="3" t="e">
        <f t="shared" ca="1" si="94"/>
        <v>#N/A</v>
      </c>
      <c r="BE58" s="3">
        <f t="shared" ca="1" si="95"/>
        <v>5.5343595169882735E-2</v>
      </c>
      <c r="BF58" s="3">
        <f t="shared" ca="1" si="96"/>
        <v>0</v>
      </c>
      <c r="BG58" s="3">
        <f t="shared" ca="1" si="97"/>
        <v>0</v>
      </c>
      <c r="BI58" s="3" t="e">
        <f t="shared" ca="1" si="98"/>
        <v>#N/A</v>
      </c>
      <c r="BJ58" s="3">
        <f t="shared" ca="1" si="99"/>
        <v>0.47709923664122134</v>
      </c>
      <c r="BK58" s="3">
        <f t="shared" ca="1" si="100"/>
        <v>0</v>
      </c>
      <c r="BL58" s="3">
        <f t="shared" ca="1" si="101"/>
        <v>0</v>
      </c>
      <c r="BN58" s="3" t="e">
        <f t="shared" ca="1" si="102"/>
        <v>#N/A</v>
      </c>
      <c r="BO58" s="3">
        <f t="shared" ca="1" si="103"/>
        <v>1.9083969465648853</v>
      </c>
      <c r="BP58" s="3">
        <f t="shared" ca="1" si="104"/>
        <v>1.7478152309612984</v>
      </c>
      <c r="BQ58" s="3">
        <f t="shared" ca="1" si="105"/>
        <v>1.7998560115190785</v>
      </c>
      <c r="BS58" s="11" t="e">
        <v>#N/A</v>
      </c>
      <c r="BT58" s="3">
        <v>3.872999906539917</v>
      </c>
      <c r="BU58" s="3">
        <v>4.0049999999999999</v>
      </c>
      <c r="BV58" s="3">
        <v>4.0110000000000001</v>
      </c>
      <c r="BX58" s="3" t="e">
        <f t="shared" ca="1" si="106"/>
        <v>#N/A</v>
      </c>
      <c r="BY58" s="3">
        <f t="shared" ca="1" si="107"/>
        <v>0</v>
      </c>
      <c r="BZ58" s="3">
        <f t="shared" ca="1" si="108"/>
        <v>0</v>
      </c>
      <c r="CA58" s="3">
        <f t="shared" ca="1" si="109"/>
        <v>0</v>
      </c>
      <c r="CC58" s="3" t="e">
        <f t="shared" ca="1" si="110"/>
        <v>#N/A</v>
      </c>
      <c r="CD58" s="3">
        <f t="shared" ca="1" si="111"/>
        <v>0</v>
      </c>
      <c r="CE58" s="3">
        <f t="shared" ca="1" si="112"/>
        <v>0</v>
      </c>
      <c r="CF58" s="3">
        <f t="shared" ca="1" si="113"/>
        <v>0</v>
      </c>
      <c r="CH58" s="3" t="e">
        <f t="shared" ca="1" si="114"/>
        <v>#N/A</v>
      </c>
      <c r="CI58" s="3">
        <f t="shared" ca="1" si="115"/>
        <v>0</v>
      </c>
      <c r="CJ58" s="3">
        <f t="shared" ca="1" si="116"/>
        <v>0</v>
      </c>
      <c r="CK58" s="3">
        <f t="shared" ca="1" si="117"/>
        <v>0</v>
      </c>
      <c r="CM58" s="3" t="e">
        <f t="shared" ca="1" si="118"/>
        <v>#N/A</v>
      </c>
      <c r="CN58" s="3">
        <f t="shared" ca="1" si="119"/>
        <v>0</v>
      </c>
      <c r="CO58" s="3">
        <f t="shared" ca="1" si="120"/>
        <v>0.24968789013732834</v>
      </c>
      <c r="CP58" s="3">
        <f t="shared" ca="1" si="121"/>
        <v>0</v>
      </c>
      <c r="CR58" s="11" t="e">
        <v>#N/A</v>
      </c>
      <c r="CS58" s="3">
        <v>4.0019999999999998</v>
      </c>
      <c r="CT58" s="3">
        <v>4.0049999999999999</v>
      </c>
      <c r="CU58" s="3">
        <v>4.0110000000000001</v>
      </c>
      <c r="CV58" s="21">
        <f t="shared" ca="1" si="61"/>
        <v>0</v>
      </c>
      <c r="CW58" s="16">
        <f t="shared" ca="1" si="60"/>
        <v>8.5</v>
      </c>
    </row>
    <row r="59" spans="1:101" s="3" customFormat="1" x14ac:dyDescent="0.35">
      <c r="A59" s="2" t="s">
        <v>12</v>
      </c>
      <c r="B59" s="2">
        <v>8.5833333333333339</v>
      </c>
      <c r="C59" s="2" t="s">
        <v>168</v>
      </c>
      <c r="D59" s="2" t="s">
        <v>403</v>
      </c>
      <c r="F59" s="3">
        <v>4.0149999999999997</v>
      </c>
      <c r="G59" s="3">
        <v>4.0110000000000001</v>
      </c>
      <c r="H59" s="3">
        <v>4.0119999999999996</v>
      </c>
      <c r="I59" s="3">
        <v>4.0149999999999997</v>
      </c>
      <c r="K59" s="3">
        <f t="shared" ca="1" si="62"/>
        <v>0.99601494396014945</v>
      </c>
      <c r="L59" s="3">
        <f t="shared" ca="1" si="63"/>
        <v>0.9970082273747195</v>
      </c>
      <c r="M59" s="3">
        <f t="shared" ca="1" si="64"/>
        <v>0.99675972083748754</v>
      </c>
      <c r="N59" s="3">
        <f t="shared" ca="1" si="65"/>
        <v>0.99601494396014945</v>
      </c>
      <c r="P59" s="3">
        <f t="shared" ca="1" si="66"/>
        <v>0.92154431202046461</v>
      </c>
      <c r="Q59" s="3">
        <f t="shared" ca="1" si="67"/>
        <v>0.89778109588057764</v>
      </c>
      <c r="R59" s="3">
        <f t="shared" ca="1" si="68"/>
        <v>0.74277166927146066</v>
      </c>
      <c r="S59" s="3">
        <f t="shared" ca="1" si="69"/>
        <v>0.80074709648751241</v>
      </c>
      <c r="U59" s="3">
        <f t="shared" ca="1" si="70"/>
        <v>1.7434620174346203</v>
      </c>
      <c r="V59" s="3">
        <f t="shared" ca="1" si="71"/>
        <v>1.7452006980802792</v>
      </c>
      <c r="W59" s="3">
        <f t="shared" ca="1" si="72"/>
        <v>2.2432701894317053</v>
      </c>
      <c r="X59" s="3">
        <f t="shared" ca="1" si="73"/>
        <v>2.9887920298879207</v>
      </c>
      <c r="Z59" s="3">
        <f t="shared" ca="1" si="74"/>
        <v>0.99601494396014945</v>
      </c>
      <c r="AA59" s="3">
        <f t="shared" ca="1" si="75"/>
        <v>0.9970082273747195</v>
      </c>
      <c r="AB59" s="3">
        <f t="shared" ca="1" si="76"/>
        <v>0.99675972083748754</v>
      </c>
      <c r="AC59" s="3">
        <f t="shared" ca="1" si="77"/>
        <v>0.99601494396014945</v>
      </c>
      <c r="AE59" s="3">
        <f t="shared" ca="1" si="78"/>
        <v>0.92154431202046461</v>
      </c>
      <c r="AF59" s="3">
        <f t="shared" ca="1" si="79"/>
        <v>0.89778109588057764</v>
      </c>
      <c r="AG59" s="3">
        <f t="shared" ca="1" si="80"/>
        <v>0.74277166927146066</v>
      </c>
      <c r="AH59" s="3">
        <f t="shared" ca="1" si="81"/>
        <v>0.80074709648751241</v>
      </c>
      <c r="AJ59" s="3">
        <f t="shared" ca="1" si="82"/>
        <v>1.7434620174346203</v>
      </c>
      <c r="AK59" s="3">
        <f t="shared" ca="1" si="83"/>
        <v>1.7452006980802792</v>
      </c>
      <c r="AL59" s="3">
        <f t="shared" ca="1" si="84"/>
        <v>2.2432701894317053</v>
      </c>
      <c r="AM59" s="3">
        <f t="shared" ca="1" si="85"/>
        <v>2.9887920298879207</v>
      </c>
      <c r="AO59" s="3">
        <f t="shared" ca="1" si="86"/>
        <v>0.24906600249066005</v>
      </c>
      <c r="AP59" s="3">
        <f t="shared" ca="1" si="87"/>
        <v>0.24931438544003989</v>
      </c>
      <c r="AQ59" s="3">
        <f t="shared" ca="1" si="88"/>
        <v>0.24925224327018947</v>
      </c>
      <c r="AR59" s="3">
        <f t="shared" ca="1" si="89"/>
        <v>0.24906600249066005</v>
      </c>
      <c r="AT59" s="3">
        <v>1.0999999940395355E-2</v>
      </c>
      <c r="AU59" s="3">
        <v>1.2000000104308128E-2</v>
      </c>
      <c r="AV59" s="3">
        <v>1.0999999940395355E-2</v>
      </c>
      <c r="AW59" s="3">
        <v>3.0000000260770321E-3</v>
      </c>
      <c r="AY59" s="3">
        <f t="shared" ca="1" si="90"/>
        <v>0.73026151930261518</v>
      </c>
      <c r="AZ59" s="3">
        <f t="shared" ca="1" si="91"/>
        <v>0.77711293941660442</v>
      </c>
      <c r="BA59" s="3">
        <f t="shared" ca="1" si="92"/>
        <v>0.53539381854436685</v>
      </c>
      <c r="BB59" s="3">
        <f t="shared" ca="1" si="93"/>
        <v>0.46077210460772117</v>
      </c>
      <c r="BD59" s="3">
        <f t="shared" ca="1" si="94"/>
        <v>0.68094651696097075</v>
      </c>
      <c r="BE59" s="3">
        <f t="shared" ca="1" si="95"/>
        <v>0.77736224655022024</v>
      </c>
      <c r="BF59" s="3">
        <f t="shared" ca="1" si="96"/>
        <v>0.53938184070919948</v>
      </c>
      <c r="BG59" s="3">
        <f t="shared" ca="1" si="97"/>
        <v>0.41070974259121185</v>
      </c>
      <c r="BI59" s="3">
        <f t="shared" ca="1" si="98"/>
        <v>0.9962640099626402</v>
      </c>
      <c r="BJ59" s="3">
        <f t="shared" ca="1" si="99"/>
        <v>1.4958863126402393</v>
      </c>
      <c r="BK59" s="3">
        <f t="shared" ca="1" si="100"/>
        <v>1.4955134596211368</v>
      </c>
      <c r="BL59" s="3">
        <f t="shared" ca="1" si="101"/>
        <v>1.4943960149439603</v>
      </c>
      <c r="BN59" s="3">
        <f t="shared" ca="1" si="102"/>
        <v>0.9962640099626402</v>
      </c>
      <c r="BO59" s="3">
        <f t="shared" ca="1" si="103"/>
        <v>0.74794315632011965</v>
      </c>
      <c r="BP59" s="3">
        <f t="shared" ca="1" si="104"/>
        <v>1.2462612163509472</v>
      </c>
      <c r="BQ59" s="3">
        <f t="shared" ca="1" si="105"/>
        <v>0.9962640099626402</v>
      </c>
      <c r="BS59" s="3">
        <v>0.36100000143051147</v>
      </c>
      <c r="BT59" s="3">
        <v>0.51099997758865356</v>
      </c>
      <c r="BU59" s="3">
        <v>0.34400001168251038</v>
      </c>
      <c r="BV59" s="3">
        <v>0.18600000441074371</v>
      </c>
      <c r="BX59" s="3">
        <f t="shared" ca="1" si="106"/>
        <v>0</v>
      </c>
      <c r="BY59" s="3">
        <f t="shared" ca="1" si="107"/>
        <v>7.0555971079531279E-2</v>
      </c>
      <c r="BZ59" s="3">
        <f t="shared" ca="1" si="108"/>
        <v>0</v>
      </c>
      <c r="CA59" s="3">
        <f t="shared" ca="1" si="109"/>
        <v>9.9626400996263992E-2</v>
      </c>
      <c r="CC59" s="3">
        <f t="shared" ca="1" si="110"/>
        <v>0</v>
      </c>
      <c r="CD59" s="3">
        <f t="shared" ca="1" si="111"/>
        <v>0</v>
      </c>
      <c r="CE59" s="3">
        <f t="shared" ca="1" si="112"/>
        <v>0</v>
      </c>
      <c r="CF59" s="3">
        <f t="shared" ca="1" si="113"/>
        <v>0.10386053681522052</v>
      </c>
      <c r="CH59" s="3">
        <f t="shared" ca="1" si="114"/>
        <v>0</v>
      </c>
      <c r="CI59" s="3">
        <f t="shared" ca="1" si="115"/>
        <v>0</v>
      </c>
      <c r="CJ59" s="3">
        <f t="shared" ca="1" si="116"/>
        <v>0</v>
      </c>
      <c r="CK59" s="3">
        <f t="shared" ca="1" si="117"/>
        <v>0.24906600249066005</v>
      </c>
      <c r="CM59" s="3">
        <f t="shared" ca="1" si="118"/>
        <v>0</v>
      </c>
      <c r="CN59" s="3">
        <f t="shared" ca="1" si="119"/>
        <v>0.49862877088007979</v>
      </c>
      <c r="CO59" s="3">
        <f t="shared" ca="1" si="120"/>
        <v>0</v>
      </c>
      <c r="CP59" s="3">
        <f t="shared" ca="1" si="121"/>
        <v>0.24906600249066005</v>
      </c>
      <c r="CR59" s="3">
        <v>4.0149999999999997</v>
      </c>
      <c r="CS59" s="3">
        <v>4.0110000000000001</v>
      </c>
      <c r="CT59" s="3">
        <v>4.0119999999999996</v>
      </c>
      <c r="CU59" s="3">
        <v>2.3020000457763672</v>
      </c>
      <c r="CV59" s="21">
        <f t="shared" ca="1" si="61"/>
        <v>0.53938184070919948</v>
      </c>
      <c r="CW59" s="16">
        <f t="shared" ca="1" si="60"/>
        <v>8.5833333333333339</v>
      </c>
    </row>
    <row r="60" spans="1:101" s="3" customFormat="1" x14ac:dyDescent="0.35">
      <c r="A60" s="2" t="s">
        <v>80</v>
      </c>
      <c r="B60" s="2">
        <v>8.5833333333333339</v>
      </c>
      <c r="C60" s="2" t="s">
        <v>168</v>
      </c>
      <c r="D60" s="2" t="s">
        <v>403</v>
      </c>
      <c r="F60" s="3">
        <v>4.016</v>
      </c>
      <c r="G60" s="3">
        <v>4.016</v>
      </c>
      <c r="H60" s="3">
        <v>4.032</v>
      </c>
      <c r="I60" s="3">
        <v>4.016</v>
      </c>
      <c r="K60" s="3">
        <f t="shared" ca="1" si="62"/>
        <v>0.9957669322709165</v>
      </c>
      <c r="L60" s="3">
        <f t="shared" ca="1" si="63"/>
        <v>0.9957669322709165</v>
      </c>
      <c r="M60" s="3">
        <f t="shared" ca="1" si="64"/>
        <v>0.99603174603174605</v>
      </c>
      <c r="N60" s="3">
        <f t="shared" ca="1" si="65"/>
        <v>0.99551792828685248</v>
      </c>
      <c r="P60" s="3">
        <f t="shared" ca="1" si="66"/>
        <v>0.94646403697723769</v>
      </c>
      <c r="Q60" s="3">
        <f t="shared" ca="1" si="67"/>
        <v>0.9335158703537042</v>
      </c>
      <c r="R60" s="3">
        <f t="shared" ca="1" si="68"/>
        <v>0.963045662097607</v>
      </c>
      <c r="S60" s="3">
        <f t="shared" ca="1" si="69"/>
        <v>0.88371522179656326</v>
      </c>
      <c r="U60" s="3">
        <f t="shared" ca="1" si="70"/>
        <v>3.237051792828685</v>
      </c>
      <c r="V60" s="3">
        <f t="shared" ca="1" si="71"/>
        <v>2.241035856573705</v>
      </c>
      <c r="W60" s="3">
        <f t="shared" ca="1" si="72"/>
        <v>2.2321428571428572</v>
      </c>
      <c r="X60" s="3">
        <f t="shared" ca="1" si="73"/>
        <v>3.7350597609561751</v>
      </c>
      <c r="Z60" s="3">
        <f t="shared" ca="1" si="74"/>
        <v>0.9957669322709165</v>
      </c>
      <c r="AA60" s="3">
        <f t="shared" ca="1" si="75"/>
        <v>0.9957669322709165</v>
      </c>
      <c r="AB60" s="3">
        <f t="shared" ca="1" si="76"/>
        <v>0.99603174603174605</v>
      </c>
      <c r="AC60" s="3">
        <f t="shared" ca="1" si="77"/>
        <v>0.99551792828685248</v>
      </c>
      <c r="AE60" s="3">
        <f t="shared" ca="1" si="78"/>
        <v>0.94646403697723769</v>
      </c>
      <c r="AF60" s="3">
        <f t="shared" ca="1" si="79"/>
        <v>0.9335158703537042</v>
      </c>
      <c r="AG60" s="3">
        <f t="shared" ca="1" si="80"/>
        <v>0.963045662097607</v>
      </c>
      <c r="AH60" s="3">
        <f t="shared" ca="1" si="81"/>
        <v>0.88371522179656326</v>
      </c>
      <c r="AJ60" s="3">
        <f t="shared" ca="1" si="82"/>
        <v>3.237051792828685</v>
      </c>
      <c r="AK60" s="3">
        <f t="shared" ca="1" si="83"/>
        <v>2.241035856573705</v>
      </c>
      <c r="AL60" s="3">
        <f t="shared" ca="1" si="84"/>
        <v>2.2321428571428572</v>
      </c>
      <c r="AM60" s="3">
        <f t="shared" ca="1" si="85"/>
        <v>3.7350597609561751</v>
      </c>
      <c r="AO60" s="3">
        <f t="shared" ca="1" si="86"/>
        <v>0.24900398406374502</v>
      </c>
      <c r="AP60" s="3">
        <f t="shared" ca="1" si="87"/>
        <v>0.24900398406374502</v>
      </c>
      <c r="AQ60" s="3">
        <f t="shared" ca="1" si="88"/>
        <v>0.24801587301587302</v>
      </c>
      <c r="AR60" s="3">
        <f t="shared" ca="1" si="89"/>
        <v>0.24900398406374502</v>
      </c>
      <c r="AT60" s="3">
        <v>9.9999997764825821E-3</v>
      </c>
      <c r="AU60" s="3">
        <v>9.9999997764825821E-3</v>
      </c>
      <c r="AV60" s="3">
        <v>2.0000000949949026E-3</v>
      </c>
      <c r="AW60" s="3">
        <v>4.0000001899898052E-3</v>
      </c>
      <c r="AY60" s="3">
        <f t="shared" ca="1" si="90"/>
        <v>0.43999003984063756</v>
      </c>
      <c r="AZ60" s="3">
        <f t="shared" ca="1" si="91"/>
        <v>0.36105577689243029</v>
      </c>
      <c r="BA60" s="3">
        <f t="shared" ca="1" si="92"/>
        <v>0.42559523809523808</v>
      </c>
      <c r="BB60" s="3">
        <f t="shared" ca="1" si="93"/>
        <v>0.18251992031872513</v>
      </c>
      <c r="BD60" s="3">
        <f t="shared" ca="1" si="94"/>
        <v>0.46887450602899983</v>
      </c>
      <c r="BE60" s="3">
        <f t="shared" ca="1" si="95"/>
        <v>0.34038842733637747</v>
      </c>
      <c r="BF60" s="3">
        <f t="shared" ca="1" si="96"/>
        <v>0.47098214851021547</v>
      </c>
      <c r="BG60" s="3">
        <f t="shared" ca="1" si="97"/>
        <v>0.16982070507993735</v>
      </c>
      <c r="BI60" s="3">
        <f t="shared" ca="1" si="98"/>
        <v>1.2450199203187251</v>
      </c>
      <c r="BJ60" s="3">
        <f t="shared" ca="1" si="99"/>
        <v>0.74701195219123506</v>
      </c>
      <c r="BK60" s="3">
        <f t="shared" ca="1" si="100"/>
        <v>0.74404761904761907</v>
      </c>
      <c r="BL60" s="3">
        <f t="shared" ca="1" si="101"/>
        <v>0.99601593625498008</v>
      </c>
      <c r="BN60" s="3">
        <f t="shared" ca="1" si="102"/>
        <v>0.74701195219123506</v>
      </c>
      <c r="BO60" s="3">
        <f t="shared" ca="1" si="103"/>
        <v>0.49800796812749004</v>
      </c>
      <c r="BP60" s="3">
        <f t="shared" ca="1" si="104"/>
        <v>0.74404761904761907</v>
      </c>
      <c r="BQ60" s="3">
        <f t="shared" ca="1" si="105"/>
        <v>0.49800796812749004</v>
      </c>
      <c r="BS60" s="3">
        <v>0.57599997520446777</v>
      </c>
      <c r="BT60" s="3">
        <v>0.47699999809265137</v>
      </c>
      <c r="BU60" s="3">
        <v>2.0000000949949026E-3</v>
      </c>
      <c r="BV60" s="3">
        <v>0.41999998688697815</v>
      </c>
      <c r="BX60" s="3">
        <f t="shared" ca="1" si="106"/>
        <v>0.11628486055776906</v>
      </c>
      <c r="BY60" s="3">
        <f t="shared" ca="1" si="107"/>
        <v>4.2330677290837518E-3</v>
      </c>
      <c r="BZ60" s="3">
        <f t="shared" ca="1" si="108"/>
        <v>0</v>
      </c>
      <c r="CA60" s="3">
        <f t="shared" ca="1" si="109"/>
        <v>0</v>
      </c>
      <c r="CC60" s="3">
        <f t="shared" ca="1" si="110"/>
        <v>0.10806767351598853</v>
      </c>
      <c r="CD60" s="3">
        <f t="shared" ca="1" si="111"/>
        <v>0</v>
      </c>
      <c r="CE60" s="3">
        <f t="shared" ca="1" si="112"/>
        <v>0</v>
      </c>
      <c r="CF60" s="3">
        <f t="shared" ca="1" si="113"/>
        <v>0</v>
      </c>
      <c r="CH60" s="3">
        <f t="shared" ca="1" si="114"/>
        <v>0.49800796812749004</v>
      </c>
      <c r="CI60" s="3">
        <f t="shared" ca="1" si="115"/>
        <v>0</v>
      </c>
      <c r="CJ60" s="3">
        <f t="shared" ca="1" si="116"/>
        <v>0</v>
      </c>
      <c r="CK60" s="3">
        <f t="shared" ca="1" si="117"/>
        <v>0</v>
      </c>
      <c r="CM60" s="3">
        <f t="shared" ca="1" si="118"/>
        <v>0.49800796812749004</v>
      </c>
      <c r="CN60" s="3">
        <f t="shared" ca="1" si="119"/>
        <v>0.24900398406374502</v>
      </c>
      <c r="CO60" s="3">
        <f t="shared" ca="1" si="120"/>
        <v>0</v>
      </c>
      <c r="CP60" s="3">
        <f t="shared" ca="1" si="121"/>
        <v>0</v>
      </c>
      <c r="CR60" s="3">
        <v>3.5590000152587891</v>
      </c>
      <c r="CS60" s="3">
        <v>4.016</v>
      </c>
      <c r="CT60" s="3">
        <v>4.032</v>
      </c>
      <c r="CU60" s="3">
        <v>4.016</v>
      </c>
      <c r="CV60" s="21">
        <f t="shared" ca="1" si="61"/>
        <v>0.47098214851021547</v>
      </c>
      <c r="CW60" s="16">
        <f t="shared" ca="1" si="60"/>
        <v>8.5833333333333339</v>
      </c>
    </row>
    <row r="61" spans="1:101" s="3" customFormat="1" x14ac:dyDescent="0.35">
      <c r="A61" s="2" t="s">
        <v>76</v>
      </c>
      <c r="B61" s="2">
        <v>8.6666666666666661</v>
      </c>
      <c r="C61" s="2" t="s">
        <v>167</v>
      </c>
      <c r="D61" s="2" t="s">
        <v>403</v>
      </c>
      <c r="F61" s="3">
        <v>2.8</v>
      </c>
      <c r="G61" s="3">
        <v>4.0110000000000001</v>
      </c>
      <c r="H61" s="3">
        <v>3.056</v>
      </c>
      <c r="I61" s="3">
        <v>4.0110000000000001</v>
      </c>
      <c r="K61" s="3">
        <f t="shared" ca="1" si="62"/>
        <v>0.99964285714285717</v>
      </c>
      <c r="L61" s="3">
        <f t="shared" ca="1" si="63"/>
        <v>0.99276988282223888</v>
      </c>
      <c r="M61" s="3">
        <f t="shared" ca="1" si="64"/>
        <v>0.99770942408376961</v>
      </c>
      <c r="N61" s="3">
        <f t="shared" ca="1" si="65"/>
        <v>0.99276988282223888</v>
      </c>
      <c r="P61" s="3">
        <f t="shared" ca="1" si="66"/>
        <v>0.97035716225426383</v>
      </c>
      <c r="Q61" s="3">
        <f t="shared" ca="1" si="67"/>
        <v>0.95163303239554775</v>
      </c>
      <c r="R61" s="3">
        <f t="shared" ca="1" si="68"/>
        <v>0.90543195301744872</v>
      </c>
      <c r="S61" s="3">
        <f t="shared" ca="1" si="69"/>
        <v>0.95512338792540663</v>
      </c>
      <c r="U61" s="3">
        <f t="shared" ca="1" si="70"/>
        <v>1.7857142857142858</v>
      </c>
      <c r="V61" s="3">
        <f t="shared" ca="1" si="71"/>
        <v>2.7424582398404387</v>
      </c>
      <c r="W61" s="3">
        <f t="shared" ca="1" si="72"/>
        <v>2.9450261780104712</v>
      </c>
      <c r="X61" s="3">
        <f t="shared" ca="1" si="73"/>
        <v>2.4931438544003988</v>
      </c>
      <c r="Z61" s="3">
        <f t="shared" ca="1" si="74"/>
        <v>0.99964285714285717</v>
      </c>
      <c r="AA61" s="3">
        <f t="shared" ca="1" si="75"/>
        <v>0.99276988282223888</v>
      </c>
      <c r="AB61" s="3">
        <f t="shared" ca="1" si="76"/>
        <v>0.7634162303664922</v>
      </c>
      <c r="AC61" s="3">
        <f t="shared" ca="1" si="77"/>
        <v>0.99276988282223888</v>
      </c>
      <c r="AE61" s="3">
        <f t="shared" ca="1" si="78"/>
        <v>0.97035716225426383</v>
      </c>
      <c r="AF61" s="3">
        <f t="shared" ca="1" si="79"/>
        <v>0.95163303239554775</v>
      </c>
      <c r="AG61" s="3">
        <f t="shared" ca="1" si="80"/>
        <v>0.67637438479937728</v>
      </c>
      <c r="AH61" s="3">
        <f t="shared" ca="1" si="81"/>
        <v>0.95512338792540663</v>
      </c>
      <c r="AJ61" s="3">
        <f t="shared" ca="1" si="82"/>
        <v>1.7857142857142858</v>
      </c>
      <c r="AK61" s="3">
        <f t="shared" ca="1" si="83"/>
        <v>2.7424582398404387</v>
      </c>
      <c r="AL61" s="3">
        <f t="shared" ca="1" si="84"/>
        <v>2.6178010471204187</v>
      </c>
      <c r="AM61" s="3">
        <f t="shared" ca="1" si="85"/>
        <v>2.4931438544003988</v>
      </c>
      <c r="AO61" s="3">
        <f t="shared" ca="1" si="86"/>
        <v>0.35714285714285715</v>
      </c>
      <c r="AP61" s="3">
        <f t="shared" ca="1" si="87"/>
        <v>0.24931438544003989</v>
      </c>
      <c r="AQ61" s="3">
        <f t="shared" ca="1" si="88"/>
        <v>0.65445026178010468</v>
      </c>
      <c r="AR61" s="3">
        <f t="shared" ca="1" si="89"/>
        <v>0.24931438544003989</v>
      </c>
      <c r="AT61" s="3">
        <v>1.0000000474974513E-3</v>
      </c>
      <c r="AU61" s="3">
        <v>1.6000000759959221E-2</v>
      </c>
      <c r="AV61" s="3">
        <v>7.0000002160668373E-3</v>
      </c>
      <c r="AW61" s="3">
        <v>1.4000000432133675E-2</v>
      </c>
      <c r="AY61" s="3">
        <f t="shared" ca="1" si="90"/>
        <v>0.35678571428571426</v>
      </c>
      <c r="AZ61" s="3">
        <f t="shared" ca="1" si="91"/>
        <v>0.58140114684617306</v>
      </c>
      <c r="BA61" s="3">
        <f t="shared" ca="1" si="92"/>
        <v>0.25065445026178013</v>
      </c>
      <c r="BB61" s="3">
        <f t="shared" ca="1" si="93"/>
        <v>0.36549488905509853</v>
      </c>
      <c r="BD61" s="3">
        <f t="shared" ca="1" si="94"/>
        <v>0.41071429848670959</v>
      </c>
      <c r="BE61" s="3">
        <f t="shared" ca="1" si="95"/>
        <v>0.54450262160528273</v>
      </c>
      <c r="BF61" s="3">
        <f t="shared" ca="1" si="96"/>
        <v>0.19633512534396186</v>
      </c>
      <c r="BG61" s="3">
        <f t="shared" ca="1" si="97"/>
        <v>0.41111943371662679</v>
      </c>
      <c r="BI61" s="3">
        <f t="shared" ca="1" si="98"/>
        <v>0.7142857142857143</v>
      </c>
      <c r="BJ61" s="3">
        <f t="shared" ca="1" si="99"/>
        <v>1.4958863126402393</v>
      </c>
      <c r="BK61" s="3">
        <f t="shared" ca="1" si="100"/>
        <v>0.65445026178010468</v>
      </c>
      <c r="BL61" s="3">
        <f t="shared" ca="1" si="101"/>
        <v>0.99725754176015957</v>
      </c>
      <c r="BN61" s="3">
        <f t="shared" ca="1" si="102"/>
        <v>1.4285714285714286</v>
      </c>
      <c r="BO61" s="3">
        <f t="shared" ca="1" si="103"/>
        <v>0.74794315632011965</v>
      </c>
      <c r="BP61" s="3">
        <f t="shared" ca="1" si="104"/>
        <v>0.65445026178010468</v>
      </c>
      <c r="BQ61" s="3">
        <f t="shared" ca="1" si="105"/>
        <v>0.74794315632011965</v>
      </c>
      <c r="BS61" s="3">
        <v>0.64999997615814209</v>
      </c>
      <c r="BT61" s="3">
        <v>1.1319999694824219</v>
      </c>
      <c r="BU61" s="3">
        <v>2.122999906539917</v>
      </c>
      <c r="BV61" s="3">
        <v>0.52999997138977051</v>
      </c>
      <c r="BX61" s="3">
        <f t="shared" ca="1" si="106"/>
        <v>5.7142857142857195E-3</v>
      </c>
      <c r="BY61" s="3">
        <f t="shared" ca="1" si="107"/>
        <v>4.9862877088007913E-2</v>
      </c>
      <c r="BZ61" s="3">
        <f t="shared" ca="1" si="108"/>
        <v>5.4646596858638825E-2</v>
      </c>
      <c r="CA61" s="3">
        <f t="shared" ca="1" si="109"/>
        <v>2.4931438544003901E-2</v>
      </c>
      <c r="CC61" s="3">
        <f t="shared" ca="1" si="110"/>
        <v>0</v>
      </c>
      <c r="CD61" s="3">
        <f t="shared" ca="1" si="111"/>
        <v>0</v>
      </c>
      <c r="CE61" s="3">
        <f t="shared" ca="1" si="112"/>
        <v>4.3848188135636415E-2</v>
      </c>
      <c r="CF61" s="3">
        <f t="shared" ca="1" si="113"/>
        <v>0</v>
      </c>
      <c r="CH61" s="3">
        <f t="shared" ca="1" si="114"/>
        <v>0</v>
      </c>
      <c r="CI61" s="3">
        <f t="shared" ca="1" si="115"/>
        <v>0</v>
      </c>
      <c r="CJ61" s="3">
        <f t="shared" ca="1" si="116"/>
        <v>0.32722513089005234</v>
      </c>
      <c r="CK61" s="3">
        <f t="shared" ca="1" si="117"/>
        <v>0</v>
      </c>
      <c r="CM61" s="3">
        <f t="shared" ca="1" si="118"/>
        <v>0.35714285714285715</v>
      </c>
      <c r="CN61" s="3">
        <f t="shared" ca="1" si="119"/>
        <v>0.24931438544003989</v>
      </c>
      <c r="CO61" s="3">
        <f t="shared" ca="1" si="120"/>
        <v>1.3089005235602094</v>
      </c>
      <c r="CP61" s="3">
        <f t="shared" ca="1" si="121"/>
        <v>0.24931438544003989</v>
      </c>
      <c r="CR61" s="3">
        <v>4.01</v>
      </c>
      <c r="CS61" s="3">
        <v>4.0110000000000001</v>
      </c>
      <c r="CT61" s="3">
        <v>2.9059998989105225</v>
      </c>
      <c r="CU61" s="3">
        <v>4.0110000000000001</v>
      </c>
      <c r="CV61" s="21">
        <f t="shared" ca="1" si="61"/>
        <v>0.19633512534396186</v>
      </c>
      <c r="CW61" s="16">
        <f t="shared" ca="1" si="60"/>
        <v>8.6666666666666661</v>
      </c>
    </row>
    <row r="62" spans="1:101" s="3" customFormat="1" x14ac:dyDescent="0.35">
      <c r="A62" s="2" t="s">
        <v>26</v>
      </c>
      <c r="B62" s="2">
        <v>8.75</v>
      </c>
      <c r="C62" s="2" t="s">
        <v>167</v>
      </c>
      <c r="D62" s="2" t="s">
        <v>403</v>
      </c>
      <c r="F62" s="3">
        <v>4.0129999999999999</v>
      </c>
      <c r="G62" s="3">
        <v>4.0069999999999997</v>
      </c>
      <c r="H62" s="3">
        <v>4.016</v>
      </c>
      <c r="I62" s="3">
        <v>4.0469999999999997</v>
      </c>
      <c r="K62" s="3">
        <f t="shared" ca="1" si="62"/>
        <v>0.99651133815100923</v>
      </c>
      <c r="L62" s="3">
        <f t="shared" ca="1" si="63"/>
        <v>0.99376091839281255</v>
      </c>
      <c r="M62" s="3">
        <f t="shared" ca="1" si="64"/>
        <v>0.99576693227091628</v>
      </c>
      <c r="N62" s="3">
        <f t="shared" ca="1" si="65"/>
        <v>0.99654064739313064</v>
      </c>
      <c r="P62" s="3">
        <f t="shared" ca="1" si="66"/>
        <v>0.9755793350398051</v>
      </c>
      <c r="Q62" s="3">
        <f t="shared" ca="1" si="67"/>
        <v>0.95582734454085716</v>
      </c>
      <c r="R62" s="3">
        <f t="shared" ca="1" si="68"/>
        <v>0.96638457092690278</v>
      </c>
      <c r="S62" s="3">
        <f t="shared" ca="1" si="69"/>
        <v>0.92265873364179096</v>
      </c>
      <c r="U62" s="3">
        <f t="shared" ca="1" si="70"/>
        <v>1.4951407924246201</v>
      </c>
      <c r="V62" s="3">
        <f t="shared" ca="1" si="71"/>
        <v>2.4956326428749689</v>
      </c>
      <c r="W62" s="3">
        <f t="shared" ca="1" si="72"/>
        <v>1.9920318725099602</v>
      </c>
      <c r="X62" s="3">
        <f t="shared" ca="1" si="73"/>
        <v>1.4825796886582654</v>
      </c>
      <c r="Z62" s="3">
        <f t="shared" ca="1" si="74"/>
        <v>0.99651133815100923</v>
      </c>
      <c r="AA62" s="3">
        <f t="shared" ca="1" si="75"/>
        <v>0.99376091839281255</v>
      </c>
      <c r="AB62" s="3">
        <f t="shared" ca="1" si="76"/>
        <v>0.99576693227091628</v>
      </c>
      <c r="AC62" s="3">
        <f t="shared" ca="1" si="77"/>
        <v>0.98838645910551026</v>
      </c>
      <c r="AE62" s="3">
        <f t="shared" ca="1" si="78"/>
        <v>0.9755793350398051</v>
      </c>
      <c r="AF62" s="3">
        <f t="shared" ca="1" si="79"/>
        <v>0.95582734454085716</v>
      </c>
      <c r="AG62" s="3">
        <f t="shared" ca="1" si="80"/>
        <v>0.96638457092690278</v>
      </c>
      <c r="AH62" s="3">
        <f t="shared" ca="1" si="81"/>
        <v>0.92265873364179096</v>
      </c>
      <c r="AJ62" s="3">
        <f t="shared" ca="1" si="82"/>
        <v>1.4951407924246201</v>
      </c>
      <c r="AK62" s="3">
        <f t="shared" ca="1" si="83"/>
        <v>2.4956326428749689</v>
      </c>
      <c r="AL62" s="3">
        <f t="shared" ca="1" si="84"/>
        <v>1.9920318725099602</v>
      </c>
      <c r="AM62" s="3">
        <f t="shared" ca="1" si="85"/>
        <v>1.4825796886582654</v>
      </c>
      <c r="AO62" s="3">
        <f t="shared" ca="1" si="86"/>
        <v>0.24919013207077001</v>
      </c>
      <c r="AP62" s="3">
        <f t="shared" ca="1" si="87"/>
        <v>0.24956326428749689</v>
      </c>
      <c r="AQ62" s="3">
        <f t="shared" ca="1" si="88"/>
        <v>0.24900398406374502</v>
      </c>
      <c r="AR62" s="3">
        <f t="shared" ca="1" si="89"/>
        <v>0.49419322955275519</v>
      </c>
      <c r="AT62" s="3">
        <v>7.0000002160668373E-3</v>
      </c>
      <c r="AU62" s="3">
        <v>1.0999999940395355E-2</v>
      </c>
      <c r="AV62" s="3">
        <v>1.0999999940395355E-2</v>
      </c>
      <c r="AW62" s="3">
        <v>1.0000000474974513E-3</v>
      </c>
      <c r="AY62" s="3">
        <f t="shared" ca="1" si="90"/>
        <v>0.89683528532270129</v>
      </c>
      <c r="AZ62" s="3">
        <f t="shared" ca="1" si="91"/>
        <v>0.60294484651859248</v>
      </c>
      <c r="BA62" s="3">
        <f t="shared" ca="1" si="92"/>
        <v>0.8174800796812749</v>
      </c>
      <c r="BB62" s="3">
        <f t="shared" ca="1" si="93"/>
        <v>0.41981714850506557</v>
      </c>
      <c r="BD62" s="3">
        <f t="shared" ca="1" si="94"/>
        <v>0.84276099654725445</v>
      </c>
      <c r="BE62" s="3">
        <f t="shared" ca="1" si="95"/>
        <v>0.54854005835494823</v>
      </c>
      <c r="BF62" s="3">
        <f t="shared" ca="1" si="96"/>
        <v>0.750747077033458</v>
      </c>
      <c r="BG62" s="3">
        <f t="shared" ca="1" si="97"/>
        <v>0.37064491480051343</v>
      </c>
      <c r="BI62" s="3">
        <f t="shared" ca="1" si="98"/>
        <v>0.99676052828308004</v>
      </c>
      <c r="BJ62" s="3">
        <f t="shared" ca="1" si="99"/>
        <v>1.4973795857249814</v>
      </c>
      <c r="BK62" s="3">
        <f t="shared" ca="1" si="100"/>
        <v>1.4940239043824701</v>
      </c>
      <c r="BL62" s="3">
        <f t="shared" ca="1" si="101"/>
        <v>0.98838645910551037</v>
      </c>
      <c r="BN62" s="3">
        <f t="shared" ca="1" si="102"/>
        <v>0.49838026414154002</v>
      </c>
      <c r="BO62" s="3">
        <f t="shared" ca="1" si="103"/>
        <v>0.49912652857499379</v>
      </c>
      <c r="BP62" s="3">
        <f t="shared" ca="1" si="104"/>
        <v>0.49800796812749004</v>
      </c>
      <c r="BQ62" s="3">
        <f t="shared" ca="1" si="105"/>
        <v>0.7412898443291327</v>
      </c>
      <c r="BS62" s="3">
        <v>7.0000002160668373E-3</v>
      </c>
      <c r="BT62" s="3">
        <v>0.51099997758865356</v>
      </c>
      <c r="BU62" s="3">
        <v>1.0999999940395355E-2</v>
      </c>
      <c r="BV62" s="3">
        <v>0.43399998545646667</v>
      </c>
      <c r="BX62" s="3">
        <f t="shared" ca="1" si="106"/>
        <v>0</v>
      </c>
      <c r="BY62" s="3">
        <f t="shared" ca="1" si="107"/>
        <v>0</v>
      </c>
      <c r="BZ62" s="3">
        <f t="shared" ca="1" si="108"/>
        <v>0</v>
      </c>
      <c r="CA62" s="3">
        <f t="shared" ca="1" si="109"/>
        <v>0</v>
      </c>
      <c r="CC62" s="3">
        <f t="shared" ca="1" si="110"/>
        <v>0</v>
      </c>
      <c r="CD62" s="3">
        <f t="shared" ca="1" si="111"/>
        <v>0</v>
      </c>
      <c r="CE62" s="3">
        <f t="shared" ca="1" si="112"/>
        <v>0</v>
      </c>
      <c r="CF62" s="3">
        <f t="shared" ca="1" si="113"/>
        <v>0</v>
      </c>
      <c r="CH62" s="3">
        <f t="shared" ca="1" si="114"/>
        <v>0</v>
      </c>
      <c r="CI62" s="3">
        <f t="shared" ca="1" si="115"/>
        <v>0</v>
      </c>
      <c r="CJ62" s="3">
        <f t="shared" ca="1" si="116"/>
        <v>0</v>
      </c>
      <c r="CK62" s="3">
        <f t="shared" ca="1" si="117"/>
        <v>0</v>
      </c>
      <c r="CM62" s="3">
        <f t="shared" ca="1" si="118"/>
        <v>0</v>
      </c>
      <c r="CN62" s="3">
        <f t="shared" ca="1" si="119"/>
        <v>0</v>
      </c>
      <c r="CO62" s="3">
        <f t="shared" ca="1" si="120"/>
        <v>0</v>
      </c>
      <c r="CP62" s="3">
        <f t="shared" ca="1" si="121"/>
        <v>0</v>
      </c>
      <c r="CR62" s="3">
        <v>4.0129999999999999</v>
      </c>
      <c r="CS62" s="3">
        <v>4.0069999999999997</v>
      </c>
      <c r="CT62" s="3">
        <v>4.016</v>
      </c>
      <c r="CU62" s="3">
        <v>4.0469999999999997</v>
      </c>
      <c r="CV62" s="21">
        <f t="shared" ca="1" si="61"/>
        <v>0.750747077033458</v>
      </c>
      <c r="CW62" s="16">
        <f t="shared" ca="1" si="60"/>
        <v>8.75</v>
      </c>
    </row>
    <row r="63" spans="1:101" s="3" customFormat="1" x14ac:dyDescent="0.35">
      <c r="A63" s="2" t="s">
        <v>36</v>
      </c>
      <c r="B63" s="2">
        <v>8.8333333333333339</v>
      </c>
      <c r="C63" s="2" t="s">
        <v>168</v>
      </c>
      <c r="D63" s="2" t="s">
        <v>403</v>
      </c>
      <c r="F63" s="3">
        <v>4.0149999999999997</v>
      </c>
      <c r="G63" s="3">
        <v>4.016</v>
      </c>
      <c r="H63" s="3">
        <v>1.5009999999999999</v>
      </c>
      <c r="I63" s="3">
        <v>4.0149999999999997</v>
      </c>
      <c r="K63" s="3">
        <f t="shared" ca="1" si="62"/>
        <v>0.99601494396014956</v>
      </c>
      <c r="L63" s="3">
        <f t="shared" ca="1" si="63"/>
        <v>0.970617529880478</v>
      </c>
      <c r="M63" s="3" t="e">
        <f t="shared" ca="1" si="64"/>
        <v>#N/A</v>
      </c>
      <c r="N63" s="3">
        <f t="shared" ca="1" si="65"/>
        <v>0.98779576587795781</v>
      </c>
      <c r="P63" s="3">
        <f t="shared" ca="1" si="66"/>
        <v>0.29439609938511074</v>
      </c>
      <c r="Q63" s="3">
        <f t="shared" ca="1" si="67"/>
        <v>0.14516936830315458</v>
      </c>
      <c r="R63" s="3" t="e">
        <f t="shared" ca="1" si="68"/>
        <v>#N/A</v>
      </c>
      <c r="S63" s="3">
        <f t="shared" ca="1" si="69"/>
        <v>0.48567869446494366</v>
      </c>
      <c r="U63" s="3">
        <f t="shared" ca="1" si="70"/>
        <v>1.9925280199252804</v>
      </c>
      <c r="V63" s="3">
        <f t="shared" ca="1" si="71"/>
        <v>0.99601593625498008</v>
      </c>
      <c r="W63" s="3" t="e">
        <f t="shared" ca="1" si="72"/>
        <v>#N/A</v>
      </c>
      <c r="X63" s="3">
        <f t="shared" ca="1" si="73"/>
        <v>2.4906600249066004</v>
      </c>
      <c r="Z63" s="3">
        <f t="shared" ca="1" si="74"/>
        <v>0.63860523038605244</v>
      </c>
      <c r="AA63" s="3">
        <f t="shared" ca="1" si="75"/>
        <v>0.83441235059760943</v>
      </c>
      <c r="AB63" s="3" t="e">
        <f t="shared" ca="1" si="76"/>
        <v>#N/A</v>
      </c>
      <c r="AC63" s="3">
        <f t="shared" ca="1" si="77"/>
        <v>0.68916562889165645</v>
      </c>
      <c r="AE63" s="3">
        <f t="shared" ca="1" si="78"/>
        <v>0.1907846105202643</v>
      </c>
      <c r="AF63" s="3">
        <f t="shared" ca="1" si="79"/>
        <v>0.14516936830315458</v>
      </c>
      <c r="AG63" s="3" t="e">
        <f t="shared" ca="1" si="80"/>
        <v>#N/A</v>
      </c>
      <c r="AH63" s="3">
        <f t="shared" ca="1" si="81"/>
        <v>0.45230383445435712</v>
      </c>
      <c r="AJ63" s="3">
        <f t="shared" ca="1" si="82"/>
        <v>1.4943960149439603</v>
      </c>
      <c r="AK63" s="3">
        <f t="shared" ca="1" si="83"/>
        <v>0.99601593625498008</v>
      </c>
      <c r="AL63" s="3" t="e">
        <f t="shared" ca="1" si="84"/>
        <v>#N/A</v>
      </c>
      <c r="AM63" s="3">
        <f t="shared" ca="1" si="85"/>
        <v>2.2415940224159403</v>
      </c>
      <c r="AO63" s="3">
        <f t="shared" ca="1" si="86"/>
        <v>3.9850560398505608</v>
      </c>
      <c r="AP63" s="3">
        <f t="shared" ca="1" si="87"/>
        <v>2.4900398406374502</v>
      </c>
      <c r="AQ63" s="3" t="e">
        <f t="shared" ca="1" si="88"/>
        <v>#N/A</v>
      </c>
      <c r="AR63" s="3">
        <f t="shared" ca="1" si="89"/>
        <v>2.7397260273972606</v>
      </c>
      <c r="AT63" s="3">
        <v>0.82599997520446777</v>
      </c>
      <c r="AU63" s="3">
        <v>2.1740000247955322</v>
      </c>
      <c r="AV63" s="11" t="e">
        <v>#N/A</v>
      </c>
      <c r="AW63" s="3">
        <v>5.0999999046325684E-2</v>
      </c>
      <c r="AY63" s="3">
        <f t="shared" ca="1" si="90"/>
        <v>1.2453300124533068E-2</v>
      </c>
      <c r="AZ63" s="3">
        <f t="shared" ca="1" si="91"/>
        <v>4.9551792828685277E-2</v>
      </c>
      <c r="BA63" s="3" t="e">
        <f t="shared" ca="1" si="92"/>
        <v>#N/A</v>
      </c>
      <c r="BB63" s="3">
        <f t="shared" ca="1" si="93"/>
        <v>6.2515566625155589E-2</v>
      </c>
      <c r="BD63" s="3">
        <f t="shared" ca="1" si="94"/>
        <v>0</v>
      </c>
      <c r="BE63" s="3">
        <f t="shared" ca="1" si="95"/>
        <v>4.5567750930786133E-2</v>
      </c>
      <c r="BF63" s="3" t="e">
        <f t="shared" ca="1" si="96"/>
        <v>#N/A</v>
      </c>
      <c r="BG63" s="3">
        <f t="shared" ca="1" si="97"/>
        <v>5.4047294749714821E-2</v>
      </c>
      <c r="BI63" s="3">
        <f t="shared" ca="1" si="98"/>
        <v>0</v>
      </c>
      <c r="BJ63" s="3">
        <f t="shared" ca="1" si="99"/>
        <v>0.24900398406374502</v>
      </c>
      <c r="BK63" s="3" t="e">
        <f t="shared" ca="1" si="100"/>
        <v>#N/A</v>
      </c>
      <c r="BL63" s="3">
        <f t="shared" ca="1" si="101"/>
        <v>0.24906600249066005</v>
      </c>
      <c r="BN63" s="3">
        <f t="shared" ca="1" si="102"/>
        <v>0.4981320049813201</v>
      </c>
      <c r="BO63" s="3">
        <f t="shared" ca="1" si="103"/>
        <v>2.9880478087649402</v>
      </c>
      <c r="BP63" s="3" t="e">
        <f t="shared" ca="1" si="104"/>
        <v>#N/A</v>
      </c>
      <c r="BQ63" s="3">
        <f t="shared" ca="1" si="105"/>
        <v>0.74719800747198017</v>
      </c>
      <c r="BS63" s="3">
        <v>4.0149999999999997</v>
      </c>
      <c r="BT63" s="3">
        <v>2.1740000247955322</v>
      </c>
      <c r="BU63" s="11" t="e">
        <v>#N/A</v>
      </c>
      <c r="BV63" s="3">
        <v>1.8170000314712524</v>
      </c>
      <c r="BX63" s="3">
        <f t="shared" ca="1" si="106"/>
        <v>8.2191780821917887E-3</v>
      </c>
      <c r="BY63" s="3">
        <f t="shared" ca="1" si="107"/>
        <v>3.3117529880478197E-2</v>
      </c>
      <c r="BZ63" s="3" t="e">
        <f t="shared" ca="1" si="108"/>
        <v>#N/A</v>
      </c>
      <c r="CA63" s="3">
        <f t="shared" ca="1" si="109"/>
        <v>2.9140722291407222E-2</v>
      </c>
      <c r="CC63" s="3">
        <f t="shared" ca="1" si="110"/>
        <v>0</v>
      </c>
      <c r="CD63" s="3">
        <f t="shared" ca="1" si="111"/>
        <v>0</v>
      </c>
      <c r="CE63" s="3" t="e">
        <f t="shared" ca="1" si="112"/>
        <v>#N/A</v>
      </c>
      <c r="CF63" s="3">
        <f t="shared" ca="1" si="113"/>
        <v>4.9813152992562074E-2</v>
      </c>
      <c r="CH63" s="3">
        <f t="shared" ca="1" si="114"/>
        <v>0</v>
      </c>
      <c r="CI63" s="3">
        <f t="shared" ca="1" si="115"/>
        <v>0</v>
      </c>
      <c r="CJ63" s="3" t="e">
        <f t="shared" ca="1" si="116"/>
        <v>#N/A</v>
      </c>
      <c r="CK63" s="3">
        <f t="shared" ca="1" si="117"/>
        <v>0.24906600249066005</v>
      </c>
      <c r="CM63" s="3">
        <f t="shared" ca="1" si="118"/>
        <v>2.4906600249066004</v>
      </c>
      <c r="CN63" s="3">
        <f t="shared" ca="1" si="119"/>
        <v>1.4940239043824701</v>
      </c>
      <c r="CO63" s="3" t="e">
        <f t="shared" ca="1" si="120"/>
        <v>#N/A</v>
      </c>
      <c r="CP63" s="3">
        <f t="shared" ca="1" si="121"/>
        <v>2.4906600249066004</v>
      </c>
      <c r="CR63" s="3">
        <v>4.0149999999999997</v>
      </c>
      <c r="CS63" s="3">
        <v>4.016</v>
      </c>
      <c r="CT63" s="11" t="e">
        <v>#N/A</v>
      </c>
      <c r="CU63" s="3">
        <v>2.1500000953674316</v>
      </c>
      <c r="CV63" s="21" t="e">
        <f t="shared" ca="1" si="61"/>
        <v>#N/A</v>
      </c>
      <c r="CW63" s="16">
        <f t="shared" ca="1" si="60"/>
        <v>8.8333333333333339</v>
      </c>
    </row>
    <row r="64" spans="1:101" s="3" customFormat="1" x14ac:dyDescent="0.35">
      <c r="A64" s="2" t="s">
        <v>84</v>
      </c>
      <c r="B64" s="2">
        <v>9</v>
      </c>
      <c r="C64" s="2" t="s">
        <v>168</v>
      </c>
      <c r="D64" s="2" t="s">
        <v>403</v>
      </c>
      <c r="F64" s="3">
        <v>4.0149999999999997</v>
      </c>
      <c r="G64" s="3">
        <v>4.016</v>
      </c>
      <c r="H64" s="3">
        <v>4.0110000000000001</v>
      </c>
      <c r="I64" s="3">
        <v>4.016</v>
      </c>
      <c r="K64" s="3">
        <f t="shared" ca="1" si="62"/>
        <v>0.96687422166874237</v>
      </c>
      <c r="L64" s="3">
        <f t="shared" ca="1" si="63"/>
        <v>0.98331673306772904</v>
      </c>
      <c r="M64" s="3">
        <f t="shared" ca="1" si="64"/>
        <v>0.99725754176015957</v>
      </c>
      <c r="N64" s="3">
        <f t="shared" ca="1" si="65"/>
        <v>0.9997509960159362</v>
      </c>
      <c r="P64" s="3">
        <f t="shared" ca="1" si="66"/>
        <v>0.94171858521394092</v>
      </c>
      <c r="Q64" s="3">
        <f t="shared" ca="1" si="67"/>
        <v>0.82993028737396835</v>
      </c>
      <c r="R64" s="3">
        <f t="shared" ca="1" si="68"/>
        <v>0.94315637022858689</v>
      </c>
      <c r="S64" s="3">
        <f t="shared" ca="1" si="69"/>
        <v>0.87524898372501492</v>
      </c>
      <c r="U64" s="3">
        <f t="shared" ca="1" si="70"/>
        <v>1.7434620174346203</v>
      </c>
      <c r="V64" s="3">
        <f t="shared" ca="1" si="71"/>
        <v>1.9920318725099602</v>
      </c>
      <c r="W64" s="3">
        <f t="shared" ca="1" si="72"/>
        <v>1.9945150835203191</v>
      </c>
      <c r="X64" s="3">
        <f t="shared" ca="1" si="73"/>
        <v>2.4900398406374502</v>
      </c>
      <c r="Z64" s="3">
        <f t="shared" ca="1" si="74"/>
        <v>0.96687422166874237</v>
      </c>
      <c r="AA64" s="3">
        <f t="shared" ca="1" si="75"/>
        <v>0.98331673306772904</v>
      </c>
      <c r="AB64" s="3">
        <f t="shared" ca="1" si="76"/>
        <v>0.91822488157566684</v>
      </c>
      <c r="AC64" s="3">
        <f t="shared" ca="1" si="77"/>
        <v>0.9997509960159362</v>
      </c>
      <c r="AE64" s="3">
        <f t="shared" ca="1" si="78"/>
        <v>0.94171858521394092</v>
      </c>
      <c r="AF64" s="3">
        <f t="shared" ca="1" si="79"/>
        <v>0.82993028737396835</v>
      </c>
      <c r="AG64" s="3">
        <f t="shared" ca="1" si="80"/>
        <v>0.86836205162451585</v>
      </c>
      <c r="AH64" s="3">
        <f t="shared" ca="1" si="81"/>
        <v>0.87524898372501492</v>
      </c>
      <c r="AJ64" s="3">
        <f t="shared" ca="1" si="82"/>
        <v>1.7434620174346203</v>
      </c>
      <c r="AK64" s="3">
        <f t="shared" ca="1" si="83"/>
        <v>1.9920318725099602</v>
      </c>
      <c r="AL64" s="3">
        <f t="shared" ca="1" si="84"/>
        <v>1.7452006980802792</v>
      </c>
      <c r="AM64" s="3">
        <f t="shared" ca="1" si="85"/>
        <v>2.4900398406374502</v>
      </c>
      <c r="AO64" s="3">
        <f t="shared" ca="1" si="86"/>
        <v>0.24906600249066005</v>
      </c>
      <c r="AP64" s="3">
        <f t="shared" ca="1" si="87"/>
        <v>0.49800796812749004</v>
      </c>
      <c r="AQ64" s="3">
        <f t="shared" ca="1" si="88"/>
        <v>0.49862877088007979</v>
      </c>
      <c r="AR64" s="3">
        <f t="shared" ca="1" si="89"/>
        <v>0.24900398406374502</v>
      </c>
      <c r="AT64" s="3">
        <v>6.0000000521540642E-3</v>
      </c>
      <c r="AU64" s="3">
        <v>0</v>
      </c>
      <c r="AV64" s="3">
        <v>0</v>
      </c>
      <c r="AW64" s="3">
        <v>3.2999999821186066E-2</v>
      </c>
      <c r="AY64" s="3">
        <f t="shared" ca="1" si="90"/>
        <v>0</v>
      </c>
      <c r="AZ64" s="3">
        <f t="shared" ca="1" si="91"/>
        <v>1.6683266932270877E-2</v>
      </c>
      <c r="BA64" s="3">
        <f t="shared" ca="1" si="92"/>
        <v>7.4794315632011957E-2</v>
      </c>
      <c r="BB64" s="3">
        <f t="shared" ca="1" si="93"/>
        <v>1.2450199203187207E-2</v>
      </c>
      <c r="BD64" s="3">
        <f t="shared" ca="1" si="94"/>
        <v>0</v>
      </c>
      <c r="BE64" s="3">
        <f t="shared" ca="1" si="95"/>
        <v>0</v>
      </c>
      <c r="BF64" s="3">
        <f t="shared" ca="1" si="96"/>
        <v>7.4794318604071042E-2</v>
      </c>
      <c r="BG64" s="3">
        <f t="shared" ca="1" si="97"/>
        <v>0</v>
      </c>
      <c r="BI64" s="3">
        <f t="shared" ca="1" si="98"/>
        <v>0</v>
      </c>
      <c r="BJ64" s="3">
        <f t="shared" ca="1" si="99"/>
        <v>0</v>
      </c>
      <c r="BK64" s="3">
        <f t="shared" ca="1" si="100"/>
        <v>0.24931438544003989</v>
      </c>
      <c r="BL64" s="3">
        <f t="shared" ca="1" si="101"/>
        <v>0</v>
      </c>
      <c r="BN64" s="3">
        <f t="shared" ca="1" si="102"/>
        <v>0</v>
      </c>
      <c r="BO64" s="3">
        <f t="shared" ca="1" si="103"/>
        <v>0.49800796812749004</v>
      </c>
      <c r="BP64" s="3">
        <f t="shared" ca="1" si="104"/>
        <v>0.24931438544003989</v>
      </c>
      <c r="BQ64" s="3">
        <f t="shared" ca="1" si="105"/>
        <v>0.24900398406374502</v>
      </c>
      <c r="BS64" s="3">
        <v>4.0149999999999997</v>
      </c>
      <c r="BT64" s="3">
        <v>4.016</v>
      </c>
      <c r="BU64" s="3">
        <v>0.33300000429153442</v>
      </c>
      <c r="BV64" s="3">
        <v>4.016</v>
      </c>
      <c r="BX64" s="3">
        <f t="shared" ca="1" si="106"/>
        <v>0</v>
      </c>
      <c r="BY64" s="3">
        <f t="shared" ca="1" si="107"/>
        <v>0</v>
      </c>
      <c r="BZ64" s="3">
        <f t="shared" ca="1" si="108"/>
        <v>0</v>
      </c>
      <c r="CA64" s="3">
        <f t="shared" ca="1" si="109"/>
        <v>0</v>
      </c>
      <c r="CC64" s="3">
        <f t="shared" ca="1" si="110"/>
        <v>0</v>
      </c>
      <c r="CD64" s="3">
        <f t="shared" ca="1" si="111"/>
        <v>0</v>
      </c>
      <c r="CE64" s="3">
        <f t="shared" ca="1" si="112"/>
        <v>0</v>
      </c>
      <c r="CF64" s="3">
        <f t="shared" ca="1" si="113"/>
        <v>0</v>
      </c>
      <c r="CH64" s="3">
        <f t="shared" ca="1" si="114"/>
        <v>0</v>
      </c>
      <c r="CI64" s="3">
        <f t="shared" ca="1" si="115"/>
        <v>0</v>
      </c>
      <c r="CJ64" s="3">
        <f t="shared" ca="1" si="116"/>
        <v>0</v>
      </c>
      <c r="CK64" s="3">
        <f t="shared" ca="1" si="117"/>
        <v>0</v>
      </c>
      <c r="CM64" s="3">
        <f t="shared" ca="1" si="118"/>
        <v>0</v>
      </c>
      <c r="CN64" s="3">
        <f t="shared" ca="1" si="119"/>
        <v>0.24900398406374502</v>
      </c>
      <c r="CO64" s="3">
        <f t="shared" ca="1" si="120"/>
        <v>0</v>
      </c>
      <c r="CP64" s="3">
        <f t="shared" ca="1" si="121"/>
        <v>0</v>
      </c>
      <c r="CR64" s="3">
        <v>4.0149999999999997</v>
      </c>
      <c r="CS64" s="3">
        <v>4.016</v>
      </c>
      <c r="CT64" s="3">
        <v>4.0110000000000001</v>
      </c>
      <c r="CU64" s="3">
        <v>4.016</v>
      </c>
      <c r="CV64" s="21">
        <f t="shared" ca="1" si="61"/>
        <v>7.4794318604071042E-2</v>
      </c>
      <c r="CW64" s="16">
        <f t="shared" ca="1" si="60"/>
        <v>9</v>
      </c>
    </row>
    <row r="65" spans="1:101" s="3" customFormat="1" x14ac:dyDescent="0.35">
      <c r="A65" s="2" t="s">
        <v>56</v>
      </c>
      <c r="B65" s="2">
        <v>9.0833333333333339</v>
      </c>
      <c r="C65" s="2" t="s">
        <v>167</v>
      </c>
      <c r="D65" s="2" t="s">
        <v>403</v>
      </c>
      <c r="F65" s="3">
        <v>1.4119999999999999</v>
      </c>
      <c r="G65" s="3">
        <v>4.0019999999999998</v>
      </c>
      <c r="H65" s="3">
        <v>4.0110000000000001</v>
      </c>
      <c r="I65" s="11" t="e">
        <v>#N/A</v>
      </c>
      <c r="K65" s="3" t="e">
        <f t="shared" ca="1" si="62"/>
        <v>#N/A</v>
      </c>
      <c r="L65" s="3">
        <f t="shared" ca="1" si="63"/>
        <v>0.89505247376311847</v>
      </c>
      <c r="M65" s="3">
        <f t="shared" ca="1" si="64"/>
        <v>0.99301919720767884</v>
      </c>
      <c r="N65" s="3" t="e">
        <f t="shared" ca="1" si="65"/>
        <v>#N/A</v>
      </c>
      <c r="P65" s="3" t="e">
        <f t="shared" ca="1" si="66"/>
        <v>#N/A</v>
      </c>
      <c r="Q65" s="3">
        <f t="shared" ca="1" si="67"/>
        <v>0.83258367520103094</v>
      </c>
      <c r="R65" s="3">
        <f t="shared" ca="1" si="68"/>
        <v>0.90999748651611623</v>
      </c>
      <c r="S65" s="3" t="e">
        <f t="shared" ca="1" si="69"/>
        <v>#N/A</v>
      </c>
      <c r="U65" s="3" t="e">
        <f t="shared" ca="1" si="70"/>
        <v>#N/A</v>
      </c>
      <c r="V65" s="3">
        <f t="shared" ca="1" si="71"/>
        <v>1.4992503748125938</v>
      </c>
      <c r="W65" s="3">
        <f t="shared" ca="1" si="72"/>
        <v>2.4931438544003988</v>
      </c>
      <c r="X65" s="3" t="e">
        <f t="shared" ca="1" si="73"/>
        <v>#N/A</v>
      </c>
      <c r="Z65" s="3" t="e">
        <f t="shared" ca="1" si="74"/>
        <v>#N/A</v>
      </c>
      <c r="AA65" s="3">
        <f t="shared" ca="1" si="75"/>
        <v>0.86181909045477267</v>
      </c>
      <c r="AB65" s="3">
        <f t="shared" ca="1" si="76"/>
        <v>0.99301919720767884</v>
      </c>
      <c r="AC65" s="3" t="e">
        <f t="shared" ca="1" si="77"/>
        <v>#N/A</v>
      </c>
      <c r="AE65" s="3" t="e">
        <f t="shared" ca="1" si="78"/>
        <v>#N/A</v>
      </c>
      <c r="AF65" s="3">
        <f t="shared" ca="1" si="79"/>
        <v>0.83258367520103094</v>
      </c>
      <c r="AG65" s="3">
        <f t="shared" ca="1" si="80"/>
        <v>0.90999748651611623</v>
      </c>
      <c r="AH65" s="3" t="e">
        <f t="shared" ca="1" si="81"/>
        <v>#N/A</v>
      </c>
      <c r="AJ65" s="3" t="e">
        <f t="shared" ca="1" si="82"/>
        <v>#N/A</v>
      </c>
      <c r="AK65" s="3">
        <f t="shared" ca="1" si="83"/>
        <v>1.4992503748125938</v>
      </c>
      <c r="AL65" s="3">
        <f t="shared" ca="1" si="84"/>
        <v>2.4931438544003988</v>
      </c>
      <c r="AM65" s="3" t="e">
        <f t="shared" ca="1" si="85"/>
        <v>#N/A</v>
      </c>
      <c r="AO65" s="3" t="e">
        <f t="shared" ca="1" si="86"/>
        <v>#N/A</v>
      </c>
      <c r="AP65" s="3">
        <f t="shared" ca="1" si="87"/>
        <v>0.49975012493753124</v>
      </c>
      <c r="AQ65" s="3">
        <f t="shared" ca="1" si="88"/>
        <v>0.24931438544003989</v>
      </c>
      <c r="AR65" s="3" t="e">
        <f t="shared" ca="1" si="89"/>
        <v>#N/A</v>
      </c>
      <c r="AT65" s="11" t="e">
        <v>#N/A</v>
      </c>
      <c r="AU65" s="3">
        <v>0.40599998831748962</v>
      </c>
      <c r="AV65" s="3">
        <v>1.6000000759959221E-2</v>
      </c>
      <c r="AW65" s="11" t="e">
        <v>#N/A</v>
      </c>
      <c r="AY65" s="3" t="e">
        <f t="shared" ca="1" si="90"/>
        <v>#N/A</v>
      </c>
      <c r="AZ65" s="3">
        <f t="shared" ca="1" si="91"/>
        <v>0.19165417291354322</v>
      </c>
      <c r="BA65" s="3">
        <f t="shared" ca="1" si="92"/>
        <v>0.2742458239840439</v>
      </c>
      <c r="BB65" s="3" t="e">
        <f t="shared" ca="1" si="93"/>
        <v>#N/A</v>
      </c>
      <c r="BD65" s="3" t="e">
        <f t="shared" ca="1" si="94"/>
        <v>#N/A</v>
      </c>
      <c r="BE65" s="3">
        <f t="shared" ca="1" si="95"/>
        <v>0.16241878464721193</v>
      </c>
      <c r="BF65" s="3">
        <f t="shared" ca="1" si="96"/>
        <v>0.25779105457276424</v>
      </c>
      <c r="BG65" s="3" t="e">
        <f t="shared" ca="1" si="97"/>
        <v>#N/A</v>
      </c>
      <c r="BI65" s="3" t="e">
        <f t="shared" ca="1" si="98"/>
        <v>#N/A</v>
      </c>
      <c r="BJ65" s="3">
        <f t="shared" ca="1" si="99"/>
        <v>0.49975012493753124</v>
      </c>
      <c r="BK65" s="3">
        <f t="shared" ca="1" si="100"/>
        <v>0.74794315632011965</v>
      </c>
      <c r="BL65" s="3" t="e">
        <f t="shared" ca="1" si="101"/>
        <v>#N/A</v>
      </c>
      <c r="BN65" s="3" t="e">
        <f t="shared" ca="1" si="102"/>
        <v>#N/A</v>
      </c>
      <c r="BO65" s="3">
        <f t="shared" ca="1" si="103"/>
        <v>0.49975012493753124</v>
      </c>
      <c r="BP65" s="3">
        <f t="shared" ca="1" si="104"/>
        <v>1.2465719272001994</v>
      </c>
      <c r="BQ65" s="3" t="e">
        <f t="shared" ca="1" si="105"/>
        <v>#N/A</v>
      </c>
      <c r="BS65" s="11" t="e">
        <v>#N/A</v>
      </c>
      <c r="BT65" s="3">
        <v>0.90600001811981201</v>
      </c>
      <c r="BU65" s="3">
        <v>0.33300000429153442</v>
      </c>
      <c r="BV65" s="11" t="e">
        <v>#N/A</v>
      </c>
      <c r="BX65" s="3" t="e">
        <f t="shared" ca="1" si="106"/>
        <v>#N/A</v>
      </c>
      <c r="BY65" s="3">
        <f t="shared" ca="1" si="107"/>
        <v>0.54122938530734632</v>
      </c>
      <c r="BZ65" s="3">
        <f t="shared" ca="1" si="108"/>
        <v>3.7397157816005958E-2</v>
      </c>
      <c r="CA65" s="3" t="e">
        <f t="shared" ca="1" si="109"/>
        <v>#N/A</v>
      </c>
      <c r="CC65" s="3" t="e">
        <f t="shared" ca="1" si="110"/>
        <v>#N/A</v>
      </c>
      <c r="CD65" s="3">
        <f t="shared" ca="1" si="111"/>
        <v>0.5037481042517834</v>
      </c>
      <c r="CE65" s="3">
        <f t="shared" ca="1" si="112"/>
        <v>4.96135332197419E-2</v>
      </c>
      <c r="CF65" s="3" t="e">
        <f t="shared" ca="1" si="113"/>
        <v>#N/A</v>
      </c>
      <c r="CH65" s="3" t="e">
        <f t="shared" ca="1" si="114"/>
        <v>#N/A</v>
      </c>
      <c r="CI65" s="3">
        <f t="shared" ca="1" si="115"/>
        <v>0.24987506246876562</v>
      </c>
      <c r="CJ65" s="3">
        <f t="shared" ca="1" si="116"/>
        <v>0.24931438544003989</v>
      </c>
      <c r="CK65" s="3" t="e">
        <f t="shared" ca="1" si="117"/>
        <v>#N/A</v>
      </c>
      <c r="CM65" s="3" t="e">
        <f t="shared" ca="1" si="118"/>
        <v>#N/A</v>
      </c>
      <c r="CN65" s="3">
        <f t="shared" ca="1" si="119"/>
        <v>0.49975012493753124</v>
      </c>
      <c r="CO65" s="3">
        <f t="shared" ca="1" si="120"/>
        <v>0.24931438544003989</v>
      </c>
      <c r="CP65" s="3" t="e">
        <f t="shared" ca="1" si="121"/>
        <v>#N/A</v>
      </c>
      <c r="CR65" s="11" t="e">
        <v>#N/A</v>
      </c>
      <c r="CS65" s="3">
        <v>1.9220000505447388</v>
      </c>
      <c r="CT65" s="3">
        <v>2.7160000801086426</v>
      </c>
      <c r="CU65" s="11" t="e">
        <v>#N/A</v>
      </c>
      <c r="CV65" s="21">
        <f t="shared" ca="1" si="61"/>
        <v>0.25779105457276424</v>
      </c>
      <c r="CW65" s="16">
        <f t="shared" ca="1" si="60"/>
        <v>9.0833333333333339</v>
      </c>
    </row>
    <row r="66" spans="1:101" s="3" customFormat="1" x14ac:dyDescent="0.35">
      <c r="A66" s="2" t="s">
        <v>5</v>
      </c>
      <c r="B66" s="2">
        <v>9.1666666666666661</v>
      </c>
      <c r="C66" s="2" t="s">
        <v>167</v>
      </c>
      <c r="D66" s="2" t="s">
        <v>403</v>
      </c>
      <c r="F66" s="3">
        <v>4.0149999999999997</v>
      </c>
      <c r="G66" s="3">
        <v>4.0129999999999999</v>
      </c>
      <c r="H66" s="3">
        <v>4.0149999999999997</v>
      </c>
      <c r="I66" s="3">
        <v>4.0149999999999997</v>
      </c>
      <c r="K66" s="3">
        <f t="shared" ca="1" si="62"/>
        <v>0.99601494396014956</v>
      </c>
      <c r="L66" s="3">
        <f t="shared" ca="1" si="63"/>
        <v>0.99651133815100923</v>
      </c>
      <c r="M66" s="3">
        <f t="shared" ca="1" si="64"/>
        <v>0.992029887920299</v>
      </c>
      <c r="N66" s="3">
        <f t="shared" ca="1" si="65"/>
        <v>0.99601494396014956</v>
      </c>
      <c r="P66" s="3">
        <f t="shared" ca="1" si="66"/>
        <v>0.96313825705242939</v>
      </c>
      <c r="Q66" s="3">
        <f t="shared" ca="1" si="67"/>
        <v>0.88836286157678745</v>
      </c>
      <c r="R66" s="3">
        <f t="shared" ca="1" si="68"/>
        <v>0.95417185954443406</v>
      </c>
      <c r="S66" s="3">
        <f t="shared" ca="1" si="69"/>
        <v>0.81320055592271645</v>
      </c>
      <c r="U66" s="3">
        <f t="shared" ca="1" si="70"/>
        <v>2.2415940224159403</v>
      </c>
      <c r="V66" s="3">
        <f t="shared" ca="1" si="71"/>
        <v>2.7410914527784702</v>
      </c>
      <c r="W66" s="3">
        <f t="shared" ca="1" si="72"/>
        <v>2.4906600249066004</v>
      </c>
      <c r="X66" s="3">
        <f t="shared" ca="1" si="73"/>
        <v>2.7397260273972606</v>
      </c>
      <c r="Z66" s="3">
        <f t="shared" ca="1" si="74"/>
        <v>0.99601494396014956</v>
      </c>
      <c r="AA66" s="3">
        <f t="shared" ca="1" si="75"/>
        <v>0.99651133815100923</v>
      </c>
      <c r="AB66" s="3">
        <f t="shared" ca="1" si="76"/>
        <v>0.992029887920299</v>
      </c>
      <c r="AC66" s="3">
        <f t="shared" ca="1" si="77"/>
        <v>0.99601494396014956</v>
      </c>
      <c r="AE66" s="3">
        <f t="shared" ca="1" si="78"/>
        <v>0.96313825705242939</v>
      </c>
      <c r="AF66" s="3">
        <f t="shared" ca="1" si="79"/>
        <v>0.88836286157678745</v>
      </c>
      <c r="AG66" s="3">
        <f t="shared" ca="1" si="80"/>
        <v>0.95417185954443406</v>
      </c>
      <c r="AH66" s="3">
        <f t="shared" ca="1" si="81"/>
        <v>0.81320055592271645</v>
      </c>
      <c r="AJ66" s="3">
        <f t="shared" ca="1" si="82"/>
        <v>2.2415940224159403</v>
      </c>
      <c r="AK66" s="3">
        <f t="shared" ca="1" si="83"/>
        <v>2.7410914527784702</v>
      </c>
      <c r="AL66" s="3">
        <f t="shared" ca="1" si="84"/>
        <v>2.4906600249066004</v>
      </c>
      <c r="AM66" s="3">
        <f t="shared" ca="1" si="85"/>
        <v>2.7397260273972606</v>
      </c>
      <c r="AO66" s="3">
        <f t="shared" ca="1" si="86"/>
        <v>0.24906600249066005</v>
      </c>
      <c r="AP66" s="3">
        <f t="shared" ca="1" si="87"/>
        <v>0.24919013207077001</v>
      </c>
      <c r="AQ66" s="3">
        <f t="shared" ca="1" si="88"/>
        <v>0.24906600249066005</v>
      </c>
      <c r="AR66" s="3">
        <f t="shared" ca="1" si="89"/>
        <v>0.24906600249066005</v>
      </c>
      <c r="AT66" s="3">
        <v>7.0000002160668373E-3</v>
      </c>
      <c r="AU66" s="3">
        <v>1.0000000474974513E-3</v>
      </c>
      <c r="AV66" s="3">
        <v>1.4999999664723873E-2</v>
      </c>
      <c r="AW66" s="3">
        <v>4.0000001899898052E-3</v>
      </c>
      <c r="AY66" s="3">
        <f t="shared" ca="1" si="90"/>
        <v>0.18281444582814443</v>
      </c>
      <c r="AZ66" s="3">
        <f t="shared" ca="1" si="91"/>
        <v>0.35310241714428109</v>
      </c>
      <c r="BA66" s="3">
        <f t="shared" ca="1" si="92"/>
        <v>0.47721046077210472</v>
      </c>
      <c r="BB66" s="3">
        <f t="shared" ca="1" si="93"/>
        <v>0.40697384806973841</v>
      </c>
      <c r="BD66" s="3">
        <f t="shared" ca="1" si="94"/>
        <v>0.19526777795955522</v>
      </c>
      <c r="BE66" s="3">
        <f t="shared" ca="1" si="95"/>
        <v>0.32818336400080172</v>
      </c>
      <c r="BF66" s="3">
        <f t="shared" ca="1" si="96"/>
        <v>0.45230385324318118</v>
      </c>
      <c r="BG66" s="3">
        <f t="shared" ca="1" si="97"/>
        <v>0.34022420310736595</v>
      </c>
      <c r="BI66" s="3">
        <f t="shared" ca="1" si="98"/>
        <v>0.74719800747198017</v>
      </c>
      <c r="BJ66" s="3">
        <f t="shared" ca="1" si="99"/>
        <v>0.74757039621231003</v>
      </c>
      <c r="BK66" s="3">
        <f t="shared" ca="1" si="100"/>
        <v>0.9962640099626402</v>
      </c>
      <c r="BL66" s="3">
        <f t="shared" ca="1" si="101"/>
        <v>1.2453300124533002</v>
      </c>
      <c r="BN66" s="3">
        <f t="shared" ca="1" si="102"/>
        <v>0.74719800747198017</v>
      </c>
      <c r="BO66" s="3">
        <f t="shared" ca="1" si="103"/>
        <v>0.99676052828308004</v>
      </c>
      <c r="BP66" s="3">
        <f t="shared" ca="1" si="104"/>
        <v>1.4943960149439603</v>
      </c>
      <c r="BQ66" s="3">
        <f t="shared" ca="1" si="105"/>
        <v>0.9962640099626402</v>
      </c>
      <c r="BS66" s="3">
        <v>0.37299999594688416</v>
      </c>
      <c r="BT66" s="3">
        <v>1.0000000474974513E-3</v>
      </c>
      <c r="BU66" s="3">
        <v>1.4999999664723873E-2</v>
      </c>
      <c r="BV66" s="3">
        <v>1.753000020980835</v>
      </c>
      <c r="BX66" s="3">
        <f t="shared" ca="1" si="106"/>
        <v>0</v>
      </c>
      <c r="BY66" s="3">
        <f t="shared" ca="1" si="107"/>
        <v>0</v>
      </c>
      <c r="BZ66" s="3">
        <f t="shared" ca="1" si="108"/>
        <v>0</v>
      </c>
      <c r="CA66" s="3">
        <f t="shared" ca="1" si="109"/>
        <v>9.1407222914072231E-2</v>
      </c>
      <c r="CC66" s="3">
        <f t="shared" ca="1" si="110"/>
        <v>0</v>
      </c>
      <c r="CD66" s="3">
        <f t="shared" ca="1" si="111"/>
        <v>0</v>
      </c>
      <c r="CE66" s="3">
        <f t="shared" ca="1" si="112"/>
        <v>0</v>
      </c>
      <c r="CF66" s="3">
        <f t="shared" ca="1" si="113"/>
        <v>0.12851806536112748</v>
      </c>
      <c r="CH66" s="3">
        <f t="shared" ca="1" si="114"/>
        <v>0</v>
      </c>
      <c r="CI66" s="3">
        <f t="shared" ca="1" si="115"/>
        <v>0</v>
      </c>
      <c r="CJ66" s="3">
        <f t="shared" ca="1" si="116"/>
        <v>0</v>
      </c>
      <c r="CK66" s="3">
        <f t="shared" ca="1" si="117"/>
        <v>0.24906600249066005</v>
      </c>
      <c r="CM66" s="3">
        <f t="shared" ca="1" si="118"/>
        <v>0</v>
      </c>
      <c r="CN66" s="3">
        <f t="shared" ca="1" si="119"/>
        <v>0.24919013207077001</v>
      </c>
      <c r="CO66" s="3">
        <f t="shared" ca="1" si="120"/>
        <v>0</v>
      </c>
      <c r="CP66" s="3">
        <f t="shared" ca="1" si="121"/>
        <v>0.24906600249066005</v>
      </c>
      <c r="CR66" s="3">
        <v>4.0149999999999997</v>
      </c>
      <c r="CS66" s="3">
        <v>4.0129999999999999</v>
      </c>
      <c r="CT66" s="3">
        <v>4.0149999999999997</v>
      </c>
      <c r="CU66" s="3">
        <v>1.0870000123977661</v>
      </c>
      <c r="CV66" s="21">
        <f t="shared" ca="1" si="61"/>
        <v>0.45230385324318118</v>
      </c>
      <c r="CW66" s="16">
        <f t="shared" ca="1" si="60"/>
        <v>9.1666666666666661</v>
      </c>
    </row>
    <row r="67" spans="1:101" s="3" customFormat="1" x14ac:dyDescent="0.35">
      <c r="A67" s="2" t="s">
        <v>34</v>
      </c>
      <c r="B67" s="2">
        <v>9.25</v>
      </c>
      <c r="C67" s="2" t="s">
        <v>167</v>
      </c>
      <c r="D67" s="2" t="s">
        <v>403</v>
      </c>
      <c r="F67" s="3">
        <v>4.0140000000000002</v>
      </c>
      <c r="G67" s="3">
        <v>4.016</v>
      </c>
      <c r="H67" s="3">
        <v>4.008</v>
      </c>
      <c r="I67" s="3">
        <v>4.01</v>
      </c>
      <c r="K67" s="3">
        <f t="shared" ca="1" si="62"/>
        <v>0.9920279023418036</v>
      </c>
      <c r="L67" s="3">
        <f t="shared" ca="1" si="63"/>
        <v>0.99576693227091639</v>
      </c>
      <c r="M67" s="3">
        <f t="shared" ca="1" si="64"/>
        <v>0.99376247504990023</v>
      </c>
      <c r="N67" s="3">
        <f t="shared" ca="1" si="65"/>
        <v>0.99725685785536167</v>
      </c>
      <c r="P67" s="3">
        <f t="shared" ca="1" si="66"/>
        <v>0.93821631781626946</v>
      </c>
      <c r="Q67" s="3">
        <f t="shared" ca="1" si="67"/>
        <v>0.81299806771562455</v>
      </c>
      <c r="R67" s="3">
        <f t="shared" ca="1" si="68"/>
        <v>0.95583832294804727</v>
      </c>
      <c r="S67" s="3">
        <f t="shared" ca="1" si="69"/>
        <v>0.78528688063942587</v>
      </c>
      <c r="U67" s="3">
        <f t="shared" ca="1" si="70"/>
        <v>2.9895366218236172</v>
      </c>
      <c r="V67" s="3">
        <f t="shared" ca="1" si="71"/>
        <v>1.4940239043824701</v>
      </c>
      <c r="W67" s="3">
        <f t="shared" ca="1" si="72"/>
        <v>2.4950099800399204</v>
      </c>
      <c r="X67" s="3">
        <f t="shared" ca="1" si="73"/>
        <v>1.9950124688279303</v>
      </c>
      <c r="Z67" s="3">
        <f t="shared" ca="1" si="74"/>
        <v>0.9920279023418036</v>
      </c>
      <c r="AA67" s="3">
        <f t="shared" ca="1" si="75"/>
        <v>0.99576693227091639</v>
      </c>
      <c r="AB67" s="3">
        <f t="shared" ca="1" si="76"/>
        <v>0.99376247504990023</v>
      </c>
      <c r="AC67" s="3">
        <f t="shared" ca="1" si="77"/>
        <v>0.83915211970074821</v>
      </c>
      <c r="AE67" s="3">
        <f t="shared" ca="1" si="78"/>
        <v>0.93821631781626946</v>
      </c>
      <c r="AF67" s="3">
        <f t="shared" ca="1" si="79"/>
        <v>0.81299806771562455</v>
      </c>
      <c r="AG67" s="3">
        <f t="shared" ca="1" si="80"/>
        <v>0.95583832294804727</v>
      </c>
      <c r="AH67" s="3">
        <f t="shared" ca="1" si="81"/>
        <v>0.78528688063942587</v>
      </c>
      <c r="AJ67" s="3">
        <f t="shared" ca="1" si="82"/>
        <v>2.9895366218236172</v>
      </c>
      <c r="AK67" s="3">
        <f t="shared" ca="1" si="83"/>
        <v>1.4940239043824701</v>
      </c>
      <c r="AL67" s="3">
        <f t="shared" ca="1" si="84"/>
        <v>2.4950099800399204</v>
      </c>
      <c r="AM67" s="3">
        <f t="shared" ca="1" si="85"/>
        <v>1.9950124688279303</v>
      </c>
      <c r="AO67" s="3">
        <f t="shared" ca="1" si="86"/>
        <v>0.24912805181863476</v>
      </c>
      <c r="AP67" s="3">
        <f t="shared" ca="1" si="87"/>
        <v>0.24900398406374502</v>
      </c>
      <c r="AQ67" s="3">
        <f t="shared" ca="1" si="88"/>
        <v>0.249500998003992</v>
      </c>
      <c r="AR67" s="3">
        <f t="shared" ca="1" si="89"/>
        <v>0.49875311720698257</v>
      </c>
      <c r="AT67" s="3">
        <v>7.0000002160668373E-3</v>
      </c>
      <c r="AU67" s="3">
        <v>1.4999999664723873E-2</v>
      </c>
      <c r="AV67" s="3">
        <v>1.4000000432133675E-2</v>
      </c>
      <c r="AW67" s="3">
        <v>0</v>
      </c>
      <c r="AY67" s="3">
        <f t="shared" ca="1" si="90"/>
        <v>0.42351768809167906</v>
      </c>
      <c r="AZ67" s="3">
        <f t="shared" ca="1" si="91"/>
        <v>0.63047808764940239</v>
      </c>
      <c r="BA67" s="3">
        <f t="shared" ca="1" si="92"/>
        <v>0.64870259481037917</v>
      </c>
      <c r="BB67" s="3">
        <f t="shared" ca="1" si="93"/>
        <v>0.34039900249376553</v>
      </c>
      <c r="BD67" s="3">
        <f t="shared" ca="1" si="94"/>
        <v>0.40682614235718806</v>
      </c>
      <c r="BE67" s="3">
        <f t="shared" ca="1" si="95"/>
        <v>0.55179287831621815</v>
      </c>
      <c r="BF67" s="3">
        <f t="shared" ca="1" si="96"/>
        <v>0.73552893813022835</v>
      </c>
      <c r="BG67" s="3">
        <f t="shared" ca="1" si="97"/>
        <v>0.31995016737769072</v>
      </c>
      <c r="BI67" s="3">
        <f t="shared" ca="1" si="98"/>
        <v>0.99651220727453904</v>
      </c>
      <c r="BJ67" s="3">
        <f t="shared" ca="1" si="99"/>
        <v>0.74701195219123506</v>
      </c>
      <c r="BK67" s="3">
        <f t="shared" ca="1" si="100"/>
        <v>1.7465069860279441</v>
      </c>
      <c r="BL67" s="3">
        <f t="shared" ca="1" si="101"/>
        <v>0.99750623441396513</v>
      </c>
      <c r="BN67" s="3">
        <f t="shared" ca="1" si="102"/>
        <v>0.74738415545590431</v>
      </c>
      <c r="BO67" s="3">
        <f t="shared" ca="1" si="103"/>
        <v>0.99601593625498008</v>
      </c>
      <c r="BP67" s="3">
        <f t="shared" ca="1" si="104"/>
        <v>0.99800399201596801</v>
      </c>
      <c r="BQ67" s="3">
        <f t="shared" ca="1" si="105"/>
        <v>1.4962593516209477</v>
      </c>
      <c r="BS67" s="3">
        <v>0.52300000190734863</v>
      </c>
      <c r="BT67" s="3">
        <v>1.1139999628067017</v>
      </c>
      <c r="BU67" s="3">
        <v>0.36399999260902405</v>
      </c>
      <c r="BV67" s="3">
        <v>0.44999998807907104</v>
      </c>
      <c r="BX67" s="3">
        <f t="shared" ca="1" si="106"/>
        <v>7.0503238664673618E-2</v>
      </c>
      <c r="BY67" s="3">
        <f t="shared" ca="1" si="107"/>
        <v>0</v>
      </c>
      <c r="BZ67" s="3">
        <f t="shared" ca="1" si="108"/>
        <v>0</v>
      </c>
      <c r="CA67" s="3">
        <f t="shared" ca="1" si="109"/>
        <v>0.24912718204488771</v>
      </c>
      <c r="CC67" s="3">
        <f t="shared" ca="1" si="110"/>
        <v>0.12456402590931738</v>
      </c>
      <c r="CD67" s="3">
        <f t="shared" ca="1" si="111"/>
        <v>0</v>
      </c>
      <c r="CE67" s="3">
        <f t="shared" ca="1" si="112"/>
        <v>0</v>
      </c>
      <c r="CF67" s="3">
        <f t="shared" ca="1" si="113"/>
        <v>0.26583543739413978</v>
      </c>
      <c r="CH67" s="3">
        <f t="shared" ca="1" si="114"/>
        <v>0.24912805181863476</v>
      </c>
      <c r="CI67" s="3">
        <f t="shared" ca="1" si="115"/>
        <v>0</v>
      </c>
      <c r="CJ67" s="3">
        <f t="shared" ca="1" si="116"/>
        <v>0</v>
      </c>
      <c r="CK67" s="3">
        <f t="shared" ca="1" si="117"/>
        <v>0.24937655860349128</v>
      </c>
      <c r="CM67" s="3">
        <f t="shared" ca="1" si="118"/>
        <v>0.24912805181863476</v>
      </c>
      <c r="CN67" s="3">
        <f t="shared" ca="1" si="119"/>
        <v>0</v>
      </c>
      <c r="CO67" s="3">
        <f t="shared" ca="1" si="120"/>
        <v>0</v>
      </c>
      <c r="CP67" s="3">
        <f t="shared" ca="1" si="121"/>
        <v>0.49875311720698257</v>
      </c>
      <c r="CR67" s="3">
        <v>1.8559999465942383</v>
      </c>
      <c r="CS67" s="3">
        <v>4.016</v>
      </c>
      <c r="CT67" s="3">
        <v>4.008</v>
      </c>
      <c r="CU67" s="3">
        <v>1.8669999837875366</v>
      </c>
      <c r="CV67" s="21">
        <f t="shared" ca="1" si="61"/>
        <v>0.73552893813022835</v>
      </c>
      <c r="CW67" s="16">
        <f t="shared" ca="1" si="60"/>
        <v>9.25</v>
      </c>
    </row>
    <row r="68" spans="1:101" s="3" customFormat="1" x14ac:dyDescent="0.35">
      <c r="A68" s="2" t="s">
        <v>43</v>
      </c>
      <c r="B68" s="2">
        <v>9.25</v>
      </c>
      <c r="C68" s="2" t="s">
        <v>168</v>
      </c>
      <c r="D68" s="2" t="s">
        <v>403</v>
      </c>
      <c r="F68" s="3">
        <v>4.01</v>
      </c>
      <c r="G68" s="3">
        <v>4.0060000000000002</v>
      </c>
      <c r="H68" s="3">
        <v>4.01</v>
      </c>
      <c r="I68" s="3">
        <v>4.0149999999999997</v>
      </c>
      <c r="K68" s="3">
        <f t="shared" ref="K68:K99" ca="1" si="122">INDIRECT("'Data_Netteyage'!" &amp; LEFT(ADDRESS(1,COLUMN(),4),LEN(ADDRESS(1,COLUMN(),4))-1) &amp; ROW())/F68</f>
        <v>0.95137157107231918</v>
      </c>
      <c r="L68" s="3">
        <f t="shared" ref="L68:L99" ca="1" si="123">INDIRECT("'Data_Netteyage'!" &amp; LEFT(ADDRESS(1,COLUMN(),4),LEN(ADDRESS(1,COLUMN(),4))-1) &amp; ROW())/G68</f>
        <v>0.99400898652021963</v>
      </c>
      <c r="M68" s="3">
        <f t="shared" ref="M68:M99" ca="1" si="124">INDIRECT("'Data_Netteyage'!" &amp; LEFT(ADDRESS(1,COLUMN(),4),LEN(ADDRESS(1,COLUMN(),4))-1) &amp; ROW())/H68</f>
        <v>0.99725685785536167</v>
      </c>
      <c r="N68" s="3">
        <f t="shared" ref="N68:N99" ca="1" si="125">INDIRECT("'Data_Netteyage'!" &amp; LEFT(ADDRESS(1,COLUMN(),4),LEN(ADDRESS(1,COLUMN(),4))-1) &amp; ROW())/I68</f>
        <v>0.9962640099626402</v>
      </c>
      <c r="P68" s="3">
        <f t="shared" ref="P68:P99" ca="1" si="126">INDIRECT("'Data_Netteyage'!" &amp; LEFT(ADDRESS(1,COLUMN(),4),LEN(ADDRESS(1,COLUMN(),4))-1) &amp; ROW())/F68</f>
        <v>0.87231909600725199</v>
      </c>
      <c r="Q68" s="3">
        <f t="shared" ref="Q68:Q99" ca="1" si="127">INDIRECT("'Data_Netteyage'!" &amp; LEFT(ADDRESS(1,COLUMN(),4),LEN(ADDRESS(1,COLUMN(),4))-1) &amp; ROW())/G68</f>
        <v>0.88192714230379221</v>
      </c>
      <c r="R68" s="3">
        <f t="shared" ref="R68:R99" ca="1" si="128">INDIRECT("'Data_Netteyage'!" &amp; LEFT(ADDRESS(1,COLUMN(),4),LEN(ADDRESS(1,COLUMN(),4))-1) &amp; ROW())/H68</f>
        <v>0.90922692667534977</v>
      </c>
      <c r="S68" s="3">
        <f t="shared" ref="S68:S99" ca="1" si="129">INDIRECT("'Data_Netteyage'!" &amp; LEFT(ADDRESS(1,COLUMN(),4),LEN(ADDRESS(1,COLUMN(),4))-1) &amp; ROW())/I68</f>
        <v>0.9633872848222147</v>
      </c>
      <c r="U68" s="3">
        <f t="shared" ref="U68:U99" ca="1" si="130">INDIRECT("'Data_Netteyage'!" &amp; LEFT(ADDRESS(1,COLUMN(),4),LEN(ADDRESS(1,COLUMN(),4))-1) &amp; ROW())/F68</f>
        <v>2.9925187032418954</v>
      </c>
      <c r="V68" s="3">
        <f t="shared" ref="V68:V99" ca="1" si="131">INDIRECT("'Data_Netteyage'!" &amp; LEFT(ADDRESS(1,COLUMN(),4),LEN(ADDRESS(1,COLUMN(),4))-1) &amp; ROW())/G68</f>
        <v>1.7473789316025961</v>
      </c>
      <c r="W68" s="3">
        <f t="shared" ref="W68:W99" ca="1" si="132">INDIRECT("'Data_Netteyage'!" &amp; LEFT(ADDRESS(1,COLUMN(),4),LEN(ADDRESS(1,COLUMN(),4))-1) &amp; ROW())/H68</f>
        <v>3.491271820448878</v>
      </c>
      <c r="X68" s="3">
        <f t="shared" ref="X68:X99" ca="1" si="133">INDIRECT("'Data_Netteyage'!" &amp; LEFT(ADDRESS(1,COLUMN(),4),LEN(ADDRESS(1,COLUMN(),4))-1) &amp; ROW())/I68</f>
        <v>0.74719800747198017</v>
      </c>
      <c r="Z68" s="3">
        <f t="shared" ref="Z68:Z99" ca="1" si="134">INDIRECT("'Data_Netteyage'!" &amp; LEFT(ADDRESS(1,COLUMN(),4),LEN(ADDRESS(1,COLUMN(),4))-1) &amp; ROW())/F68</f>
        <v>0.99301745635910221</v>
      </c>
      <c r="AA68" s="3">
        <f t="shared" ref="AA68:AA99" ca="1" si="135">INDIRECT("'Data_Netteyage'!" &amp; LEFT(ADDRESS(1,COLUMN(),4),LEN(ADDRESS(1,COLUMN(),4))-1) &amp; ROW())/G68</f>
        <v>0.94408387418871687</v>
      </c>
      <c r="AB68" s="3">
        <f t="shared" ref="AB68:AB99" ca="1" si="136">INDIRECT("'Data_Netteyage'!" &amp; LEFT(ADDRESS(1,COLUMN(),4),LEN(ADDRESS(1,COLUMN(),4))-1) &amp; ROW())/H68</f>
        <v>0.99725685785536167</v>
      </c>
      <c r="AC68" s="3">
        <f t="shared" ref="AC68:AC99" ca="1" si="137">INDIRECT("'Data_Netteyage'!" &amp; LEFT(ADDRESS(1,COLUMN(),4),LEN(ADDRESS(1,COLUMN(),4))-1) &amp; ROW())/I68</f>
        <v>0.9962640099626402</v>
      </c>
      <c r="AE68" s="3">
        <f t="shared" ref="AE68:AE99" ca="1" si="138">INDIRECT("'Data_Netteyage'!" &amp; LEFT(ADDRESS(1,COLUMN(),4),LEN(ADDRESS(1,COLUMN(),4))-1) &amp; ROW())/F68</f>
        <v>0.87231909600725199</v>
      </c>
      <c r="AF68" s="3">
        <f t="shared" ref="AF68:AF99" ca="1" si="139">INDIRECT("'Data_Netteyage'!" &amp; LEFT(ADDRESS(1,COLUMN(),4),LEN(ADDRESS(1,COLUMN(),4))-1) &amp; ROW())/G68</f>
        <v>0.88192714230379221</v>
      </c>
      <c r="AG68" s="3">
        <f t="shared" ref="AG68:AG99" ca="1" si="140">INDIRECT("'Data_Netteyage'!" &amp; LEFT(ADDRESS(1,COLUMN(),4),LEN(ADDRESS(1,COLUMN(),4))-1) &amp; ROW())/H68</f>
        <v>0.90922692667534977</v>
      </c>
      <c r="AH68" s="3">
        <f t="shared" ref="AH68:AH99" ca="1" si="141">INDIRECT("'Data_Netteyage'!" &amp; LEFT(ADDRESS(1,COLUMN(),4),LEN(ADDRESS(1,COLUMN(),4))-1) &amp; ROW())/I68</f>
        <v>0.9633872848222147</v>
      </c>
      <c r="AJ68" s="3">
        <f t="shared" ref="AJ68:AJ99" ca="1" si="142">INDIRECT("'Data_Netteyage'!" &amp; LEFT(ADDRESS(1,COLUMN(),4),LEN(ADDRESS(1,COLUMN(),4))-1) &amp; ROW())/F68</f>
        <v>2.9925187032418954</v>
      </c>
      <c r="AK68" s="3">
        <f t="shared" ref="AK68:AK99" ca="1" si="143">INDIRECT("'Data_Netteyage'!" &amp; LEFT(ADDRESS(1,COLUMN(),4),LEN(ADDRESS(1,COLUMN(),4))-1) &amp; ROW())/G68</f>
        <v>1.7473789316025961</v>
      </c>
      <c r="AL68" s="3">
        <f t="shared" ref="AL68:AL99" ca="1" si="144">INDIRECT("'Data_Netteyage'!" &amp; LEFT(ADDRESS(1,COLUMN(),4),LEN(ADDRESS(1,COLUMN(),4))-1) &amp; ROW())/H68</f>
        <v>3.491271820448878</v>
      </c>
      <c r="AM68" s="3">
        <f t="shared" ref="AM68:AM99" ca="1" si="145">INDIRECT("'Data_Netteyage'!" &amp; LEFT(ADDRESS(1,COLUMN(),4),LEN(ADDRESS(1,COLUMN(),4))-1) &amp; ROW())/I68</f>
        <v>0.74719800747198017</v>
      </c>
      <c r="AO68" s="3">
        <f t="shared" ref="AO68:AO99" ca="1" si="146">INDIRECT("'Data_Netteyage'!" &amp; LEFT(ADDRESS(1,COLUMN(),4),LEN(ADDRESS(1,COLUMN(),4))-1) &amp; ROW())/F68</f>
        <v>0.24937655860349128</v>
      </c>
      <c r="AP68" s="3">
        <f t="shared" ref="AP68:AP99" ca="1" si="147">INDIRECT("'Data_Netteyage'!" &amp; LEFT(ADDRESS(1,COLUMN(),4),LEN(ADDRESS(1,COLUMN(),4))-1) &amp; ROW())/G68</f>
        <v>0.49925112331502741</v>
      </c>
      <c r="AQ68" s="3">
        <f t="shared" ref="AQ68:AQ99" ca="1" si="148">INDIRECT("'Data_Netteyage'!" &amp; LEFT(ADDRESS(1,COLUMN(),4),LEN(ADDRESS(1,COLUMN(),4))-1) &amp; ROW())/H68</f>
        <v>0.24937655860349128</v>
      </c>
      <c r="AR68" s="3">
        <f t="shared" ref="AR68:AR99" ca="1" si="149">INDIRECT("'Data_Netteyage'!" &amp; LEFT(ADDRESS(1,COLUMN(),4),LEN(ADDRESS(1,COLUMN(),4))-1) &amp; ROW())/I68</f>
        <v>0.24906600249066005</v>
      </c>
      <c r="AT68" s="3">
        <v>1.9999999552965164E-2</v>
      </c>
      <c r="AU68" s="3">
        <v>9.9999997764825821E-3</v>
      </c>
      <c r="AV68" s="3">
        <v>4.0000001899898052E-3</v>
      </c>
      <c r="AW68" s="3">
        <v>1.0999999940395355E-2</v>
      </c>
      <c r="AY68" s="3">
        <f t="shared" ref="AY68:AY99" ca="1" si="150">INDIRECT("'Data_Netteyage'!" &amp; LEFT(ADDRESS(1,COLUMN(),4),LEN(ADDRESS(1,COLUMN(),4))-1) &amp; ROW())/F68</f>
        <v>0.427930174563591</v>
      </c>
      <c r="AZ68" s="3">
        <f t="shared" ref="AZ68:AZ99" ca="1" si="151">INDIRECT("'Data_Netteyage'!" &amp; LEFT(ADDRESS(1,COLUMN(),4),LEN(ADDRESS(1,COLUMN(),4))-1) &amp; ROW())/G68</f>
        <v>0.84023964053919109</v>
      </c>
      <c r="BA68" s="3">
        <f t="shared" ref="BA68:BA99" ca="1" si="152">INDIRECT("'Data_Netteyage'!" &amp; LEFT(ADDRESS(1,COLUMN(),4),LEN(ADDRESS(1,COLUMN(),4))-1) &amp; ROW())/H68</f>
        <v>0.47356608478803003</v>
      </c>
      <c r="BB68" s="3">
        <f t="shared" ref="BB68:BB99" ca="1" si="153">INDIRECT("'Data_Netteyage'!" &amp; LEFT(ADDRESS(1,COLUMN(),4),LEN(ADDRESS(1,COLUMN(),4))-1) &amp; ROW())/I68</f>
        <v>0.96737235367372365</v>
      </c>
      <c r="BD68" s="3">
        <f t="shared" ref="BD68:BD99" ca="1" si="154">INDIRECT("'Data_Netteyage'!" &amp; LEFT(ADDRESS(1,COLUMN(),4),LEN(ADDRESS(1,COLUMN(),4))-1) &amp; ROW())/F68</f>
        <v>0.39052365723988064</v>
      </c>
      <c r="BE68" s="3">
        <f t="shared" ref="BE68:BE99" ca="1" si="155">INDIRECT("'Data_Netteyage'!" &amp; LEFT(ADDRESS(1,COLUMN(),4),LEN(ADDRESS(1,COLUMN(),4))-1) &amp; ROW())/G68</f>
        <v>0.85696458018650368</v>
      </c>
      <c r="BF68" s="3">
        <f t="shared" ref="BF68:BF99" ca="1" si="156">INDIRECT("'Data_Netteyage'!" &amp; LEFT(ADDRESS(1,COLUMN(),4),LEN(ADDRESS(1,COLUMN(),4))-1) &amp; ROW())/H68</f>
        <v>0.43167085619062706</v>
      </c>
      <c r="BG68" s="3">
        <f t="shared" ref="BG68:BG99" ca="1" si="157">INDIRECT("'Data_Netteyage'!" &amp; LEFT(ADDRESS(1,COLUMN(),4),LEN(ADDRESS(1,COLUMN(),4))-1) &amp; ROW())/I68</f>
        <v>0.9633872848222147</v>
      </c>
      <c r="BI68" s="3">
        <f t="shared" ref="BI68:BI99" ca="1" si="158">INDIRECT("'Data_Netteyage'!" &amp; LEFT(ADDRESS(1,COLUMN(),4),LEN(ADDRESS(1,COLUMN(),4))-1) &amp; ROW())/F68</f>
        <v>0.99750623441396513</v>
      </c>
      <c r="BJ68" s="3">
        <f t="shared" ref="BJ68:BJ99" ca="1" si="159">INDIRECT("'Data_Netteyage'!" &amp; LEFT(ADDRESS(1,COLUMN(),4),LEN(ADDRESS(1,COLUMN(),4))-1) &amp; ROW())/G68</f>
        <v>1.4977533699450822</v>
      </c>
      <c r="BK68" s="3">
        <f t="shared" ref="BK68:BK99" ca="1" si="160">INDIRECT("'Data_Netteyage'!" &amp; LEFT(ADDRESS(1,COLUMN(),4),LEN(ADDRESS(1,COLUMN(),4))-1) &amp; ROW())/H68</f>
        <v>1.4962593516209477</v>
      </c>
      <c r="BL68" s="3">
        <f t="shared" ref="BL68:BL99" ca="1" si="161">INDIRECT("'Data_Netteyage'!" &amp; LEFT(ADDRESS(1,COLUMN(),4),LEN(ADDRESS(1,COLUMN(),4))-1) &amp; ROW())/I68</f>
        <v>0.74719800747198017</v>
      </c>
      <c r="BN68" s="3">
        <f t="shared" ref="BN68:BN99" ca="1" si="162">INDIRECT("'Data_Netteyage'!" &amp; LEFT(ADDRESS(1,COLUMN(),4),LEN(ADDRESS(1,COLUMN(),4))-1) &amp; ROW())/F68</f>
        <v>1.9950124688279303</v>
      </c>
      <c r="BO68" s="3">
        <f t="shared" ref="BO68:BO99" ca="1" si="163">INDIRECT("'Data_Netteyage'!" &amp; LEFT(ADDRESS(1,COLUMN(),4),LEN(ADDRESS(1,COLUMN(),4))-1) &amp; ROW())/G68</f>
        <v>0.99850224663005482</v>
      </c>
      <c r="BP68" s="3">
        <f t="shared" ref="BP68:BP99" ca="1" si="164">INDIRECT("'Data_Netteyage'!" &amp; LEFT(ADDRESS(1,COLUMN(),4),LEN(ADDRESS(1,COLUMN(),4))-1) &amp; ROW())/H68</f>
        <v>0.99750623441396513</v>
      </c>
      <c r="BQ68" s="3">
        <f t="shared" ref="BQ68:BQ99" ca="1" si="165">INDIRECT("'Data_Netteyage'!" &amp; LEFT(ADDRESS(1,COLUMN(),4),LEN(ADDRESS(1,COLUMN(),4))-1) &amp; ROW())/I68</f>
        <v>0.4981320049813201</v>
      </c>
      <c r="BS68" s="3">
        <v>1.1859999895095825</v>
      </c>
      <c r="BT68" s="3">
        <v>9.9999997764825821E-3</v>
      </c>
      <c r="BU68" s="3">
        <v>4.0000001899898052E-3</v>
      </c>
      <c r="BV68" s="3">
        <v>1.0999999940395355E-2</v>
      </c>
      <c r="BX68" s="3">
        <f t="shared" ref="BX68:BX99" ca="1" si="166">INDIRECT("'Data_Netteyage'!" &amp; LEFT(ADDRESS(1,COLUMN(),4),LEN(ADDRESS(1,COLUMN(),4))-1) &amp; ROW())/F68</f>
        <v>2.094763092269326E-2</v>
      </c>
      <c r="BY68" s="3">
        <f t="shared" ref="BY68:BY99" ca="1" si="167">INDIRECT("'Data_Netteyage'!" &amp; LEFT(ADDRESS(1,COLUMN(),4),LEN(ADDRESS(1,COLUMN(),4))-1) &amp; ROW())/G68</f>
        <v>0</v>
      </c>
      <c r="BZ68" s="3">
        <f t="shared" ref="BZ68:BZ99" ca="1" si="168">INDIRECT("'Data_Netteyage'!" &amp; LEFT(ADDRESS(1,COLUMN(),4),LEN(ADDRESS(1,COLUMN(),4))-1) &amp; ROW())/H68</f>
        <v>0.13291770573566095</v>
      </c>
      <c r="CA68" s="3">
        <f t="shared" ref="CA68:CA99" ca="1" si="169">INDIRECT("'Data_Netteyage'!" &amp; LEFT(ADDRESS(1,COLUMN(),4),LEN(ADDRESS(1,COLUMN(),4))-1) &amp; ROW())/I68</f>
        <v>0</v>
      </c>
      <c r="CC68" s="3">
        <f t="shared" ref="CC68:CC99" ca="1" si="170">INDIRECT("'Data_Netteyage'!" &amp; LEFT(ADDRESS(1,COLUMN(),4),LEN(ADDRESS(1,COLUMN(),4))-1) &amp; ROW())/F68</f>
        <v>0</v>
      </c>
      <c r="CD68" s="3">
        <f t="shared" ref="CD68:CD99" ca="1" si="171">INDIRECT("'Data_Netteyage'!" &amp; LEFT(ADDRESS(1,COLUMN(),4),LEN(ADDRESS(1,COLUMN(),4))-1) &amp; ROW())/G68</f>
        <v>0</v>
      </c>
      <c r="CE68" s="3">
        <f t="shared" ref="CE68:CE99" ca="1" si="172">INDIRECT("'Data_Netteyage'!" &amp; LEFT(ADDRESS(1,COLUMN(),4),LEN(ADDRESS(1,COLUMN(),4))-1) &amp; ROW())/H68</f>
        <v>0.15785527645501116</v>
      </c>
      <c r="CF68" s="3">
        <f t="shared" ref="CF68:CF99" ca="1" si="173">INDIRECT("'Data_Netteyage'!" &amp; LEFT(ADDRESS(1,COLUMN(),4),LEN(ADDRESS(1,COLUMN(),4))-1) &amp; ROW())/I68</f>
        <v>0</v>
      </c>
      <c r="CH68" s="3">
        <f t="shared" ref="CH68:CH99" ca="1" si="174">INDIRECT("'Data_Netteyage'!" &amp; LEFT(ADDRESS(1,COLUMN(),4),LEN(ADDRESS(1,COLUMN(),4))-1) &amp; ROW())/F68</f>
        <v>0</v>
      </c>
      <c r="CI68" s="3">
        <f t="shared" ref="CI68:CI99" ca="1" si="175">INDIRECT("'Data_Netteyage'!" &amp; LEFT(ADDRESS(1,COLUMN(),4),LEN(ADDRESS(1,COLUMN(),4))-1) &amp; ROW())/G68</f>
        <v>0</v>
      </c>
      <c r="CJ68" s="3">
        <f t="shared" ref="CJ68:CJ99" ca="1" si="176">INDIRECT("'Data_Netteyage'!" &amp; LEFT(ADDRESS(1,COLUMN(),4),LEN(ADDRESS(1,COLUMN(),4))-1) &amp; ROW())/H68</f>
        <v>0.74812967581047385</v>
      </c>
      <c r="CK68" s="3">
        <f t="shared" ref="CK68:CK99" ca="1" si="177">INDIRECT("'Data_Netteyage'!" &amp; LEFT(ADDRESS(1,COLUMN(),4),LEN(ADDRESS(1,COLUMN(),4))-1) &amp; ROW())/I68</f>
        <v>0</v>
      </c>
      <c r="CM68" s="3">
        <f t="shared" ref="CM68:CM99" ca="1" si="178">INDIRECT("'Data_Netteyage'!" &amp; LEFT(ADDRESS(1,COLUMN(),4),LEN(ADDRESS(1,COLUMN(),4))-1) &amp; ROW())/F68</f>
        <v>0.24937655860349128</v>
      </c>
      <c r="CN68" s="3">
        <f t="shared" ref="CN68:CN99" ca="1" si="179">INDIRECT("'Data_Netteyage'!" &amp; LEFT(ADDRESS(1,COLUMN(),4),LEN(ADDRESS(1,COLUMN(),4))-1) &amp; ROW())/G68</f>
        <v>0</v>
      </c>
      <c r="CO68" s="3">
        <f t="shared" ref="CO68:CO99" ca="1" si="180">INDIRECT("'Data_Netteyage'!" &amp; LEFT(ADDRESS(1,COLUMN(),4),LEN(ADDRESS(1,COLUMN(),4))-1) &amp; ROW())/H68</f>
        <v>0.49875311720698257</v>
      </c>
      <c r="CP68" s="3">
        <f t="shared" ref="CP68:CP99" ca="1" si="181">INDIRECT("'Data_Netteyage'!" &amp; LEFT(ADDRESS(1,COLUMN(),4),LEN(ADDRESS(1,COLUMN(),4))-1) &amp; ROW())/I68</f>
        <v>0</v>
      </c>
      <c r="CR68" s="3">
        <v>4.01</v>
      </c>
      <c r="CS68" s="3">
        <v>4.0060000000000002</v>
      </c>
      <c r="CT68" s="3">
        <v>1.6369999647140503</v>
      </c>
      <c r="CU68" s="3">
        <v>4.0149999999999997</v>
      </c>
      <c r="CV68" s="21">
        <f t="shared" ca="1" si="61"/>
        <v>0.43167085619062706</v>
      </c>
      <c r="CW68" s="16">
        <f t="shared" ca="1" si="60"/>
        <v>9.25</v>
      </c>
    </row>
    <row r="69" spans="1:101" s="3" customFormat="1" x14ac:dyDescent="0.35">
      <c r="A69" s="2" t="s">
        <v>46</v>
      </c>
      <c r="B69" s="2">
        <v>9.4166666666666661</v>
      </c>
      <c r="C69" s="2" t="s">
        <v>168</v>
      </c>
      <c r="D69" s="2" t="s">
        <v>403</v>
      </c>
      <c r="F69" s="3">
        <v>4.0110000000000001</v>
      </c>
      <c r="G69" s="3">
        <v>4.0019999999999998</v>
      </c>
      <c r="H69" s="3">
        <v>4.0049999999999999</v>
      </c>
      <c r="I69" s="3">
        <v>4.0110000000000001</v>
      </c>
      <c r="K69" s="3">
        <f t="shared" ca="1" si="122"/>
        <v>0.99700822737471939</v>
      </c>
      <c r="L69" s="3">
        <f t="shared" ca="1" si="123"/>
        <v>0.99500249875062463</v>
      </c>
      <c r="M69" s="3">
        <f t="shared" ca="1" si="124"/>
        <v>0.99450686641697883</v>
      </c>
      <c r="N69" s="3">
        <f t="shared" ca="1" si="125"/>
        <v>0.88481675392670167</v>
      </c>
      <c r="P69" s="3">
        <f t="shared" ca="1" si="126"/>
        <v>0.89728245785637728</v>
      </c>
      <c r="Q69" s="3">
        <f t="shared" ca="1" si="127"/>
        <v>0.89105453783425614</v>
      </c>
      <c r="R69" s="3">
        <f t="shared" ca="1" si="128"/>
        <v>0.83171037884984866</v>
      </c>
      <c r="S69" s="3">
        <f t="shared" ca="1" si="129"/>
        <v>0.79705801517759522</v>
      </c>
      <c r="U69" s="3">
        <f t="shared" ca="1" si="130"/>
        <v>2.2438294689603588</v>
      </c>
      <c r="V69" s="3">
        <f t="shared" ca="1" si="131"/>
        <v>2.4987506246876565</v>
      </c>
      <c r="W69" s="3">
        <f t="shared" ca="1" si="132"/>
        <v>1.9975031210986267</v>
      </c>
      <c r="X69" s="3">
        <f t="shared" ca="1" si="133"/>
        <v>1.4958863126402393</v>
      </c>
      <c r="Z69" s="3">
        <f t="shared" ca="1" si="134"/>
        <v>0.95113438045375209</v>
      </c>
      <c r="AA69" s="3">
        <f t="shared" ca="1" si="135"/>
        <v>0.97001499250374812</v>
      </c>
      <c r="AB69" s="3">
        <f t="shared" ca="1" si="136"/>
        <v>0.97378277153558068</v>
      </c>
      <c r="AC69" s="3">
        <f t="shared" ca="1" si="137"/>
        <v>0.88481675392670167</v>
      </c>
      <c r="AE69" s="3">
        <f t="shared" ca="1" si="138"/>
        <v>0.89728245785637728</v>
      </c>
      <c r="AF69" s="3">
        <f t="shared" ca="1" si="139"/>
        <v>0.89105453783425614</v>
      </c>
      <c r="AG69" s="3">
        <f t="shared" ca="1" si="140"/>
        <v>0.83171037884984866</v>
      </c>
      <c r="AH69" s="3">
        <f t="shared" ca="1" si="141"/>
        <v>0.79705801517759522</v>
      </c>
      <c r="AJ69" s="3">
        <f t="shared" ca="1" si="142"/>
        <v>2.2438294689603588</v>
      </c>
      <c r="AK69" s="3">
        <f t="shared" ca="1" si="143"/>
        <v>2.4987506246876565</v>
      </c>
      <c r="AL69" s="3">
        <f t="shared" ca="1" si="144"/>
        <v>1.9975031210986267</v>
      </c>
      <c r="AM69" s="3">
        <f t="shared" ca="1" si="145"/>
        <v>1.4958863126402393</v>
      </c>
      <c r="AO69" s="3">
        <f t="shared" ca="1" si="146"/>
        <v>0.74794315632011965</v>
      </c>
      <c r="AP69" s="3">
        <f t="shared" ca="1" si="147"/>
        <v>0.49975012493753124</v>
      </c>
      <c r="AQ69" s="3">
        <f t="shared" ca="1" si="148"/>
        <v>0.49937578027465668</v>
      </c>
      <c r="AR69" s="3">
        <f t="shared" ca="1" si="149"/>
        <v>0.24931438544003989</v>
      </c>
      <c r="AT69" s="3">
        <v>3.0000000260770321E-3</v>
      </c>
      <c r="AU69" s="3">
        <v>1.0999999940395355E-2</v>
      </c>
      <c r="AV69" s="3">
        <v>1.0999999940395355E-2</v>
      </c>
      <c r="AW69" s="3">
        <v>0.40599998831748962</v>
      </c>
      <c r="AY69" s="3">
        <f t="shared" ca="1" si="150"/>
        <v>0.56893542757417093</v>
      </c>
      <c r="AZ69" s="3">
        <f t="shared" ca="1" si="151"/>
        <v>0.63693153423288362</v>
      </c>
      <c r="BA69" s="3">
        <f t="shared" ca="1" si="152"/>
        <v>0.31210986267166052</v>
      </c>
      <c r="BB69" s="3">
        <f t="shared" ca="1" si="153"/>
        <v>0.51084517576664179</v>
      </c>
      <c r="BD69" s="3">
        <f t="shared" ca="1" si="154"/>
        <v>0.53203689936122167</v>
      </c>
      <c r="BE69" s="3">
        <f t="shared" ca="1" si="155"/>
        <v>0.73738137203297105</v>
      </c>
      <c r="BF69" s="3">
        <f t="shared" ca="1" si="156"/>
        <v>0.34531835610798089</v>
      </c>
      <c r="BG69" s="3">
        <f t="shared" ca="1" si="157"/>
        <v>0.53976561267665424</v>
      </c>
      <c r="BI69" s="3">
        <f t="shared" ca="1" si="158"/>
        <v>1.2465719272001994</v>
      </c>
      <c r="BJ69" s="3">
        <f t="shared" ca="1" si="159"/>
        <v>1.7491254372813594</v>
      </c>
      <c r="BK69" s="3">
        <f t="shared" ca="1" si="160"/>
        <v>0.49937578027465668</v>
      </c>
      <c r="BL69" s="3">
        <f t="shared" ca="1" si="161"/>
        <v>0.99725754176015957</v>
      </c>
      <c r="BN69" s="3">
        <f t="shared" ca="1" si="162"/>
        <v>1.2465719272001994</v>
      </c>
      <c r="BO69" s="3">
        <f t="shared" ca="1" si="163"/>
        <v>1.2493753123438283</v>
      </c>
      <c r="BP69" s="3">
        <f t="shared" ca="1" si="164"/>
        <v>1.4981273408239701</v>
      </c>
      <c r="BQ69" s="3">
        <f t="shared" ca="1" si="165"/>
        <v>0.74794315632011965</v>
      </c>
      <c r="BS69" s="3">
        <v>0.28600001335144043</v>
      </c>
      <c r="BT69" s="3">
        <v>1.0999999940395355E-2</v>
      </c>
      <c r="BU69" s="3">
        <v>1.8609999418258667</v>
      </c>
      <c r="BV69" s="3">
        <v>0.40599998831748962</v>
      </c>
      <c r="BX69" s="3">
        <f t="shared" ca="1" si="166"/>
        <v>0</v>
      </c>
      <c r="BY69" s="3">
        <f t="shared" ca="1" si="167"/>
        <v>0</v>
      </c>
      <c r="BZ69" s="3">
        <f t="shared" ca="1" si="168"/>
        <v>9.5630461922596763E-2</v>
      </c>
      <c r="CA69" s="3">
        <f t="shared" ca="1" si="169"/>
        <v>0</v>
      </c>
      <c r="CC69" s="3">
        <f t="shared" ca="1" si="170"/>
        <v>0</v>
      </c>
      <c r="CD69" s="3">
        <f t="shared" ca="1" si="171"/>
        <v>0</v>
      </c>
      <c r="CE69" s="3">
        <f t="shared" ca="1" si="172"/>
        <v>8.7141067943025327E-2</v>
      </c>
      <c r="CF69" s="3">
        <f t="shared" ca="1" si="173"/>
        <v>0</v>
      </c>
      <c r="CH69" s="3">
        <f t="shared" ca="1" si="174"/>
        <v>0</v>
      </c>
      <c r="CI69" s="3">
        <f t="shared" ca="1" si="175"/>
        <v>0</v>
      </c>
      <c r="CJ69" s="3">
        <f t="shared" ca="1" si="176"/>
        <v>0.24968789013732834</v>
      </c>
      <c r="CK69" s="3">
        <f t="shared" ca="1" si="177"/>
        <v>0</v>
      </c>
      <c r="CM69" s="3">
        <f t="shared" ca="1" si="178"/>
        <v>0</v>
      </c>
      <c r="CN69" s="3">
        <f t="shared" ca="1" si="179"/>
        <v>0</v>
      </c>
      <c r="CO69" s="3">
        <f t="shared" ca="1" si="180"/>
        <v>0.49937578027465668</v>
      </c>
      <c r="CP69" s="3">
        <f t="shared" ca="1" si="181"/>
        <v>0</v>
      </c>
      <c r="CR69" s="3">
        <v>4.0110000000000001</v>
      </c>
      <c r="CS69" s="3">
        <v>4.0019999999999998</v>
      </c>
      <c r="CT69" s="3">
        <v>0.77799999713897705</v>
      </c>
      <c r="CU69" s="3">
        <v>4.0110000000000001</v>
      </c>
      <c r="CV69" s="21">
        <f t="shared" ca="1" si="61"/>
        <v>0.34531835610798089</v>
      </c>
      <c r="CW69" s="16">
        <f t="shared" ref="CW69:CW132" ca="1" si="182">INDIRECT("Graphique_interactif_Param"&amp;"!B"&amp;ROW())</f>
        <v>9.4166666666666661</v>
      </c>
    </row>
    <row r="70" spans="1:101" s="3" customFormat="1" x14ac:dyDescent="0.35">
      <c r="A70" s="2" t="s">
        <v>8</v>
      </c>
      <c r="B70" s="2">
        <v>9.5</v>
      </c>
      <c r="C70" s="2" t="s">
        <v>168</v>
      </c>
      <c r="D70" s="2" t="s">
        <v>403</v>
      </c>
      <c r="F70" s="3">
        <v>4.032</v>
      </c>
      <c r="G70" s="3">
        <v>4.0149999999999997</v>
      </c>
      <c r="H70" s="11" t="e">
        <v>#N/A</v>
      </c>
      <c r="I70" s="3">
        <v>4.016</v>
      </c>
      <c r="K70" s="3">
        <f t="shared" ca="1" si="122"/>
        <v>0.99578373015873012</v>
      </c>
      <c r="L70" s="3">
        <f t="shared" ca="1" si="123"/>
        <v>0.99601494396014945</v>
      </c>
      <c r="M70" s="3" t="e">
        <f t="shared" ca="1" si="124"/>
        <v>#N/A</v>
      </c>
      <c r="N70" s="3">
        <f t="shared" ca="1" si="125"/>
        <v>0.99178286852589637</v>
      </c>
      <c r="P70" s="3">
        <f t="shared" ca="1" si="126"/>
        <v>0.50843256897115641</v>
      </c>
      <c r="Q70" s="3">
        <f t="shared" ca="1" si="127"/>
        <v>0.73399748282036192</v>
      </c>
      <c r="R70" s="3" t="e">
        <f t="shared" ca="1" si="128"/>
        <v>#N/A</v>
      </c>
      <c r="S70" s="3">
        <f t="shared" ca="1" si="129"/>
        <v>0.32793825484841943</v>
      </c>
      <c r="U70" s="3">
        <f t="shared" ca="1" si="130"/>
        <v>2.9761904761904763</v>
      </c>
      <c r="V70" s="3">
        <f t="shared" ca="1" si="131"/>
        <v>3.4869240348692405</v>
      </c>
      <c r="W70" s="3" t="e">
        <f t="shared" ca="1" si="132"/>
        <v>#N/A</v>
      </c>
      <c r="X70" s="3">
        <f t="shared" ca="1" si="133"/>
        <v>1.9920318725099602</v>
      </c>
      <c r="Z70" s="3">
        <f t="shared" ca="1" si="134"/>
        <v>0.99578373015873012</v>
      </c>
      <c r="AA70" s="3">
        <f t="shared" ca="1" si="135"/>
        <v>0.9628891656288916</v>
      </c>
      <c r="AB70" s="3" t="e">
        <f t="shared" ca="1" si="136"/>
        <v>#N/A</v>
      </c>
      <c r="AC70" s="3">
        <f t="shared" ca="1" si="137"/>
        <v>0.9711155378486056</v>
      </c>
      <c r="AE70" s="3">
        <f t="shared" ca="1" si="138"/>
        <v>0.50843256897115641</v>
      </c>
      <c r="AF70" s="3">
        <f t="shared" ca="1" si="139"/>
        <v>0.73399748282036192</v>
      </c>
      <c r="AG70" s="3" t="e">
        <f t="shared" ca="1" si="140"/>
        <v>#N/A</v>
      </c>
      <c r="AH70" s="3">
        <f t="shared" ca="1" si="141"/>
        <v>0.32793825484841943</v>
      </c>
      <c r="AJ70" s="3">
        <f t="shared" ca="1" si="142"/>
        <v>2.9761904761904763</v>
      </c>
      <c r="AK70" s="3">
        <f t="shared" ca="1" si="143"/>
        <v>3.4869240348692405</v>
      </c>
      <c r="AL70" s="3" t="e">
        <f t="shared" ca="1" si="144"/>
        <v>#N/A</v>
      </c>
      <c r="AM70" s="3">
        <f t="shared" ca="1" si="145"/>
        <v>1.9920318725099602</v>
      </c>
      <c r="AO70" s="3">
        <f t="shared" ca="1" si="146"/>
        <v>0.24801587301587302</v>
      </c>
      <c r="AP70" s="3">
        <f t="shared" ca="1" si="147"/>
        <v>1.2453300124533002</v>
      </c>
      <c r="AQ70" s="3" t="e">
        <f t="shared" ca="1" si="148"/>
        <v>#N/A</v>
      </c>
      <c r="AR70" s="3">
        <f t="shared" ca="1" si="149"/>
        <v>0.74701195219123506</v>
      </c>
      <c r="AT70" s="3">
        <v>1.6000000759959221E-2</v>
      </c>
      <c r="AU70" s="3">
        <v>8.0000003799796104E-3</v>
      </c>
      <c r="AV70" s="11" t="e">
        <v>#N/A</v>
      </c>
      <c r="AW70" s="3">
        <v>0.34099999070167542</v>
      </c>
      <c r="AY70" s="3">
        <f t="shared" ca="1" si="150"/>
        <v>0.20287698412698402</v>
      </c>
      <c r="AZ70" s="3">
        <f t="shared" ca="1" si="151"/>
        <v>0.19900373599003734</v>
      </c>
      <c r="BA70" s="3" t="e">
        <f t="shared" ca="1" si="152"/>
        <v>#N/A</v>
      </c>
      <c r="BB70" s="3">
        <f t="shared" ca="1" si="153"/>
        <v>0.14143426294820724</v>
      </c>
      <c r="BD70" s="3">
        <f t="shared" ca="1" si="154"/>
        <v>0.11979167660077412</v>
      </c>
      <c r="BE70" s="3">
        <f t="shared" ca="1" si="155"/>
        <v>0.19476963009958992</v>
      </c>
      <c r="BF70" s="3" t="e">
        <f t="shared" ca="1" si="156"/>
        <v>#N/A</v>
      </c>
      <c r="BG70" s="3">
        <f t="shared" ca="1" si="157"/>
        <v>0.13296816690984475</v>
      </c>
      <c r="BI70" s="3">
        <f t="shared" ca="1" si="158"/>
        <v>0.49603174603174605</v>
      </c>
      <c r="BJ70" s="3">
        <f t="shared" ca="1" si="159"/>
        <v>0.9962640099626402</v>
      </c>
      <c r="BK70" s="3" t="e">
        <f t="shared" ca="1" si="160"/>
        <v>#N/A</v>
      </c>
      <c r="BL70" s="3">
        <f t="shared" ca="1" si="161"/>
        <v>0.74701195219123506</v>
      </c>
      <c r="BN70" s="3">
        <f t="shared" ca="1" si="162"/>
        <v>4.9603174603174605</v>
      </c>
      <c r="BO70" s="3">
        <f t="shared" ca="1" si="163"/>
        <v>2.7397260273972606</v>
      </c>
      <c r="BP70" s="3" t="e">
        <f t="shared" ca="1" si="164"/>
        <v>#N/A</v>
      </c>
      <c r="BQ70" s="3">
        <f t="shared" ca="1" si="165"/>
        <v>2.9880478087649402</v>
      </c>
      <c r="BS70" s="3">
        <v>1.1150000095367432</v>
      </c>
      <c r="BT70" s="3">
        <v>0.45800000429153442</v>
      </c>
      <c r="BU70" s="11" t="e">
        <v>#N/A</v>
      </c>
      <c r="BV70" s="3">
        <v>2.5739998817443848</v>
      </c>
      <c r="BX70" s="3">
        <f t="shared" ca="1" si="166"/>
        <v>5.7787698412698325E-2</v>
      </c>
      <c r="BY70" s="3">
        <f t="shared" ca="1" si="167"/>
        <v>0</v>
      </c>
      <c r="BZ70" s="3" t="e">
        <f t="shared" ca="1" si="168"/>
        <v>#N/A</v>
      </c>
      <c r="CA70" s="3">
        <f t="shared" ca="1" si="169"/>
        <v>0</v>
      </c>
      <c r="CC70" s="3">
        <f t="shared" ca="1" si="170"/>
        <v>3.7202404605017766E-2</v>
      </c>
      <c r="CD70" s="3">
        <f t="shared" ca="1" si="171"/>
        <v>0</v>
      </c>
      <c r="CE70" s="3" t="e">
        <f t="shared" ca="1" si="172"/>
        <v>#N/A</v>
      </c>
      <c r="CF70" s="3">
        <f t="shared" ca="1" si="173"/>
        <v>0</v>
      </c>
      <c r="CH70" s="3">
        <f t="shared" ca="1" si="174"/>
        <v>0.24801587301587302</v>
      </c>
      <c r="CI70" s="3">
        <f t="shared" ca="1" si="175"/>
        <v>0</v>
      </c>
      <c r="CJ70" s="3" t="e">
        <f t="shared" ca="1" si="176"/>
        <v>#N/A</v>
      </c>
      <c r="CK70" s="3">
        <f t="shared" ca="1" si="177"/>
        <v>0</v>
      </c>
      <c r="CM70" s="3">
        <f t="shared" ca="1" si="178"/>
        <v>0.99206349206349209</v>
      </c>
      <c r="CN70" s="3">
        <f t="shared" ca="1" si="179"/>
        <v>0</v>
      </c>
      <c r="CO70" s="3" t="e">
        <f t="shared" ca="1" si="180"/>
        <v>#N/A</v>
      </c>
      <c r="CP70" s="3">
        <f t="shared" ca="1" si="181"/>
        <v>0</v>
      </c>
      <c r="CR70" s="3">
        <v>2.497999906539917</v>
      </c>
      <c r="CS70" s="3">
        <v>4.0149999999999997</v>
      </c>
      <c r="CT70" s="11" t="e">
        <v>#N/A</v>
      </c>
      <c r="CU70" s="3">
        <v>4.016</v>
      </c>
      <c r="CV70" s="21" t="e">
        <f t="shared" ref="CV70:CV133" ca="1" si="183">INDIRECT("Graphique_interactif_Param!"&amp;$DG$12 &amp; ROW() )</f>
        <v>#N/A</v>
      </c>
      <c r="CW70" s="16">
        <f t="shared" ca="1" si="182"/>
        <v>9.5</v>
      </c>
    </row>
    <row r="71" spans="1:101" s="3" customFormat="1" x14ac:dyDescent="0.35">
      <c r="A71" s="2" t="s">
        <v>32</v>
      </c>
      <c r="B71" s="2">
        <v>9.5</v>
      </c>
      <c r="C71" s="2" t="s">
        <v>167</v>
      </c>
      <c r="D71" s="2" t="s">
        <v>403</v>
      </c>
      <c r="F71" s="3">
        <v>4.0110000000000001</v>
      </c>
      <c r="G71" s="3">
        <v>4.0149999999999997</v>
      </c>
      <c r="H71" s="3">
        <v>4.01</v>
      </c>
      <c r="I71" s="3">
        <v>4.01</v>
      </c>
      <c r="K71" s="3">
        <f t="shared" ca="1" si="122"/>
        <v>0.97631513338319609</v>
      </c>
      <c r="L71" s="3">
        <f t="shared" ca="1" si="123"/>
        <v>0.90460772104607734</v>
      </c>
      <c r="M71" s="3">
        <f t="shared" ca="1" si="124"/>
        <v>0.98054862842892776</v>
      </c>
      <c r="N71" s="3">
        <f t="shared" ca="1" si="125"/>
        <v>0.99750623441396513</v>
      </c>
      <c r="P71" s="3">
        <f t="shared" ca="1" si="126"/>
        <v>0.80603349055770745</v>
      </c>
      <c r="Q71" s="3">
        <f t="shared" ca="1" si="127"/>
        <v>0.70485681258281174</v>
      </c>
      <c r="R71" s="3">
        <f t="shared" ca="1" si="128"/>
        <v>0.90548629661153379</v>
      </c>
      <c r="S71" s="3">
        <f t="shared" ca="1" si="129"/>
        <v>0.91097255393008048</v>
      </c>
      <c r="U71" s="3">
        <f t="shared" ca="1" si="130"/>
        <v>2.4931438544003988</v>
      </c>
      <c r="V71" s="3">
        <f t="shared" ca="1" si="131"/>
        <v>2.7397260273972606</v>
      </c>
      <c r="W71" s="3">
        <f t="shared" ca="1" si="132"/>
        <v>3.2418952618453867</v>
      </c>
      <c r="X71" s="3">
        <f t="shared" ca="1" si="133"/>
        <v>3.2418952618453867</v>
      </c>
      <c r="Z71" s="3">
        <f t="shared" ca="1" si="134"/>
        <v>0.97631513338319609</v>
      </c>
      <c r="AA71" s="3">
        <f t="shared" ca="1" si="135"/>
        <v>0.8672478206724783</v>
      </c>
      <c r="AB71" s="3">
        <f t="shared" ca="1" si="136"/>
        <v>0.98054862842892776</v>
      </c>
      <c r="AC71" s="3">
        <f t="shared" ca="1" si="137"/>
        <v>0.99750623441396513</v>
      </c>
      <c r="AE71" s="3">
        <f t="shared" ca="1" si="138"/>
        <v>0.80603349055770745</v>
      </c>
      <c r="AF71" s="3">
        <f t="shared" ca="1" si="139"/>
        <v>0.70485681258281174</v>
      </c>
      <c r="AG71" s="3">
        <f t="shared" ca="1" si="140"/>
        <v>0.90548629661153379</v>
      </c>
      <c r="AH71" s="3">
        <f t="shared" ca="1" si="141"/>
        <v>0.91097255393008048</v>
      </c>
      <c r="AJ71" s="3">
        <f t="shared" ca="1" si="142"/>
        <v>2.4931438544003988</v>
      </c>
      <c r="AK71" s="3">
        <f t="shared" ca="1" si="143"/>
        <v>2.7397260273972606</v>
      </c>
      <c r="AL71" s="3">
        <f t="shared" ca="1" si="144"/>
        <v>3.2418952618453867</v>
      </c>
      <c r="AM71" s="3">
        <f t="shared" ca="1" si="145"/>
        <v>3.2418952618453867</v>
      </c>
      <c r="AO71" s="3">
        <f t="shared" ca="1" si="146"/>
        <v>0.24931438544003989</v>
      </c>
      <c r="AP71" s="3">
        <f t="shared" ca="1" si="147"/>
        <v>0.4981320049813201</v>
      </c>
      <c r="AQ71" s="3">
        <f t="shared" ca="1" si="148"/>
        <v>0.24937655860349128</v>
      </c>
      <c r="AR71" s="3">
        <f t="shared" ca="1" si="149"/>
        <v>0.24937655860349128</v>
      </c>
      <c r="AT71" s="3">
        <v>9.0999998152256012E-2</v>
      </c>
      <c r="AU71" s="3">
        <v>0.46799999475479126</v>
      </c>
      <c r="AV71" s="3">
        <v>1.0999999940395355E-2</v>
      </c>
      <c r="AW71" s="3">
        <v>8.999999612569809E-3</v>
      </c>
      <c r="AY71" s="3">
        <f t="shared" ca="1" si="150"/>
        <v>0.49015208177511838</v>
      </c>
      <c r="AZ71" s="3">
        <f t="shared" ca="1" si="151"/>
        <v>0.39825653798256549</v>
      </c>
      <c r="BA71" s="3">
        <f t="shared" ca="1" si="152"/>
        <v>0.486284289276808</v>
      </c>
      <c r="BB71" s="3">
        <f t="shared" ca="1" si="153"/>
        <v>0.61920199501246875</v>
      </c>
      <c r="BD71" s="3">
        <f t="shared" ca="1" si="154"/>
        <v>0.47344807465752292</v>
      </c>
      <c r="BE71" s="3">
        <f t="shared" ca="1" si="155"/>
        <v>0.45628893568388113</v>
      </c>
      <c r="BF71" s="3">
        <f t="shared" ca="1" si="156"/>
        <v>0.53167084691827737</v>
      </c>
      <c r="BG71" s="3">
        <f t="shared" ca="1" si="157"/>
        <v>0.60698248799007737</v>
      </c>
      <c r="BI71" s="3">
        <f t="shared" ca="1" si="158"/>
        <v>1.2465719272001994</v>
      </c>
      <c r="BJ71" s="3">
        <f t="shared" ca="1" si="159"/>
        <v>1.7434620174346203</v>
      </c>
      <c r="BK71" s="3">
        <f t="shared" ca="1" si="160"/>
        <v>1.4962593516209477</v>
      </c>
      <c r="BL71" s="3">
        <f t="shared" ca="1" si="161"/>
        <v>2.2443890274314215</v>
      </c>
      <c r="BN71" s="3">
        <f t="shared" ca="1" si="162"/>
        <v>0.99725754176015957</v>
      </c>
      <c r="BO71" s="3">
        <f t="shared" ca="1" si="163"/>
        <v>1.2453300124533002</v>
      </c>
      <c r="BP71" s="3">
        <f t="shared" ca="1" si="164"/>
        <v>1.2468827930174564</v>
      </c>
      <c r="BQ71" s="3">
        <f t="shared" ca="1" si="165"/>
        <v>0.99750623441396513</v>
      </c>
      <c r="BS71" s="3">
        <v>0.42500001192092896</v>
      </c>
      <c r="BT71" s="3">
        <v>0.46799999475479126</v>
      </c>
      <c r="BU71" s="3">
        <v>1.0999999940395355E-2</v>
      </c>
      <c r="BV71" s="3">
        <v>0.55900001525878906</v>
      </c>
      <c r="BX71" s="3">
        <f t="shared" ca="1" si="166"/>
        <v>8.2273747195213097E-3</v>
      </c>
      <c r="BY71" s="3">
        <f t="shared" ca="1" si="167"/>
        <v>0</v>
      </c>
      <c r="BZ71" s="3">
        <f t="shared" ca="1" si="168"/>
        <v>3.3167082294264343E-2</v>
      </c>
      <c r="CA71" s="3">
        <f t="shared" ca="1" si="169"/>
        <v>0</v>
      </c>
      <c r="CC71" s="3">
        <f t="shared" ca="1" si="170"/>
        <v>0</v>
      </c>
      <c r="CD71" s="3">
        <f t="shared" ca="1" si="171"/>
        <v>0</v>
      </c>
      <c r="CE71" s="3">
        <f t="shared" ca="1" si="172"/>
        <v>4.5635932104248655E-2</v>
      </c>
      <c r="CF71" s="3">
        <f t="shared" ca="1" si="173"/>
        <v>0</v>
      </c>
      <c r="CH71" s="3">
        <f t="shared" ca="1" si="174"/>
        <v>0</v>
      </c>
      <c r="CI71" s="3">
        <f t="shared" ca="1" si="175"/>
        <v>0</v>
      </c>
      <c r="CJ71" s="3">
        <f t="shared" ca="1" si="176"/>
        <v>0.24937655860349128</v>
      </c>
      <c r="CK71" s="3">
        <f t="shared" ca="1" si="177"/>
        <v>0</v>
      </c>
      <c r="CM71" s="3">
        <f t="shared" ca="1" si="178"/>
        <v>0.74794315632011965</v>
      </c>
      <c r="CN71" s="3">
        <f t="shared" ca="1" si="179"/>
        <v>0.24906600249066005</v>
      </c>
      <c r="CO71" s="3">
        <f t="shared" ca="1" si="180"/>
        <v>0.49875311720698257</v>
      </c>
      <c r="CP71" s="3">
        <f t="shared" ca="1" si="181"/>
        <v>0</v>
      </c>
      <c r="CR71" s="3">
        <v>4.0110000000000001</v>
      </c>
      <c r="CS71" s="3">
        <v>4.0149999999999997</v>
      </c>
      <c r="CT71" s="3">
        <v>1.6599999666213989</v>
      </c>
      <c r="CU71" s="3">
        <v>4.01</v>
      </c>
      <c r="CV71" s="21">
        <f t="shared" ca="1" si="183"/>
        <v>0.53167084691827737</v>
      </c>
      <c r="CW71" s="16">
        <f t="shared" ca="1" si="182"/>
        <v>9.5</v>
      </c>
    </row>
    <row r="72" spans="1:101" s="3" customFormat="1" x14ac:dyDescent="0.35">
      <c r="A72" s="2" t="s">
        <v>57</v>
      </c>
      <c r="B72" s="2">
        <v>9.5</v>
      </c>
      <c r="C72" s="2" t="s">
        <v>168</v>
      </c>
      <c r="D72" s="2" t="s">
        <v>403</v>
      </c>
      <c r="F72" s="3">
        <v>2.1209999999999996</v>
      </c>
      <c r="G72" s="3">
        <v>4.024</v>
      </c>
      <c r="H72" s="3">
        <v>4.0110000000000001</v>
      </c>
      <c r="I72" s="3">
        <v>4.0129999999999999</v>
      </c>
      <c r="K72" s="3">
        <f t="shared" ca="1" si="122"/>
        <v>0.8250825082508253</v>
      </c>
      <c r="L72" s="3">
        <f t="shared" ca="1" si="123"/>
        <v>0.94408548707753492</v>
      </c>
      <c r="M72" s="3">
        <f t="shared" ca="1" si="124"/>
        <v>0.98878085265519822</v>
      </c>
      <c r="N72" s="3">
        <f t="shared" ca="1" si="125"/>
        <v>0.92175429852977808</v>
      </c>
      <c r="P72" s="3">
        <f t="shared" ca="1" si="126"/>
        <v>0.72277227363064867</v>
      </c>
      <c r="Q72" s="3">
        <f t="shared" ca="1" si="127"/>
        <v>0.77410543681850019</v>
      </c>
      <c r="R72" s="3">
        <f t="shared" ca="1" si="128"/>
        <v>0.83495389667347286</v>
      </c>
      <c r="S72" s="3">
        <f t="shared" ca="1" si="129"/>
        <v>0.7221530626279411</v>
      </c>
      <c r="U72" s="3">
        <f t="shared" ca="1" si="130"/>
        <v>1.4144271570014146</v>
      </c>
      <c r="V72" s="3">
        <f t="shared" ca="1" si="131"/>
        <v>1.7395626242544731</v>
      </c>
      <c r="W72" s="3">
        <f t="shared" ca="1" si="132"/>
        <v>2.7424582398404387</v>
      </c>
      <c r="X72" s="3">
        <f t="shared" ca="1" si="133"/>
        <v>3.4886618489907799</v>
      </c>
      <c r="Z72" s="3">
        <f t="shared" ca="1" si="134"/>
        <v>0.76991984912777012</v>
      </c>
      <c r="AA72" s="3">
        <f t="shared" ca="1" si="135"/>
        <v>0.80318091451292251</v>
      </c>
      <c r="AB72" s="3">
        <f t="shared" ca="1" si="136"/>
        <v>0.83495387683869349</v>
      </c>
      <c r="AC72" s="3">
        <f t="shared" ca="1" si="137"/>
        <v>0.71841515076002982</v>
      </c>
      <c r="AE72" s="3">
        <f t="shared" ca="1" si="138"/>
        <v>0.72277227363064867</v>
      </c>
      <c r="AF72" s="3">
        <f t="shared" ca="1" si="139"/>
        <v>0.74502988672161674</v>
      </c>
      <c r="AG72" s="3">
        <f t="shared" ca="1" si="140"/>
        <v>0.76838693277582026</v>
      </c>
      <c r="AH72" s="3">
        <f t="shared" ca="1" si="141"/>
        <v>0.56890112902795531</v>
      </c>
      <c r="AJ72" s="3">
        <f t="shared" ca="1" si="142"/>
        <v>1.4144271570014146</v>
      </c>
      <c r="AK72" s="3">
        <f t="shared" ca="1" si="143"/>
        <v>1.4910536779324055</v>
      </c>
      <c r="AL72" s="3">
        <f t="shared" ca="1" si="144"/>
        <v>2.2438294689603588</v>
      </c>
      <c r="AM72" s="3">
        <f t="shared" ca="1" si="145"/>
        <v>2.7410914527784702</v>
      </c>
      <c r="AO72" s="3">
        <f t="shared" ca="1" si="146"/>
        <v>1.4144271570014146</v>
      </c>
      <c r="AP72" s="3">
        <f t="shared" ca="1" si="147"/>
        <v>0.74552683896620275</v>
      </c>
      <c r="AQ72" s="3">
        <f t="shared" ca="1" si="148"/>
        <v>0.74794315632011965</v>
      </c>
      <c r="AR72" s="3">
        <f t="shared" ca="1" si="149"/>
        <v>0.49838026414154002</v>
      </c>
      <c r="AT72" s="3">
        <v>0.40299999713897705</v>
      </c>
      <c r="AU72" s="3">
        <v>0.35100001096725464</v>
      </c>
      <c r="AV72" s="3">
        <v>0.24799999594688416</v>
      </c>
      <c r="AW72" s="3">
        <v>0.30500000715255737</v>
      </c>
      <c r="AY72" s="3">
        <f t="shared" ca="1" si="150"/>
        <v>1.5558698727015628E-2</v>
      </c>
      <c r="AZ72" s="3">
        <f t="shared" ca="1" si="151"/>
        <v>5.7902584493041774E-2</v>
      </c>
      <c r="BA72" s="3">
        <f t="shared" ca="1" si="152"/>
        <v>3.9890301670406419E-3</v>
      </c>
      <c r="BB72" s="3">
        <f t="shared" ca="1" si="153"/>
        <v>0.30725143284325945</v>
      </c>
      <c r="BD72" s="3">
        <f t="shared" ca="1" si="154"/>
        <v>0</v>
      </c>
      <c r="BE72" s="3">
        <f t="shared" ca="1" si="155"/>
        <v>0</v>
      </c>
      <c r="BF72" s="3">
        <f t="shared" ca="1" si="156"/>
        <v>0</v>
      </c>
      <c r="BG72" s="3">
        <f t="shared" ca="1" si="157"/>
        <v>0.30725139826573311</v>
      </c>
      <c r="BI72" s="3">
        <f t="shared" ca="1" si="158"/>
        <v>0</v>
      </c>
      <c r="BJ72" s="3">
        <f t="shared" ca="1" si="159"/>
        <v>0</v>
      </c>
      <c r="BK72" s="3">
        <f t="shared" ca="1" si="160"/>
        <v>0</v>
      </c>
      <c r="BL72" s="3">
        <f t="shared" ca="1" si="161"/>
        <v>1.4951407924246201</v>
      </c>
      <c r="BN72" s="3">
        <f t="shared" ca="1" si="162"/>
        <v>0.47147571900047158</v>
      </c>
      <c r="BO72" s="3">
        <f t="shared" ca="1" si="163"/>
        <v>0.2485089463220676</v>
      </c>
      <c r="BP72" s="3">
        <f t="shared" ca="1" si="164"/>
        <v>0.24931438544003989</v>
      </c>
      <c r="BQ72" s="3">
        <f t="shared" ca="1" si="165"/>
        <v>0.74757039621231003</v>
      </c>
      <c r="BS72" s="3">
        <v>4.0209999999999999</v>
      </c>
      <c r="BT72" s="3">
        <v>4.024</v>
      </c>
      <c r="BU72" s="3">
        <v>4.0110000000000001</v>
      </c>
      <c r="BV72" s="3">
        <v>0.58799999952316284</v>
      </c>
      <c r="BX72" s="3">
        <f t="shared" ca="1" si="166"/>
        <v>0</v>
      </c>
      <c r="BY72" s="3">
        <f t="shared" ca="1" si="167"/>
        <v>0</v>
      </c>
      <c r="BZ72" s="3">
        <f t="shared" ca="1" si="168"/>
        <v>0</v>
      </c>
      <c r="CA72" s="3">
        <f t="shared" ca="1" si="169"/>
        <v>0</v>
      </c>
      <c r="CC72" s="3">
        <f t="shared" ca="1" si="170"/>
        <v>0</v>
      </c>
      <c r="CD72" s="3">
        <f t="shared" ca="1" si="171"/>
        <v>0</v>
      </c>
      <c r="CE72" s="3">
        <f t="shared" ca="1" si="172"/>
        <v>0</v>
      </c>
      <c r="CF72" s="3">
        <f t="shared" ca="1" si="173"/>
        <v>0</v>
      </c>
      <c r="CH72" s="3">
        <f t="shared" ca="1" si="174"/>
        <v>0</v>
      </c>
      <c r="CI72" s="3">
        <f t="shared" ca="1" si="175"/>
        <v>0</v>
      </c>
      <c r="CJ72" s="3">
        <f t="shared" ca="1" si="176"/>
        <v>0</v>
      </c>
      <c r="CK72" s="3">
        <f t="shared" ca="1" si="177"/>
        <v>0</v>
      </c>
      <c r="CM72" s="3">
        <f t="shared" ca="1" si="178"/>
        <v>0</v>
      </c>
      <c r="CN72" s="3">
        <f t="shared" ca="1" si="179"/>
        <v>0</v>
      </c>
      <c r="CO72" s="3">
        <f t="shared" ca="1" si="180"/>
        <v>0</v>
      </c>
      <c r="CP72" s="3">
        <f t="shared" ca="1" si="181"/>
        <v>0</v>
      </c>
      <c r="CR72" s="3">
        <v>4.0209999999999999</v>
      </c>
      <c r="CS72" s="3">
        <v>4.024</v>
      </c>
      <c r="CT72" s="3">
        <v>4.0110000000000001</v>
      </c>
      <c r="CU72" s="3">
        <v>4.0129999999999999</v>
      </c>
      <c r="CV72" s="21">
        <f t="shared" ca="1" si="183"/>
        <v>0</v>
      </c>
      <c r="CW72" s="16">
        <f t="shared" ca="1" si="182"/>
        <v>9.5</v>
      </c>
    </row>
    <row r="73" spans="1:101" s="3" customFormat="1" x14ac:dyDescent="0.35">
      <c r="A73" s="2" t="s">
        <v>82</v>
      </c>
      <c r="B73" s="2">
        <v>9.5</v>
      </c>
      <c r="C73" s="2" t="s">
        <v>167</v>
      </c>
      <c r="D73" s="2" t="s">
        <v>403</v>
      </c>
      <c r="F73" s="3">
        <v>4.016</v>
      </c>
      <c r="G73" s="3">
        <v>4.0060000000000002</v>
      </c>
      <c r="H73" s="3">
        <v>2.7159999999999997</v>
      </c>
      <c r="I73" s="3">
        <v>4.016</v>
      </c>
      <c r="K73" s="3">
        <f t="shared" ca="1" si="122"/>
        <v>0.92953187250996006</v>
      </c>
      <c r="L73" s="3">
        <f t="shared" ca="1" si="123"/>
        <v>0.83599600599101354</v>
      </c>
      <c r="M73" s="3">
        <f t="shared" ca="1" si="124"/>
        <v>0.82216494845360821</v>
      </c>
      <c r="N73" s="3">
        <f t="shared" ca="1" si="125"/>
        <v>0.99576693227091639</v>
      </c>
      <c r="P73" s="3">
        <f t="shared" ca="1" si="126"/>
        <v>0.45667328979389599</v>
      </c>
      <c r="Q73" s="3">
        <f t="shared" ca="1" si="127"/>
        <v>0.33699455092132419</v>
      </c>
      <c r="R73" s="3">
        <f t="shared" ca="1" si="128"/>
        <v>0.42967605836612666</v>
      </c>
      <c r="S73" s="3">
        <f t="shared" ca="1" si="129"/>
        <v>0.88819723580481547</v>
      </c>
      <c r="U73" s="3">
        <f t="shared" ca="1" si="130"/>
        <v>2.4900398406374502</v>
      </c>
      <c r="V73" s="3">
        <f t="shared" ca="1" si="131"/>
        <v>0.99850224663005482</v>
      </c>
      <c r="W73" s="3">
        <f t="shared" ca="1" si="132"/>
        <v>2.9455081001472756</v>
      </c>
      <c r="X73" s="3">
        <f t="shared" ca="1" si="133"/>
        <v>2.241035856573705</v>
      </c>
      <c r="Z73" s="3">
        <f t="shared" ca="1" si="134"/>
        <v>0.70941235059760965</v>
      </c>
      <c r="AA73" s="3">
        <f t="shared" ca="1" si="135"/>
        <v>0.82750873689465798</v>
      </c>
      <c r="AB73" s="3">
        <f t="shared" ca="1" si="136"/>
        <v>0.55228276877761406</v>
      </c>
      <c r="AC73" s="3">
        <f t="shared" ca="1" si="137"/>
        <v>0.85458167330677304</v>
      </c>
      <c r="AE73" s="3">
        <f t="shared" ca="1" si="138"/>
        <v>0.42753982769540583</v>
      </c>
      <c r="AF73" s="3">
        <f t="shared" ca="1" si="139"/>
        <v>0.33699455092132419</v>
      </c>
      <c r="AG73" s="3">
        <f t="shared" ca="1" si="140"/>
        <v>0.37444774637517242</v>
      </c>
      <c r="AH73" s="3">
        <f t="shared" ca="1" si="141"/>
        <v>0.77614543110269507</v>
      </c>
      <c r="AJ73" s="3">
        <f t="shared" ca="1" si="142"/>
        <v>2.241035856573705</v>
      </c>
      <c r="AK73" s="3">
        <f t="shared" ca="1" si="143"/>
        <v>0.99850224663005482</v>
      </c>
      <c r="AL73" s="3">
        <f t="shared" ca="1" si="144"/>
        <v>2.5773195876288661</v>
      </c>
      <c r="AM73" s="3">
        <f t="shared" ca="1" si="145"/>
        <v>1.9920318725099602</v>
      </c>
      <c r="AO73" s="3">
        <f t="shared" ca="1" si="146"/>
        <v>0.99601593625498008</v>
      </c>
      <c r="AP73" s="3">
        <f t="shared" ca="1" si="147"/>
        <v>0.74887668497254112</v>
      </c>
      <c r="AQ73" s="3">
        <f t="shared" ca="1" si="148"/>
        <v>1.1045655375552283</v>
      </c>
      <c r="AR73" s="3">
        <f t="shared" ca="1" si="149"/>
        <v>0.74701195219123506</v>
      </c>
      <c r="AT73" s="3">
        <v>0.30099999904632568</v>
      </c>
      <c r="AU73" s="3">
        <v>1.4000000432133675E-2</v>
      </c>
      <c r="AV73" s="3">
        <v>1.3839999437332153</v>
      </c>
      <c r="AW73" s="3">
        <v>4.0000001899898052E-3</v>
      </c>
      <c r="AY73" s="3">
        <f t="shared" ca="1" si="150"/>
        <v>0</v>
      </c>
      <c r="AZ73" s="3">
        <f t="shared" ca="1" si="151"/>
        <v>2.4712930604093797E-2</v>
      </c>
      <c r="BA73" s="3">
        <f t="shared" ca="1" si="152"/>
        <v>6.7378497790868866E-2</v>
      </c>
      <c r="BB73" s="3">
        <f t="shared" ca="1" si="153"/>
        <v>0</v>
      </c>
      <c r="BD73" s="3">
        <f t="shared" ca="1" si="154"/>
        <v>0</v>
      </c>
      <c r="BE73" s="3">
        <f t="shared" ca="1" si="155"/>
        <v>0</v>
      </c>
      <c r="BF73" s="3">
        <f t="shared" ca="1" si="156"/>
        <v>6.73785300950063E-2</v>
      </c>
      <c r="BG73" s="3">
        <f t="shared" ca="1" si="157"/>
        <v>0</v>
      </c>
      <c r="BI73" s="3">
        <f t="shared" ca="1" si="158"/>
        <v>0</v>
      </c>
      <c r="BJ73" s="3">
        <f t="shared" ca="1" si="159"/>
        <v>0</v>
      </c>
      <c r="BK73" s="3">
        <f t="shared" ca="1" si="160"/>
        <v>0.36818851251840945</v>
      </c>
      <c r="BL73" s="3">
        <f t="shared" ca="1" si="161"/>
        <v>0</v>
      </c>
      <c r="BN73" s="3">
        <f t="shared" ca="1" si="162"/>
        <v>0.24900398406374502</v>
      </c>
      <c r="BO73" s="3">
        <f t="shared" ca="1" si="163"/>
        <v>1.4977533699450822</v>
      </c>
      <c r="BP73" s="3">
        <f t="shared" ca="1" si="164"/>
        <v>0.36818851251840945</v>
      </c>
      <c r="BQ73" s="3">
        <f t="shared" ca="1" si="165"/>
        <v>0</v>
      </c>
      <c r="BS73" s="3">
        <v>4.016</v>
      </c>
      <c r="BT73" s="3">
        <v>4.0060000000000002</v>
      </c>
      <c r="BU73" s="3">
        <v>2.7170000076293945</v>
      </c>
      <c r="BV73" s="3">
        <v>4.016</v>
      </c>
      <c r="BX73" s="3">
        <f t="shared" ca="1" si="166"/>
        <v>9.9601593625497878E-2</v>
      </c>
      <c r="BY73" s="3">
        <f t="shared" ca="1" si="167"/>
        <v>0</v>
      </c>
      <c r="BZ73" s="3">
        <f t="shared" ca="1" si="168"/>
        <v>0</v>
      </c>
      <c r="CA73" s="3">
        <f t="shared" ca="1" si="169"/>
        <v>0</v>
      </c>
      <c r="CC73" s="3">
        <f t="shared" ca="1" si="170"/>
        <v>0.10806773288316461</v>
      </c>
      <c r="CD73" s="3">
        <f t="shared" ca="1" si="171"/>
        <v>0</v>
      </c>
      <c r="CE73" s="3">
        <f t="shared" ca="1" si="172"/>
        <v>0</v>
      </c>
      <c r="CF73" s="3">
        <f t="shared" ca="1" si="173"/>
        <v>0</v>
      </c>
      <c r="CH73" s="3">
        <f t="shared" ca="1" si="174"/>
        <v>0.74701195219123506</v>
      </c>
      <c r="CI73" s="3">
        <f t="shared" ca="1" si="175"/>
        <v>0</v>
      </c>
      <c r="CJ73" s="3">
        <f t="shared" ca="1" si="176"/>
        <v>0</v>
      </c>
      <c r="CK73" s="3">
        <f t="shared" ca="1" si="177"/>
        <v>0</v>
      </c>
      <c r="CM73" s="3">
        <f t="shared" ca="1" si="178"/>
        <v>1.7430278884462151</v>
      </c>
      <c r="CN73" s="3">
        <f t="shared" ca="1" si="179"/>
        <v>0</v>
      </c>
      <c r="CO73" s="3">
        <f t="shared" ca="1" si="180"/>
        <v>0</v>
      </c>
      <c r="CP73" s="3">
        <f t="shared" ca="1" si="181"/>
        <v>0</v>
      </c>
      <c r="CR73" s="3">
        <v>2.8010001182556152</v>
      </c>
      <c r="CS73" s="3">
        <v>4.0060000000000002</v>
      </c>
      <c r="CT73" s="3">
        <v>4.016</v>
      </c>
      <c r="CU73" s="3">
        <v>4.016</v>
      </c>
      <c r="CV73" s="21">
        <f t="shared" ca="1" si="183"/>
        <v>6.73785300950063E-2</v>
      </c>
      <c r="CW73" s="16">
        <f t="shared" ca="1" si="182"/>
        <v>9.5</v>
      </c>
    </row>
    <row r="74" spans="1:101" s="3" customFormat="1" x14ac:dyDescent="0.35">
      <c r="A74" s="2" t="s">
        <v>89</v>
      </c>
      <c r="B74" s="2">
        <v>9.5</v>
      </c>
      <c r="C74" s="2" t="s">
        <v>167</v>
      </c>
      <c r="D74" s="2" t="s">
        <v>403</v>
      </c>
      <c r="F74" s="3">
        <v>4.0110000000000001</v>
      </c>
      <c r="G74" s="3">
        <v>4.016</v>
      </c>
      <c r="H74" s="3">
        <v>4.01</v>
      </c>
      <c r="I74" s="3">
        <v>4.0110000000000001</v>
      </c>
      <c r="K74" s="3">
        <f t="shared" ca="1" si="122"/>
        <v>0.97207678883071558</v>
      </c>
      <c r="L74" s="3">
        <f t="shared" ca="1" si="123"/>
        <v>0.99576693227091639</v>
      </c>
      <c r="M74" s="3">
        <f t="shared" ca="1" si="124"/>
        <v>0.99301745635910232</v>
      </c>
      <c r="N74" s="3">
        <f t="shared" ca="1" si="125"/>
        <v>0.99700822737471939</v>
      </c>
      <c r="P74" s="3">
        <f t="shared" ca="1" si="126"/>
        <v>0.91323852390459548</v>
      </c>
      <c r="Q74" s="3">
        <f t="shared" ca="1" si="127"/>
        <v>0.94995020579850942</v>
      </c>
      <c r="R74" s="3">
        <f t="shared" ca="1" si="128"/>
        <v>0.90573585250802768</v>
      </c>
      <c r="S74" s="3">
        <f t="shared" ca="1" si="129"/>
        <v>0.87210180725957109</v>
      </c>
      <c r="U74" s="3">
        <f t="shared" ca="1" si="130"/>
        <v>2.2438294689603588</v>
      </c>
      <c r="V74" s="3">
        <f t="shared" ca="1" si="131"/>
        <v>1.7430278884462151</v>
      </c>
      <c r="W74" s="3">
        <f t="shared" ca="1" si="132"/>
        <v>3.2418952618453867</v>
      </c>
      <c r="X74" s="3">
        <f t="shared" ca="1" si="133"/>
        <v>1.9945150835203191</v>
      </c>
      <c r="Z74" s="3">
        <f t="shared" ca="1" si="134"/>
        <v>0.95961106955871356</v>
      </c>
      <c r="AA74" s="3">
        <f t="shared" ca="1" si="135"/>
        <v>0.97933266932270913</v>
      </c>
      <c r="AB74" s="3">
        <f t="shared" ca="1" si="136"/>
        <v>0.99301745635910232</v>
      </c>
      <c r="AC74" s="3">
        <f t="shared" ca="1" si="137"/>
        <v>0.92645225629518801</v>
      </c>
      <c r="AE74" s="3">
        <f t="shared" ca="1" si="138"/>
        <v>0.91323852390459548</v>
      </c>
      <c r="AF74" s="3">
        <f t="shared" ca="1" si="139"/>
        <v>0.94995020579850942</v>
      </c>
      <c r="AG74" s="3">
        <f t="shared" ca="1" si="140"/>
        <v>0.90573585250802768</v>
      </c>
      <c r="AH74" s="3">
        <f t="shared" ca="1" si="141"/>
        <v>0.87210180725957109</v>
      </c>
      <c r="AJ74" s="3">
        <f t="shared" ca="1" si="142"/>
        <v>2.2438294689603588</v>
      </c>
      <c r="AK74" s="3">
        <f t="shared" ca="1" si="143"/>
        <v>1.7430278884462151</v>
      </c>
      <c r="AL74" s="3">
        <f t="shared" ca="1" si="144"/>
        <v>3.2418952618453867</v>
      </c>
      <c r="AM74" s="3">
        <f t="shared" ca="1" si="145"/>
        <v>1.9945150835203191</v>
      </c>
      <c r="AO74" s="3">
        <f t="shared" ca="1" si="146"/>
        <v>0.49862877088007979</v>
      </c>
      <c r="AP74" s="3">
        <f t="shared" ca="1" si="147"/>
        <v>0.49800796812749004</v>
      </c>
      <c r="AQ74" s="3">
        <f t="shared" ca="1" si="148"/>
        <v>0.24937655860349128</v>
      </c>
      <c r="AR74" s="3">
        <f t="shared" ca="1" si="149"/>
        <v>0.49862877088007979</v>
      </c>
      <c r="AT74" s="3">
        <v>0.14300000667572021</v>
      </c>
      <c r="AU74" s="3">
        <v>7.0000002160668373E-3</v>
      </c>
      <c r="AV74" s="3">
        <v>1.2000000104308128E-2</v>
      </c>
      <c r="AW74" s="3">
        <v>4.999999888241291E-3</v>
      </c>
      <c r="AY74" s="3">
        <f t="shared" ca="1" si="150"/>
        <v>0.2909498878085266</v>
      </c>
      <c r="AZ74" s="3">
        <f t="shared" ca="1" si="151"/>
        <v>0.54357569721115528</v>
      </c>
      <c r="BA74" s="3">
        <f t="shared" ca="1" si="152"/>
        <v>0.40723192019950127</v>
      </c>
      <c r="BB74" s="3">
        <f t="shared" ca="1" si="153"/>
        <v>0.47793567688855643</v>
      </c>
      <c r="BD74" s="3">
        <f t="shared" ca="1" si="154"/>
        <v>0.30316629037688242</v>
      </c>
      <c r="BE74" s="3">
        <f t="shared" ca="1" si="155"/>
        <v>0.50199206963003395</v>
      </c>
      <c r="BF74" s="3">
        <f t="shared" ca="1" si="156"/>
        <v>0.34912729501129686</v>
      </c>
      <c r="BG74" s="3">
        <f t="shared" ca="1" si="157"/>
        <v>0.59386688823029454</v>
      </c>
      <c r="BI74" s="3">
        <f t="shared" ca="1" si="158"/>
        <v>0.74794315632011965</v>
      </c>
      <c r="BJ74" s="3">
        <f t="shared" ca="1" si="159"/>
        <v>1.2450199203187251</v>
      </c>
      <c r="BK74" s="3">
        <f t="shared" ca="1" si="160"/>
        <v>1.2468827930174564</v>
      </c>
      <c r="BL74" s="3">
        <f t="shared" ca="1" si="161"/>
        <v>0.99725754176015957</v>
      </c>
      <c r="BN74" s="3">
        <f t="shared" ca="1" si="162"/>
        <v>0.74794315632011965</v>
      </c>
      <c r="BO74" s="3">
        <f t="shared" ca="1" si="163"/>
        <v>0.74701195219123506</v>
      </c>
      <c r="BP74" s="3">
        <f t="shared" ca="1" si="164"/>
        <v>1.2468827930174564</v>
      </c>
      <c r="BQ74" s="3">
        <f t="shared" ca="1" si="165"/>
        <v>0.99725754176015957</v>
      </c>
      <c r="BS74" s="3">
        <v>0.29300001263618469</v>
      </c>
      <c r="BT74" s="3">
        <v>0.87300002574920654</v>
      </c>
      <c r="BU74" s="3">
        <v>0.67799997329711914</v>
      </c>
      <c r="BV74" s="3">
        <v>0.50499999523162842</v>
      </c>
      <c r="BX74" s="3">
        <f t="shared" ca="1" si="166"/>
        <v>0.27798553976564444</v>
      </c>
      <c r="BY74" s="3">
        <f t="shared" ca="1" si="167"/>
        <v>0</v>
      </c>
      <c r="BZ74" s="3">
        <f t="shared" ca="1" si="168"/>
        <v>0</v>
      </c>
      <c r="CA74" s="3">
        <f t="shared" ca="1" si="169"/>
        <v>0</v>
      </c>
      <c r="CC74" s="3">
        <f t="shared" ca="1" si="170"/>
        <v>0.31139365576413824</v>
      </c>
      <c r="CD74" s="3">
        <f t="shared" ca="1" si="171"/>
        <v>0</v>
      </c>
      <c r="CE74" s="3">
        <f t="shared" ca="1" si="172"/>
        <v>0</v>
      </c>
      <c r="CF74" s="3">
        <f t="shared" ca="1" si="173"/>
        <v>0</v>
      </c>
      <c r="CH74" s="3">
        <f t="shared" ca="1" si="174"/>
        <v>0.49862877088007979</v>
      </c>
      <c r="CI74" s="3">
        <f t="shared" ca="1" si="175"/>
        <v>0</v>
      </c>
      <c r="CJ74" s="3">
        <f t="shared" ca="1" si="176"/>
        <v>0</v>
      </c>
      <c r="CK74" s="3">
        <f t="shared" ca="1" si="177"/>
        <v>0</v>
      </c>
      <c r="CM74" s="3">
        <f t="shared" ca="1" si="178"/>
        <v>0.74794315632011965</v>
      </c>
      <c r="CN74" s="3">
        <f t="shared" ca="1" si="179"/>
        <v>0</v>
      </c>
      <c r="CO74" s="3">
        <f t="shared" ca="1" si="180"/>
        <v>0</v>
      </c>
      <c r="CP74" s="3">
        <f t="shared" ca="1" si="181"/>
        <v>0</v>
      </c>
      <c r="CR74" s="3">
        <v>1.9759999513626099</v>
      </c>
      <c r="CS74" s="3">
        <v>4.016</v>
      </c>
      <c r="CT74" s="3">
        <v>4.01</v>
      </c>
      <c r="CU74" s="3">
        <v>4.0110000000000001</v>
      </c>
      <c r="CV74" s="21">
        <f t="shared" ca="1" si="183"/>
        <v>0.34912729501129686</v>
      </c>
      <c r="CW74" s="16">
        <f t="shared" ca="1" si="182"/>
        <v>9.5</v>
      </c>
    </row>
    <row r="75" spans="1:101" s="3" customFormat="1" x14ac:dyDescent="0.35">
      <c r="A75" s="2" t="s">
        <v>20</v>
      </c>
      <c r="B75" s="2">
        <v>9.5833333333333339</v>
      </c>
      <c r="C75" s="2" t="s">
        <v>167</v>
      </c>
      <c r="D75" s="2" t="s">
        <v>403</v>
      </c>
      <c r="F75" s="3">
        <v>4.008</v>
      </c>
      <c r="G75" s="3">
        <v>4.0010000000000003</v>
      </c>
      <c r="H75" s="3">
        <v>1.617</v>
      </c>
      <c r="I75" s="3">
        <v>4.016</v>
      </c>
      <c r="K75" s="3">
        <f t="shared" ca="1" si="122"/>
        <v>0.85628742514970058</v>
      </c>
      <c r="L75" s="3">
        <f t="shared" ca="1" si="123"/>
        <v>0.99525118720319916</v>
      </c>
      <c r="M75" s="3" t="e">
        <f t="shared" ca="1" si="124"/>
        <v>#N/A</v>
      </c>
      <c r="N75" s="3">
        <f t="shared" ca="1" si="125"/>
        <v>0.98331673306772904</v>
      </c>
      <c r="P75" s="3">
        <f t="shared" ca="1" si="126"/>
        <v>0.49051895975590704</v>
      </c>
      <c r="Q75" s="3">
        <f t="shared" ca="1" si="127"/>
        <v>0.3294176483744235</v>
      </c>
      <c r="R75" s="3" t="e">
        <f t="shared" ca="1" si="128"/>
        <v>#N/A</v>
      </c>
      <c r="S75" s="3">
        <f t="shared" ca="1" si="129"/>
        <v>0.51942218950322538</v>
      </c>
      <c r="U75" s="3">
        <f t="shared" ca="1" si="130"/>
        <v>2.7445109780439121</v>
      </c>
      <c r="V75" s="3">
        <f t="shared" ca="1" si="131"/>
        <v>2.2494376405898522</v>
      </c>
      <c r="W75" s="3" t="e">
        <f t="shared" ca="1" si="132"/>
        <v>#N/A</v>
      </c>
      <c r="X75" s="3">
        <f t="shared" ca="1" si="133"/>
        <v>2.4900398406374502</v>
      </c>
      <c r="Z75" s="3">
        <f t="shared" ca="1" si="134"/>
        <v>0.79391217564870253</v>
      </c>
      <c r="AA75" s="3">
        <f t="shared" ca="1" si="135"/>
        <v>0.99525118720319916</v>
      </c>
      <c r="AB75" s="3" t="e">
        <f t="shared" ca="1" si="136"/>
        <v>#N/A</v>
      </c>
      <c r="AC75" s="3">
        <f t="shared" ca="1" si="137"/>
        <v>0.86703187250996017</v>
      </c>
      <c r="AE75" s="3">
        <f t="shared" ca="1" si="138"/>
        <v>0.44885233877423758</v>
      </c>
      <c r="AF75" s="3">
        <f t="shared" ca="1" si="139"/>
        <v>0.3294176483744235</v>
      </c>
      <c r="AG75" s="3" t="e">
        <f t="shared" ca="1" si="140"/>
        <v>#N/A</v>
      </c>
      <c r="AH75" s="3">
        <f t="shared" ca="1" si="141"/>
        <v>0.51942218950322538</v>
      </c>
      <c r="AJ75" s="3">
        <f t="shared" ca="1" si="142"/>
        <v>2.4950099800399204</v>
      </c>
      <c r="AK75" s="3">
        <f t="shared" ca="1" si="143"/>
        <v>2.2494376405898522</v>
      </c>
      <c r="AL75" s="3" t="e">
        <f t="shared" ca="1" si="144"/>
        <v>#N/A</v>
      </c>
      <c r="AM75" s="3">
        <f t="shared" ca="1" si="145"/>
        <v>2.4900398406374502</v>
      </c>
      <c r="AO75" s="3">
        <f t="shared" ca="1" si="146"/>
        <v>0.74850299401197606</v>
      </c>
      <c r="AP75" s="3">
        <f t="shared" ca="1" si="147"/>
        <v>0.2499375156210947</v>
      </c>
      <c r="AQ75" s="3" t="e">
        <f t="shared" ca="1" si="148"/>
        <v>#N/A</v>
      </c>
      <c r="AR75" s="3">
        <f t="shared" ca="1" si="149"/>
        <v>0.74701195219123506</v>
      </c>
      <c r="AT75" s="3">
        <v>0.460999995470047</v>
      </c>
      <c r="AU75" s="3">
        <v>1.7999999225139618E-2</v>
      </c>
      <c r="AV75" s="11" t="e">
        <v>#N/A</v>
      </c>
      <c r="AW75" s="3">
        <v>1.2000000104308128E-2</v>
      </c>
      <c r="AY75" s="3">
        <f t="shared" ca="1" si="150"/>
        <v>7.5099800399201666E-2</v>
      </c>
      <c r="AZ75" s="3">
        <f t="shared" ca="1" si="151"/>
        <v>6.2484378905273731E-2</v>
      </c>
      <c r="BA75" s="3" t="e">
        <f t="shared" ca="1" si="152"/>
        <v>#N/A</v>
      </c>
      <c r="BB75" s="3">
        <f t="shared" ca="1" si="153"/>
        <v>9.5368525896414369E-2</v>
      </c>
      <c r="BD75" s="3">
        <f t="shared" ca="1" si="154"/>
        <v>7.0608780531588186E-2</v>
      </c>
      <c r="BE75" s="3">
        <f t="shared" ca="1" si="155"/>
        <v>2.4993787315957874E-2</v>
      </c>
      <c r="BF75" s="3" t="e">
        <f t="shared" ca="1" si="156"/>
        <v>#N/A</v>
      </c>
      <c r="BG75" s="3">
        <f t="shared" ca="1" si="157"/>
        <v>3.7350561989256112E-2</v>
      </c>
      <c r="BI75" s="3">
        <f t="shared" ca="1" si="158"/>
        <v>0.49900199600798401</v>
      </c>
      <c r="BJ75" s="3">
        <f t="shared" ca="1" si="159"/>
        <v>0.2499375156210947</v>
      </c>
      <c r="BK75" s="3" t="e">
        <f t="shared" ca="1" si="160"/>
        <v>#N/A</v>
      </c>
      <c r="BL75" s="3">
        <f t="shared" ca="1" si="161"/>
        <v>0.24900398406374502</v>
      </c>
      <c r="BN75" s="3">
        <f t="shared" ca="1" si="162"/>
        <v>1.7465069860279441</v>
      </c>
      <c r="BO75" s="3">
        <f t="shared" ca="1" si="163"/>
        <v>2.2494376405898522</v>
      </c>
      <c r="BP75" s="3" t="e">
        <f t="shared" ca="1" si="164"/>
        <v>#N/A</v>
      </c>
      <c r="BQ75" s="3">
        <f t="shared" ca="1" si="165"/>
        <v>1.9920318725099602</v>
      </c>
      <c r="BS75" s="3">
        <v>1.593999981880188</v>
      </c>
      <c r="BT75" s="3">
        <v>2.0169999599456787</v>
      </c>
      <c r="BU75" s="11" t="e">
        <v>#N/A</v>
      </c>
      <c r="BV75" s="3">
        <v>2.0950000286102295</v>
      </c>
      <c r="BX75" s="3">
        <f t="shared" ca="1" si="166"/>
        <v>6.6367265469061881E-2</v>
      </c>
      <c r="BY75" s="3">
        <f t="shared" ca="1" si="167"/>
        <v>0.10847288177955529</v>
      </c>
      <c r="BZ75" s="3" t="e">
        <f t="shared" ca="1" si="168"/>
        <v>#N/A</v>
      </c>
      <c r="CA75" s="3">
        <f t="shared" ca="1" si="169"/>
        <v>0.22011952191235068</v>
      </c>
      <c r="CC75" s="3">
        <f t="shared" ca="1" si="170"/>
        <v>7.0608780531588186E-2</v>
      </c>
      <c r="CD75" s="3">
        <f t="shared" ca="1" si="171"/>
        <v>6.2484377043094071E-2</v>
      </c>
      <c r="CE75" s="3" t="e">
        <f t="shared" ca="1" si="172"/>
        <v>#N/A</v>
      </c>
      <c r="CF75" s="3">
        <f t="shared" ca="1" si="173"/>
        <v>0.23680272933273794</v>
      </c>
      <c r="CH75" s="3">
        <f t="shared" ca="1" si="174"/>
        <v>0.249500998003992</v>
      </c>
      <c r="CI75" s="3">
        <f t="shared" ca="1" si="175"/>
        <v>0.4998750312421894</v>
      </c>
      <c r="CJ75" s="3" t="e">
        <f t="shared" ca="1" si="176"/>
        <v>#N/A</v>
      </c>
      <c r="CK75" s="3">
        <f t="shared" ca="1" si="177"/>
        <v>0.99601593625498008</v>
      </c>
      <c r="CM75" s="3">
        <f t="shared" ca="1" si="178"/>
        <v>0.74850299401197606</v>
      </c>
      <c r="CN75" s="3">
        <f t="shared" ca="1" si="179"/>
        <v>2.9992501874531365</v>
      </c>
      <c r="CO75" s="3" t="e">
        <f t="shared" ca="1" si="180"/>
        <v>#N/A</v>
      </c>
      <c r="CP75" s="3">
        <f t="shared" ca="1" si="181"/>
        <v>1.9920318725099602</v>
      </c>
      <c r="CR75" s="3">
        <v>0.77799999713897705</v>
      </c>
      <c r="CS75" s="3">
        <v>1.7999999225139618E-2</v>
      </c>
      <c r="CT75" s="11" t="e">
        <v>#N/A</v>
      </c>
      <c r="CU75" s="3">
        <v>1.2000000104308128E-2</v>
      </c>
      <c r="CV75" s="21" t="e">
        <f t="shared" ca="1" si="183"/>
        <v>#N/A</v>
      </c>
      <c r="CW75" s="16">
        <f t="shared" ca="1" si="182"/>
        <v>9.5833333333333339</v>
      </c>
    </row>
    <row r="76" spans="1:101" s="3" customFormat="1" x14ac:dyDescent="0.35">
      <c r="A76" s="2" t="s">
        <v>58</v>
      </c>
      <c r="B76" s="2">
        <v>9.5833333333333339</v>
      </c>
      <c r="C76" s="2" t="s">
        <v>168</v>
      </c>
      <c r="D76" s="2" t="s">
        <v>403</v>
      </c>
      <c r="F76" s="3">
        <v>4.0090000000000003</v>
      </c>
      <c r="G76" s="3">
        <v>4.0019999999999998</v>
      </c>
      <c r="H76" s="3">
        <v>4.0110000000000001</v>
      </c>
      <c r="I76" s="3">
        <v>4.0199999999999996</v>
      </c>
      <c r="K76" s="3">
        <f t="shared" ca="1" si="122"/>
        <v>0.99750561237216251</v>
      </c>
      <c r="L76" s="3">
        <f t="shared" ca="1" si="123"/>
        <v>0.99925037481259393</v>
      </c>
      <c r="M76" s="3">
        <f t="shared" ca="1" si="124"/>
        <v>0.9970082273747195</v>
      </c>
      <c r="N76" s="3">
        <f t="shared" ca="1" si="125"/>
        <v>0.99477611940298516</v>
      </c>
      <c r="P76" s="3">
        <f t="shared" ca="1" si="126"/>
        <v>0.79820406766983298</v>
      </c>
      <c r="Q76" s="3">
        <f t="shared" ca="1" si="127"/>
        <v>0.97451273121287874</v>
      </c>
      <c r="R76" s="3">
        <f t="shared" ca="1" si="128"/>
        <v>0.97182751950169111</v>
      </c>
      <c r="S76" s="3">
        <f t="shared" ca="1" si="129"/>
        <v>0.90796015461656598</v>
      </c>
      <c r="U76" s="3">
        <f t="shared" ca="1" si="130"/>
        <v>1.4966325767024193</v>
      </c>
      <c r="V76" s="3">
        <f t="shared" ca="1" si="131"/>
        <v>0.99950024987506247</v>
      </c>
      <c r="W76" s="3">
        <f t="shared" ca="1" si="132"/>
        <v>1.7452006980802792</v>
      </c>
      <c r="X76" s="3">
        <f t="shared" ca="1" si="133"/>
        <v>2.4875621890547266</v>
      </c>
      <c r="Z76" s="3">
        <f t="shared" ca="1" si="134"/>
        <v>0.99750561237216251</v>
      </c>
      <c r="AA76" s="3">
        <f t="shared" ca="1" si="135"/>
        <v>0.99925037481259393</v>
      </c>
      <c r="AB76" s="3">
        <f t="shared" ca="1" si="136"/>
        <v>0.9970082273747195</v>
      </c>
      <c r="AC76" s="3">
        <f t="shared" ca="1" si="137"/>
        <v>0.92437810945273646</v>
      </c>
      <c r="AE76" s="3">
        <f t="shared" ca="1" si="138"/>
        <v>0.79820406766983298</v>
      </c>
      <c r="AF76" s="3">
        <f t="shared" ca="1" si="139"/>
        <v>0.97451273121287874</v>
      </c>
      <c r="AG76" s="3">
        <f t="shared" ca="1" si="140"/>
        <v>0.97182751950169111</v>
      </c>
      <c r="AH76" s="3">
        <f t="shared" ca="1" si="141"/>
        <v>0.8539800546062527</v>
      </c>
      <c r="AJ76" s="3">
        <f t="shared" ca="1" si="142"/>
        <v>1.4966325767024193</v>
      </c>
      <c r="AK76" s="3">
        <f t="shared" ca="1" si="143"/>
        <v>0.99950024987506247</v>
      </c>
      <c r="AL76" s="3">
        <f t="shared" ca="1" si="144"/>
        <v>1.7452006980802792</v>
      </c>
      <c r="AM76" s="3">
        <f t="shared" ca="1" si="145"/>
        <v>2.238805970149254</v>
      </c>
      <c r="AO76" s="3">
        <f t="shared" ca="1" si="146"/>
        <v>0.24943876278373658</v>
      </c>
      <c r="AP76" s="3">
        <f t="shared" ca="1" si="147"/>
        <v>0.24987506246876562</v>
      </c>
      <c r="AQ76" s="3">
        <f t="shared" ca="1" si="148"/>
        <v>0.24931438544003989</v>
      </c>
      <c r="AR76" s="3">
        <f t="shared" ca="1" si="149"/>
        <v>0.49751243781094534</v>
      </c>
      <c r="AT76" s="3">
        <v>0.17100000381469727</v>
      </c>
      <c r="AU76" s="3">
        <v>2.0000000949949026E-3</v>
      </c>
      <c r="AV76" s="3">
        <v>0</v>
      </c>
      <c r="AW76" s="3">
        <v>0.31200000643730164</v>
      </c>
      <c r="AY76" s="3">
        <f t="shared" ca="1" si="150"/>
        <v>0.24170616113744053</v>
      </c>
      <c r="AZ76" s="3">
        <f t="shared" ca="1" si="151"/>
        <v>0.23738130934532739</v>
      </c>
      <c r="BA76" s="3">
        <f t="shared" ca="1" si="152"/>
        <v>0.46522064323111451</v>
      </c>
      <c r="BB76" s="3">
        <f t="shared" ca="1" si="153"/>
        <v>0.31915422885572148</v>
      </c>
      <c r="BD76" s="3">
        <f t="shared" ca="1" si="154"/>
        <v>0.14143181608394662</v>
      </c>
      <c r="BE76" s="3">
        <f t="shared" ca="1" si="155"/>
        <v>0.40804595127515592</v>
      </c>
      <c r="BF76" s="3">
        <f t="shared" ca="1" si="156"/>
        <v>0.44028924249170187</v>
      </c>
      <c r="BG76" s="3">
        <f t="shared" ca="1" si="157"/>
        <v>0.46417908140675945</v>
      </c>
      <c r="BI76" s="3">
        <f t="shared" ca="1" si="158"/>
        <v>0.24943876278373658</v>
      </c>
      <c r="BJ76" s="3">
        <f t="shared" ca="1" si="159"/>
        <v>0.24987506246876562</v>
      </c>
      <c r="BK76" s="3">
        <f t="shared" ca="1" si="160"/>
        <v>0.49862877088007979</v>
      </c>
      <c r="BL76" s="3">
        <f t="shared" ca="1" si="161"/>
        <v>0.74626865671641796</v>
      </c>
      <c r="BN76" s="3">
        <f t="shared" ca="1" si="162"/>
        <v>2.2449488650536291</v>
      </c>
      <c r="BO76" s="3">
        <f t="shared" ca="1" si="163"/>
        <v>0.24987506246876562</v>
      </c>
      <c r="BP76" s="3">
        <f t="shared" ca="1" si="164"/>
        <v>0.74794315632011965</v>
      </c>
      <c r="BQ76" s="3">
        <f t="shared" ca="1" si="165"/>
        <v>0.99502487562189068</v>
      </c>
      <c r="BS76" s="3">
        <v>3.437000036239624</v>
      </c>
      <c r="BT76" s="3">
        <v>2.1010000705718994</v>
      </c>
      <c r="BU76" s="3">
        <v>1.715999960899353</v>
      </c>
      <c r="BV76" s="3">
        <v>0.31200000643730164</v>
      </c>
      <c r="BX76" s="3">
        <f t="shared" ca="1" si="166"/>
        <v>3.7415814417560492E-2</v>
      </c>
      <c r="BY76" s="3">
        <f t="shared" ca="1" si="167"/>
        <v>0</v>
      </c>
      <c r="BZ76" s="3">
        <f t="shared" ca="1" si="168"/>
        <v>2.8920468711044651E-2</v>
      </c>
      <c r="CA76" s="3">
        <f t="shared" ca="1" si="169"/>
        <v>0</v>
      </c>
      <c r="CC76" s="3">
        <f t="shared" ca="1" si="170"/>
        <v>0</v>
      </c>
      <c r="CD76" s="3">
        <f t="shared" ca="1" si="171"/>
        <v>0</v>
      </c>
      <c r="CE76" s="3">
        <f t="shared" ca="1" si="172"/>
        <v>0</v>
      </c>
      <c r="CF76" s="3">
        <f t="shared" ca="1" si="173"/>
        <v>0</v>
      </c>
      <c r="CH76" s="3">
        <f t="shared" ca="1" si="174"/>
        <v>0</v>
      </c>
      <c r="CI76" s="3">
        <f t="shared" ca="1" si="175"/>
        <v>0</v>
      </c>
      <c r="CJ76" s="3">
        <f t="shared" ca="1" si="176"/>
        <v>0</v>
      </c>
      <c r="CK76" s="3">
        <f t="shared" ca="1" si="177"/>
        <v>0</v>
      </c>
      <c r="CM76" s="3">
        <f t="shared" ca="1" si="178"/>
        <v>1.746071339486156</v>
      </c>
      <c r="CN76" s="3">
        <f t="shared" ca="1" si="179"/>
        <v>0</v>
      </c>
      <c r="CO76" s="3">
        <f t="shared" ca="1" si="180"/>
        <v>0.24931438544003989</v>
      </c>
      <c r="CP76" s="3">
        <f t="shared" ca="1" si="181"/>
        <v>0</v>
      </c>
      <c r="CR76" s="3">
        <v>4.0090000000000003</v>
      </c>
      <c r="CS76" s="3">
        <v>4.0019999999999998</v>
      </c>
      <c r="CT76" s="3">
        <v>4.0110000000000001</v>
      </c>
      <c r="CU76" s="3">
        <v>4.0199999999999996</v>
      </c>
      <c r="CV76" s="21">
        <f t="shared" ca="1" si="183"/>
        <v>0.44028924249170187</v>
      </c>
      <c r="CW76" s="16">
        <f t="shared" ca="1" si="182"/>
        <v>9.5833333333333339</v>
      </c>
    </row>
    <row r="77" spans="1:101" s="3" customFormat="1" x14ac:dyDescent="0.35">
      <c r="A77" s="2" t="s">
        <v>41</v>
      </c>
      <c r="B77" s="2">
        <v>9.6666666666666661</v>
      </c>
      <c r="C77" s="2" t="s">
        <v>167</v>
      </c>
      <c r="D77" s="2" t="s">
        <v>403</v>
      </c>
      <c r="F77" s="3">
        <v>4.01</v>
      </c>
      <c r="G77" s="3">
        <v>4.0149999999999997</v>
      </c>
      <c r="H77" s="3">
        <v>4.0140000000000002</v>
      </c>
      <c r="I77" s="3">
        <v>2.661</v>
      </c>
      <c r="K77" s="3">
        <f t="shared" ca="1" si="122"/>
        <v>0.94314214463840407</v>
      </c>
      <c r="L77" s="3">
        <f t="shared" ca="1" si="123"/>
        <v>0.99601494396014956</v>
      </c>
      <c r="M77" s="3">
        <f t="shared" ca="1" si="124"/>
        <v>0.99626307922272028</v>
      </c>
      <c r="N77" s="3">
        <f t="shared" ca="1" si="125"/>
        <v>0.99549041713641484</v>
      </c>
      <c r="P77" s="3">
        <f t="shared" ca="1" si="126"/>
        <v>0.93940158474475077</v>
      </c>
      <c r="Q77" s="3">
        <f t="shared" ca="1" si="127"/>
        <v>0.81369850139689182</v>
      </c>
      <c r="R77" s="3">
        <f t="shared" ca="1" si="128"/>
        <v>0.80991535044753638</v>
      </c>
      <c r="S77" s="3">
        <f t="shared" ca="1" si="129"/>
        <v>0.84404368373526528</v>
      </c>
      <c r="U77" s="3">
        <f t="shared" ca="1" si="130"/>
        <v>2.2443890274314215</v>
      </c>
      <c r="V77" s="3">
        <f t="shared" ca="1" si="131"/>
        <v>3.2378580323785804</v>
      </c>
      <c r="W77" s="3">
        <f t="shared" ca="1" si="132"/>
        <v>3.4877927254608867</v>
      </c>
      <c r="X77" s="3">
        <f t="shared" ca="1" si="133"/>
        <v>3.3821871476888385</v>
      </c>
      <c r="Z77" s="3">
        <f t="shared" ca="1" si="134"/>
        <v>0.9306733167082295</v>
      </c>
      <c r="AA77" s="3">
        <f t="shared" ca="1" si="135"/>
        <v>0.99601494396014956</v>
      </c>
      <c r="AB77" s="3">
        <f t="shared" ca="1" si="136"/>
        <v>0.9090682610861982</v>
      </c>
      <c r="AC77" s="3">
        <f t="shared" ca="1" si="137"/>
        <v>0.63848177376925952</v>
      </c>
      <c r="AE77" s="3">
        <f t="shared" ca="1" si="138"/>
        <v>0.93940158474475077</v>
      </c>
      <c r="AF77" s="3">
        <f t="shared" ca="1" si="139"/>
        <v>0.81369850139689182</v>
      </c>
      <c r="AG77" s="3">
        <f t="shared" ca="1" si="140"/>
        <v>0.7311908846538222</v>
      </c>
      <c r="AH77" s="3">
        <f t="shared" ca="1" si="141"/>
        <v>0.48741079378300528</v>
      </c>
      <c r="AJ77" s="3">
        <f t="shared" ca="1" si="142"/>
        <v>2.2443890274314215</v>
      </c>
      <c r="AK77" s="3">
        <f t="shared" ca="1" si="143"/>
        <v>3.2378580323785804</v>
      </c>
      <c r="AL77" s="3">
        <f t="shared" ca="1" si="144"/>
        <v>3.2386646736422517</v>
      </c>
      <c r="AM77" s="3">
        <f t="shared" ca="1" si="145"/>
        <v>2.6305900037579857</v>
      </c>
      <c r="AO77" s="3">
        <f t="shared" ca="1" si="146"/>
        <v>0.49875311720698257</v>
      </c>
      <c r="AP77" s="3">
        <f t="shared" ca="1" si="147"/>
        <v>0.24906600249066005</v>
      </c>
      <c r="AQ77" s="3">
        <f t="shared" ca="1" si="148"/>
        <v>0.24912805181863476</v>
      </c>
      <c r="AR77" s="3">
        <f t="shared" ca="1" si="149"/>
        <v>1.1273957158962795</v>
      </c>
      <c r="AT77" s="3">
        <v>1.0999999940395355E-2</v>
      </c>
      <c r="AU77" s="3">
        <v>0.29800000786781311</v>
      </c>
      <c r="AV77" s="3">
        <v>0.36899998784065247</v>
      </c>
      <c r="AW77" s="3">
        <v>6.0000000521540642E-3</v>
      </c>
      <c r="AY77" s="3">
        <f t="shared" ca="1" si="150"/>
        <v>2.4688279301745632E-2</v>
      </c>
      <c r="AZ77" s="3">
        <f t="shared" ca="1" si="151"/>
        <v>0.18679950186799493</v>
      </c>
      <c r="BA77" s="3">
        <f t="shared" ca="1" si="152"/>
        <v>0.133034379671151</v>
      </c>
      <c r="BB77" s="3">
        <f t="shared" ca="1" si="153"/>
        <v>4.3968432919954815E-2</v>
      </c>
      <c r="BD77" s="3">
        <f t="shared" ca="1" si="154"/>
        <v>0</v>
      </c>
      <c r="BE77" s="3">
        <f t="shared" ca="1" si="155"/>
        <v>0.21594020527593821</v>
      </c>
      <c r="BF77" s="3">
        <f t="shared" ca="1" si="156"/>
        <v>0.13702042404549242</v>
      </c>
      <c r="BG77" s="3">
        <f t="shared" ca="1" si="157"/>
        <v>0</v>
      </c>
      <c r="BI77" s="3">
        <f t="shared" ca="1" si="158"/>
        <v>0</v>
      </c>
      <c r="BJ77" s="3">
        <f t="shared" ca="1" si="159"/>
        <v>0.9962640099626402</v>
      </c>
      <c r="BK77" s="3">
        <f t="shared" ca="1" si="160"/>
        <v>0.49825610363726952</v>
      </c>
      <c r="BL77" s="3">
        <f t="shared" ca="1" si="161"/>
        <v>0</v>
      </c>
      <c r="BN77" s="3">
        <f t="shared" ca="1" si="162"/>
        <v>0.49875311720698257</v>
      </c>
      <c r="BO77" s="3">
        <f t="shared" ca="1" si="163"/>
        <v>1.2453300124533002</v>
      </c>
      <c r="BP77" s="3">
        <f t="shared" ca="1" si="164"/>
        <v>0.74738415545590431</v>
      </c>
      <c r="BQ77" s="3">
        <f t="shared" ca="1" si="165"/>
        <v>1.1273957158962795</v>
      </c>
      <c r="BS77" s="3">
        <v>4.01</v>
      </c>
      <c r="BT77" s="3">
        <v>0.48199999332427979</v>
      </c>
      <c r="BU77" s="3">
        <v>0.36899998784065247</v>
      </c>
      <c r="BV77" s="3">
        <v>4.0110000000000001</v>
      </c>
      <c r="BX77" s="3">
        <f t="shared" ca="1" si="166"/>
        <v>0.33241895261845383</v>
      </c>
      <c r="BY77" s="3">
        <f t="shared" ca="1" si="167"/>
        <v>2.0921544209215374E-2</v>
      </c>
      <c r="BZ77" s="3">
        <f t="shared" ca="1" si="168"/>
        <v>0.15819631290483308</v>
      </c>
      <c r="CA77" s="3">
        <f t="shared" ca="1" si="169"/>
        <v>0.1499436302142052</v>
      </c>
      <c r="CC77" s="3">
        <f t="shared" ca="1" si="170"/>
        <v>0.2369076831085129</v>
      </c>
      <c r="CD77" s="3">
        <f t="shared" ca="1" si="171"/>
        <v>0</v>
      </c>
      <c r="CE77" s="3">
        <f t="shared" ca="1" si="172"/>
        <v>0.1576980905385533</v>
      </c>
      <c r="CF77" s="3">
        <f t="shared" ca="1" si="173"/>
        <v>0.14994363064259256</v>
      </c>
      <c r="CH77" s="3">
        <f t="shared" ca="1" si="174"/>
        <v>0.74812967581047385</v>
      </c>
      <c r="CI77" s="3">
        <f t="shared" ca="1" si="175"/>
        <v>0</v>
      </c>
      <c r="CJ77" s="3">
        <f t="shared" ca="1" si="176"/>
        <v>0.49825610363726952</v>
      </c>
      <c r="CK77" s="3">
        <f t="shared" ca="1" si="177"/>
        <v>0.37579857196542654</v>
      </c>
      <c r="CM77" s="3">
        <f t="shared" ca="1" si="178"/>
        <v>0.74812967581047385</v>
      </c>
      <c r="CN77" s="3">
        <f t="shared" ca="1" si="179"/>
        <v>0.4981320049813201</v>
      </c>
      <c r="CO77" s="3">
        <f t="shared" ca="1" si="180"/>
        <v>0.99651220727453904</v>
      </c>
      <c r="CP77" s="3">
        <f t="shared" ca="1" si="181"/>
        <v>0.37579857196542654</v>
      </c>
      <c r="CR77" s="3">
        <v>2.8610000610351563</v>
      </c>
      <c r="CS77" s="3">
        <v>4.0149999999999997</v>
      </c>
      <c r="CT77" s="3">
        <v>1.5360000133514404</v>
      </c>
      <c r="CU77" s="3">
        <v>6.0000000521540642E-3</v>
      </c>
      <c r="CV77" s="21">
        <f t="shared" ca="1" si="183"/>
        <v>0.13702042404549242</v>
      </c>
      <c r="CW77" s="16">
        <f t="shared" ca="1" si="182"/>
        <v>9.6666666666666661</v>
      </c>
    </row>
    <row r="78" spans="1:101" s="3" customFormat="1" x14ac:dyDescent="0.35">
      <c r="A78" s="2" t="s">
        <v>52</v>
      </c>
      <c r="B78" s="2">
        <v>9.6666666666666661</v>
      </c>
      <c r="C78" s="2" t="s">
        <v>168</v>
      </c>
      <c r="D78" s="2" t="s">
        <v>403</v>
      </c>
      <c r="F78" s="3">
        <v>4.01</v>
      </c>
      <c r="G78" s="3">
        <v>4.016</v>
      </c>
      <c r="H78" s="3">
        <v>4.016</v>
      </c>
      <c r="I78" s="3">
        <v>4.0149999999999997</v>
      </c>
      <c r="K78" s="3">
        <f t="shared" ca="1" si="122"/>
        <v>0.99326683291770579</v>
      </c>
      <c r="L78" s="3">
        <f t="shared" ca="1" si="123"/>
        <v>0.99576693227091639</v>
      </c>
      <c r="M78" s="3">
        <f t="shared" ca="1" si="124"/>
        <v>0.99601593625498008</v>
      </c>
      <c r="N78" s="3">
        <f t="shared" ca="1" si="125"/>
        <v>0.99601494396014956</v>
      </c>
      <c r="P78" s="3">
        <f t="shared" ca="1" si="126"/>
        <v>0.96433913971569185</v>
      </c>
      <c r="Q78" s="3">
        <f t="shared" ca="1" si="127"/>
        <v>0.97933266241385408</v>
      </c>
      <c r="R78" s="3">
        <f t="shared" ca="1" si="128"/>
        <v>0.95069723584563048</v>
      </c>
      <c r="S78" s="3">
        <f t="shared" ca="1" si="129"/>
        <v>0.84209212775842046</v>
      </c>
      <c r="U78" s="3">
        <f t="shared" ca="1" si="130"/>
        <v>1.4962593516209477</v>
      </c>
      <c r="V78" s="3">
        <f t="shared" ca="1" si="131"/>
        <v>1.2450199203187251</v>
      </c>
      <c r="W78" s="3">
        <f t="shared" ca="1" si="132"/>
        <v>2.9880478087649402</v>
      </c>
      <c r="X78" s="3">
        <f t="shared" ca="1" si="133"/>
        <v>2.9887920298879207</v>
      </c>
      <c r="Z78" s="3">
        <f t="shared" ca="1" si="134"/>
        <v>0.99326683291770579</v>
      </c>
      <c r="AA78" s="3">
        <f t="shared" ca="1" si="135"/>
        <v>0.99576693227091639</v>
      </c>
      <c r="AB78" s="3">
        <f t="shared" ca="1" si="136"/>
        <v>0.99601593625498008</v>
      </c>
      <c r="AC78" s="3">
        <f t="shared" ca="1" si="137"/>
        <v>0.99601494396014956</v>
      </c>
      <c r="AE78" s="3">
        <f t="shared" ca="1" si="138"/>
        <v>0.96433913971569185</v>
      </c>
      <c r="AF78" s="3">
        <f t="shared" ca="1" si="139"/>
        <v>0.97933266241385408</v>
      </c>
      <c r="AG78" s="3">
        <f t="shared" ca="1" si="140"/>
        <v>0.95069723584563048</v>
      </c>
      <c r="AH78" s="3">
        <f t="shared" ca="1" si="141"/>
        <v>0.84209212775842046</v>
      </c>
      <c r="AJ78" s="3">
        <f t="shared" ca="1" si="142"/>
        <v>1.4962593516209477</v>
      </c>
      <c r="AK78" s="3">
        <f t="shared" ca="1" si="143"/>
        <v>1.2450199203187251</v>
      </c>
      <c r="AL78" s="3">
        <f t="shared" ca="1" si="144"/>
        <v>2.9880478087649402</v>
      </c>
      <c r="AM78" s="3">
        <f t="shared" ca="1" si="145"/>
        <v>2.9887920298879207</v>
      </c>
      <c r="AO78" s="3">
        <f t="shared" ca="1" si="146"/>
        <v>0.24937655860349128</v>
      </c>
      <c r="AP78" s="3">
        <f t="shared" ca="1" si="147"/>
        <v>0.24900398406374502</v>
      </c>
      <c r="AQ78" s="3">
        <f t="shared" ca="1" si="148"/>
        <v>0.24900398406374502</v>
      </c>
      <c r="AR78" s="3">
        <f t="shared" ca="1" si="149"/>
        <v>0.24906600249066005</v>
      </c>
      <c r="AT78" s="3">
        <v>1.3000000268220901E-2</v>
      </c>
      <c r="AU78" s="3">
        <v>8.999999612569809E-3</v>
      </c>
      <c r="AV78" s="3">
        <v>3.0000000260770321E-3</v>
      </c>
      <c r="AW78" s="3">
        <v>0.26399999856948853</v>
      </c>
      <c r="AY78" s="3">
        <f t="shared" ca="1" si="150"/>
        <v>0.86034912718204493</v>
      </c>
      <c r="AZ78" s="3">
        <f t="shared" ca="1" si="151"/>
        <v>0.78834661354581681</v>
      </c>
      <c r="BA78" s="3">
        <f t="shared" ca="1" si="152"/>
        <v>0.56847609561752999</v>
      </c>
      <c r="BB78" s="3">
        <f t="shared" ca="1" si="153"/>
        <v>0.59750933997509348</v>
      </c>
      <c r="BD78" s="3">
        <f t="shared" ca="1" si="154"/>
        <v>0.86433911914391415</v>
      </c>
      <c r="BE78" s="3">
        <f t="shared" ca="1" si="155"/>
        <v>0.73032869226429087</v>
      </c>
      <c r="BF78" s="3">
        <f t="shared" ca="1" si="156"/>
        <v>0.630976110571565</v>
      </c>
      <c r="BG78" s="3">
        <f t="shared" ca="1" si="157"/>
        <v>0.60149437166833941</v>
      </c>
      <c r="BI78" s="3">
        <f t="shared" ca="1" si="158"/>
        <v>0.99750623441396513</v>
      </c>
      <c r="BJ78" s="3">
        <f t="shared" ca="1" si="159"/>
        <v>0.74701195219123506</v>
      </c>
      <c r="BK78" s="3">
        <f t="shared" ca="1" si="160"/>
        <v>1.7430278884462151</v>
      </c>
      <c r="BL78" s="3">
        <f t="shared" ca="1" si="161"/>
        <v>1.7434620174346203</v>
      </c>
      <c r="BN78" s="3">
        <f t="shared" ca="1" si="162"/>
        <v>0.49875311720698257</v>
      </c>
      <c r="BO78" s="3">
        <f t="shared" ca="1" si="163"/>
        <v>0.49800796812749004</v>
      </c>
      <c r="BP78" s="3">
        <f t="shared" ca="1" si="164"/>
        <v>0.99601593625498008</v>
      </c>
      <c r="BQ78" s="3">
        <f t="shared" ca="1" si="165"/>
        <v>0.4981320049813201</v>
      </c>
      <c r="BS78" s="3">
        <v>1.3000000268220901E-2</v>
      </c>
      <c r="BT78" s="3">
        <v>0.57499998807907104</v>
      </c>
      <c r="BU78" s="3">
        <v>3.0000000260770321E-3</v>
      </c>
      <c r="BV78" s="3">
        <v>0.48100000619888306</v>
      </c>
      <c r="BX78" s="3">
        <f t="shared" ca="1" si="166"/>
        <v>0</v>
      </c>
      <c r="BY78" s="3">
        <f t="shared" ca="1" si="167"/>
        <v>0</v>
      </c>
      <c r="BZ78" s="3">
        <f t="shared" ca="1" si="168"/>
        <v>0</v>
      </c>
      <c r="CA78" s="3">
        <f t="shared" ca="1" si="169"/>
        <v>0</v>
      </c>
      <c r="CC78" s="3">
        <f t="shared" ca="1" si="170"/>
        <v>0</v>
      </c>
      <c r="CD78" s="3">
        <f t="shared" ca="1" si="171"/>
        <v>0</v>
      </c>
      <c r="CE78" s="3">
        <f t="shared" ca="1" si="172"/>
        <v>0</v>
      </c>
      <c r="CF78" s="3">
        <f t="shared" ca="1" si="173"/>
        <v>0</v>
      </c>
      <c r="CH78" s="3">
        <f t="shared" ca="1" si="174"/>
        <v>0</v>
      </c>
      <c r="CI78" s="3">
        <f t="shared" ca="1" si="175"/>
        <v>0</v>
      </c>
      <c r="CJ78" s="3">
        <f t="shared" ca="1" si="176"/>
        <v>0</v>
      </c>
      <c r="CK78" s="3">
        <f t="shared" ca="1" si="177"/>
        <v>0</v>
      </c>
      <c r="CM78" s="3">
        <f t="shared" ca="1" si="178"/>
        <v>0</v>
      </c>
      <c r="CN78" s="3">
        <f t="shared" ca="1" si="179"/>
        <v>0</v>
      </c>
      <c r="CO78" s="3">
        <f t="shared" ca="1" si="180"/>
        <v>0</v>
      </c>
      <c r="CP78" s="3">
        <f t="shared" ca="1" si="181"/>
        <v>0</v>
      </c>
      <c r="CR78" s="3">
        <v>4.01</v>
      </c>
      <c r="CS78" s="3">
        <v>4.016</v>
      </c>
      <c r="CT78" s="3">
        <v>4.016</v>
      </c>
      <c r="CU78" s="3">
        <v>4.0149999999999997</v>
      </c>
      <c r="CV78" s="21">
        <f t="shared" ca="1" si="183"/>
        <v>0.630976110571565</v>
      </c>
      <c r="CW78" s="16">
        <f t="shared" ca="1" si="182"/>
        <v>9.6666666666666661</v>
      </c>
    </row>
    <row r="79" spans="1:101" s="3" customFormat="1" x14ac:dyDescent="0.35">
      <c r="A79" s="2" t="s">
        <v>61</v>
      </c>
      <c r="B79" s="2">
        <v>9.8333333333333339</v>
      </c>
      <c r="C79" s="2" t="s">
        <v>168</v>
      </c>
      <c r="D79" s="2" t="s">
        <v>403</v>
      </c>
      <c r="F79" s="3">
        <v>4.0090000000000003</v>
      </c>
      <c r="G79" s="3">
        <v>4.0149999999999997</v>
      </c>
      <c r="H79" s="3">
        <v>4.0060000000000002</v>
      </c>
      <c r="I79" s="3">
        <v>4.0110000000000001</v>
      </c>
      <c r="K79" s="3">
        <f t="shared" ca="1" si="122"/>
        <v>0.99351459216762283</v>
      </c>
      <c r="L79" s="3">
        <f t="shared" ca="1" si="123"/>
        <v>0.99601494396014956</v>
      </c>
      <c r="M79" s="3">
        <f t="shared" ca="1" si="124"/>
        <v>0.99825262106839752</v>
      </c>
      <c r="N79" s="3">
        <f t="shared" ca="1" si="125"/>
        <v>0.94714535028671154</v>
      </c>
      <c r="P79" s="3">
        <f t="shared" ca="1" si="126"/>
        <v>0.89324021516342234</v>
      </c>
      <c r="Q79" s="3">
        <f t="shared" ca="1" si="127"/>
        <v>0.91307613659988762</v>
      </c>
      <c r="R79" s="3">
        <f t="shared" ca="1" si="128"/>
        <v>0.87343981468383292</v>
      </c>
      <c r="S79" s="3">
        <f t="shared" ca="1" si="129"/>
        <v>0.83470453766628083</v>
      </c>
      <c r="U79" s="3">
        <f t="shared" ca="1" si="130"/>
        <v>1.9955101022698927</v>
      </c>
      <c r="V79" s="3">
        <f t="shared" ca="1" si="131"/>
        <v>3.4869240348692405</v>
      </c>
      <c r="W79" s="3">
        <f t="shared" ca="1" si="132"/>
        <v>3.4947578632051921</v>
      </c>
      <c r="X79" s="3">
        <f t="shared" ca="1" si="133"/>
        <v>2.2438294689603588</v>
      </c>
      <c r="Z79" s="3">
        <f t="shared" ca="1" si="134"/>
        <v>0.99351459216762283</v>
      </c>
      <c r="AA79" s="3">
        <f t="shared" ca="1" si="135"/>
        <v>0.99601494396014956</v>
      </c>
      <c r="AB79" s="3">
        <f t="shared" ca="1" si="136"/>
        <v>0.99825262106839752</v>
      </c>
      <c r="AC79" s="3">
        <f t="shared" ca="1" si="137"/>
        <v>0.9222139117427075</v>
      </c>
      <c r="AE79" s="3">
        <f t="shared" ca="1" si="138"/>
        <v>0.89324021516342234</v>
      </c>
      <c r="AF79" s="3">
        <f t="shared" ca="1" si="139"/>
        <v>0.91307613659988762</v>
      </c>
      <c r="AG79" s="3">
        <f t="shared" ca="1" si="140"/>
        <v>0.87343981468383292</v>
      </c>
      <c r="AH79" s="3">
        <f t="shared" ca="1" si="141"/>
        <v>0.83470453766628083</v>
      </c>
      <c r="AJ79" s="3">
        <f t="shared" ca="1" si="142"/>
        <v>1.9955101022698927</v>
      </c>
      <c r="AK79" s="3">
        <f t="shared" ca="1" si="143"/>
        <v>3.4869240348692405</v>
      </c>
      <c r="AL79" s="3">
        <f t="shared" ca="1" si="144"/>
        <v>3.4947578632051921</v>
      </c>
      <c r="AM79" s="3">
        <f t="shared" ca="1" si="145"/>
        <v>2.2438294689603588</v>
      </c>
      <c r="AO79" s="3">
        <f t="shared" ca="1" si="146"/>
        <v>0.24943876278373658</v>
      </c>
      <c r="AP79" s="3">
        <f t="shared" ca="1" si="147"/>
        <v>0.24906600249066005</v>
      </c>
      <c r="AQ79" s="3">
        <f t="shared" ca="1" si="148"/>
        <v>0.24962556165751371</v>
      </c>
      <c r="AR79" s="3">
        <f t="shared" ca="1" si="149"/>
        <v>0.49862877088007979</v>
      </c>
      <c r="AT79" s="3">
        <v>6.3000001013278961E-2</v>
      </c>
      <c r="AU79" s="3">
        <v>1.2000000104308128E-2</v>
      </c>
      <c r="AV79" s="3">
        <v>2.0000000949949026E-3</v>
      </c>
      <c r="AW79" s="3">
        <v>0.35899999737739563</v>
      </c>
      <c r="AY79" s="3">
        <f t="shared" ca="1" si="150"/>
        <v>0.46121227238712881</v>
      </c>
      <c r="AZ79" s="3">
        <f t="shared" ca="1" si="151"/>
        <v>0.39053549190535497</v>
      </c>
      <c r="BA79" s="3">
        <f t="shared" ca="1" si="152"/>
        <v>0.58237643534697958</v>
      </c>
      <c r="BB79" s="3">
        <f t="shared" ca="1" si="153"/>
        <v>0.3737222637746197</v>
      </c>
      <c r="BD79" s="3">
        <f t="shared" ca="1" si="154"/>
        <v>0.4195560092312286</v>
      </c>
      <c r="BE79" s="3">
        <f t="shared" ca="1" si="155"/>
        <v>0.46077217735062503</v>
      </c>
      <c r="BF79" s="3">
        <f t="shared" ca="1" si="156"/>
        <v>0.51997006832214221</v>
      </c>
      <c r="BG79" s="3">
        <f t="shared" ca="1" si="157"/>
        <v>0.36549490159718778</v>
      </c>
      <c r="BI79" s="3">
        <f t="shared" ca="1" si="158"/>
        <v>0.74831628835120967</v>
      </c>
      <c r="BJ79" s="3">
        <f t="shared" ca="1" si="159"/>
        <v>1.7434620174346203</v>
      </c>
      <c r="BK79" s="3">
        <f t="shared" ca="1" si="160"/>
        <v>1.9970044932601096</v>
      </c>
      <c r="BL79" s="3">
        <f t="shared" ca="1" si="161"/>
        <v>1.2465719272001994</v>
      </c>
      <c r="BN79" s="3">
        <f t="shared" ca="1" si="162"/>
        <v>0.99775505113494634</v>
      </c>
      <c r="BO79" s="3">
        <f t="shared" ca="1" si="163"/>
        <v>1.2453300124533002</v>
      </c>
      <c r="BP79" s="3">
        <f t="shared" ca="1" si="164"/>
        <v>1.4977533699450822</v>
      </c>
      <c r="BQ79" s="3">
        <f t="shared" ca="1" si="165"/>
        <v>0.49862877088007979</v>
      </c>
      <c r="BS79" s="3">
        <v>0.71299999952316284</v>
      </c>
      <c r="BT79" s="3">
        <v>0.39500001072883606</v>
      </c>
      <c r="BU79" s="3">
        <v>0.45199999213218689</v>
      </c>
      <c r="BV79" s="3">
        <v>0.35899999737739563</v>
      </c>
      <c r="BX79" s="3">
        <f t="shared" ca="1" si="166"/>
        <v>4.589673235220746E-2</v>
      </c>
      <c r="BY79" s="3">
        <f t="shared" ca="1" si="167"/>
        <v>0</v>
      </c>
      <c r="BZ79" s="3">
        <f t="shared" ca="1" si="168"/>
        <v>1.2481278082875642E-2</v>
      </c>
      <c r="CA79" s="3">
        <f t="shared" ca="1" si="169"/>
        <v>0.11618050361505852</v>
      </c>
      <c r="CC79" s="3">
        <f t="shared" ca="1" si="170"/>
        <v>0</v>
      </c>
      <c r="CD79" s="3">
        <f t="shared" ca="1" si="171"/>
        <v>0</v>
      </c>
      <c r="CE79" s="3">
        <f t="shared" ca="1" si="172"/>
        <v>7.4887656594179772E-2</v>
      </c>
      <c r="CF79" s="3">
        <f t="shared" ca="1" si="173"/>
        <v>0.11194218902093339</v>
      </c>
      <c r="CH79" s="3">
        <f t="shared" ca="1" si="174"/>
        <v>0</v>
      </c>
      <c r="CI79" s="3">
        <f t="shared" ca="1" si="175"/>
        <v>0</v>
      </c>
      <c r="CJ79" s="3">
        <f t="shared" ca="1" si="176"/>
        <v>0.24962556165751371</v>
      </c>
      <c r="CK79" s="3">
        <f t="shared" ca="1" si="177"/>
        <v>0.24931438544003989</v>
      </c>
      <c r="CM79" s="3">
        <f t="shared" ca="1" si="178"/>
        <v>0.24943876278373658</v>
      </c>
      <c r="CN79" s="3">
        <f t="shared" ca="1" si="179"/>
        <v>0.24906600249066005</v>
      </c>
      <c r="CO79" s="3">
        <f t="shared" ca="1" si="180"/>
        <v>0.74887668497254112</v>
      </c>
      <c r="CP79" s="3">
        <f t="shared" ca="1" si="181"/>
        <v>0.24931438544003989</v>
      </c>
      <c r="CR79" s="3">
        <v>4.0090000000000003</v>
      </c>
      <c r="CS79" s="3">
        <v>4.0149999999999997</v>
      </c>
      <c r="CT79" s="3">
        <v>3.6840000152587891</v>
      </c>
      <c r="CU79" s="3">
        <v>1.6089999675750732</v>
      </c>
      <c r="CV79" s="21">
        <f t="shared" ca="1" si="183"/>
        <v>0.51997006832214221</v>
      </c>
      <c r="CW79" s="16">
        <f t="shared" ca="1" si="182"/>
        <v>9.8333333333333339</v>
      </c>
    </row>
    <row r="80" spans="1:101" s="3" customFormat="1" x14ac:dyDescent="0.35">
      <c r="A80" s="2" t="s">
        <v>62</v>
      </c>
      <c r="B80" s="2">
        <v>9.8333333333333339</v>
      </c>
      <c r="C80" s="2" t="s">
        <v>167</v>
      </c>
      <c r="D80" s="2" t="s">
        <v>403</v>
      </c>
      <c r="F80" s="3">
        <v>4.0090000000000003</v>
      </c>
      <c r="G80" s="3">
        <v>4.0110000000000001</v>
      </c>
      <c r="H80" s="3">
        <v>4.016</v>
      </c>
      <c r="I80" s="3">
        <v>4.0010000000000003</v>
      </c>
      <c r="K80" s="3">
        <f t="shared" ca="1" si="122"/>
        <v>0.98902469443751562</v>
      </c>
      <c r="L80" s="3">
        <f t="shared" ca="1" si="123"/>
        <v>0.99700822737471939</v>
      </c>
      <c r="M80" s="3">
        <f t="shared" ca="1" si="124"/>
        <v>0.9957669322709165</v>
      </c>
      <c r="N80" s="3">
        <f t="shared" ca="1" si="125"/>
        <v>0.99550112471882024</v>
      </c>
      <c r="P80" s="3">
        <f t="shared" ca="1" si="126"/>
        <v>0.8271389679663137</v>
      </c>
      <c r="Q80" s="3">
        <f t="shared" ca="1" si="127"/>
        <v>0.86362509656445818</v>
      </c>
      <c r="R80" s="3">
        <f t="shared" ca="1" si="128"/>
        <v>0.93426295762289824</v>
      </c>
      <c r="S80" s="3">
        <f t="shared" ca="1" si="129"/>
        <v>0.8922768244647854</v>
      </c>
      <c r="U80" s="3">
        <f t="shared" ca="1" si="130"/>
        <v>2.2449488650536291</v>
      </c>
      <c r="V80" s="3">
        <f t="shared" ca="1" si="131"/>
        <v>1.7452006980802792</v>
      </c>
      <c r="W80" s="3">
        <f t="shared" ca="1" si="132"/>
        <v>3.237051792828685</v>
      </c>
      <c r="X80" s="3">
        <f t="shared" ca="1" si="133"/>
        <v>2.499375156210947</v>
      </c>
      <c r="Z80" s="3">
        <f t="shared" ca="1" si="134"/>
        <v>0.98902469443751562</v>
      </c>
      <c r="AA80" s="3">
        <f t="shared" ca="1" si="135"/>
        <v>0.99700822737471939</v>
      </c>
      <c r="AB80" s="3">
        <f t="shared" ca="1" si="136"/>
        <v>0.9957669322709165</v>
      </c>
      <c r="AC80" s="3">
        <f t="shared" ca="1" si="137"/>
        <v>0.99550112471882024</v>
      </c>
      <c r="AE80" s="3">
        <f t="shared" ca="1" si="138"/>
        <v>0.8271389679663137</v>
      </c>
      <c r="AF80" s="3">
        <f t="shared" ca="1" si="139"/>
        <v>0.86362509656445818</v>
      </c>
      <c r="AG80" s="3">
        <f t="shared" ca="1" si="140"/>
        <v>0.93426295762289824</v>
      </c>
      <c r="AH80" s="3">
        <f t="shared" ca="1" si="141"/>
        <v>0.8922768244647854</v>
      </c>
      <c r="AJ80" s="3">
        <f t="shared" ca="1" si="142"/>
        <v>2.2449488650536291</v>
      </c>
      <c r="AK80" s="3">
        <f t="shared" ca="1" si="143"/>
        <v>1.7452006980802792</v>
      </c>
      <c r="AL80" s="3">
        <f t="shared" ca="1" si="144"/>
        <v>3.237051792828685</v>
      </c>
      <c r="AM80" s="3">
        <f t="shared" ca="1" si="145"/>
        <v>2.499375156210947</v>
      </c>
      <c r="AO80" s="3">
        <f t="shared" ca="1" si="146"/>
        <v>0.24943876278373658</v>
      </c>
      <c r="AP80" s="3">
        <f t="shared" ca="1" si="147"/>
        <v>0.24931438544003989</v>
      </c>
      <c r="AQ80" s="3">
        <f t="shared" ca="1" si="148"/>
        <v>0.24900398406374502</v>
      </c>
      <c r="AR80" s="3">
        <f t="shared" ca="1" si="149"/>
        <v>0.2499375156210947</v>
      </c>
      <c r="AT80" s="3">
        <v>3.7999998778104782E-2</v>
      </c>
      <c r="AU80" s="3">
        <v>1.0999999940395355E-2</v>
      </c>
      <c r="AV80" s="3">
        <v>2.0000000949949026E-3</v>
      </c>
      <c r="AW80" s="3">
        <v>7.0000002160668373E-3</v>
      </c>
      <c r="AY80" s="3">
        <f t="shared" ca="1" si="150"/>
        <v>0.7151409329009728</v>
      </c>
      <c r="AZ80" s="3">
        <f t="shared" ca="1" si="151"/>
        <v>0.40314136125654448</v>
      </c>
      <c r="BA80" s="3">
        <f t="shared" ca="1" si="152"/>
        <v>0.21987051792828682</v>
      </c>
      <c r="BB80" s="3">
        <f t="shared" ca="1" si="153"/>
        <v>0.28342914271432146</v>
      </c>
      <c r="BD80" s="3">
        <f t="shared" ca="1" si="154"/>
        <v>0.71913193206027071</v>
      </c>
      <c r="BE80" s="3">
        <f t="shared" ca="1" si="155"/>
        <v>0.45674394354562275</v>
      </c>
      <c r="BF80" s="3">
        <f t="shared" ca="1" si="156"/>
        <v>0.24501991224478914</v>
      </c>
      <c r="BG80" s="3">
        <f t="shared" ca="1" si="157"/>
        <v>0.30467384935944891</v>
      </c>
      <c r="BI80" s="3">
        <f t="shared" ca="1" si="158"/>
        <v>1.4966325767024193</v>
      </c>
      <c r="BJ80" s="3">
        <f t="shared" ca="1" si="159"/>
        <v>0.74794315632011965</v>
      </c>
      <c r="BK80" s="3">
        <f t="shared" ca="1" si="160"/>
        <v>0.74701195219123506</v>
      </c>
      <c r="BL80" s="3">
        <f t="shared" ca="1" si="161"/>
        <v>0.74981254686328414</v>
      </c>
      <c r="BN80" s="3">
        <f t="shared" ca="1" si="162"/>
        <v>0.74831628835120967</v>
      </c>
      <c r="BO80" s="3">
        <f t="shared" ca="1" si="163"/>
        <v>0.49862877088007979</v>
      </c>
      <c r="BP80" s="3">
        <f t="shared" ca="1" si="164"/>
        <v>0.24900398406374502</v>
      </c>
      <c r="BQ80" s="3">
        <f t="shared" ca="1" si="165"/>
        <v>0.74981254686328414</v>
      </c>
      <c r="BS80" s="3">
        <v>3.7999998778104782E-2</v>
      </c>
      <c r="BT80" s="3">
        <v>0.41100001335144043</v>
      </c>
      <c r="BU80" s="3">
        <v>0.43500000238418579</v>
      </c>
      <c r="BV80" s="3">
        <v>0.37299999594688416</v>
      </c>
      <c r="BX80" s="3">
        <f t="shared" ca="1" si="166"/>
        <v>6.6600149663257641E-2</v>
      </c>
      <c r="BY80" s="3">
        <f t="shared" ca="1" si="167"/>
        <v>0.11618050361505863</v>
      </c>
      <c r="BZ80" s="3">
        <f t="shared" ca="1" si="168"/>
        <v>7.4701195219123578E-2</v>
      </c>
      <c r="CA80" s="3">
        <f t="shared" ca="1" si="169"/>
        <v>0.1289677580604848</v>
      </c>
      <c r="CC80" s="3">
        <f t="shared" ca="1" si="170"/>
        <v>4.988776445091439E-2</v>
      </c>
      <c r="CD80" s="3">
        <f t="shared" ca="1" si="171"/>
        <v>0.13687360378846478</v>
      </c>
      <c r="CE80" s="3">
        <f t="shared" ca="1" si="172"/>
        <v>6.6484113138510409E-2</v>
      </c>
      <c r="CF80" s="3">
        <f t="shared" ca="1" si="173"/>
        <v>0.1164708427118379</v>
      </c>
      <c r="CH80" s="3">
        <f t="shared" ca="1" si="174"/>
        <v>0.24943876278373658</v>
      </c>
      <c r="CI80" s="3">
        <f t="shared" ca="1" si="175"/>
        <v>0.24931438544003989</v>
      </c>
      <c r="CJ80" s="3">
        <f t="shared" ca="1" si="176"/>
        <v>0.49800796812749004</v>
      </c>
      <c r="CK80" s="3">
        <f t="shared" ca="1" si="177"/>
        <v>0.2499375156210947</v>
      </c>
      <c r="CM80" s="3">
        <f t="shared" ca="1" si="178"/>
        <v>0.24943876278373658</v>
      </c>
      <c r="CN80" s="3">
        <f t="shared" ca="1" si="179"/>
        <v>0.49862877088007979</v>
      </c>
      <c r="CO80" s="3">
        <f t="shared" ca="1" si="180"/>
        <v>0.74701195219123506</v>
      </c>
      <c r="CP80" s="3">
        <f t="shared" ca="1" si="181"/>
        <v>0.74981254686328414</v>
      </c>
      <c r="CR80" s="3">
        <v>1.1710000038146973</v>
      </c>
      <c r="CS80" s="3">
        <v>2.9769999980926514</v>
      </c>
      <c r="CT80" s="3">
        <v>2.5179998874664307</v>
      </c>
      <c r="CU80" s="3">
        <v>2.6070001125335693</v>
      </c>
      <c r="CV80" s="21">
        <f t="shared" ca="1" si="183"/>
        <v>0.24501991224478914</v>
      </c>
      <c r="CW80" s="16">
        <f t="shared" ca="1" si="182"/>
        <v>9.8333333333333339</v>
      </c>
    </row>
    <row r="81" spans="1:101" s="3" customFormat="1" x14ac:dyDescent="0.35">
      <c r="A81" s="2" t="s">
        <v>2</v>
      </c>
      <c r="B81" s="2">
        <v>10.083333333333334</v>
      </c>
      <c r="C81" s="2" t="s">
        <v>167</v>
      </c>
      <c r="D81" s="2" t="s">
        <v>403</v>
      </c>
      <c r="F81" s="3">
        <v>4.0149999999999997</v>
      </c>
      <c r="G81" s="3">
        <v>4.016</v>
      </c>
      <c r="H81" s="3">
        <v>4.016</v>
      </c>
      <c r="I81" s="3">
        <v>4.016</v>
      </c>
      <c r="K81" s="3">
        <f t="shared" ca="1" si="122"/>
        <v>0.99626400996264008</v>
      </c>
      <c r="L81" s="3">
        <f t="shared" ca="1" si="123"/>
        <v>0.99601593625498008</v>
      </c>
      <c r="M81" s="3">
        <f t="shared" ca="1" si="124"/>
        <v>0.93376494023904366</v>
      </c>
      <c r="N81" s="3">
        <f t="shared" ca="1" si="125"/>
        <v>0.8219621513944223</v>
      </c>
      <c r="P81" s="3">
        <f t="shared" ca="1" si="126"/>
        <v>0.54794529158329763</v>
      </c>
      <c r="Q81" s="3">
        <f t="shared" ca="1" si="127"/>
        <v>0.63072714539044406</v>
      </c>
      <c r="R81" s="3">
        <f t="shared" ca="1" si="128"/>
        <v>0.90413361572590012</v>
      </c>
      <c r="S81" s="3">
        <f t="shared" ca="1" si="129"/>
        <v>0.61852575128571508</v>
      </c>
      <c r="U81" s="3">
        <f t="shared" ca="1" si="130"/>
        <v>2.7397260273972606</v>
      </c>
      <c r="V81" s="3">
        <f t="shared" ca="1" si="131"/>
        <v>3.7350597609561751</v>
      </c>
      <c r="W81" s="3">
        <f t="shared" ca="1" si="132"/>
        <v>2.9880478087649402</v>
      </c>
      <c r="X81" s="3">
        <f t="shared" ca="1" si="133"/>
        <v>1.9920318725099602</v>
      </c>
      <c r="Z81" s="3">
        <f t="shared" ca="1" si="134"/>
        <v>0.21195516811955153</v>
      </c>
      <c r="AA81" s="3">
        <f t="shared" ca="1" si="135"/>
        <v>0.34810756972111551</v>
      </c>
      <c r="AB81" s="3">
        <f t="shared" ca="1" si="136"/>
        <v>0.20742031872509958</v>
      </c>
      <c r="AC81" s="3">
        <f t="shared" ca="1" si="137"/>
        <v>0.2739043824701195</v>
      </c>
      <c r="AE81" s="3">
        <f t="shared" ca="1" si="138"/>
        <v>0.20772114785789406</v>
      </c>
      <c r="AF81" s="3">
        <f t="shared" ca="1" si="139"/>
        <v>0.34437255110161236</v>
      </c>
      <c r="AG81" s="3">
        <f t="shared" ca="1" si="140"/>
        <v>0.24900401931300581</v>
      </c>
      <c r="AH81" s="3">
        <f t="shared" ca="1" si="141"/>
        <v>0.15786851188576079</v>
      </c>
      <c r="AJ81" s="3">
        <f t="shared" ca="1" si="142"/>
        <v>0.74719800747198017</v>
      </c>
      <c r="AK81" s="3">
        <f t="shared" ca="1" si="143"/>
        <v>1.9920318725099602</v>
      </c>
      <c r="AL81" s="3">
        <f t="shared" ca="1" si="144"/>
        <v>0.99601593625498008</v>
      </c>
      <c r="AM81" s="3">
        <f t="shared" ca="1" si="145"/>
        <v>0.49800796812749004</v>
      </c>
      <c r="AO81" s="3">
        <f t="shared" ca="1" si="146"/>
        <v>2.2415940224159403</v>
      </c>
      <c r="AP81" s="3">
        <f t="shared" ca="1" si="147"/>
        <v>2.739043824701195</v>
      </c>
      <c r="AQ81" s="3">
        <f t="shared" ca="1" si="148"/>
        <v>0.99601593625498008</v>
      </c>
      <c r="AR81" s="3">
        <f t="shared" ca="1" si="149"/>
        <v>1.4940239043824701</v>
      </c>
      <c r="AT81" s="3">
        <v>0.87099999189376831</v>
      </c>
      <c r="AU81" s="3">
        <v>0.36700001358985901</v>
      </c>
      <c r="AV81" s="3">
        <v>0.12099999934434891</v>
      </c>
      <c r="AW81" s="3">
        <v>1.0249999761581421</v>
      </c>
      <c r="AY81" s="3">
        <f t="shared" ca="1" si="150"/>
        <v>0</v>
      </c>
      <c r="AZ81" s="3">
        <f t="shared" ca="1" si="151"/>
        <v>0</v>
      </c>
      <c r="BA81" s="3">
        <f t="shared" ca="1" si="152"/>
        <v>0</v>
      </c>
      <c r="BB81" s="3">
        <f t="shared" ca="1" si="153"/>
        <v>0</v>
      </c>
      <c r="BD81" s="3">
        <f t="shared" ca="1" si="154"/>
        <v>0</v>
      </c>
      <c r="BE81" s="3">
        <f t="shared" ca="1" si="155"/>
        <v>0</v>
      </c>
      <c r="BF81" s="3">
        <f t="shared" ca="1" si="156"/>
        <v>0</v>
      </c>
      <c r="BG81" s="3">
        <f t="shared" ca="1" si="157"/>
        <v>0</v>
      </c>
      <c r="BI81" s="3">
        <f t="shared" ca="1" si="158"/>
        <v>0</v>
      </c>
      <c r="BJ81" s="3">
        <f t="shared" ca="1" si="159"/>
        <v>0</v>
      </c>
      <c r="BK81" s="3">
        <f t="shared" ca="1" si="160"/>
        <v>0</v>
      </c>
      <c r="BL81" s="3">
        <f t="shared" ca="1" si="161"/>
        <v>0</v>
      </c>
      <c r="BN81" s="3">
        <f t="shared" ca="1" si="162"/>
        <v>0</v>
      </c>
      <c r="BO81" s="3">
        <f t="shared" ca="1" si="163"/>
        <v>0</v>
      </c>
      <c r="BP81" s="3">
        <f t="shared" ca="1" si="164"/>
        <v>0</v>
      </c>
      <c r="BQ81" s="3">
        <f t="shared" ca="1" si="165"/>
        <v>0</v>
      </c>
      <c r="BS81" s="3">
        <v>4.0149999999999997</v>
      </c>
      <c r="BT81" s="3">
        <v>4.016</v>
      </c>
      <c r="BU81" s="3">
        <v>4.016</v>
      </c>
      <c r="BV81" s="3">
        <v>4.016</v>
      </c>
      <c r="BX81" s="3">
        <f t="shared" ca="1" si="166"/>
        <v>4.58281444582814E-2</v>
      </c>
      <c r="BY81" s="3">
        <f t="shared" ca="1" si="167"/>
        <v>8.6653386454183232E-2</v>
      </c>
      <c r="BZ81" s="3">
        <f t="shared" ca="1" si="168"/>
        <v>0.14965139442231071</v>
      </c>
      <c r="CA81" s="3">
        <f t="shared" ca="1" si="169"/>
        <v>9.1384462151394424E-2</v>
      </c>
      <c r="CC81" s="3">
        <f t="shared" ca="1" si="170"/>
        <v>4.9813271756486907E-2</v>
      </c>
      <c r="CD81" s="3">
        <f t="shared" ca="1" si="171"/>
        <v>0.1162848921411066</v>
      </c>
      <c r="CE81" s="3">
        <f t="shared" ca="1" si="172"/>
        <v>0.13271912160622645</v>
      </c>
      <c r="CF81" s="3">
        <f t="shared" ca="1" si="173"/>
        <v>9.1384458114426442E-2</v>
      </c>
      <c r="CH81" s="3">
        <f t="shared" ca="1" si="174"/>
        <v>0.24906600249066005</v>
      </c>
      <c r="CI81" s="3">
        <f t="shared" ca="1" si="175"/>
        <v>0.74701195219123506</v>
      </c>
      <c r="CJ81" s="3">
        <f t="shared" ca="1" si="176"/>
        <v>0.49800796812749004</v>
      </c>
      <c r="CK81" s="3">
        <f t="shared" ca="1" si="177"/>
        <v>0.24900398406374502</v>
      </c>
      <c r="CM81" s="3">
        <f t="shared" ca="1" si="178"/>
        <v>0.74719800747198017</v>
      </c>
      <c r="CN81" s="3">
        <f t="shared" ca="1" si="179"/>
        <v>0.99601593625498008</v>
      </c>
      <c r="CO81" s="3">
        <f t="shared" ca="1" si="180"/>
        <v>0.74701195219123506</v>
      </c>
      <c r="CP81" s="3">
        <f t="shared" ca="1" si="181"/>
        <v>0.24900398406374502</v>
      </c>
      <c r="CR81" s="3">
        <v>3.8039999008178711</v>
      </c>
      <c r="CS81" s="3">
        <v>1.6829999685287476</v>
      </c>
      <c r="CT81" s="3">
        <v>1.3209999799728394</v>
      </c>
      <c r="CU81" s="3">
        <v>1.0249999761581421</v>
      </c>
      <c r="CV81" s="21">
        <f t="shared" ca="1" si="183"/>
        <v>0</v>
      </c>
      <c r="CW81" s="16">
        <f t="shared" ca="1" si="182"/>
        <v>10.083333333333334</v>
      </c>
    </row>
    <row r="82" spans="1:101" s="3" customFormat="1" x14ac:dyDescent="0.35">
      <c r="A82" s="2" t="s">
        <v>22</v>
      </c>
      <c r="B82" s="2">
        <v>10.083333333333334</v>
      </c>
      <c r="C82" s="2" t="s">
        <v>167</v>
      </c>
      <c r="D82" s="2" t="s">
        <v>403</v>
      </c>
      <c r="F82" s="3">
        <v>4.016</v>
      </c>
      <c r="G82" s="3">
        <v>4.0090000000000003</v>
      </c>
      <c r="H82" s="3">
        <v>4.016</v>
      </c>
      <c r="I82" s="3">
        <v>4.0149999999999997</v>
      </c>
      <c r="K82" s="3">
        <f t="shared" ca="1" si="122"/>
        <v>0.99576693227091628</v>
      </c>
      <c r="L82" s="3">
        <f t="shared" ca="1" si="123"/>
        <v>0.99750561237216251</v>
      </c>
      <c r="M82" s="3">
        <f t="shared" ca="1" si="124"/>
        <v>0.9957669322709165</v>
      </c>
      <c r="N82" s="3">
        <f t="shared" ca="1" si="125"/>
        <v>0.99601494396014956</v>
      </c>
      <c r="P82" s="3">
        <f t="shared" ca="1" si="126"/>
        <v>0.96240039115708576</v>
      </c>
      <c r="Q82" s="3">
        <f t="shared" ca="1" si="127"/>
        <v>0.9553505207188232</v>
      </c>
      <c r="R82" s="3">
        <f t="shared" ca="1" si="128"/>
        <v>0.93749998669804213</v>
      </c>
      <c r="S82" s="3">
        <f t="shared" ca="1" si="129"/>
        <v>0.96264008715618898</v>
      </c>
      <c r="U82" s="3">
        <f t="shared" ca="1" si="130"/>
        <v>1.4940239043824701</v>
      </c>
      <c r="V82" s="3">
        <f t="shared" ca="1" si="131"/>
        <v>2.7438263906211025</v>
      </c>
      <c r="W82" s="3">
        <f t="shared" ca="1" si="132"/>
        <v>2.241035856573705</v>
      </c>
      <c r="X82" s="3">
        <f t="shared" ca="1" si="133"/>
        <v>1.7434620174346203</v>
      </c>
      <c r="Z82" s="3">
        <f t="shared" ca="1" si="134"/>
        <v>0.99576693227091628</v>
      </c>
      <c r="AA82" s="3">
        <f t="shared" ca="1" si="135"/>
        <v>0.99750561237216251</v>
      </c>
      <c r="AB82" s="3">
        <f t="shared" ca="1" si="136"/>
        <v>0.9957669322709165</v>
      </c>
      <c r="AC82" s="3">
        <f t="shared" ca="1" si="137"/>
        <v>0.99601494396014956</v>
      </c>
      <c r="AE82" s="3">
        <f t="shared" ca="1" si="138"/>
        <v>0.96240039115708576</v>
      </c>
      <c r="AF82" s="3">
        <f t="shared" ca="1" si="139"/>
        <v>0.9553505207188232</v>
      </c>
      <c r="AG82" s="3">
        <f t="shared" ca="1" si="140"/>
        <v>0.93749998669804213</v>
      </c>
      <c r="AH82" s="3">
        <f t="shared" ca="1" si="141"/>
        <v>0.96264008715618898</v>
      </c>
      <c r="AJ82" s="3">
        <f t="shared" ca="1" si="142"/>
        <v>1.4940239043824701</v>
      </c>
      <c r="AK82" s="3">
        <f t="shared" ca="1" si="143"/>
        <v>2.7438263906211025</v>
      </c>
      <c r="AL82" s="3">
        <f t="shared" ca="1" si="144"/>
        <v>2.241035856573705</v>
      </c>
      <c r="AM82" s="3">
        <f t="shared" ca="1" si="145"/>
        <v>1.7434620174346203</v>
      </c>
      <c r="AO82" s="3">
        <f t="shared" ca="1" si="146"/>
        <v>0.24900398406374502</v>
      </c>
      <c r="AP82" s="3">
        <f t="shared" ca="1" si="147"/>
        <v>0.24943876278373658</v>
      </c>
      <c r="AQ82" s="3">
        <f t="shared" ca="1" si="148"/>
        <v>0.24900398406374502</v>
      </c>
      <c r="AR82" s="3">
        <f t="shared" ca="1" si="149"/>
        <v>0.24906600249066005</v>
      </c>
      <c r="AT82" s="3">
        <v>3.0000000260770321E-3</v>
      </c>
      <c r="AU82" s="3">
        <v>8.0000003799796104E-3</v>
      </c>
      <c r="AV82" s="3">
        <v>9.9999997764825821E-3</v>
      </c>
      <c r="AW82" s="3">
        <v>0</v>
      </c>
      <c r="AY82" s="3">
        <f t="shared" ca="1" si="150"/>
        <v>0.62226095617529875</v>
      </c>
      <c r="AZ82" s="3">
        <f t="shared" ca="1" si="151"/>
        <v>0.40708406086305815</v>
      </c>
      <c r="BA82" s="3">
        <f t="shared" ca="1" si="152"/>
        <v>0.48530876494023911</v>
      </c>
      <c r="BB82" s="3">
        <f t="shared" ca="1" si="153"/>
        <v>0.3195516811955168</v>
      </c>
      <c r="BD82" s="3">
        <f t="shared" ca="1" si="154"/>
        <v>0.64716137856601241</v>
      </c>
      <c r="BE82" s="3">
        <f t="shared" ca="1" si="155"/>
        <v>0.49388874020175638</v>
      </c>
      <c r="BF82" s="3">
        <f t="shared" ca="1" si="156"/>
        <v>0.50597610202547449</v>
      </c>
      <c r="BG82" s="3">
        <f t="shared" ca="1" si="157"/>
        <v>0.31930260165393876</v>
      </c>
      <c r="BI82" s="3">
        <f t="shared" ca="1" si="158"/>
        <v>0.74701195219123506</v>
      </c>
      <c r="BJ82" s="3">
        <f t="shared" ca="1" si="159"/>
        <v>1.2471938139186829</v>
      </c>
      <c r="BK82" s="3">
        <f t="shared" ca="1" si="160"/>
        <v>0.99601593625498008</v>
      </c>
      <c r="BL82" s="3">
        <f t="shared" ca="1" si="161"/>
        <v>0.4981320049813201</v>
      </c>
      <c r="BN82" s="3">
        <f t="shared" ca="1" si="162"/>
        <v>0.24900398406374502</v>
      </c>
      <c r="BO82" s="3">
        <f t="shared" ca="1" si="163"/>
        <v>0.99775505113494634</v>
      </c>
      <c r="BP82" s="3">
        <f t="shared" ca="1" si="164"/>
        <v>0.49800796812749004</v>
      </c>
      <c r="BQ82" s="3">
        <f t="shared" ca="1" si="165"/>
        <v>0.24906600249066005</v>
      </c>
      <c r="BS82" s="3">
        <v>1.1529999971389771</v>
      </c>
      <c r="BT82" s="3">
        <v>0.70800000429153442</v>
      </c>
      <c r="BU82" s="3">
        <v>9.9999997764825821E-3</v>
      </c>
      <c r="BV82" s="3">
        <v>1.8999999761581421</v>
      </c>
      <c r="BX82" s="3">
        <f t="shared" ca="1" si="166"/>
        <v>9.1384462151394341E-2</v>
      </c>
      <c r="BY82" s="3">
        <f t="shared" ca="1" si="167"/>
        <v>0.14567223746570204</v>
      </c>
      <c r="BZ82" s="3">
        <f t="shared" ca="1" si="168"/>
        <v>0.16210159362549806</v>
      </c>
      <c r="CA82" s="3">
        <f t="shared" ca="1" si="169"/>
        <v>0.28219178082191781</v>
      </c>
      <c r="CC82" s="3">
        <f t="shared" ca="1" si="170"/>
        <v>8.7151400359028366E-2</v>
      </c>
      <c r="CD82" s="3">
        <f t="shared" ca="1" si="171"/>
        <v>3.3424809913321245E-2</v>
      </c>
      <c r="CE82" s="3">
        <f t="shared" ca="1" si="172"/>
        <v>0.14093625118058042</v>
      </c>
      <c r="CF82" s="3">
        <f t="shared" ca="1" si="173"/>
        <v>0.23237858733085739</v>
      </c>
      <c r="CH82" s="3">
        <f t="shared" ca="1" si="174"/>
        <v>0.24900398406374502</v>
      </c>
      <c r="CI82" s="3">
        <f t="shared" ca="1" si="175"/>
        <v>0.24943876278373658</v>
      </c>
      <c r="CJ82" s="3">
        <f t="shared" ca="1" si="176"/>
        <v>0.24900398406374502</v>
      </c>
      <c r="CK82" s="3">
        <f t="shared" ca="1" si="177"/>
        <v>0.24906600249066005</v>
      </c>
      <c r="CM82" s="3">
        <f t="shared" ca="1" si="178"/>
        <v>0.49800796812749004</v>
      </c>
      <c r="CN82" s="3">
        <f t="shared" ca="1" si="179"/>
        <v>0.49887752556747317</v>
      </c>
      <c r="CO82" s="3">
        <f t="shared" ca="1" si="180"/>
        <v>0.49800796812749004</v>
      </c>
      <c r="CP82" s="3">
        <f t="shared" ca="1" si="181"/>
        <v>0.74719800747198017</v>
      </c>
      <c r="CR82" s="3">
        <v>0.78600001335144043</v>
      </c>
      <c r="CS82" s="3">
        <v>3.872999906539917</v>
      </c>
      <c r="CT82" s="3">
        <v>3.3429999351501465</v>
      </c>
      <c r="CU82" s="3">
        <v>0.80000001192092896</v>
      </c>
      <c r="CV82" s="21">
        <f t="shared" ca="1" si="183"/>
        <v>0.50597610202547449</v>
      </c>
      <c r="CW82" s="16">
        <f t="shared" ca="1" si="182"/>
        <v>10.083333333333334</v>
      </c>
    </row>
    <row r="83" spans="1:101" s="3" customFormat="1" x14ac:dyDescent="0.35">
      <c r="A83" s="2" t="s">
        <v>65</v>
      </c>
      <c r="B83" s="2">
        <v>10.166666666666666</v>
      </c>
      <c r="C83" s="2" t="s">
        <v>168</v>
      </c>
      <c r="D83" s="2" t="s">
        <v>403</v>
      </c>
      <c r="F83" s="3">
        <v>4.0149999999999997</v>
      </c>
      <c r="G83" s="3">
        <v>4.016</v>
      </c>
      <c r="H83" s="3">
        <v>4.016</v>
      </c>
      <c r="I83" s="3">
        <v>4.016</v>
      </c>
      <c r="K83" s="3">
        <f t="shared" ca="1" si="122"/>
        <v>0.94221668742216702</v>
      </c>
      <c r="L83" s="3">
        <f t="shared" ca="1" si="123"/>
        <v>0.99601593625498008</v>
      </c>
      <c r="M83" s="3">
        <f t="shared" ca="1" si="124"/>
        <v>0.99601593625498008</v>
      </c>
      <c r="N83" s="3">
        <f t="shared" ca="1" si="125"/>
        <v>0.99551792828685248</v>
      </c>
      <c r="P83" s="3">
        <f t="shared" ca="1" si="126"/>
        <v>0.77110817783499419</v>
      </c>
      <c r="Q83" s="3">
        <f t="shared" ca="1" si="127"/>
        <v>0.82594618911806683</v>
      </c>
      <c r="R83" s="3">
        <f t="shared" ca="1" si="128"/>
        <v>0.8217131633652871</v>
      </c>
      <c r="S83" s="3">
        <f t="shared" ca="1" si="129"/>
        <v>0.86653393468786166</v>
      </c>
      <c r="U83" s="3">
        <f t="shared" ca="1" si="130"/>
        <v>3.4869240348692405</v>
      </c>
      <c r="V83" s="3">
        <f t="shared" ca="1" si="131"/>
        <v>2.241035856573705</v>
      </c>
      <c r="W83" s="3">
        <f t="shared" ca="1" si="132"/>
        <v>3.7350597609561751</v>
      </c>
      <c r="X83" s="3">
        <f t="shared" ca="1" si="133"/>
        <v>2.9880478087649402</v>
      </c>
      <c r="Z83" s="3">
        <f t="shared" ca="1" si="134"/>
        <v>0.9962640099626402</v>
      </c>
      <c r="AA83" s="3">
        <f t="shared" ca="1" si="135"/>
        <v>0.99601593625498008</v>
      </c>
      <c r="AB83" s="3">
        <f t="shared" ca="1" si="136"/>
        <v>0.9711155378486056</v>
      </c>
      <c r="AC83" s="3">
        <f t="shared" ca="1" si="137"/>
        <v>0.95816733067729076</v>
      </c>
      <c r="AE83" s="3">
        <f t="shared" ca="1" si="138"/>
        <v>0.77110817783499419</v>
      </c>
      <c r="AF83" s="3">
        <f t="shared" ca="1" si="139"/>
        <v>0.82594618911806683</v>
      </c>
      <c r="AG83" s="3">
        <f t="shared" ca="1" si="140"/>
        <v>0.8217131633652871</v>
      </c>
      <c r="AH83" s="3">
        <f t="shared" ca="1" si="141"/>
        <v>0.86653393468786166</v>
      </c>
      <c r="AJ83" s="3">
        <f t="shared" ca="1" si="142"/>
        <v>3.4869240348692405</v>
      </c>
      <c r="AK83" s="3">
        <f t="shared" ca="1" si="143"/>
        <v>2.241035856573705</v>
      </c>
      <c r="AL83" s="3">
        <f t="shared" ca="1" si="144"/>
        <v>3.7350597609561751</v>
      </c>
      <c r="AM83" s="3">
        <f t="shared" ca="1" si="145"/>
        <v>2.9880478087649402</v>
      </c>
      <c r="AO83" s="3">
        <f t="shared" ca="1" si="146"/>
        <v>0.24906600249066005</v>
      </c>
      <c r="AP83" s="3">
        <f t="shared" ca="1" si="147"/>
        <v>0.24900398406374502</v>
      </c>
      <c r="AQ83" s="3">
        <f t="shared" ca="1" si="148"/>
        <v>0.24900398406374502</v>
      </c>
      <c r="AR83" s="3">
        <f t="shared" ca="1" si="149"/>
        <v>1.2450199203187251</v>
      </c>
      <c r="AT83" s="3">
        <v>8.999999612569809E-3</v>
      </c>
      <c r="AU83" s="3">
        <v>1.4000000432133675E-2</v>
      </c>
      <c r="AV83" s="3">
        <v>0.10499999672174454</v>
      </c>
      <c r="AW83" s="3">
        <v>1.2000000104308128E-2</v>
      </c>
      <c r="AY83" s="3">
        <f t="shared" ca="1" si="150"/>
        <v>0.30311332503113303</v>
      </c>
      <c r="AZ83" s="3">
        <f t="shared" ca="1" si="151"/>
        <v>0.58491035856573703</v>
      </c>
      <c r="BA83" s="3">
        <f t="shared" ca="1" si="152"/>
        <v>0.34810756972111551</v>
      </c>
      <c r="BB83" s="3">
        <f t="shared" ca="1" si="153"/>
        <v>0.2320717131474104</v>
      </c>
      <c r="BD83" s="3">
        <f t="shared" ca="1" si="154"/>
        <v>0.33150686421994108</v>
      </c>
      <c r="BE83" s="3">
        <f t="shared" ca="1" si="155"/>
        <v>0.60607566390616963</v>
      </c>
      <c r="BF83" s="3">
        <f t="shared" ca="1" si="156"/>
        <v>0.39043827390528296</v>
      </c>
      <c r="BG83" s="3">
        <f t="shared" ca="1" si="157"/>
        <v>0.2487549907064058</v>
      </c>
      <c r="BI83" s="3">
        <f t="shared" ca="1" si="158"/>
        <v>1.2453300124533002</v>
      </c>
      <c r="BJ83" s="3">
        <f t="shared" ca="1" si="159"/>
        <v>1.4940239043824701</v>
      </c>
      <c r="BK83" s="3">
        <f t="shared" ca="1" si="160"/>
        <v>1.7430278884462151</v>
      </c>
      <c r="BL83" s="3">
        <f t="shared" ca="1" si="161"/>
        <v>0.99601593625498008</v>
      </c>
      <c r="BN83" s="3">
        <f t="shared" ca="1" si="162"/>
        <v>2.9887920298879207</v>
      </c>
      <c r="BO83" s="3">
        <f t="shared" ca="1" si="163"/>
        <v>2.4900398406374502</v>
      </c>
      <c r="BP83" s="3">
        <f t="shared" ca="1" si="164"/>
        <v>2.4900398406374502</v>
      </c>
      <c r="BQ83" s="3">
        <f t="shared" ca="1" si="165"/>
        <v>3.237051792828685</v>
      </c>
      <c r="BS83" s="3">
        <v>0.49300000071525574</v>
      </c>
      <c r="BT83" s="3">
        <v>0.49799999594688416</v>
      </c>
      <c r="BU83" s="3">
        <v>0.4050000011920929</v>
      </c>
      <c r="BV83" s="3">
        <v>0.460999995470047</v>
      </c>
      <c r="BX83" s="3">
        <f t="shared" ca="1" si="166"/>
        <v>8.3188044831880581E-2</v>
      </c>
      <c r="BY83" s="3">
        <f t="shared" ca="1" si="167"/>
        <v>3.9840637450199237E-3</v>
      </c>
      <c r="BZ83" s="3">
        <f t="shared" ca="1" si="168"/>
        <v>0</v>
      </c>
      <c r="CA83" s="3">
        <f t="shared" ca="1" si="169"/>
        <v>0</v>
      </c>
      <c r="CC83" s="3">
        <f t="shared" ca="1" si="170"/>
        <v>0.12453300124533002</v>
      </c>
      <c r="CD83" s="3">
        <f t="shared" ca="1" si="171"/>
        <v>0</v>
      </c>
      <c r="CE83" s="3">
        <f t="shared" ca="1" si="172"/>
        <v>0</v>
      </c>
      <c r="CF83" s="3">
        <f t="shared" ca="1" si="173"/>
        <v>0</v>
      </c>
      <c r="CH83" s="3">
        <f t="shared" ca="1" si="174"/>
        <v>0.4981320049813201</v>
      </c>
      <c r="CI83" s="3">
        <f t="shared" ca="1" si="175"/>
        <v>0</v>
      </c>
      <c r="CJ83" s="3">
        <f t="shared" ca="1" si="176"/>
        <v>0</v>
      </c>
      <c r="CK83" s="3">
        <f t="shared" ca="1" si="177"/>
        <v>0</v>
      </c>
      <c r="CM83" s="3">
        <f t="shared" ca="1" si="178"/>
        <v>1.4943960149439603</v>
      </c>
      <c r="CN83" s="3">
        <f t="shared" ca="1" si="179"/>
        <v>0.24900398406374502</v>
      </c>
      <c r="CO83" s="3">
        <f t="shared" ca="1" si="180"/>
        <v>0</v>
      </c>
      <c r="CP83" s="3">
        <f t="shared" ca="1" si="181"/>
        <v>0</v>
      </c>
      <c r="CR83" s="3">
        <v>2.0590000152587891</v>
      </c>
      <c r="CS83" s="3">
        <v>4.016</v>
      </c>
      <c r="CT83" s="3">
        <v>4.016</v>
      </c>
      <c r="CU83" s="3">
        <v>4.016</v>
      </c>
      <c r="CV83" s="21">
        <f t="shared" ca="1" si="183"/>
        <v>0.39043827390528296</v>
      </c>
      <c r="CW83" s="16">
        <f t="shared" ca="1" si="182"/>
        <v>10.166666666666666</v>
      </c>
    </row>
    <row r="84" spans="1:101" s="3" customFormat="1" x14ac:dyDescent="0.35">
      <c r="A84" s="2" t="s">
        <v>10</v>
      </c>
      <c r="B84" s="2">
        <v>10.5</v>
      </c>
      <c r="C84" s="2" t="s">
        <v>168</v>
      </c>
      <c r="D84" s="2" t="s">
        <v>403</v>
      </c>
      <c r="F84" s="3">
        <v>4.0039999999999996</v>
      </c>
      <c r="G84" s="3">
        <v>4.01</v>
      </c>
      <c r="H84" s="3">
        <v>4.0259999999999998</v>
      </c>
      <c r="I84" s="3">
        <v>4.01</v>
      </c>
      <c r="K84" s="3">
        <f t="shared" ca="1" si="122"/>
        <v>0.99450549450549464</v>
      </c>
      <c r="L84" s="3">
        <f t="shared" ca="1" si="123"/>
        <v>0.99326683291770579</v>
      </c>
      <c r="M84" s="3">
        <f t="shared" ca="1" si="124"/>
        <v>0.99751614505712871</v>
      </c>
      <c r="N84" s="3">
        <f t="shared" ca="1" si="125"/>
        <v>0.99301745635910232</v>
      </c>
      <c r="P84" s="3">
        <f t="shared" ca="1" si="126"/>
        <v>0.96553439306063615</v>
      </c>
      <c r="Q84" s="3">
        <f t="shared" ca="1" si="127"/>
        <v>0.98503738516323891</v>
      </c>
      <c r="R84" s="3">
        <f t="shared" ca="1" si="128"/>
        <v>0.86040732865321268</v>
      </c>
      <c r="S84" s="3">
        <f t="shared" ca="1" si="129"/>
        <v>0.79800503936937628</v>
      </c>
      <c r="U84" s="3">
        <f t="shared" ca="1" si="130"/>
        <v>1.9980019980019983</v>
      </c>
      <c r="V84" s="3">
        <f t="shared" ca="1" si="131"/>
        <v>0.74812967581047385</v>
      </c>
      <c r="W84" s="3">
        <f t="shared" ca="1" si="132"/>
        <v>3.4773969200198711</v>
      </c>
      <c r="X84" s="3">
        <f t="shared" ca="1" si="133"/>
        <v>2.9925187032418954</v>
      </c>
      <c r="Z84" s="3">
        <f t="shared" ca="1" si="134"/>
        <v>0.99450549450549464</v>
      </c>
      <c r="AA84" s="3">
        <f t="shared" ca="1" si="135"/>
        <v>0.99326683291770579</v>
      </c>
      <c r="AB84" s="3">
        <f t="shared" ca="1" si="136"/>
        <v>0.99751614505712871</v>
      </c>
      <c r="AC84" s="3">
        <f t="shared" ca="1" si="137"/>
        <v>0.68553615960099756</v>
      </c>
      <c r="AE84" s="3">
        <f t="shared" ca="1" si="138"/>
        <v>0.96553439306063615</v>
      </c>
      <c r="AF84" s="3">
        <f t="shared" ca="1" si="139"/>
        <v>0.98503738516323891</v>
      </c>
      <c r="AG84" s="3">
        <f t="shared" ca="1" si="140"/>
        <v>0.86040732865321268</v>
      </c>
      <c r="AH84" s="3">
        <f t="shared" ca="1" si="141"/>
        <v>0.58204492558713572</v>
      </c>
      <c r="AJ84" s="3">
        <f t="shared" ca="1" si="142"/>
        <v>1.9980019980019983</v>
      </c>
      <c r="AK84" s="3">
        <f t="shared" ca="1" si="143"/>
        <v>0.74812967581047385</v>
      </c>
      <c r="AL84" s="3">
        <f t="shared" ca="1" si="144"/>
        <v>3.4773969200198711</v>
      </c>
      <c r="AM84" s="3">
        <f t="shared" ca="1" si="145"/>
        <v>2.2443890274314215</v>
      </c>
      <c r="AO84" s="3">
        <f t="shared" ca="1" si="146"/>
        <v>0.24975024975024979</v>
      </c>
      <c r="AP84" s="3">
        <f t="shared" ca="1" si="147"/>
        <v>0.24937655860349128</v>
      </c>
      <c r="AQ84" s="3">
        <f t="shared" ca="1" si="148"/>
        <v>0.24838549428713363</v>
      </c>
      <c r="AR84" s="3">
        <f t="shared" ca="1" si="149"/>
        <v>1.2468827930174564</v>
      </c>
      <c r="AT84" s="3">
        <v>1.3000000268220901E-2</v>
      </c>
      <c r="AU84" s="3">
        <v>1.4999999664723873E-2</v>
      </c>
      <c r="AV84" s="3">
        <v>4.0000001899898052E-3</v>
      </c>
      <c r="AW84" s="3">
        <v>1.3000000268220901E-2</v>
      </c>
      <c r="AY84" s="3">
        <f t="shared" ca="1" si="150"/>
        <v>0.79495504495504499</v>
      </c>
      <c r="AZ84" s="3">
        <f t="shared" ca="1" si="151"/>
        <v>0.99326683291770579</v>
      </c>
      <c r="BA84" s="3">
        <f t="shared" ca="1" si="152"/>
        <v>0.29806259314456029</v>
      </c>
      <c r="BB84" s="3">
        <f t="shared" ca="1" si="153"/>
        <v>0.399002493765586</v>
      </c>
      <c r="BD84" s="3">
        <f t="shared" ca="1" si="154"/>
        <v>0.80319675621571962</v>
      </c>
      <c r="BE84" s="3">
        <f t="shared" ca="1" si="155"/>
        <v>0.98503738516323891</v>
      </c>
      <c r="BF84" s="3">
        <f t="shared" ca="1" si="156"/>
        <v>0.30601088288880912</v>
      </c>
      <c r="BG84" s="3">
        <f t="shared" ca="1" si="157"/>
        <v>0.41571075184981426</v>
      </c>
      <c r="BI84" s="3">
        <f t="shared" ca="1" si="158"/>
        <v>1.4985014985014986</v>
      </c>
      <c r="BJ84" s="3">
        <f t="shared" ca="1" si="159"/>
        <v>0.74812967581047385</v>
      </c>
      <c r="BK84" s="3">
        <f t="shared" ca="1" si="160"/>
        <v>0.99354197714853454</v>
      </c>
      <c r="BL84" s="3">
        <f t="shared" ca="1" si="161"/>
        <v>1.4962593516209477</v>
      </c>
      <c r="BN84" s="3">
        <f t="shared" ca="1" si="162"/>
        <v>0.49950049950049957</v>
      </c>
      <c r="BO84" s="3">
        <f t="shared" ca="1" si="163"/>
        <v>0.24937655860349128</v>
      </c>
      <c r="BP84" s="3">
        <f t="shared" ca="1" si="164"/>
        <v>0.99354197714853454</v>
      </c>
      <c r="BQ84" s="3">
        <f t="shared" ca="1" si="165"/>
        <v>1.745635910224439</v>
      </c>
      <c r="BS84" s="3">
        <v>0.36300000548362732</v>
      </c>
      <c r="BT84" s="3">
        <v>1.4999999664723873E-2</v>
      </c>
      <c r="BU84" s="3">
        <v>0.37099999189376831</v>
      </c>
      <c r="BV84" s="3">
        <v>0.37900000810623169</v>
      </c>
      <c r="BX84" s="3">
        <f t="shared" ca="1" si="166"/>
        <v>4.1458541458541456E-2</v>
      </c>
      <c r="BY84" s="3">
        <f t="shared" ca="1" si="167"/>
        <v>0</v>
      </c>
      <c r="BZ84" s="3">
        <f t="shared" ca="1" si="168"/>
        <v>0.10357675111773468</v>
      </c>
      <c r="CA84" s="3">
        <f t="shared" ca="1" si="169"/>
        <v>8.2294264339152125E-3</v>
      </c>
      <c r="CC84" s="3">
        <f t="shared" ca="1" si="170"/>
        <v>0</v>
      </c>
      <c r="CD84" s="3">
        <f t="shared" ca="1" si="171"/>
        <v>0</v>
      </c>
      <c r="CE84" s="3">
        <f t="shared" ca="1" si="172"/>
        <v>0.11177348427315346</v>
      </c>
      <c r="CF84" s="3">
        <f t="shared" ca="1" si="173"/>
        <v>0</v>
      </c>
      <c r="CH84" s="3">
        <f t="shared" ca="1" si="174"/>
        <v>0</v>
      </c>
      <c r="CI84" s="3">
        <f t="shared" ca="1" si="175"/>
        <v>0</v>
      </c>
      <c r="CJ84" s="3">
        <f t="shared" ca="1" si="176"/>
        <v>0.24838549428713363</v>
      </c>
      <c r="CK84" s="3">
        <f t="shared" ca="1" si="177"/>
        <v>0</v>
      </c>
      <c r="CM84" s="3">
        <f t="shared" ca="1" si="178"/>
        <v>0.24975024975024979</v>
      </c>
      <c r="CN84" s="3">
        <f t="shared" ca="1" si="179"/>
        <v>0</v>
      </c>
      <c r="CO84" s="3">
        <f t="shared" ca="1" si="180"/>
        <v>0.24838549428713363</v>
      </c>
      <c r="CP84" s="3">
        <f t="shared" ca="1" si="181"/>
        <v>0.24937655860349128</v>
      </c>
      <c r="CR84" s="3">
        <v>4.0039999999999996</v>
      </c>
      <c r="CS84" s="3">
        <v>4.01</v>
      </c>
      <c r="CT84" s="3">
        <v>2.4539999961853027</v>
      </c>
      <c r="CU84" s="3">
        <v>4.01</v>
      </c>
      <c r="CV84" s="21">
        <f t="shared" ca="1" si="183"/>
        <v>0.30601088288880912</v>
      </c>
      <c r="CW84" s="16">
        <f t="shared" ca="1" si="182"/>
        <v>10.5</v>
      </c>
    </row>
    <row r="85" spans="1:101" s="3" customFormat="1" x14ac:dyDescent="0.35">
      <c r="A85" s="2" t="s">
        <v>79</v>
      </c>
      <c r="B85" s="2">
        <v>10.5</v>
      </c>
      <c r="C85" s="2" t="s">
        <v>168</v>
      </c>
      <c r="D85" s="2" t="s">
        <v>403</v>
      </c>
      <c r="F85" s="3">
        <v>4.01</v>
      </c>
      <c r="G85" s="3">
        <v>4.01</v>
      </c>
      <c r="H85" s="3">
        <v>4.0010000000000003</v>
      </c>
      <c r="I85" s="3">
        <v>4.0090000000000003</v>
      </c>
      <c r="K85" s="3">
        <f t="shared" ca="1" si="122"/>
        <v>0.99725685785536156</v>
      </c>
      <c r="L85" s="3">
        <f t="shared" ca="1" si="123"/>
        <v>0.99725685785536167</v>
      </c>
      <c r="M85" s="3">
        <f t="shared" ca="1" si="124"/>
        <v>0.99550112471882024</v>
      </c>
      <c r="N85" s="3">
        <f t="shared" ca="1" si="125"/>
        <v>0.95609877775006225</v>
      </c>
      <c r="P85" s="3">
        <f t="shared" ca="1" si="126"/>
        <v>0.58154624821780776</v>
      </c>
      <c r="Q85" s="3">
        <f t="shared" ca="1" si="127"/>
        <v>0.77306727072841808</v>
      </c>
      <c r="R85" s="3">
        <f t="shared" ca="1" si="128"/>
        <v>0.77480628302749599</v>
      </c>
      <c r="S85" s="3">
        <f t="shared" ca="1" si="129"/>
        <v>0.68570717232546674</v>
      </c>
      <c r="U85" s="3">
        <f t="shared" ca="1" si="130"/>
        <v>2.7431421446384041</v>
      </c>
      <c r="V85" s="3">
        <f t="shared" ca="1" si="131"/>
        <v>2.7431421446384041</v>
      </c>
      <c r="W85" s="3">
        <f t="shared" ca="1" si="132"/>
        <v>1.9995001249687576</v>
      </c>
      <c r="X85" s="3">
        <f t="shared" ca="1" si="133"/>
        <v>3.492142678972312</v>
      </c>
      <c r="Z85" s="3">
        <f t="shared" ca="1" si="134"/>
        <v>0.7690773067331671</v>
      </c>
      <c r="AA85" s="3">
        <f t="shared" ca="1" si="135"/>
        <v>0.96807980049875308</v>
      </c>
      <c r="AB85" s="3">
        <f t="shared" ca="1" si="136"/>
        <v>0.75381154711322162</v>
      </c>
      <c r="AC85" s="3">
        <f t="shared" ca="1" si="137"/>
        <v>0.91868296333250177</v>
      </c>
      <c r="AE85" s="3">
        <f t="shared" ca="1" si="138"/>
        <v>0.5027432542786634</v>
      </c>
      <c r="AF85" s="3">
        <f t="shared" ca="1" si="139"/>
        <v>0.77306727072841808</v>
      </c>
      <c r="AG85" s="3">
        <f t="shared" ca="1" si="140"/>
        <v>0.6248437741552999</v>
      </c>
      <c r="AH85" s="3">
        <f t="shared" ca="1" si="141"/>
        <v>0.68570717232546674</v>
      </c>
      <c r="AJ85" s="3">
        <f t="shared" ca="1" si="142"/>
        <v>2.4937655860349128</v>
      </c>
      <c r="AK85" s="3">
        <f t="shared" ca="1" si="143"/>
        <v>2.7431421446384041</v>
      </c>
      <c r="AL85" s="3">
        <f t="shared" ca="1" si="144"/>
        <v>1.4996250937265683</v>
      </c>
      <c r="AM85" s="3">
        <f t="shared" ca="1" si="145"/>
        <v>3.492142678972312</v>
      </c>
      <c r="AO85" s="3">
        <f t="shared" ca="1" si="146"/>
        <v>1.9950124688279303</v>
      </c>
      <c r="AP85" s="3">
        <f t="shared" ca="1" si="147"/>
        <v>0.74812967581047385</v>
      </c>
      <c r="AQ85" s="3">
        <f t="shared" ca="1" si="148"/>
        <v>0.99975006248437881</v>
      </c>
      <c r="AR85" s="3">
        <f t="shared" ca="1" si="149"/>
        <v>1.2471938139186829</v>
      </c>
      <c r="AT85" s="3">
        <v>0.50300002098083496</v>
      </c>
      <c r="AU85" s="3">
        <v>0.22499999403953552</v>
      </c>
      <c r="AV85" s="3">
        <v>0.75199997425079346</v>
      </c>
      <c r="AW85" s="3">
        <v>1.3000000268220901E-2</v>
      </c>
      <c r="AY85" s="3">
        <f t="shared" ca="1" si="150"/>
        <v>0.22892768079800524</v>
      </c>
      <c r="AZ85" s="3">
        <f t="shared" ca="1" si="151"/>
        <v>0.20773067331670825</v>
      </c>
      <c r="BA85" s="3">
        <f t="shared" ca="1" si="152"/>
        <v>0.33316670832291922</v>
      </c>
      <c r="BB85" s="3">
        <f t="shared" ca="1" si="153"/>
        <v>0.3492142678972312</v>
      </c>
      <c r="BD85" s="3">
        <f t="shared" ca="1" si="154"/>
        <v>0.29501250557174113</v>
      </c>
      <c r="BE85" s="3">
        <f t="shared" ca="1" si="155"/>
        <v>0.17032415938199014</v>
      </c>
      <c r="BF85" s="3">
        <f t="shared" ca="1" si="156"/>
        <v>0.41239689481583153</v>
      </c>
      <c r="BG85" s="3">
        <f t="shared" ca="1" si="157"/>
        <v>0.34921427217169748</v>
      </c>
      <c r="BI85" s="3">
        <f t="shared" ca="1" si="158"/>
        <v>1.2468827930174564</v>
      </c>
      <c r="BJ85" s="3">
        <f t="shared" ca="1" si="159"/>
        <v>0.49875311720698257</v>
      </c>
      <c r="BK85" s="3">
        <f t="shared" ca="1" si="160"/>
        <v>0.74981254686328414</v>
      </c>
      <c r="BL85" s="3">
        <f t="shared" ca="1" si="161"/>
        <v>1.4966325767024193</v>
      </c>
      <c r="BN85" s="3">
        <f t="shared" ca="1" si="162"/>
        <v>4.2394014962593518</v>
      </c>
      <c r="BO85" s="3">
        <f t="shared" ca="1" si="163"/>
        <v>0.74812967581047385</v>
      </c>
      <c r="BP85" s="3">
        <f t="shared" ca="1" si="164"/>
        <v>0.99975006248437881</v>
      </c>
      <c r="BQ85" s="3">
        <f t="shared" ca="1" si="165"/>
        <v>1.746071339486156</v>
      </c>
      <c r="BS85" s="3">
        <v>0.50300002098083496</v>
      </c>
      <c r="BT85" s="3">
        <v>0.22499999403953552</v>
      </c>
      <c r="BU85" s="3">
        <v>1.1189999580383301</v>
      </c>
      <c r="BV85" s="3">
        <v>1.3000000268220901E-2</v>
      </c>
      <c r="BX85" s="3">
        <f t="shared" ca="1" si="166"/>
        <v>0</v>
      </c>
      <c r="BY85" s="3">
        <f t="shared" ca="1" si="167"/>
        <v>0</v>
      </c>
      <c r="BZ85" s="3">
        <f t="shared" ca="1" si="168"/>
        <v>0</v>
      </c>
      <c r="CA85" s="3">
        <f t="shared" ca="1" si="169"/>
        <v>0</v>
      </c>
      <c r="CC85" s="3">
        <f t="shared" ca="1" si="170"/>
        <v>0</v>
      </c>
      <c r="CD85" s="3">
        <f t="shared" ca="1" si="171"/>
        <v>0</v>
      </c>
      <c r="CE85" s="3">
        <f t="shared" ca="1" si="172"/>
        <v>0</v>
      </c>
      <c r="CF85" s="3">
        <f t="shared" ca="1" si="173"/>
        <v>0</v>
      </c>
      <c r="CH85" s="3">
        <f t="shared" ca="1" si="174"/>
        <v>0</v>
      </c>
      <c r="CI85" s="3">
        <f t="shared" ca="1" si="175"/>
        <v>0</v>
      </c>
      <c r="CJ85" s="3">
        <f t="shared" ca="1" si="176"/>
        <v>0</v>
      </c>
      <c r="CK85" s="3">
        <f t="shared" ca="1" si="177"/>
        <v>0</v>
      </c>
      <c r="CM85" s="3">
        <f t="shared" ca="1" si="178"/>
        <v>0</v>
      </c>
      <c r="CN85" s="3">
        <f t="shared" ca="1" si="179"/>
        <v>0</v>
      </c>
      <c r="CO85" s="3">
        <f t="shared" ca="1" si="180"/>
        <v>0.2499375156210947</v>
      </c>
      <c r="CP85" s="3">
        <f t="shared" ca="1" si="181"/>
        <v>0</v>
      </c>
      <c r="CR85" s="3">
        <v>4.01</v>
      </c>
      <c r="CS85" s="3">
        <v>4.01</v>
      </c>
      <c r="CT85" s="3">
        <v>4.0010000000000003</v>
      </c>
      <c r="CU85" s="3">
        <v>4.0090000000000003</v>
      </c>
      <c r="CV85" s="21">
        <f t="shared" ca="1" si="183"/>
        <v>0.41239689481583153</v>
      </c>
      <c r="CW85" s="16">
        <f t="shared" ca="1" si="182"/>
        <v>10.5</v>
      </c>
    </row>
    <row r="86" spans="1:101" s="3" customFormat="1" x14ac:dyDescent="0.35">
      <c r="A86" s="2" t="s">
        <v>91</v>
      </c>
      <c r="B86" s="2">
        <v>10.75</v>
      </c>
      <c r="C86" s="2" t="s">
        <v>168</v>
      </c>
      <c r="D86" s="2" t="s">
        <v>403</v>
      </c>
      <c r="F86" s="3">
        <v>4.0149999999999997</v>
      </c>
      <c r="G86" s="3">
        <v>4.016</v>
      </c>
      <c r="H86" s="3">
        <v>4.016</v>
      </c>
      <c r="I86" s="3">
        <v>4.0469999999999997</v>
      </c>
      <c r="K86" s="3">
        <f t="shared" ca="1" si="122"/>
        <v>0.99601494396014956</v>
      </c>
      <c r="L86" s="3">
        <f t="shared" ca="1" si="123"/>
        <v>0.99576693227091628</v>
      </c>
      <c r="M86" s="3">
        <f t="shared" ca="1" si="124"/>
        <v>0.99576693227091628</v>
      </c>
      <c r="N86" s="3">
        <f t="shared" ca="1" si="125"/>
        <v>0.99234000494193242</v>
      </c>
      <c r="P86" s="3">
        <f t="shared" ca="1" si="126"/>
        <v>0.98804484862616182</v>
      </c>
      <c r="Q86" s="3">
        <f t="shared" ca="1" si="127"/>
        <v>0.93750005232660005</v>
      </c>
      <c r="R86" s="3">
        <f t="shared" ca="1" si="128"/>
        <v>0.87998017383019522</v>
      </c>
      <c r="S86" s="3">
        <f t="shared" ca="1" si="129"/>
        <v>0.75735120424480251</v>
      </c>
      <c r="U86" s="3">
        <f t="shared" ca="1" si="130"/>
        <v>0.74719800747198017</v>
      </c>
      <c r="V86" s="3">
        <f t="shared" ca="1" si="131"/>
        <v>2.739043824701195</v>
      </c>
      <c r="W86" s="3">
        <f t="shared" ca="1" si="132"/>
        <v>2.739043824701195</v>
      </c>
      <c r="X86" s="3">
        <f t="shared" ca="1" si="133"/>
        <v>2.9651593773165308</v>
      </c>
      <c r="Z86" s="3">
        <f t="shared" ca="1" si="134"/>
        <v>0.99601494396014956</v>
      </c>
      <c r="AA86" s="3">
        <f t="shared" ca="1" si="135"/>
        <v>0.98331673306772904</v>
      </c>
      <c r="AB86" s="3">
        <f t="shared" ca="1" si="136"/>
        <v>0.99576693227091628</v>
      </c>
      <c r="AC86" s="3">
        <f t="shared" ca="1" si="137"/>
        <v>0.90165554731900177</v>
      </c>
      <c r="AE86" s="3">
        <f t="shared" ca="1" si="138"/>
        <v>0.98804484862616182</v>
      </c>
      <c r="AF86" s="3">
        <f t="shared" ca="1" si="139"/>
        <v>0.93750005232660005</v>
      </c>
      <c r="AG86" s="3">
        <f t="shared" ca="1" si="140"/>
        <v>0.87998017383019522</v>
      </c>
      <c r="AH86" s="3">
        <f t="shared" ca="1" si="141"/>
        <v>0.75735120424480251</v>
      </c>
      <c r="AJ86" s="3">
        <f t="shared" ca="1" si="142"/>
        <v>0.74719800747198017</v>
      </c>
      <c r="AK86" s="3">
        <f t="shared" ca="1" si="143"/>
        <v>2.739043824701195</v>
      </c>
      <c r="AL86" s="3">
        <f t="shared" ca="1" si="144"/>
        <v>2.739043824701195</v>
      </c>
      <c r="AM86" s="3">
        <f t="shared" ca="1" si="145"/>
        <v>2.9651593773165308</v>
      </c>
      <c r="AO86" s="3">
        <f t="shared" ca="1" si="146"/>
        <v>0.24906600249066005</v>
      </c>
      <c r="AP86" s="3">
        <f t="shared" ca="1" si="147"/>
        <v>0.49800796812749004</v>
      </c>
      <c r="AQ86" s="3">
        <f t="shared" ca="1" si="148"/>
        <v>0.24900398406374502</v>
      </c>
      <c r="AR86" s="3">
        <f t="shared" ca="1" si="149"/>
        <v>0.49419322955275519</v>
      </c>
      <c r="AT86" s="3">
        <v>0</v>
      </c>
      <c r="AU86" s="3">
        <v>8.0000003799796104E-3</v>
      </c>
      <c r="AV86" s="3">
        <v>1.3000000268220901E-2</v>
      </c>
      <c r="AW86" s="3">
        <v>1.4000000432133675E-2</v>
      </c>
      <c r="AY86" s="3">
        <f t="shared" ca="1" si="150"/>
        <v>0</v>
      </c>
      <c r="AZ86" s="3">
        <f t="shared" ca="1" si="151"/>
        <v>0.10358565737051791</v>
      </c>
      <c r="BA86" s="3">
        <f t="shared" ca="1" si="152"/>
        <v>0.23232071713147406</v>
      </c>
      <c r="BB86" s="3">
        <f t="shared" ca="1" si="153"/>
        <v>0.16481344205584392</v>
      </c>
      <c r="BD86" s="3">
        <f t="shared" ca="1" si="154"/>
        <v>0</v>
      </c>
      <c r="BE86" s="3">
        <f t="shared" ca="1" si="155"/>
        <v>0.14516930893597849</v>
      </c>
      <c r="BF86" s="3">
        <f t="shared" ca="1" si="156"/>
        <v>0.26967133065143906</v>
      </c>
      <c r="BG86" s="3">
        <f t="shared" ca="1" si="157"/>
        <v>0.18927607384321865</v>
      </c>
      <c r="BI86" s="3">
        <f t="shared" ca="1" si="158"/>
        <v>0</v>
      </c>
      <c r="BJ86" s="3">
        <f t="shared" ca="1" si="159"/>
        <v>0.49800796812749004</v>
      </c>
      <c r="BK86" s="3">
        <f t="shared" ca="1" si="160"/>
        <v>0.49800796812749004</v>
      </c>
      <c r="BL86" s="3">
        <f t="shared" ca="1" si="161"/>
        <v>0.7412898443291327</v>
      </c>
      <c r="BN86" s="3">
        <f t="shared" ca="1" si="162"/>
        <v>0</v>
      </c>
      <c r="BO86" s="3">
        <f t="shared" ca="1" si="163"/>
        <v>0.74701195219123506</v>
      </c>
      <c r="BP86" s="3">
        <f t="shared" ca="1" si="164"/>
        <v>1.2450199203187251</v>
      </c>
      <c r="BQ86" s="3">
        <f t="shared" ca="1" si="165"/>
        <v>0.24709661477637759</v>
      </c>
      <c r="BS86" s="3">
        <v>4.0149999999999997</v>
      </c>
      <c r="BT86" s="3">
        <v>1.1749999523162842</v>
      </c>
      <c r="BU86" s="3">
        <v>1.5959999561309814</v>
      </c>
      <c r="BV86" s="3">
        <v>3.2300000190734863</v>
      </c>
      <c r="BX86" s="3">
        <f t="shared" ca="1" si="166"/>
        <v>0.14919053549190536</v>
      </c>
      <c r="BY86" s="3">
        <f t="shared" ca="1" si="167"/>
        <v>0.27813745019920305</v>
      </c>
      <c r="BZ86" s="3">
        <f t="shared" ca="1" si="168"/>
        <v>0.13271912350597609</v>
      </c>
      <c r="CA86" s="3">
        <f t="shared" ca="1" si="169"/>
        <v>0.12750185322461083</v>
      </c>
      <c r="CC86" s="3">
        <f t="shared" ca="1" si="170"/>
        <v>0.15765878361456126</v>
      </c>
      <c r="CD86" s="3">
        <f t="shared" ca="1" si="171"/>
        <v>0.25298808208774343</v>
      </c>
      <c r="CE86" s="3">
        <f t="shared" ca="1" si="172"/>
        <v>4.158366427003625E-2</v>
      </c>
      <c r="CF86" s="3">
        <f t="shared" ca="1" si="173"/>
        <v>0.16036572191180318</v>
      </c>
      <c r="CH86" s="3">
        <f t="shared" ca="1" si="174"/>
        <v>0.24906600249066005</v>
      </c>
      <c r="CI86" s="3">
        <f t="shared" ca="1" si="175"/>
        <v>0.74701195219123506</v>
      </c>
      <c r="CJ86" s="3">
        <f t="shared" ca="1" si="176"/>
        <v>0.24900398406374502</v>
      </c>
      <c r="CK86" s="3">
        <f t="shared" ca="1" si="177"/>
        <v>0.49419322955275519</v>
      </c>
      <c r="CM86" s="3">
        <f t="shared" ca="1" si="178"/>
        <v>0.24906600249066005</v>
      </c>
      <c r="CN86" s="3">
        <f t="shared" ca="1" si="179"/>
        <v>0.99601593625498008</v>
      </c>
      <c r="CO86" s="3">
        <f t="shared" ca="1" si="180"/>
        <v>0.74701195219123506</v>
      </c>
      <c r="CP86" s="3">
        <f t="shared" ca="1" si="181"/>
        <v>0.7412898443291327</v>
      </c>
      <c r="CR86" s="3">
        <v>0</v>
      </c>
      <c r="CS86" s="3">
        <v>8.0000003799796104E-3</v>
      </c>
      <c r="CT86" s="3">
        <v>0.81199997663497925</v>
      </c>
      <c r="CU86" s="3">
        <v>1.4000000432133675E-2</v>
      </c>
      <c r="CV86" s="21">
        <f t="shared" ca="1" si="183"/>
        <v>0.26967133065143906</v>
      </c>
      <c r="CW86" s="16">
        <f t="shared" ca="1" si="182"/>
        <v>10.75</v>
      </c>
    </row>
    <row r="87" spans="1:101" s="3" customFormat="1" x14ac:dyDescent="0.35">
      <c r="A87" s="2" t="s">
        <v>44</v>
      </c>
      <c r="B87" s="2">
        <v>10.916666666666666</v>
      </c>
      <c r="C87" s="2" t="s">
        <v>167</v>
      </c>
      <c r="D87" s="2" t="s">
        <v>403</v>
      </c>
      <c r="F87" s="3">
        <v>4.0149999999999997</v>
      </c>
      <c r="G87" s="3">
        <v>4.0149999999999997</v>
      </c>
      <c r="H87" s="3">
        <v>4.016</v>
      </c>
      <c r="I87" s="3">
        <v>4.016</v>
      </c>
      <c r="K87" s="3">
        <f t="shared" ca="1" si="122"/>
        <v>0.99601494396014967</v>
      </c>
      <c r="L87" s="3">
        <f t="shared" ca="1" si="123"/>
        <v>0.99626400996264008</v>
      </c>
      <c r="M87" s="3">
        <f t="shared" ca="1" si="124"/>
        <v>0.99576693227091628</v>
      </c>
      <c r="N87" s="3">
        <f t="shared" ca="1" si="125"/>
        <v>0.99576693227091639</v>
      </c>
      <c r="P87" s="3">
        <f t="shared" ca="1" si="126"/>
        <v>0.8754669937999876</v>
      </c>
      <c r="Q87" s="3">
        <f t="shared" ca="1" si="127"/>
        <v>0.97135743323439838</v>
      </c>
      <c r="R87" s="3">
        <f t="shared" ca="1" si="128"/>
        <v>0.85084664123318343</v>
      </c>
      <c r="S87" s="3">
        <f t="shared" ca="1" si="129"/>
        <v>0.87923296185514599</v>
      </c>
      <c r="U87" s="3">
        <f t="shared" ca="1" si="130"/>
        <v>2.9887920298879207</v>
      </c>
      <c r="V87" s="3">
        <f t="shared" ca="1" si="131"/>
        <v>1.7434620174346203</v>
      </c>
      <c r="W87" s="3">
        <f t="shared" ca="1" si="132"/>
        <v>2.739043824701195</v>
      </c>
      <c r="X87" s="3">
        <f t="shared" ca="1" si="133"/>
        <v>2.4900398406374502</v>
      </c>
      <c r="Z87" s="3">
        <f t="shared" ca="1" si="134"/>
        <v>0.99601494396014967</v>
      </c>
      <c r="AA87" s="3">
        <f t="shared" ca="1" si="135"/>
        <v>0.99626400996264008</v>
      </c>
      <c r="AB87" s="3">
        <f t="shared" ca="1" si="136"/>
        <v>0.93774900398406369</v>
      </c>
      <c r="AC87" s="3">
        <f t="shared" ca="1" si="137"/>
        <v>0.99576693227091639</v>
      </c>
      <c r="AE87" s="3">
        <f t="shared" ca="1" si="138"/>
        <v>0.8754669937999876</v>
      </c>
      <c r="AF87" s="3">
        <f t="shared" ca="1" si="139"/>
        <v>0.97135743323439838</v>
      </c>
      <c r="AG87" s="3">
        <f t="shared" ca="1" si="140"/>
        <v>0.80527891349270053</v>
      </c>
      <c r="AH87" s="3">
        <f t="shared" ca="1" si="141"/>
        <v>0.87923296185514599</v>
      </c>
      <c r="AJ87" s="3">
        <f t="shared" ca="1" si="142"/>
        <v>2.9887920298879207</v>
      </c>
      <c r="AK87" s="3">
        <f t="shared" ca="1" si="143"/>
        <v>1.7434620174346203</v>
      </c>
      <c r="AL87" s="3">
        <f t="shared" ca="1" si="144"/>
        <v>2.4900398406374502</v>
      </c>
      <c r="AM87" s="3">
        <f t="shared" ca="1" si="145"/>
        <v>2.4900398406374502</v>
      </c>
      <c r="AO87" s="3">
        <f t="shared" ca="1" si="146"/>
        <v>0.24906600249066005</v>
      </c>
      <c r="AP87" s="3">
        <f t="shared" ca="1" si="147"/>
        <v>0.24906600249066005</v>
      </c>
      <c r="AQ87" s="3">
        <f t="shared" ca="1" si="148"/>
        <v>0.49800796812749004</v>
      </c>
      <c r="AR87" s="3">
        <f t="shared" ca="1" si="149"/>
        <v>0.24900398406374502</v>
      </c>
      <c r="AT87" s="3">
        <v>2.7000000700354576E-2</v>
      </c>
      <c r="AU87" s="3">
        <v>7.0000002160668373E-3</v>
      </c>
      <c r="AV87" s="3">
        <v>0.2800000011920929</v>
      </c>
      <c r="AW87" s="3">
        <v>8.999999612569809E-3</v>
      </c>
      <c r="AY87" s="3">
        <f t="shared" ca="1" si="150"/>
        <v>4.9813200498131961E-2</v>
      </c>
      <c r="AZ87" s="3">
        <f t="shared" ca="1" si="151"/>
        <v>0.21992528019925281</v>
      </c>
      <c r="BA87" s="3">
        <f t="shared" ca="1" si="152"/>
        <v>0.26543824701195212</v>
      </c>
      <c r="BB87" s="3">
        <f t="shared" ca="1" si="153"/>
        <v>0.21987051792828682</v>
      </c>
      <c r="BD87" s="3">
        <f t="shared" ca="1" si="154"/>
        <v>3.3125777266093837E-2</v>
      </c>
      <c r="BE87" s="3">
        <f t="shared" ca="1" si="155"/>
        <v>0.28219179970538188</v>
      </c>
      <c r="BF87" s="3">
        <f t="shared" ca="1" si="156"/>
        <v>0.20766930573015099</v>
      </c>
      <c r="BG87" s="3">
        <f t="shared" ca="1" si="157"/>
        <v>0.14516933119866954</v>
      </c>
      <c r="BI87" s="3">
        <f t="shared" ca="1" si="158"/>
        <v>0.24906600249066005</v>
      </c>
      <c r="BJ87" s="3">
        <f t="shared" ca="1" si="159"/>
        <v>0.4981320049813201</v>
      </c>
      <c r="BK87" s="3">
        <f t="shared" ca="1" si="160"/>
        <v>0.74701195219123506</v>
      </c>
      <c r="BL87" s="3">
        <f t="shared" ca="1" si="161"/>
        <v>0.24900398406374502</v>
      </c>
      <c r="BN87" s="3">
        <f t="shared" ca="1" si="162"/>
        <v>0.4981320049813201</v>
      </c>
      <c r="BO87" s="3">
        <f t="shared" ca="1" si="163"/>
        <v>0.4981320049813201</v>
      </c>
      <c r="BP87" s="3">
        <f t="shared" ca="1" si="164"/>
        <v>0.99601593625498008</v>
      </c>
      <c r="BQ87" s="3">
        <f t="shared" ca="1" si="165"/>
        <v>0.74701195219123506</v>
      </c>
      <c r="BS87" s="3">
        <v>2.7000000700354576E-2</v>
      </c>
      <c r="BT87" s="3">
        <v>0.40700000524520874</v>
      </c>
      <c r="BU87" s="3">
        <v>0.81300002336502075</v>
      </c>
      <c r="BV87" s="3">
        <v>0.27599999308586121</v>
      </c>
      <c r="BX87" s="3">
        <f t="shared" ca="1" si="166"/>
        <v>0</v>
      </c>
      <c r="BY87" s="3">
        <f t="shared" ca="1" si="167"/>
        <v>4.2341220423412242E-3</v>
      </c>
      <c r="BZ87" s="3">
        <f t="shared" ca="1" si="168"/>
        <v>0</v>
      </c>
      <c r="CA87" s="3">
        <f t="shared" ca="1" si="169"/>
        <v>0</v>
      </c>
      <c r="CC87" s="3">
        <f t="shared" ca="1" si="170"/>
        <v>0</v>
      </c>
      <c r="CD87" s="3">
        <f t="shared" ca="1" si="171"/>
        <v>0</v>
      </c>
      <c r="CE87" s="3">
        <f t="shared" ca="1" si="172"/>
        <v>0</v>
      </c>
      <c r="CF87" s="3">
        <f t="shared" ca="1" si="173"/>
        <v>0</v>
      </c>
      <c r="CH87" s="3">
        <f t="shared" ca="1" si="174"/>
        <v>0</v>
      </c>
      <c r="CI87" s="3">
        <f t="shared" ca="1" si="175"/>
        <v>0</v>
      </c>
      <c r="CJ87" s="3">
        <f t="shared" ca="1" si="176"/>
        <v>0</v>
      </c>
      <c r="CK87" s="3">
        <f t="shared" ca="1" si="177"/>
        <v>0</v>
      </c>
      <c r="CM87" s="3">
        <f t="shared" ca="1" si="178"/>
        <v>0</v>
      </c>
      <c r="CN87" s="3">
        <f t="shared" ca="1" si="179"/>
        <v>0.4981320049813201</v>
      </c>
      <c r="CO87" s="3">
        <f t="shared" ca="1" si="180"/>
        <v>0</v>
      </c>
      <c r="CP87" s="3">
        <f t="shared" ca="1" si="181"/>
        <v>0</v>
      </c>
      <c r="CR87" s="3">
        <v>4.0149999999999997</v>
      </c>
      <c r="CS87" s="3">
        <v>4.0149999999999997</v>
      </c>
      <c r="CT87" s="3">
        <v>4.016</v>
      </c>
      <c r="CU87" s="3">
        <v>4.016</v>
      </c>
      <c r="CV87" s="21">
        <f t="shared" ca="1" si="183"/>
        <v>0.20766930573015099</v>
      </c>
      <c r="CW87" s="16">
        <f t="shared" ca="1" si="182"/>
        <v>10.916666666666666</v>
      </c>
    </row>
    <row r="88" spans="1:101" s="3" customFormat="1" x14ac:dyDescent="0.35">
      <c r="A88" s="2" t="s">
        <v>54</v>
      </c>
      <c r="B88" s="2">
        <v>10.916666666666666</v>
      </c>
      <c r="C88" s="2" t="s">
        <v>167</v>
      </c>
      <c r="D88" s="2" t="s">
        <v>403</v>
      </c>
      <c r="F88" s="3">
        <v>4.0019999999999998</v>
      </c>
      <c r="G88" s="3">
        <v>4.0140000000000002</v>
      </c>
      <c r="H88" s="3">
        <v>4.016</v>
      </c>
      <c r="I88" s="3">
        <v>4.0110000000000001</v>
      </c>
      <c r="K88" s="3">
        <f t="shared" ca="1" si="122"/>
        <v>0.98275862068965525</v>
      </c>
      <c r="L88" s="3">
        <f t="shared" ca="1" si="123"/>
        <v>0.9920279023418036</v>
      </c>
      <c r="M88" s="3">
        <f t="shared" ca="1" si="124"/>
        <v>0.99601593625498008</v>
      </c>
      <c r="N88" s="3">
        <f t="shared" ca="1" si="125"/>
        <v>0.95537272500623294</v>
      </c>
      <c r="P88" s="3">
        <f t="shared" ca="1" si="126"/>
        <v>0.92503748557668586</v>
      </c>
      <c r="Q88" s="3">
        <f t="shared" ca="1" si="127"/>
        <v>0.81813642054454683</v>
      </c>
      <c r="R88" s="3">
        <f t="shared" ca="1" si="128"/>
        <v>0.91733075298027567</v>
      </c>
      <c r="S88" s="3">
        <f t="shared" ca="1" si="129"/>
        <v>0.905509897429014</v>
      </c>
      <c r="U88" s="3">
        <f t="shared" ca="1" si="130"/>
        <v>2.4987506246876565</v>
      </c>
      <c r="V88" s="3">
        <f t="shared" ca="1" si="131"/>
        <v>2.9895366218236172</v>
      </c>
      <c r="W88" s="3">
        <f t="shared" ca="1" si="132"/>
        <v>2.739043824701195</v>
      </c>
      <c r="X88" s="3">
        <f t="shared" ca="1" si="133"/>
        <v>3.2410870107205185</v>
      </c>
      <c r="Z88" s="3">
        <f t="shared" ca="1" si="134"/>
        <v>0.98275862068965525</v>
      </c>
      <c r="AA88" s="3">
        <f t="shared" ca="1" si="135"/>
        <v>0.83432984554060785</v>
      </c>
      <c r="AB88" s="3">
        <f t="shared" ca="1" si="136"/>
        <v>0.85109561752988039</v>
      </c>
      <c r="AC88" s="3">
        <f t="shared" ca="1" si="137"/>
        <v>0.95537272500623294</v>
      </c>
      <c r="AE88" s="3">
        <f t="shared" ca="1" si="138"/>
        <v>0.92503748557668586</v>
      </c>
      <c r="AF88" s="3">
        <f t="shared" ca="1" si="139"/>
        <v>0.72272040235740831</v>
      </c>
      <c r="AG88" s="3">
        <f t="shared" ca="1" si="140"/>
        <v>0.82171320742686316</v>
      </c>
      <c r="AH88" s="3">
        <f t="shared" ca="1" si="141"/>
        <v>0.905509897429014</v>
      </c>
      <c r="AJ88" s="3">
        <f t="shared" ca="1" si="142"/>
        <v>2.4987506246876565</v>
      </c>
      <c r="AK88" s="3">
        <f t="shared" ca="1" si="143"/>
        <v>2.4912805181863478</v>
      </c>
      <c r="AL88" s="3">
        <f t="shared" ca="1" si="144"/>
        <v>2.4900398406374502</v>
      </c>
      <c r="AM88" s="3">
        <f t="shared" ca="1" si="145"/>
        <v>3.2410870107205185</v>
      </c>
      <c r="AO88" s="3">
        <f t="shared" ca="1" si="146"/>
        <v>0.24987506246876562</v>
      </c>
      <c r="AP88" s="3">
        <f t="shared" ca="1" si="147"/>
        <v>0.74738415545590431</v>
      </c>
      <c r="AQ88" s="3">
        <f t="shared" ca="1" si="148"/>
        <v>0.99601593625498008</v>
      </c>
      <c r="AR88" s="3">
        <f t="shared" ca="1" si="149"/>
        <v>0.24931438544003989</v>
      </c>
      <c r="AT88" s="3">
        <v>4.999999888241291E-3</v>
      </c>
      <c r="AU88" s="3">
        <v>0.25299999117851257</v>
      </c>
      <c r="AV88" s="3">
        <v>9.9999997764825821E-3</v>
      </c>
      <c r="AW88" s="3">
        <v>9.9999997764825821E-3</v>
      </c>
      <c r="AY88" s="3">
        <f t="shared" ca="1" si="150"/>
        <v>6.2468765617191349E-2</v>
      </c>
      <c r="AZ88" s="3">
        <f t="shared" ca="1" si="151"/>
        <v>1.2456402590931694E-2</v>
      </c>
      <c r="BA88" s="3">
        <f t="shared" ca="1" si="152"/>
        <v>0</v>
      </c>
      <c r="BB88" s="3">
        <f t="shared" ca="1" si="153"/>
        <v>0.12465719272002006</v>
      </c>
      <c r="BD88" s="3">
        <f t="shared" ca="1" si="154"/>
        <v>0</v>
      </c>
      <c r="BE88" s="3">
        <f t="shared" ca="1" si="155"/>
        <v>0</v>
      </c>
      <c r="BF88" s="3">
        <f t="shared" ca="1" si="156"/>
        <v>0</v>
      </c>
      <c r="BG88" s="3">
        <f t="shared" ca="1" si="157"/>
        <v>0.10371481620352989</v>
      </c>
      <c r="BI88" s="3">
        <f t="shared" ca="1" si="158"/>
        <v>0</v>
      </c>
      <c r="BJ88" s="3">
        <f t="shared" ca="1" si="159"/>
        <v>0</v>
      </c>
      <c r="BK88" s="3">
        <f t="shared" ca="1" si="160"/>
        <v>0</v>
      </c>
      <c r="BL88" s="3">
        <f t="shared" ca="1" si="161"/>
        <v>0.49862877088007979</v>
      </c>
      <c r="BN88" s="3">
        <f t="shared" ca="1" si="162"/>
        <v>0.24987506246876562</v>
      </c>
      <c r="BO88" s="3">
        <f t="shared" ca="1" si="163"/>
        <v>0.49825610363726952</v>
      </c>
      <c r="BP88" s="3">
        <f t="shared" ca="1" si="164"/>
        <v>0</v>
      </c>
      <c r="BQ88" s="3">
        <f t="shared" ca="1" si="165"/>
        <v>0.74794315632011965</v>
      </c>
      <c r="BS88" s="3">
        <v>4.0019999999999998</v>
      </c>
      <c r="BT88" s="3">
        <v>4.0140000000000002</v>
      </c>
      <c r="BU88" s="3">
        <v>4.016</v>
      </c>
      <c r="BV88" s="3">
        <v>0.67599999904632568</v>
      </c>
      <c r="BX88" s="3">
        <f t="shared" ca="1" si="166"/>
        <v>0.11244377811094453</v>
      </c>
      <c r="BY88" s="3">
        <f t="shared" ca="1" si="167"/>
        <v>4.5590433482810118E-2</v>
      </c>
      <c r="BZ88" s="3">
        <f t="shared" ca="1" si="168"/>
        <v>4.2330677290837518E-3</v>
      </c>
      <c r="CA88" s="3">
        <f t="shared" ca="1" si="169"/>
        <v>2.06930939915233E-2</v>
      </c>
      <c r="CC88" s="3">
        <f t="shared" ca="1" si="170"/>
        <v>0.21239379299865074</v>
      </c>
      <c r="CD88" s="3">
        <f t="shared" ca="1" si="171"/>
        <v>0</v>
      </c>
      <c r="CE88" s="3">
        <f t="shared" ca="1" si="172"/>
        <v>0</v>
      </c>
      <c r="CF88" s="3">
        <f t="shared" ca="1" si="173"/>
        <v>2.8920482739163467E-2</v>
      </c>
      <c r="CH88" s="3">
        <f t="shared" ca="1" si="174"/>
        <v>0.49975012493753124</v>
      </c>
      <c r="CI88" s="3">
        <f t="shared" ca="1" si="175"/>
        <v>0</v>
      </c>
      <c r="CJ88" s="3">
        <f t="shared" ca="1" si="176"/>
        <v>0</v>
      </c>
      <c r="CK88" s="3">
        <f t="shared" ca="1" si="177"/>
        <v>0.24931438544003989</v>
      </c>
      <c r="CM88" s="3">
        <f t="shared" ca="1" si="178"/>
        <v>0.49975012493753124</v>
      </c>
      <c r="CN88" s="3">
        <f t="shared" ca="1" si="179"/>
        <v>0.24912805181863476</v>
      </c>
      <c r="CO88" s="3">
        <f t="shared" ca="1" si="180"/>
        <v>0.24900398406374502</v>
      </c>
      <c r="CP88" s="3">
        <f t="shared" ca="1" si="181"/>
        <v>0.24931438544003989</v>
      </c>
      <c r="CR88" s="3">
        <v>4.999999888241291E-3</v>
      </c>
      <c r="CS88" s="3">
        <v>4.0140000000000002</v>
      </c>
      <c r="CT88" s="3">
        <v>4.016</v>
      </c>
      <c r="CU88" s="3">
        <v>1.1599999666213989</v>
      </c>
      <c r="CV88" s="21">
        <f t="shared" ca="1" si="183"/>
        <v>0</v>
      </c>
      <c r="CW88" s="16">
        <f t="shared" ca="1" si="182"/>
        <v>10.916666666666666</v>
      </c>
    </row>
    <row r="89" spans="1:101" s="3" customFormat="1" x14ac:dyDescent="0.35">
      <c r="A89" s="2" t="s">
        <v>9</v>
      </c>
      <c r="B89" s="2">
        <v>11.083333333333334</v>
      </c>
      <c r="C89" s="2" t="s">
        <v>168</v>
      </c>
      <c r="D89" s="2" t="s">
        <v>403</v>
      </c>
      <c r="F89" s="3">
        <v>4.0149999999999997</v>
      </c>
      <c r="G89" s="3">
        <v>4.0149999999999997</v>
      </c>
      <c r="H89" s="3">
        <v>4.01</v>
      </c>
      <c r="I89" s="11" t="e">
        <v>#N/A</v>
      </c>
      <c r="K89" s="3">
        <f t="shared" ca="1" si="122"/>
        <v>0.99601494396014945</v>
      </c>
      <c r="L89" s="3">
        <f t="shared" ca="1" si="123"/>
        <v>0.99601494396014956</v>
      </c>
      <c r="M89" s="3">
        <f t="shared" ca="1" si="124"/>
        <v>0.93491271820448896</v>
      </c>
      <c r="N89" s="3" t="e">
        <f t="shared" ca="1" si="125"/>
        <v>#N/A</v>
      </c>
      <c r="P89" s="3">
        <f t="shared" ca="1" si="126"/>
        <v>0.90933992326779212</v>
      </c>
      <c r="Q89" s="3">
        <f t="shared" ca="1" si="127"/>
        <v>0.85454551992499528</v>
      </c>
      <c r="R89" s="3">
        <f t="shared" ca="1" si="128"/>
        <v>0.8309226529556617</v>
      </c>
      <c r="S89" s="3" t="e">
        <f t="shared" ca="1" si="129"/>
        <v>#N/A</v>
      </c>
      <c r="U89" s="3">
        <f t="shared" ca="1" si="130"/>
        <v>2.2415940224159403</v>
      </c>
      <c r="V89" s="3">
        <f t="shared" ca="1" si="131"/>
        <v>2.2415940224159403</v>
      </c>
      <c r="W89" s="3">
        <f t="shared" ca="1" si="132"/>
        <v>2.4937655860349128</v>
      </c>
      <c r="X89" s="3" t="e">
        <f t="shared" ca="1" si="133"/>
        <v>#N/A</v>
      </c>
      <c r="Z89" s="3">
        <f t="shared" ca="1" si="134"/>
        <v>0.95043586550435866</v>
      </c>
      <c r="AA89" s="3">
        <f t="shared" ca="1" si="135"/>
        <v>0.99601494396014956</v>
      </c>
      <c r="AB89" s="3">
        <f t="shared" ca="1" si="136"/>
        <v>0.93491271820448896</v>
      </c>
      <c r="AC89" s="3" t="e">
        <f t="shared" ca="1" si="137"/>
        <v>#N/A</v>
      </c>
      <c r="AE89" s="3">
        <f t="shared" ca="1" si="138"/>
        <v>0.90933992326779212</v>
      </c>
      <c r="AF89" s="3">
        <f t="shared" ca="1" si="139"/>
        <v>0.85454551992499528</v>
      </c>
      <c r="AG89" s="3">
        <f t="shared" ca="1" si="140"/>
        <v>0.8309226529556617</v>
      </c>
      <c r="AH89" s="3" t="e">
        <f t="shared" ca="1" si="141"/>
        <v>#N/A</v>
      </c>
      <c r="AJ89" s="3">
        <f t="shared" ca="1" si="142"/>
        <v>2.2415940224159403</v>
      </c>
      <c r="AK89" s="3">
        <f t="shared" ca="1" si="143"/>
        <v>2.2415940224159403</v>
      </c>
      <c r="AL89" s="3">
        <f t="shared" ca="1" si="144"/>
        <v>2.4937655860349128</v>
      </c>
      <c r="AM89" s="3" t="e">
        <f t="shared" ca="1" si="145"/>
        <v>#N/A</v>
      </c>
      <c r="AO89" s="3">
        <f t="shared" ca="1" si="146"/>
        <v>0.4981320049813201</v>
      </c>
      <c r="AP89" s="3">
        <f t="shared" ca="1" si="147"/>
        <v>0.24906600249066005</v>
      </c>
      <c r="AQ89" s="3">
        <f t="shared" ca="1" si="148"/>
        <v>0.24937655860349128</v>
      </c>
      <c r="AR89" s="3" t="e">
        <f t="shared" ca="1" si="149"/>
        <v>#N/A</v>
      </c>
      <c r="AT89" s="3">
        <v>1.0999999940395355E-2</v>
      </c>
      <c r="AU89" s="3">
        <v>0</v>
      </c>
      <c r="AV89" s="3">
        <v>0.25200000405311584</v>
      </c>
      <c r="AW89" s="11" t="e">
        <v>#N/A</v>
      </c>
      <c r="AY89" s="3">
        <f t="shared" ca="1" si="150"/>
        <v>5.8032378580323785E-2</v>
      </c>
      <c r="AZ89" s="3">
        <f t="shared" ca="1" si="151"/>
        <v>5.4047322540473224E-2</v>
      </c>
      <c r="BA89" s="3">
        <f t="shared" ca="1" si="152"/>
        <v>1.2219451371571167E-2</v>
      </c>
      <c r="BB89" s="3" t="e">
        <f t="shared" ca="1" si="153"/>
        <v>#N/A</v>
      </c>
      <c r="BD89" s="3">
        <f t="shared" ca="1" si="154"/>
        <v>0</v>
      </c>
      <c r="BE89" s="3">
        <f t="shared" ca="1" si="155"/>
        <v>0.12428393844946534</v>
      </c>
      <c r="BF89" s="3">
        <f t="shared" ca="1" si="156"/>
        <v>0</v>
      </c>
      <c r="BG89" s="3" t="e">
        <f t="shared" ca="1" si="157"/>
        <v>#N/A</v>
      </c>
      <c r="BI89" s="3">
        <f t="shared" ca="1" si="158"/>
        <v>0</v>
      </c>
      <c r="BJ89" s="3">
        <f t="shared" ca="1" si="159"/>
        <v>0.4981320049813201</v>
      </c>
      <c r="BK89" s="3">
        <f t="shared" ca="1" si="160"/>
        <v>0</v>
      </c>
      <c r="BL89" s="3" t="e">
        <f t="shared" ca="1" si="161"/>
        <v>#N/A</v>
      </c>
      <c r="BN89" s="3">
        <f t="shared" ca="1" si="162"/>
        <v>0.4981320049813201</v>
      </c>
      <c r="BO89" s="3">
        <f t="shared" ca="1" si="163"/>
        <v>0.4981320049813201</v>
      </c>
      <c r="BP89" s="3">
        <f t="shared" ca="1" si="164"/>
        <v>0.74812967581047385</v>
      </c>
      <c r="BQ89" s="3" t="e">
        <f t="shared" ca="1" si="165"/>
        <v>#N/A</v>
      </c>
      <c r="BS89" s="3">
        <v>4.0149999999999997</v>
      </c>
      <c r="BT89" s="3">
        <v>0.44999998807907104</v>
      </c>
      <c r="BU89" s="3">
        <v>4.01</v>
      </c>
      <c r="BV89" s="11" t="e">
        <v>#N/A</v>
      </c>
      <c r="BX89" s="3">
        <f t="shared" ca="1" si="166"/>
        <v>0.23686176836861766</v>
      </c>
      <c r="BY89" s="3">
        <f t="shared" ca="1" si="167"/>
        <v>0.5270236612702367</v>
      </c>
      <c r="BZ89" s="3">
        <f t="shared" ca="1" si="168"/>
        <v>0.19551122194513726</v>
      </c>
      <c r="CA89" s="3" t="e">
        <f t="shared" ca="1" si="169"/>
        <v>#N/A</v>
      </c>
      <c r="CC89" s="3">
        <f t="shared" ca="1" si="170"/>
        <v>0.28268991045162067</v>
      </c>
      <c r="CD89" s="3">
        <f t="shared" ca="1" si="171"/>
        <v>0.53524288858007529</v>
      </c>
      <c r="CE89" s="3">
        <f t="shared" ca="1" si="172"/>
        <v>0.20773065952291514</v>
      </c>
      <c r="CF89" s="3" t="e">
        <f t="shared" ca="1" si="173"/>
        <v>#N/A</v>
      </c>
      <c r="CH89" s="3">
        <f t="shared" ca="1" si="174"/>
        <v>0.9962640099626402</v>
      </c>
      <c r="CI89" s="3">
        <f t="shared" ca="1" si="175"/>
        <v>1.4943960149439603</v>
      </c>
      <c r="CJ89" s="3">
        <f t="shared" ca="1" si="176"/>
        <v>0.49875311720698257</v>
      </c>
      <c r="CK89" s="3" t="e">
        <f t="shared" ca="1" si="177"/>
        <v>#N/A</v>
      </c>
      <c r="CM89" s="3">
        <f t="shared" ca="1" si="178"/>
        <v>0.9962640099626402</v>
      </c>
      <c r="CN89" s="3">
        <f t="shared" ca="1" si="179"/>
        <v>0.9962640099626402</v>
      </c>
      <c r="CO89" s="3">
        <f t="shared" ca="1" si="180"/>
        <v>0.49875311720698257</v>
      </c>
      <c r="CP89" s="3" t="e">
        <f t="shared" ca="1" si="181"/>
        <v>#N/A</v>
      </c>
      <c r="CR89" s="3">
        <v>0.86000001430511475</v>
      </c>
      <c r="CS89" s="3">
        <v>0</v>
      </c>
      <c r="CT89" s="3">
        <v>2.0680000782012939</v>
      </c>
      <c r="CU89" s="11" t="e">
        <v>#N/A</v>
      </c>
      <c r="CV89" s="21">
        <f t="shared" ca="1" si="183"/>
        <v>0</v>
      </c>
      <c r="CW89" s="16">
        <f t="shared" ca="1" si="182"/>
        <v>11.083333333333334</v>
      </c>
    </row>
    <row r="90" spans="1:101" s="3" customFormat="1" x14ac:dyDescent="0.35">
      <c r="A90" s="2" t="s">
        <v>67</v>
      </c>
      <c r="B90" s="2">
        <v>11.083333333333334</v>
      </c>
      <c r="C90" s="2" t="s">
        <v>167</v>
      </c>
      <c r="D90" s="2" t="s">
        <v>403</v>
      </c>
      <c r="F90" s="3">
        <v>4.0149999999999997</v>
      </c>
      <c r="G90" s="3">
        <v>4.016</v>
      </c>
      <c r="H90" s="3">
        <v>4.01</v>
      </c>
      <c r="I90" s="3">
        <v>4.0149999999999997</v>
      </c>
      <c r="K90" s="3">
        <f t="shared" ca="1" si="122"/>
        <v>0.99601494396014945</v>
      </c>
      <c r="L90" s="3">
        <f t="shared" ca="1" si="123"/>
        <v>0.99576693227091628</v>
      </c>
      <c r="M90" s="3">
        <f t="shared" ca="1" si="124"/>
        <v>0.99301745635910232</v>
      </c>
      <c r="N90" s="3">
        <f t="shared" ca="1" si="125"/>
        <v>0.9962640099626402</v>
      </c>
      <c r="P90" s="3">
        <f t="shared" ca="1" si="126"/>
        <v>0.962889326938137</v>
      </c>
      <c r="Q90" s="3">
        <f t="shared" ca="1" si="127"/>
        <v>0.97509959283140135</v>
      </c>
      <c r="R90" s="3">
        <f t="shared" ca="1" si="128"/>
        <v>0.95960100940858339</v>
      </c>
      <c r="S90" s="3">
        <f t="shared" ca="1" si="129"/>
        <v>0.95865496644195858</v>
      </c>
      <c r="U90" s="3">
        <f t="shared" ca="1" si="130"/>
        <v>2.2415940224159403</v>
      </c>
      <c r="V90" s="3">
        <f t="shared" ca="1" si="131"/>
        <v>1.4940239043824701</v>
      </c>
      <c r="W90" s="3">
        <f t="shared" ca="1" si="132"/>
        <v>2.2443890274314215</v>
      </c>
      <c r="X90" s="3">
        <f t="shared" ca="1" si="133"/>
        <v>2.4906600249066004</v>
      </c>
      <c r="Z90" s="3">
        <f t="shared" ca="1" si="134"/>
        <v>0.99601494396014945</v>
      </c>
      <c r="AA90" s="3">
        <f t="shared" ca="1" si="135"/>
        <v>0.99576693227091628</v>
      </c>
      <c r="AB90" s="3">
        <f t="shared" ca="1" si="136"/>
        <v>0.99301745635910232</v>
      </c>
      <c r="AC90" s="3">
        <f t="shared" ca="1" si="137"/>
        <v>0.9962640099626402</v>
      </c>
      <c r="AE90" s="3">
        <f t="shared" ca="1" si="138"/>
        <v>0.962889326938137</v>
      </c>
      <c r="AF90" s="3">
        <f t="shared" ca="1" si="139"/>
        <v>0.97509959283140135</v>
      </c>
      <c r="AG90" s="3">
        <f t="shared" ca="1" si="140"/>
        <v>0.95960100940858339</v>
      </c>
      <c r="AH90" s="3">
        <f t="shared" ca="1" si="141"/>
        <v>0.95865496644195858</v>
      </c>
      <c r="AJ90" s="3">
        <f t="shared" ca="1" si="142"/>
        <v>2.2415940224159403</v>
      </c>
      <c r="AK90" s="3">
        <f t="shared" ca="1" si="143"/>
        <v>1.4940239043824701</v>
      </c>
      <c r="AL90" s="3">
        <f t="shared" ca="1" si="144"/>
        <v>2.2443890274314215</v>
      </c>
      <c r="AM90" s="3">
        <f t="shared" ca="1" si="145"/>
        <v>2.4906600249066004</v>
      </c>
      <c r="AO90" s="3">
        <f t="shared" ca="1" si="146"/>
        <v>0.24906600249066005</v>
      </c>
      <c r="AP90" s="3">
        <f t="shared" ca="1" si="147"/>
        <v>0.24900398406374502</v>
      </c>
      <c r="AQ90" s="3">
        <f t="shared" ca="1" si="148"/>
        <v>0.24937655860349128</v>
      </c>
      <c r="AR90" s="3">
        <f t="shared" ca="1" si="149"/>
        <v>0.24906600249066005</v>
      </c>
      <c r="AT90" s="3">
        <v>4.999999888241291E-3</v>
      </c>
      <c r="AU90" s="3">
        <v>8.0000003799796104E-3</v>
      </c>
      <c r="AV90" s="3">
        <v>1.4000000432133675E-2</v>
      </c>
      <c r="AW90" s="3">
        <v>1.3000000268220901E-2</v>
      </c>
      <c r="AY90" s="3">
        <f t="shared" ca="1" si="150"/>
        <v>0.46924034869240333</v>
      </c>
      <c r="AZ90" s="3">
        <f t="shared" ca="1" si="151"/>
        <v>0.41484063745019922</v>
      </c>
      <c r="BA90" s="3">
        <f t="shared" ca="1" si="152"/>
        <v>0.60274314214463853</v>
      </c>
      <c r="BB90" s="3">
        <f t="shared" ca="1" si="153"/>
        <v>0.3651307596513077</v>
      </c>
      <c r="BD90" s="3">
        <f t="shared" ca="1" si="154"/>
        <v>0.54396028684946252</v>
      </c>
      <c r="BE90" s="3">
        <f t="shared" ca="1" si="155"/>
        <v>0.36927291834021947</v>
      </c>
      <c r="BF90" s="3">
        <f t="shared" ca="1" si="156"/>
        <v>0.59426432833112686</v>
      </c>
      <c r="BG90" s="3">
        <f t="shared" ca="1" si="157"/>
        <v>0.30734743899752759</v>
      </c>
      <c r="BI90" s="3">
        <f t="shared" ca="1" si="158"/>
        <v>1.4943960149439603</v>
      </c>
      <c r="BJ90" s="3">
        <f t="shared" ca="1" si="159"/>
        <v>0.74701195219123506</v>
      </c>
      <c r="BK90" s="3">
        <f t="shared" ca="1" si="160"/>
        <v>1.2468827930174564</v>
      </c>
      <c r="BL90" s="3">
        <f t="shared" ca="1" si="161"/>
        <v>0.9962640099626402</v>
      </c>
      <c r="BN90" s="3">
        <f t="shared" ca="1" si="162"/>
        <v>0.74719800747198017</v>
      </c>
      <c r="BO90" s="3">
        <f t="shared" ca="1" si="163"/>
        <v>0.74701195219123506</v>
      </c>
      <c r="BP90" s="3">
        <f t="shared" ca="1" si="164"/>
        <v>0.49875311720698257</v>
      </c>
      <c r="BQ90" s="3">
        <f t="shared" ca="1" si="165"/>
        <v>0.74719800747198017</v>
      </c>
      <c r="BS90" s="3">
        <v>0.70499998331069946</v>
      </c>
      <c r="BT90" s="3">
        <v>2.4900000095367432</v>
      </c>
      <c r="BU90" s="3">
        <v>0.61299997568130493</v>
      </c>
      <c r="BV90" s="3">
        <v>1.7130000591278076</v>
      </c>
      <c r="BX90" s="3">
        <f t="shared" ca="1" si="166"/>
        <v>6.201743462017438E-2</v>
      </c>
      <c r="BY90" s="3">
        <f t="shared" ca="1" si="167"/>
        <v>5.8266932270916331E-2</v>
      </c>
      <c r="BZ90" s="3">
        <f t="shared" ca="1" si="168"/>
        <v>7.057356608478807E-2</v>
      </c>
      <c r="CA90" s="3">
        <f t="shared" ca="1" si="169"/>
        <v>0.1078455790784557</v>
      </c>
      <c r="CC90" s="3">
        <f t="shared" ca="1" si="170"/>
        <v>0</v>
      </c>
      <c r="CD90" s="3">
        <f t="shared" ca="1" si="171"/>
        <v>0</v>
      </c>
      <c r="CE90" s="3">
        <f t="shared" ca="1" si="172"/>
        <v>0</v>
      </c>
      <c r="CF90" s="3">
        <f t="shared" ca="1" si="173"/>
        <v>0</v>
      </c>
      <c r="CH90" s="3">
        <f t="shared" ca="1" si="174"/>
        <v>0</v>
      </c>
      <c r="CI90" s="3">
        <f t="shared" ca="1" si="175"/>
        <v>0</v>
      </c>
      <c r="CJ90" s="3">
        <f t="shared" ca="1" si="176"/>
        <v>0</v>
      </c>
      <c r="CK90" s="3">
        <f t="shared" ca="1" si="177"/>
        <v>0</v>
      </c>
      <c r="CM90" s="3">
        <f t="shared" ca="1" si="178"/>
        <v>0.24906600249066005</v>
      </c>
      <c r="CN90" s="3">
        <f t="shared" ca="1" si="179"/>
        <v>0.24900398406374502</v>
      </c>
      <c r="CO90" s="3">
        <f t="shared" ca="1" si="180"/>
        <v>0.24937655860349128</v>
      </c>
      <c r="CP90" s="3">
        <f t="shared" ca="1" si="181"/>
        <v>0.4981320049813201</v>
      </c>
      <c r="CR90" s="3">
        <v>4.0149999999999997</v>
      </c>
      <c r="CS90" s="3">
        <v>4.016</v>
      </c>
      <c r="CT90" s="3">
        <v>4.01</v>
      </c>
      <c r="CU90" s="3">
        <v>4.0149999999999997</v>
      </c>
      <c r="CV90" s="21">
        <f t="shared" ca="1" si="183"/>
        <v>0.59426432833112686</v>
      </c>
      <c r="CW90" s="16">
        <f t="shared" ca="1" si="182"/>
        <v>11.083333333333334</v>
      </c>
    </row>
    <row r="91" spans="1:101" s="3" customFormat="1" x14ac:dyDescent="0.35">
      <c r="A91" s="2" t="s">
        <v>73</v>
      </c>
      <c r="B91" s="2">
        <v>11.333333333333334</v>
      </c>
      <c r="C91" s="2" t="s">
        <v>167</v>
      </c>
      <c r="D91" s="2" t="s">
        <v>403</v>
      </c>
      <c r="F91" s="3">
        <v>4.0110000000000001</v>
      </c>
      <c r="G91" s="3">
        <v>4.01</v>
      </c>
      <c r="H91" s="3">
        <v>3.9849999999999999</v>
      </c>
      <c r="I91" s="3">
        <v>4.01</v>
      </c>
      <c r="K91" s="3">
        <f t="shared" ca="1" si="122"/>
        <v>0.99276988282223888</v>
      </c>
      <c r="L91" s="3">
        <f t="shared" ca="1" si="123"/>
        <v>0.86408977556109723</v>
      </c>
      <c r="M91" s="3">
        <f t="shared" ca="1" si="124"/>
        <v>0.9909661229611042</v>
      </c>
      <c r="N91" s="3">
        <f t="shared" ca="1" si="125"/>
        <v>0.9306733167082295</v>
      </c>
      <c r="P91" s="3">
        <f t="shared" ca="1" si="126"/>
        <v>0.92670156468821419</v>
      </c>
      <c r="Q91" s="3">
        <f t="shared" ca="1" si="127"/>
        <v>0.49401500129937531</v>
      </c>
      <c r="R91" s="3">
        <f t="shared" ca="1" si="128"/>
        <v>0.7402760396189193</v>
      </c>
      <c r="S91" s="3">
        <f t="shared" ca="1" si="129"/>
        <v>0.72244387723858516</v>
      </c>
      <c r="U91" s="3">
        <f t="shared" ca="1" si="130"/>
        <v>2.9917726252804786</v>
      </c>
      <c r="V91" s="3">
        <f t="shared" ca="1" si="131"/>
        <v>1.745635910224439</v>
      </c>
      <c r="W91" s="3">
        <f t="shared" ca="1" si="132"/>
        <v>2.7603513174404015</v>
      </c>
      <c r="X91" s="3">
        <f t="shared" ca="1" si="133"/>
        <v>3.2418952618453867</v>
      </c>
      <c r="Z91" s="3">
        <f t="shared" ca="1" si="134"/>
        <v>0.99276988282223888</v>
      </c>
      <c r="AA91" s="3">
        <f t="shared" ca="1" si="135"/>
        <v>0.81845386533665843</v>
      </c>
      <c r="AB91" s="3">
        <f t="shared" ca="1" si="136"/>
        <v>0.9909661229611042</v>
      </c>
      <c r="AC91" s="3">
        <f t="shared" ca="1" si="137"/>
        <v>0.9306733167082295</v>
      </c>
      <c r="AE91" s="3">
        <f t="shared" ca="1" si="138"/>
        <v>0.92670156468821419</v>
      </c>
      <c r="AF91" s="3">
        <f t="shared" ca="1" si="139"/>
        <v>0.49401500129937531</v>
      </c>
      <c r="AG91" s="3">
        <f t="shared" ca="1" si="140"/>
        <v>0.7402760396189193</v>
      </c>
      <c r="AH91" s="3">
        <f t="shared" ca="1" si="141"/>
        <v>0.72244387723858516</v>
      </c>
      <c r="AJ91" s="3">
        <f t="shared" ca="1" si="142"/>
        <v>2.9917726252804786</v>
      </c>
      <c r="AK91" s="3">
        <f t="shared" ca="1" si="143"/>
        <v>1.745635910224439</v>
      </c>
      <c r="AL91" s="3">
        <f t="shared" ca="1" si="144"/>
        <v>2.7603513174404015</v>
      </c>
      <c r="AM91" s="3">
        <f t="shared" ca="1" si="145"/>
        <v>3.2418952618453867</v>
      </c>
      <c r="AO91" s="3">
        <f t="shared" ca="1" si="146"/>
        <v>0.24931438544003989</v>
      </c>
      <c r="AP91" s="3">
        <f t="shared" ca="1" si="147"/>
        <v>0.49875311720698257</v>
      </c>
      <c r="AQ91" s="3">
        <f t="shared" ca="1" si="148"/>
        <v>0.25094102885821834</v>
      </c>
      <c r="AR91" s="3">
        <f t="shared" ca="1" si="149"/>
        <v>0.24937655860349128</v>
      </c>
      <c r="AT91" s="3">
        <v>1.4000000432133675E-2</v>
      </c>
      <c r="AU91" s="3">
        <v>0.40099999308586121</v>
      </c>
      <c r="AV91" s="3">
        <v>0.20800000429153442</v>
      </c>
      <c r="AW91" s="3">
        <v>9.7999997437000275E-2</v>
      </c>
      <c r="AY91" s="3">
        <f t="shared" ca="1" si="150"/>
        <v>0.62802293692346045</v>
      </c>
      <c r="AZ91" s="3">
        <f t="shared" ca="1" si="151"/>
        <v>0.16184538653366584</v>
      </c>
      <c r="BA91" s="3">
        <f t="shared" ca="1" si="152"/>
        <v>0.49736511919698867</v>
      </c>
      <c r="BB91" s="3">
        <f t="shared" ca="1" si="153"/>
        <v>0.43640897755610958</v>
      </c>
      <c r="BD91" s="3">
        <f t="shared" ca="1" si="154"/>
        <v>0.59461474002551862</v>
      </c>
      <c r="BE91" s="3">
        <f t="shared" ca="1" si="155"/>
        <v>0.12443889852176582</v>
      </c>
      <c r="BF91" s="3">
        <f t="shared" ca="1" si="156"/>
        <v>0.41405269911178533</v>
      </c>
      <c r="BG91" s="3">
        <f t="shared" ca="1" si="157"/>
        <v>0.52743143125662484</v>
      </c>
      <c r="BI91" s="3">
        <f t="shared" ca="1" si="158"/>
        <v>1.7452006980802792</v>
      </c>
      <c r="BJ91" s="3">
        <f t="shared" ca="1" si="159"/>
        <v>0.24937655860349128</v>
      </c>
      <c r="BK91" s="3">
        <f t="shared" ca="1" si="160"/>
        <v>1.2547051442910917</v>
      </c>
      <c r="BL91" s="3">
        <f t="shared" ca="1" si="161"/>
        <v>2.2443890274314215</v>
      </c>
      <c r="BN91" s="3">
        <f t="shared" ca="1" si="162"/>
        <v>2.2438294689603588</v>
      </c>
      <c r="BO91" s="3">
        <f t="shared" ca="1" si="163"/>
        <v>1.2468827930174564</v>
      </c>
      <c r="BP91" s="3">
        <f t="shared" ca="1" si="164"/>
        <v>2.5094102885821834</v>
      </c>
      <c r="BQ91" s="3">
        <f t="shared" ca="1" si="165"/>
        <v>3.491271820448878</v>
      </c>
      <c r="BS91" s="3">
        <v>0.44699999690055847</v>
      </c>
      <c r="BT91" s="3">
        <v>0.40099999308586121</v>
      </c>
      <c r="BU91" s="3">
        <v>0.34099999070167542</v>
      </c>
      <c r="BV91" s="3">
        <v>0.414000004529953</v>
      </c>
      <c r="BX91" s="3">
        <f t="shared" ca="1" si="166"/>
        <v>4.9862877088008017E-2</v>
      </c>
      <c r="BY91" s="3">
        <f t="shared" ca="1" si="167"/>
        <v>0.19077306733167071</v>
      </c>
      <c r="BZ91" s="3">
        <f t="shared" ca="1" si="168"/>
        <v>7.5282308657465505E-2</v>
      </c>
      <c r="CA91" s="3">
        <f t="shared" ca="1" si="169"/>
        <v>0</v>
      </c>
      <c r="CC91" s="3">
        <f t="shared" ca="1" si="170"/>
        <v>3.7397181592478596E-2</v>
      </c>
      <c r="CD91" s="3">
        <f t="shared" ca="1" si="171"/>
        <v>0.24064838737620975</v>
      </c>
      <c r="CE91" s="3">
        <f t="shared" ca="1" si="172"/>
        <v>8.3563348729457879E-2</v>
      </c>
      <c r="CF91" s="3">
        <f t="shared" ca="1" si="173"/>
        <v>0</v>
      </c>
      <c r="CH91" s="3">
        <f t="shared" ca="1" si="174"/>
        <v>0.24931438544003989</v>
      </c>
      <c r="CI91" s="3">
        <f t="shared" ca="1" si="175"/>
        <v>0.74812967581047385</v>
      </c>
      <c r="CJ91" s="3">
        <f t="shared" ca="1" si="176"/>
        <v>0.25094102885821834</v>
      </c>
      <c r="CK91" s="3">
        <f t="shared" ca="1" si="177"/>
        <v>0</v>
      </c>
      <c r="CM91" s="3">
        <f t="shared" ca="1" si="178"/>
        <v>0.49862877088007979</v>
      </c>
      <c r="CN91" s="3">
        <f t="shared" ca="1" si="179"/>
        <v>0.74812967581047385</v>
      </c>
      <c r="CO91" s="3">
        <f t="shared" ca="1" si="180"/>
        <v>0.25094102885821834</v>
      </c>
      <c r="CP91" s="3">
        <f t="shared" ca="1" si="181"/>
        <v>0.74812967581047385</v>
      </c>
      <c r="CR91" s="3">
        <v>2.496999979019165</v>
      </c>
      <c r="CS91" s="3">
        <v>1.0839999914169312</v>
      </c>
      <c r="CT91" s="3">
        <v>1.5410000085830688</v>
      </c>
      <c r="CU91" s="3">
        <v>4.01</v>
      </c>
      <c r="CV91" s="21">
        <f t="shared" ca="1" si="183"/>
        <v>0.41405269911178533</v>
      </c>
      <c r="CW91" s="16">
        <f t="shared" ca="1" si="182"/>
        <v>11.333333333333334</v>
      </c>
    </row>
    <row r="92" spans="1:101" s="3" customFormat="1" x14ac:dyDescent="0.35">
      <c r="A92" s="2" t="s">
        <v>31</v>
      </c>
      <c r="B92" s="2">
        <v>11.5</v>
      </c>
      <c r="C92" s="2" t="s">
        <v>167</v>
      </c>
      <c r="D92" s="2" t="s">
        <v>403</v>
      </c>
      <c r="F92" s="3">
        <v>4.01</v>
      </c>
      <c r="G92" s="3">
        <v>4.0110000000000001</v>
      </c>
      <c r="H92" s="3">
        <v>4.0110000000000001</v>
      </c>
      <c r="I92" s="3">
        <v>4.0110000000000001</v>
      </c>
      <c r="K92" s="3">
        <f t="shared" ca="1" si="122"/>
        <v>0.99301745635910232</v>
      </c>
      <c r="L92" s="3">
        <f t="shared" ca="1" si="123"/>
        <v>0.98055347793567682</v>
      </c>
      <c r="M92" s="3">
        <f t="shared" ca="1" si="124"/>
        <v>0.9970082273747195</v>
      </c>
      <c r="N92" s="3">
        <f t="shared" ca="1" si="125"/>
        <v>0.9970082273747195</v>
      </c>
      <c r="P92" s="3">
        <f t="shared" ca="1" si="126"/>
        <v>0.8807979421945582</v>
      </c>
      <c r="Q92" s="3">
        <f t="shared" ca="1" si="127"/>
        <v>0.84268248599831586</v>
      </c>
      <c r="R92" s="3">
        <f t="shared" ca="1" si="128"/>
        <v>0.95113431496164413</v>
      </c>
      <c r="S92" s="3">
        <f t="shared" ca="1" si="129"/>
        <v>0.95188225072334187</v>
      </c>
      <c r="U92" s="3">
        <f t="shared" ca="1" si="130"/>
        <v>2.2443890274314215</v>
      </c>
      <c r="V92" s="3">
        <f t="shared" ca="1" si="131"/>
        <v>3.7397157816005984</v>
      </c>
      <c r="W92" s="3">
        <f t="shared" ca="1" si="132"/>
        <v>2.9917726252804786</v>
      </c>
      <c r="X92" s="3">
        <f t="shared" ca="1" si="133"/>
        <v>2.9917726252804786</v>
      </c>
      <c r="Z92" s="3">
        <f t="shared" ca="1" si="134"/>
        <v>0.99301745635910232</v>
      </c>
      <c r="AA92" s="3">
        <f t="shared" ca="1" si="135"/>
        <v>0.98055347793567682</v>
      </c>
      <c r="AB92" s="3">
        <f t="shared" ca="1" si="136"/>
        <v>0.9970082273747195</v>
      </c>
      <c r="AC92" s="3">
        <f t="shared" ca="1" si="137"/>
        <v>0.96783844427823484</v>
      </c>
      <c r="AE92" s="3">
        <f t="shared" ca="1" si="138"/>
        <v>0.8807979421945582</v>
      </c>
      <c r="AF92" s="3">
        <f t="shared" ca="1" si="139"/>
        <v>0.84268248599831586</v>
      </c>
      <c r="AG92" s="3">
        <f t="shared" ca="1" si="140"/>
        <v>0.95113431496164413</v>
      </c>
      <c r="AH92" s="3">
        <f t="shared" ca="1" si="141"/>
        <v>0.95188225072334187</v>
      </c>
      <c r="AJ92" s="3">
        <f t="shared" ca="1" si="142"/>
        <v>2.2443890274314215</v>
      </c>
      <c r="AK92" s="3">
        <f t="shared" ca="1" si="143"/>
        <v>3.7397157816005984</v>
      </c>
      <c r="AL92" s="3">
        <f t="shared" ca="1" si="144"/>
        <v>2.9917726252804786</v>
      </c>
      <c r="AM92" s="3">
        <f t="shared" ca="1" si="145"/>
        <v>2.9917726252804786</v>
      </c>
      <c r="AO92" s="3">
        <f t="shared" ca="1" si="146"/>
        <v>0.24937655860349128</v>
      </c>
      <c r="AP92" s="3">
        <f t="shared" ca="1" si="147"/>
        <v>0.24931438544003989</v>
      </c>
      <c r="AQ92" s="3">
        <f t="shared" ca="1" si="148"/>
        <v>0.24931438544003989</v>
      </c>
      <c r="AR92" s="3">
        <f t="shared" ca="1" si="149"/>
        <v>0.49862877088007979</v>
      </c>
      <c r="AT92" s="3">
        <v>1.3000000268220901E-2</v>
      </c>
      <c r="AU92" s="3">
        <v>6.8999998271465302E-2</v>
      </c>
      <c r="AV92" s="3">
        <v>4.0000001899898052E-3</v>
      </c>
      <c r="AW92" s="3">
        <v>1.0000000474974513E-3</v>
      </c>
      <c r="AY92" s="3">
        <f t="shared" ca="1" si="150"/>
        <v>0.72718204488778049</v>
      </c>
      <c r="AZ92" s="3">
        <f t="shared" ca="1" si="151"/>
        <v>0.73946646721515819</v>
      </c>
      <c r="BA92" s="3">
        <f t="shared" ca="1" si="152"/>
        <v>0.88930441286462225</v>
      </c>
      <c r="BB92" s="3">
        <f t="shared" ca="1" si="153"/>
        <v>0.41136873597606577</v>
      </c>
      <c r="BD92" s="3">
        <f t="shared" ca="1" si="154"/>
        <v>0.71895256304086896</v>
      </c>
      <c r="BE92" s="3">
        <f t="shared" ca="1" si="155"/>
        <v>0.58962833447457552</v>
      </c>
      <c r="BF92" s="3">
        <f t="shared" ca="1" si="156"/>
        <v>0.84318118450856216</v>
      </c>
      <c r="BG92" s="3">
        <f t="shared" ca="1" si="157"/>
        <v>0.37447013363996307</v>
      </c>
      <c r="BI92" s="3">
        <f t="shared" ca="1" si="158"/>
        <v>1.745635910224439</v>
      </c>
      <c r="BJ92" s="3">
        <f t="shared" ca="1" si="159"/>
        <v>2.4931438544003988</v>
      </c>
      <c r="BK92" s="3">
        <f t="shared" ca="1" si="160"/>
        <v>2.7424582398404387</v>
      </c>
      <c r="BL92" s="3">
        <f t="shared" ca="1" si="161"/>
        <v>1.4958863126402393</v>
      </c>
      <c r="BN92" s="3">
        <f t="shared" ca="1" si="162"/>
        <v>0.99750623441396513</v>
      </c>
      <c r="BO92" s="3">
        <f t="shared" ca="1" si="163"/>
        <v>0.74794315632011965</v>
      </c>
      <c r="BP92" s="3">
        <f t="shared" ca="1" si="164"/>
        <v>0.49862877088007979</v>
      </c>
      <c r="BQ92" s="3">
        <f t="shared" ca="1" si="165"/>
        <v>0.49862877088007979</v>
      </c>
      <c r="BS92" s="3">
        <v>0.46299999952316284</v>
      </c>
      <c r="BT92" s="3">
        <v>0.18600000441074371</v>
      </c>
      <c r="BU92" s="3">
        <v>0.45399999618530273</v>
      </c>
      <c r="BV92" s="3">
        <v>0.41800001263618469</v>
      </c>
      <c r="BX92" s="3">
        <f t="shared" ca="1" si="166"/>
        <v>1.6458852867830494E-2</v>
      </c>
      <c r="BY92" s="3">
        <f t="shared" ca="1" si="167"/>
        <v>3.3408127648965356E-2</v>
      </c>
      <c r="BZ92" s="3">
        <f t="shared" ca="1" si="168"/>
        <v>0</v>
      </c>
      <c r="CA92" s="3">
        <f t="shared" ca="1" si="169"/>
        <v>9.9725754176015938E-2</v>
      </c>
      <c r="CC92" s="3">
        <f t="shared" ca="1" si="170"/>
        <v>0</v>
      </c>
      <c r="CD92" s="3">
        <f t="shared" ca="1" si="171"/>
        <v>2.4931438915511372E-2</v>
      </c>
      <c r="CE92" s="3">
        <f t="shared" ca="1" si="172"/>
        <v>0</v>
      </c>
      <c r="CF92" s="3">
        <f t="shared" ca="1" si="173"/>
        <v>0.10795309132871055</v>
      </c>
      <c r="CH92" s="3">
        <f t="shared" ca="1" si="174"/>
        <v>0</v>
      </c>
      <c r="CI92" s="3">
        <f t="shared" ca="1" si="175"/>
        <v>0.24931438544003989</v>
      </c>
      <c r="CJ92" s="3">
        <f t="shared" ca="1" si="176"/>
        <v>0</v>
      </c>
      <c r="CK92" s="3">
        <f t="shared" ca="1" si="177"/>
        <v>0.24931438544003989</v>
      </c>
      <c r="CM92" s="3">
        <f t="shared" ca="1" si="178"/>
        <v>0.24937655860349128</v>
      </c>
      <c r="CN92" s="3">
        <f t="shared" ca="1" si="179"/>
        <v>0.49862877088007979</v>
      </c>
      <c r="CO92" s="3">
        <f t="shared" ca="1" si="180"/>
        <v>0</v>
      </c>
      <c r="CP92" s="3">
        <f t="shared" ca="1" si="181"/>
        <v>0.24931438544003989</v>
      </c>
      <c r="CR92" s="3">
        <v>4.01</v>
      </c>
      <c r="CS92" s="3">
        <v>6.8999998271465302E-2</v>
      </c>
      <c r="CT92" s="3">
        <v>4.0110000000000001</v>
      </c>
      <c r="CU92" s="3">
        <v>2.1170001029968262</v>
      </c>
      <c r="CV92" s="21">
        <f t="shared" ca="1" si="183"/>
        <v>0.84318118450856216</v>
      </c>
      <c r="CW92" s="16">
        <f t="shared" ca="1" si="182"/>
        <v>11.5</v>
      </c>
    </row>
    <row r="93" spans="1:101" s="3" customFormat="1" x14ac:dyDescent="0.35">
      <c r="A93" s="2" t="s">
        <v>64</v>
      </c>
      <c r="B93" s="2">
        <v>12</v>
      </c>
      <c r="C93" s="2" t="s">
        <v>167</v>
      </c>
      <c r="D93" s="2" t="s">
        <v>403</v>
      </c>
      <c r="F93" s="3">
        <v>4.016</v>
      </c>
      <c r="G93" s="3">
        <v>4.016</v>
      </c>
      <c r="H93" s="3">
        <v>4.0309999999999997</v>
      </c>
      <c r="I93" s="3">
        <v>4.0110000000000001</v>
      </c>
      <c r="K93" s="3">
        <f t="shared" ca="1" si="122"/>
        <v>0.99601593625498008</v>
      </c>
      <c r="L93" s="3">
        <f t="shared" ca="1" si="123"/>
        <v>0.99576693227091639</v>
      </c>
      <c r="M93" s="3">
        <f t="shared" ca="1" si="124"/>
        <v>0.99627883899776737</v>
      </c>
      <c r="N93" s="3">
        <f t="shared" ca="1" si="125"/>
        <v>0.9970082273747195</v>
      </c>
      <c r="P93" s="3">
        <f t="shared" ca="1" si="126"/>
        <v>0.96713151087969595</v>
      </c>
      <c r="Q93" s="3">
        <f t="shared" ca="1" si="127"/>
        <v>0.94173300618944</v>
      </c>
      <c r="R93" s="3">
        <f t="shared" ca="1" si="128"/>
        <v>0.95906725968436413</v>
      </c>
      <c r="S93" s="3">
        <f t="shared" ca="1" si="129"/>
        <v>0.88082773903975964</v>
      </c>
      <c r="U93" s="3">
        <f t="shared" ca="1" si="130"/>
        <v>1.9920318725099602</v>
      </c>
      <c r="V93" s="3">
        <f t="shared" ca="1" si="131"/>
        <v>1.4940239043824701</v>
      </c>
      <c r="W93" s="3">
        <f t="shared" ca="1" si="132"/>
        <v>2.4807740014884647</v>
      </c>
      <c r="X93" s="3">
        <f t="shared" ca="1" si="133"/>
        <v>2.4931438544003988</v>
      </c>
      <c r="Z93" s="3">
        <f t="shared" ca="1" si="134"/>
        <v>0.99601593625498008</v>
      </c>
      <c r="AA93" s="3">
        <f t="shared" ca="1" si="135"/>
        <v>0.99576693227091639</v>
      </c>
      <c r="AB93" s="3">
        <f t="shared" ca="1" si="136"/>
        <v>0.99627883899776737</v>
      </c>
      <c r="AC93" s="3">
        <f t="shared" ca="1" si="137"/>
        <v>0.91398653702318633</v>
      </c>
      <c r="AE93" s="3">
        <f t="shared" ca="1" si="138"/>
        <v>0.96713151087969595</v>
      </c>
      <c r="AF93" s="3">
        <f t="shared" ca="1" si="139"/>
        <v>0.94173300618944</v>
      </c>
      <c r="AG93" s="3">
        <f t="shared" ca="1" si="140"/>
        <v>0.95906725968436413</v>
      </c>
      <c r="AH93" s="3">
        <f t="shared" ca="1" si="141"/>
        <v>0.88082773903975964</v>
      </c>
      <c r="AJ93" s="3">
        <f t="shared" ca="1" si="142"/>
        <v>1.9920318725099602</v>
      </c>
      <c r="AK93" s="3">
        <f t="shared" ca="1" si="143"/>
        <v>1.4940239043824701</v>
      </c>
      <c r="AL93" s="3">
        <f t="shared" ca="1" si="144"/>
        <v>2.4807740014884647</v>
      </c>
      <c r="AM93" s="3">
        <f t="shared" ca="1" si="145"/>
        <v>2.4931438544003988</v>
      </c>
      <c r="AO93" s="3">
        <f t="shared" ca="1" si="146"/>
        <v>0.24900398406374502</v>
      </c>
      <c r="AP93" s="3">
        <f t="shared" ca="1" si="147"/>
        <v>0.24900398406374502</v>
      </c>
      <c r="AQ93" s="3">
        <f t="shared" ca="1" si="148"/>
        <v>0.24807740014884647</v>
      </c>
      <c r="AR93" s="3">
        <f t="shared" ca="1" si="149"/>
        <v>0.74794315632011965</v>
      </c>
      <c r="AT93" s="3">
        <v>4.999999888241291E-3</v>
      </c>
      <c r="AU93" s="3">
        <v>1.4999999664723873E-2</v>
      </c>
      <c r="AV93" s="3">
        <v>4.0000001899898052E-3</v>
      </c>
      <c r="AW93" s="3">
        <v>1.2000000104308128E-2</v>
      </c>
      <c r="AY93" s="3">
        <f t="shared" ca="1" si="150"/>
        <v>0.348605577689243</v>
      </c>
      <c r="AZ93" s="3">
        <f t="shared" ca="1" si="151"/>
        <v>0.6638446215139443</v>
      </c>
      <c r="BA93" s="3">
        <f t="shared" ca="1" si="152"/>
        <v>0.59563383775738032</v>
      </c>
      <c r="BB93" s="3">
        <f t="shared" ca="1" si="153"/>
        <v>0.41585639491398657</v>
      </c>
      <c r="BD93" s="3">
        <f t="shared" ca="1" si="154"/>
        <v>0.36105577392407145</v>
      </c>
      <c r="BE93" s="3">
        <f t="shared" ca="1" si="155"/>
        <v>0.64716131919883635</v>
      </c>
      <c r="BF93" s="3">
        <f t="shared" ca="1" si="156"/>
        <v>0.5827338368447299</v>
      </c>
      <c r="BG93" s="3">
        <f t="shared" ca="1" si="157"/>
        <v>0.44452753247717791</v>
      </c>
      <c r="BI93" s="3">
        <f t="shared" ca="1" si="158"/>
        <v>0.49800796812749004</v>
      </c>
      <c r="BJ93" s="3">
        <f t="shared" ca="1" si="159"/>
        <v>0.74701195219123506</v>
      </c>
      <c r="BK93" s="3">
        <f t="shared" ca="1" si="160"/>
        <v>1.7365418010419251</v>
      </c>
      <c r="BL93" s="3">
        <f t="shared" ca="1" si="161"/>
        <v>0.99725754176015957</v>
      </c>
      <c r="BN93" s="3">
        <f t="shared" ca="1" si="162"/>
        <v>0.49800796812749004</v>
      </c>
      <c r="BO93" s="3">
        <f t="shared" ca="1" si="163"/>
        <v>0.74701195219123506</v>
      </c>
      <c r="BP93" s="3">
        <f t="shared" ca="1" si="164"/>
        <v>0.74423220044653937</v>
      </c>
      <c r="BQ93" s="3">
        <f t="shared" ca="1" si="165"/>
        <v>1.2465719272001994</v>
      </c>
      <c r="BS93" s="3">
        <v>0.98900002241134644</v>
      </c>
      <c r="BT93" s="3">
        <v>0.54799997806549072</v>
      </c>
      <c r="BU93" s="3">
        <v>0.51999998092651367</v>
      </c>
      <c r="BV93" s="3">
        <v>0.49500000476837158</v>
      </c>
      <c r="BX93" s="3">
        <f t="shared" ca="1" si="166"/>
        <v>0.29880478087649398</v>
      </c>
      <c r="BY93" s="3">
        <f t="shared" ca="1" si="167"/>
        <v>0</v>
      </c>
      <c r="BZ93" s="3">
        <f t="shared" ca="1" si="168"/>
        <v>0</v>
      </c>
      <c r="CA93" s="3">
        <f t="shared" ca="1" si="169"/>
        <v>4.5624532535527305E-2</v>
      </c>
      <c r="CC93" s="3">
        <f t="shared" ca="1" si="170"/>
        <v>0.30303784934581218</v>
      </c>
      <c r="CD93" s="3">
        <f t="shared" ca="1" si="171"/>
        <v>0</v>
      </c>
      <c r="CE93" s="3">
        <f t="shared" ca="1" si="172"/>
        <v>0</v>
      </c>
      <c r="CF93" s="3">
        <f t="shared" ca="1" si="173"/>
        <v>4.9862876437870053E-2</v>
      </c>
      <c r="CH93" s="3">
        <f t="shared" ca="1" si="174"/>
        <v>0.49800796812749004</v>
      </c>
      <c r="CI93" s="3">
        <f t="shared" ca="1" si="175"/>
        <v>0</v>
      </c>
      <c r="CJ93" s="3">
        <f t="shared" ca="1" si="176"/>
        <v>0</v>
      </c>
      <c r="CK93" s="3">
        <f t="shared" ca="1" si="177"/>
        <v>0.24931438544003989</v>
      </c>
      <c r="CM93" s="3">
        <f t="shared" ca="1" si="178"/>
        <v>0.49800796812749004</v>
      </c>
      <c r="CN93" s="3">
        <f t="shared" ca="1" si="179"/>
        <v>0</v>
      </c>
      <c r="CO93" s="3">
        <f t="shared" ca="1" si="180"/>
        <v>0</v>
      </c>
      <c r="CP93" s="3">
        <f t="shared" ca="1" si="181"/>
        <v>0.49862877088007979</v>
      </c>
      <c r="CR93" s="3">
        <v>4.999999888241291E-3</v>
      </c>
      <c r="CS93" s="3">
        <v>4.016</v>
      </c>
      <c r="CT93" s="3">
        <v>4.0309999999999997</v>
      </c>
      <c r="CU93" s="3">
        <v>1.2000000104308128E-2</v>
      </c>
      <c r="CV93" s="21">
        <f t="shared" ca="1" si="183"/>
        <v>0.5827338368447299</v>
      </c>
      <c r="CW93" s="16">
        <f t="shared" ca="1" si="182"/>
        <v>12</v>
      </c>
    </row>
    <row r="94" spans="1:101" s="3" customFormat="1" x14ac:dyDescent="0.35">
      <c r="A94" s="2" t="s">
        <v>50</v>
      </c>
      <c r="B94" s="2">
        <v>12.083333333333334</v>
      </c>
      <c r="C94" s="2" t="s">
        <v>168</v>
      </c>
      <c r="D94" s="2" t="s">
        <v>403</v>
      </c>
      <c r="F94" s="3">
        <v>4.0090000000000003</v>
      </c>
      <c r="G94" s="3">
        <v>4.0599999999999996</v>
      </c>
      <c r="H94" s="3">
        <v>4.0469999999999997</v>
      </c>
      <c r="I94" s="3">
        <v>1.9830000000000005</v>
      </c>
      <c r="K94" s="3">
        <f t="shared" ca="1" si="122"/>
        <v>0.99750561237216262</v>
      </c>
      <c r="L94" s="3">
        <f t="shared" ca="1" si="123"/>
        <v>0.99729064039408866</v>
      </c>
      <c r="M94" s="3">
        <f t="shared" ca="1" si="124"/>
        <v>0.99654064739313064</v>
      </c>
      <c r="N94" s="3" t="e">
        <f t="shared" ca="1" si="125"/>
        <v>#N/A</v>
      </c>
      <c r="P94" s="3">
        <f t="shared" ca="1" si="126"/>
        <v>0.94337731492481458</v>
      </c>
      <c r="Q94" s="3">
        <f t="shared" ca="1" si="127"/>
        <v>0.90714291327637564</v>
      </c>
      <c r="R94" s="3">
        <f t="shared" ca="1" si="128"/>
        <v>0.31727213667503606</v>
      </c>
      <c r="S94" s="3" t="e">
        <f t="shared" ca="1" si="129"/>
        <v>#N/A</v>
      </c>
      <c r="U94" s="3">
        <f t="shared" ca="1" si="130"/>
        <v>1.4966325767024193</v>
      </c>
      <c r="V94" s="3">
        <f t="shared" ca="1" si="131"/>
        <v>1.4778325123152711</v>
      </c>
      <c r="W94" s="3">
        <f t="shared" ca="1" si="132"/>
        <v>1.7296763034346432</v>
      </c>
      <c r="X94" s="3" t="e">
        <f t="shared" ca="1" si="133"/>
        <v>#N/A</v>
      </c>
      <c r="Z94" s="3">
        <f t="shared" ca="1" si="134"/>
        <v>0.99750561237216262</v>
      </c>
      <c r="AA94" s="3">
        <f t="shared" ca="1" si="135"/>
        <v>0.99729064039408866</v>
      </c>
      <c r="AB94" s="3">
        <f t="shared" ca="1" si="136"/>
        <v>0.78626142821843359</v>
      </c>
      <c r="AC94" s="3" t="e">
        <f t="shared" ca="1" si="137"/>
        <v>#N/A</v>
      </c>
      <c r="AE94" s="3">
        <f t="shared" ca="1" si="138"/>
        <v>0.94337731492481458</v>
      </c>
      <c r="AF94" s="3">
        <f t="shared" ca="1" si="139"/>
        <v>0.90714291327637564</v>
      </c>
      <c r="AG94" s="3">
        <f t="shared" ca="1" si="140"/>
        <v>0.22238702104802718</v>
      </c>
      <c r="AH94" s="3" t="e">
        <f t="shared" ca="1" si="141"/>
        <v>#N/A</v>
      </c>
      <c r="AJ94" s="3">
        <f t="shared" ca="1" si="142"/>
        <v>1.4966325767024193</v>
      </c>
      <c r="AK94" s="3">
        <f t="shared" ca="1" si="143"/>
        <v>1.4778325123152711</v>
      </c>
      <c r="AL94" s="3">
        <f t="shared" ca="1" si="144"/>
        <v>1.2354830738818878</v>
      </c>
      <c r="AM94" s="3" t="e">
        <f t="shared" ca="1" si="145"/>
        <v>#N/A</v>
      </c>
      <c r="AO94" s="3">
        <f t="shared" ca="1" si="146"/>
        <v>0.24943876278373658</v>
      </c>
      <c r="AP94" s="3">
        <f t="shared" ca="1" si="147"/>
        <v>0.24630541871921185</v>
      </c>
      <c r="AQ94" s="3">
        <f t="shared" ca="1" si="148"/>
        <v>0.7412898443291327</v>
      </c>
      <c r="AR94" s="3" t="e">
        <f t="shared" ca="1" si="149"/>
        <v>#N/A</v>
      </c>
      <c r="AT94" s="3">
        <v>4.0000001899898052E-3</v>
      </c>
      <c r="AU94" s="3">
        <v>3.0000000260770321E-3</v>
      </c>
      <c r="AV94" s="3">
        <v>7.2999998927116394E-2</v>
      </c>
      <c r="AW94" s="11" t="e">
        <v>#N/A</v>
      </c>
      <c r="AY94" s="3">
        <f t="shared" ca="1" si="150"/>
        <v>0.3325018707907208</v>
      </c>
      <c r="AZ94" s="3">
        <f t="shared" ca="1" si="151"/>
        <v>0.27068965517241389</v>
      </c>
      <c r="BA94" s="3">
        <f t="shared" ca="1" si="152"/>
        <v>0.24734371139115405</v>
      </c>
      <c r="BB94" s="3" t="e">
        <f t="shared" ca="1" si="153"/>
        <v>#N/A</v>
      </c>
      <c r="BD94" s="3">
        <f t="shared" ca="1" si="154"/>
        <v>9.553502045477022E-2</v>
      </c>
      <c r="BE94" s="3">
        <f t="shared" ca="1" si="155"/>
        <v>0.27906404340208463</v>
      </c>
      <c r="BF94" s="3">
        <f t="shared" ca="1" si="156"/>
        <v>0.1522115875180044</v>
      </c>
      <c r="BG94" s="3" t="e">
        <f t="shared" ca="1" si="157"/>
        <v>#N/A</v>
      </c>
      <c r="BI94" s="3">
        <f t="shared" ca="1" si="158"/>
        <v>0.24943876278373658</v>
      </c>
      <c r="BJ94" s="3">
        <f t="shared" ca="1" si="159"/>
        <v>0.49261083743842371</v>
      </c>
      <c r="BK94" s="3">
        <f t="shared" ca="1" si="160"/>
        <v>0.7412898443291327</v>
      </c>
      <c r="BL94" s="3" t="e">
        <f t="shared" ca="1" si="161"/>
        <v>#N/A</v>
      </c>
      <c r="BN94" s="3">
        <f t="shared" ca="1" si="162"/>
        <v>0.99775505113494634</v>
      </c>
      <c r="BO94" s="3">
        <f t="shared" ca="1" si="163"/>
        <v>0.98522167487684742</v>
      </c>
      <c r="BP94" s="3">
        <f t="shared" ca="1" si="164"/>
        <v>4.4477390659747966</v>
      </c>
      <c r="BQ94" s="3" t="e">
        <f t="shared" ca="1" si="165"/>
        <v>#N/A</v>
      </c>
      <c r="BS94" s="3">
        <v>1.7369999885559082</v>
      </c>
      <c r="BT94" s="3">
        <v>1.5859999656677246</v>
      </c>
      <c r="BU94" s="3">
        <v>0.8059999942779541</v>
      </c>
      <c r="BV94" s="11" t="e">
        <v>#N/A</v>
      </c>
      <c r="BX94" s="3">
        <f t="shared" ca="1" si="166"/>
        <v>0</v>
      </c>
      <c r="BY94" s="3">
        <f t="shared" ca="1" si="167"/>
        <v>0</v>
      </c>
      <c r="BZ94" s="3">
        <f t="shared" ca="1" si="168"/>
        <v>0</v>
      </c>
      <c r="CA94" s="3" t="e">
        <f t="shared" ca="1" si="169"/>
        <v>#N/A</v>
      </c>
      <c r="CC94" s="3">
        <f t="shared" ca="1" si="170"/>
        <v>0</v>
      </c>
      <c r="CD94" s="3">
        <f t="shared" ca="1" si="171"/>
        <v>0</v>
      </c>
      <c r="CE94" s="3">
        <f t="shared" ca="1" si="172"/>
        <v>0</v>
      </c>
      <c r="CF94" s="3" t="e">
        <f t="shared" ca="1" si="173"/>
        <v>#N/A</v>
      </c>
      <c r="CH94" s="3">
        <f t="shared" ca="1" si="174"/>
        <v>0</v>
      </c>
      <c r="CI94" s="3">
        <f t="shared" ca="1" si="175"/>
        <v>0</v>
      </c>
      <c r="CJ94" s="3">
        <f t="shared" ca="1" si="176"/>
        <v>0</v>
      </c>
      <c r="CK94" s="3" t="e">
        <f t="shared" ca="1" si="177"/>
        <v>#N/A</v>
      </c>
      <c r="CM94" s="3">
        <f t="shared" ca="1" si="178"/>
        <v>0</v>
      </c>
      <c r="CN94" s="3">
        <f t="shared" ca="1" si="179"/>
        <v>0</v>
      </c>
      <c r="CO94" s="3">
        <f t="shared" ca="1" si="180"/>
        <v>0</v>
      </c>
      <c r="CP94" s="3" t="e">
        <f t="shared" ca="1" si="181"/>
        <v>#N/A</v>
      </c>
      <c r="CR94" s="3">
        <v>4.0090000000000003</v>
      </c>
      <c r="CS94" s="3">
        <v>4.0599999999999996</v>
      </c>
      <c r="CT94" s="3">
        <v>4.0469999999999997</v>
      </c>
      <c r="CU94" s="11" t="e">
        <v>#N/A</v>
      </c>
      <c r="CV94" s="21">
        <f t="shared" ca="1" si="183"/>
        <v>0.1522115875180044</v>
      </c>
      <c r="CW94" s="16">
        <f t="shared" ca="1" si="182"/>
        <v>12.083333333333334</v>
      </c>
    </row>
    <row r="95" spans="1:101" s="3" customFormat="1" x14ac:dyDescent="0.35">
      <c r="A95" s="2" t="s">
        <v>11</v>
      </c>
      <c r="B95" s="2">
        <v>12.25</v>
      </c>
      <c r="C95" s="2" t="s">
        <v>167</v>
      </c>
      <c r="D95" s="2" t="s">
        <v>403</v>
      </c>
      <c r="F95" s="3">
        <v>4.032</v>
      </c>
      <c r="G95" s="3">
        <v>4.016</v>
      </c>
      <c r="H95" s="3">
        <v>4.016</v>
      </c>
      <c r="I95" s="3">
        <v>4.016</v>
      </c>
      <c r="K95" s="3">
        <f t="shared" ca="1" si="122"/>
        <v>0.99603174603174605</v>
      </c>
      <c r="L95" s="3">
        <f t="shared" ca="1" si="123"/>
        <v>0.99576693227091639</v>
      </c>
      <c r="M95" s="3">
        <f t="shared" ca="1" si="124"/>
        <v>0.99576693227091628</v>
      </c>
      <c r="N95" s="3">
        <f t="shared" ca="1" si="125"/>
        <v>0.99576693227091628</v>
      </c>
      <c r="P95" s="3">
        <f t="shared" ca="1" si="126"/>
        <v>0.94618059376934693</v>
      </c>
      <c r="Q95" s="3">
        <f t="shared" ca="1" si="127"/>
        <v>0.94596601225944987</v>
      </c>
      <c r="R95" s="3">
        <f t="shared" ca="1" si="128"/>
        <v>0.95866532011636607</v>
      </c>
      <c r="S95" s="3">
        <f t="shared" ca="1" si="129"/>
        <v>0.9748506314766805</v>
      </c>
      <c r="U95" s="3">
        <f t="shared" ca="1" si="130"/>
        <v>1.9841269841269842</v>
      </c>
      <c r="V95" s="3">
        <f t="shared" ca="1" si="131"/>
        <v>3.237051792828685</v>
      </c>
      <c r="W95" s="3">
        <f t="shared" ca="1" si="132"/>
        <v>2.4900398406374502</v>
      </c>
      <c r="X95" s="3">
        <f t="shared" ca="1" si="133"/>
        <v>1.4940239043824701</v>
      </c>
      <c r="Z95" s="3">
        <f t="shared" ca="1" si="134"/>
        <v>0.99603174603174605</v>
      </c>
      <c r="AA95" s="3">
        <f t="shared" ca="1" si="135"/>
        <v>0.99576693227091639</v>
      </c>
      <c r="AB95" s="3">
        <f t="shared" ca="1" si="136"/>
        <v>0.99576693227091628</v>
      </c>
      <c r="AC95" s="3">
        <f t="shared" ca="1" si="137"/>
        <v>0.99576693227091628</v>
      </c>
      <c r="AE95" s="3">
        <f t="shared" ca="1" si="138"/>
        <v>0.94618059376934693</v>
      </c>
      <c r="AF95" s="3">
        <f t="shared" ca="1" si="139"/>
        <v>0.94596601225944987</v>
      </c>
      <c r="AG95" s="3">
        <f t="shared" ca="1" si="140"/>
        <v>0.95866532011636607</v>
      </c>
      <c r="AH95" s="3">
        <f t="shared" ca="1" si="141"/>
        <v>0.9748506314766805</v>
      </c>
      <c r="AJ95" s="3">
        <f t="shared" ca="1" si="142"/>
        <v>1.9841269841269842</v>
      </c>
      <c r="AK95" s="3">
        <f t="shared" ca="1" si="143"/>
        <v>3.237051792828685</v>
      </c>
      <c r="AL95" s="3">
        <f t="shared" ca="1" si="144"/>
        <v>2.4900398406374502</v>
      </c>
      <c r="AM95" s="3">
        <f t="shared" ca="1" si="145"/>
        <v>1.4940239043824701</v>
      </c>
      <c r="AO95" s="3">
        <f t="shared" ca="1" si="146"/>
        <v>0.24801587301587302</v>
      </c>
      <c r="AP95" s="3">
        <f t="shared" ca="1" si="147"/>
        <v>0.24900398406374502</v>
      </c>
      <c r="AQ95" s="3">
        <f t="shared" ca="1" si="148"/>
        <v>0.24900398406374502</v>
      </c>
      <c r="AR95" s="3">
        <f t="shared" ca="1" si="149"/>
        <v>0.24900398406374502</v>
      </c>
      <c r="AT95" s="3">
        <v>1.0999999940395355E-2</v>
      </c>
      <c r="AU95" s="3">
        <v>1.0000000474974513E-3</v>
      </c>
      <c r="AV95" s="3">
        <v>3.0000000260770321E-3</v>
      </c>
      <c r="AW95" s="3">
        <v>4.999999888241291E-3</v>
      </c>
      <c r="AY95" s="3">
        <f t="shared" ca="1" si="150"/>
        <v>0.39260912698412692</v>
      </c>
      <c r="AZ95" s="3">
        <f t="shared" ca="1" si="151"/>
        <v>0.30702191235059761</v>
      </c>
      <c r="BA95" s="3">
        <f t="shared" ca="1" si="152"/>
        <v>0.53137450199203196</v>
      </c>
      <c r="BB95" s="3">
        <f t="shared" ca="1" si="153"/>
        <v>0.3070219123505975</v>
      </c>
      <c r="BD95" s="3">
        <f t="shared" ca="1" si="154"/>
        <v>0.40476189719306099</v>
      </c>
      <c r="BE95" s="3">
        <f t="shared" ca="1" si="155"/>
        <v>0.31947205028685915</v>
      </c>
      <c r="BF95" s="3">
        <f t="shared" ca="1" si="156"/>
        <v>0.54382468052894861</v>
      </c>
      <c r="BG95" s="3">
        <f t="shared" ca="1" si="157"/>
        <v>0.3027888645688851</v>
      </c>
      <c r="BI95" s="3">
        <f t="shared" ca="1" si="158"/>
        <v>0.99206349206349209</v>
      </c>
      <c r="BJ95" s="3">
        <f t="shared" ca="1" si="159"/>
        <v>0.99601593625498008</v>
      </c>
      <c r="BK95" s="3">
        <f t="shared" ca="1" si="160"/>
        <v>1.2450199203187251</v>
      </c>
      <c r="BL95" s="3">
        <f t="shared" ca="1" si="161"/>
        <v>0.74701195219123506</v>
      </c>
      <c r="BN95" s="3">
        <f t="shared" ca="1" si="162"/>
        <v>0.99206349206349209</v>
      </c>
      <c r="BO95" s="3">
        <f t="shared" ca="1" si="163"/>
        <v>0.99601593625498008</v>
      </c>
      <c r="BP95" s="3">
        <f t="shared" ca="1" si="164"/>
        <v>0.74701195219123506</v>
      </c>
      <c r="BQ95" s="3">
        <f t="shared" ca="1" si="165"/>
        <v>1.2450199203187251</v>
      </c>
      <c r="BS95" s="3">
        <v>1.0110000371932983</v>
      </c>
      <c r="BT95" s="3">
        <v>0.43500000238418579</v>
      </c>
      <c r="BU95" s="3">
        <v>3.0000000260770321E-3</v>
      </c>
      <c r="BV95" s="3">
        <v>0.3880000114440918</v>
      </c>
      <c r="BX95" s="3">
        <f t="shared" ca="1" si="166"/>
        <v>0</v>
      </c>
      <c r="BY95" s="3">
        <f t="shared" ca="1" si="167"/>
        <v>8.690239043824706E-2</v>
      </c>
      <c r="BZ95" s="3">
        <f t="shared" ca="1" si="168"/>
        <v>0</v>
      </c>
      <c r="CA95" s="3">
        <f t="shared" ca="1" si="169"/>
        <v>0</v>
      </c>
      <c r="CC95" s="3">
        <f t="shared" ca="1" si="170"/>
        <v>0</v>
      </c>
      <c r="CD95" s="3">
        <f t="shared" ca="1" si="171"/>
        <v>9.5368500249794277E-2</v>
      </c>
      <c r="CE95" s="3">
        <f t="shared" ca="1" si="172"/>
        <v>0</v>
      </c>
      <c r="CF95" s="3">
        <f t="shared" ca="1" si="173"/>
        <v>0</v>
      </c>
      <c r="CH95" s="3">
        <f t="shared" ca="1" si="174"/>
        <v>0</v>
      </c>
      <c r="CI95" s="3">
        <f t="shared" ca="1" si="175"/>
        <v>0.24900398406374502</v>
      </c>
      <c r="CJ95" s="3">
        <f t="shared" ca="1" si="176"/>
        <v>0</v>
      </c>
      <c r="CK95" s="3">
        <f t="shared" ca="1" si="177"/>
        <v>0</v>
      </c>
      <c r="CM95" s="3">
        <f t="shared" ca="1" si="178"/>
        <v>0</v>
      </c>
      <c r="CN95" s="3">
        <f t="shared" ca="1" si="179"/>
        <v>0.24900398406374502</v>
      </c>
      <c r="CO95" s="3">
        <f t="shared" ca="1" si="180"/>
        <v>0</v>
      </c>
      <c r="CP95" s="3">
        <f t="shared" ca="1" si="181"/>
        <v>0</v>
      </c>
      <c r="CR95" s="3">
        <v>4.032</v>
      </c>
      <c r="CS95" s="3">
        <v>2.8840000629425049</v>
      </c>
      <c r="CT95" s="3">
        <v>4.016</v>
      </c>
      <c r="CU95" s="3">
        <v>4.016</v>
      </c>
      <c r="CV95" s="21">
        <f t="shared" ca="1" si="183"/>
        <v>0.54382468052894861</v>
      </c>
      <c r="CW95" s="16">
        <f t="shared" ca="1" si="182"/>
        <v>12.25</v>
      </c>
    </row>
    <row r="96" spans="1:101" s="3" customFormat="1" x14ac:dyDescent="0.35">
      <c r="A96" s="2" t="s">
        <v>60</v>
      </c>
      <c r="B96" s="2">
        <v>13</v>
      </c>
      <c r="C96" s="2" t="s">
        <v>167</v>
      </c>
      <c r="D96" s="2" t="s">
        <v>403</v>
      </c>
      <c r="F96" s="3">
        <v>4.0110000000000001</v>
      </c>
      <c r="G96" s="3">
        <v>4.01</v>
      </c>
      <c r="H96" s="3">
        <v>4.01</v>
      </c>
      <c r="I96" s="3">
        <v>4.01</v>
      </c>
      <c r="K96" s="3">
        <f t="shared" ca="1" si="122"/>
        <v>0.99700822737471961</v>
      </c>
      <c r="L96" s="3">
        <f t="shared" ca="1" si="123"/>
        <v>0.99725685785536178</v>
      </c>
      <c r="M96" s="3">
        <f t="shared" ca="1" si="124"/>
        <v>0.99301745635910232</v>
      </c>
      <c r="N96" s="3">
        <f t="shared" ca="1" si="125"/>
        <v>0.99725685785536178</v>
      </c>
      <c r="P96" s="3">
        <f t="shared" ca="1" si="126"/>
        <v>0.97157809455193833</v>
      </c>
      <c r="Q96" s="3">
        <f t="shared" ca="1" si="127"/>
        <v>0.92194498542166714</v>
      </c>
      <c r="R96" s="3">
        <f t="shared" ca="1" si="128"/>
        <v>0.95137157094225921</v>
      </c>
      <c r="S96" s="3">
        <f t="shared" ca="1" si="129"/>
        <v>0.93915215106982919</v>
      </c>
      <c r="U96" s="3">
        <f t="shared" ca="1" si="130"/>
        <v>1.7452006980802792</v>
      </c>
      <c r="V96" s="3">
        <f t="shared" ca="1" si="131"/>
        <v>3.7406483790523692</v>
      </c>
      <c r="W96" s="3">
        <f t="shared" ca="1" si="132"/>
        <v>2.7431421446384041</v>
      </c>
      <c r="X96" s="3">
        <f t="shared" ca="1" si="133"/>
        <v>1.4962593516209477</v>
      </c>
      <c r="Z96" s="3">
        <f t="shared" ca="1" si="134"/>
        <v>0.99700822737471961</v>
      </c>
      <c r="AA96" s="3">
        <f t="shared" ca="1" si="135"/>
        <v>0.99725685785536178</v>
      </c>
      <c r="AB96" s="3">
        <f t="shared" ca="1" si="136"/>
        <v>0.99301745635910232</v>
      </c>
      <c r="AC96" s="3">
        <f t="shared" ca="1" si="137"/>
        <v>0.99725685785536178</v>
      </c>
      <c r="AE96" s="3">
        <f t="shared" ca="1" si="138"/>
        <v>0.97157809455193833</v>
      </c>
      <c r="AF96" s="3">
        <f t="shared" ca="1" si="139"/>
        <v>0.92194498542166714</v>
      </c>
      <c r="AG96" s="3">
        <f t="shared" ca="1" si="140"/>
        <v>0.95137157094225921</v>
      </c>
      <c r="AH96" s="3">
        <f t="shared" ca="1" si="141"/>
        <v>0.93915215106982919</v>
      </c>
      <c r="AJ96" s="3">
        <f t="shared" ca="1" si="142"/>
        <v>1.7452006980802792</v>
      </c>
      <c r="AK96" s="3">
        <f t="shared" ca="1" si="143"/>
        <v>3.7406483790523692</v>
      </c>
      <c r="AL96" s="3">
        <f t="shared" ca="1" si="144"/>
        <v>2.7431421446384041</v>
      </c>
      <c r="AM96" s="3">
        <f t="shared" ca="1" si="145"/>
        <v>1.4962593516209477</v>
      </c>
      <c r="AO96" s="3">
        <f t="shared" ca="1" si="146"/>
        <v>0.24931438544003989</v>
      </c>
      <c r="AP96" s="3">
        <f t="shared" ca="1" si="147"/>
        <v>0.24937655860349128</v>
      </c>
      <c r="AQ96" s="3">
        <f t="shared" ca="1" si="148"/>
        <v>0.24937655860349128</v>
      </c>
      <c r="AR96" s="3">
        <f t="shared" ca="1" si="149"/>
        <v>0.24937655860349128</v>
      </c>
      <c r="AT96" s="3">
        <v>9.9999997764825821E-3</v>
      </c>
      <c r="AU96" s="3">
        <v>9.9999997764825821E-3</v>
      </c>
      <c r="AV96" s="3">
        <v>1.6000000759959221E-2</v>
      </c>
      <c r="AW96" s="3">
        <v>2.0000000949949026E-3</v>
      </c>
      <c r="AY96" s="3">
        <f t="shared" ca="1" si="150"/>
        <v>0.45724258289703312</v>
      </c>
      <c r="AZ96" s="3">
        <f t="shared" ca="1" si="151"/>
        <v>5.41147132169576E-2</v>
      </c>
      <c r="BA96" s="3">
        <f t="shared" ca="1" si="152"/>
        <v>0.44862842892768084</v>
      </c>
      <c r="BB96" s="3">
        <f t="shared" ca="1" si="153"/>
        <v>0.28678304239401503</v>
      </c>
      <c r="BD96" s="3">
        <f t="shared" ca="1" si="154"/>
        <v>0.38618798922850467</v>
      </c>
      <c r="BE96" s="3">
        <f t="shared" ca="1" si="155"/>
        <v>6.6334135514542356E-2</v>
      </c>
      <c r="BF96" s="3">
        <f t="shared" ca="1" si="156"/>
        <v>0.39476314536353896</v>
      </c>
      <c r="BG96" s="3">
        <f t="shared" ca="1" si="157"/>
        <v>0.24114713407216823</v>
      </c>
      <c r="BI96" s="3">
        <f t="shared" ca="1" si="158"/>
        <v>0.74794315632011965</v>
      </c>
      <c r="BJ96" s="3">
        <f t="shared" ca="1" si="159"/>
        <v>0.49875311720698257</v>
      </c>
      <c r="BK96" s="3">
        <f t="shared" ca="1" si="160"/>
        <v>1.2468827930174564</v>
      </c>
      <c r="BL96" s="3">
        <f t="shared" ca="1" si="161"/>
        <v>0.74812967581047385</v>
      </c>
      <c r="BN96" s="3">
        <f t="shared" ca="1" si="162"/>
        <v>0.99725754176015957</v>
      </c>
      <c r="BO96" s="3">
        <f t="shared" ca="1" si="163"/>
        <v>0.74812967581047385</v>
      </c>
      <c r="BP96" s="3">
        <f t="shared" ca="1" si="164"/>
        <v>0.49875311720698257</v>
      </c>
      <c r="BQ96" s="3">
        <f t="shared" ca="1" si="165"/>
        <v>0.49875311720698257</v>
      </c>
      <c r="BS96" s="3">
        <v>0.34299999475479126</v>
      </c>
      <c r="BT96" s="3">
        <v>0.31000000238418579</v>
      </c>
      <c r="BU96" s="3">
        <v>0.43299999833106995</v>
      </c>
      <c r="BV96" s="3">
        <v>2.5510001182556152</v>
      </c>
      <c r="BX96" s="3">
        <f t="shared" ca="1" si="166"/>
        <v>0.13712291199202201</v>
      </c>
      <c r="BY96" s="3">
        <f t="shared" ca="1" si="167"/>
        <v>0.14538653366583545</v>
      </c>
      <c r="BZ96" s="3">
        <f t="shared" ca="1" si="168"/>
        <v>0</v>
      </c>
      <c r="CA96" s="3">
        <f t="shared" ca="1" si="169"/>
        <v>0</v>
      </c>
      <c r="CC96" s="3">
        <f t="shared" ca="1" si="170"/>
        <v>0.13712284066260411</v>
      </c>
      <c r="CD96" s="3">
        <f t="shared" ca="1" si="171"/>
        <v>0.18279299771696553</v>
      </c>
      <c r="CE96" s="3">
        <f t="shared" ca="1" si="172"/>
        <v>0</v>
      </c>
      <c r="CF96" s="3">
        <f t="shared" ca="1" si="173"/>
        <v>0</v>
      </c>
      <c r="CH96" s="3">
        <f t="shared" ca="1" si="174"/>
        <v>0.24931438544003989</v>
      </c>
      <c r="CI96" s="3">
        <f t="shared" ca="1" si="175"/>
        <v>0.24937655860349128</v>
      </c>
      <c r="CJ96" s="3">
        <f t="shared" ca="1" si="176"/>
        <v>0</v>
      </c>
      <c r="CK96" s="3">
        <f t="shared" ca="1" si="177"/>
        <v>0</v>
      </c>
      <c r="CM96" s="3">
        <f t="shared" ca="1" si="178"/>
        <v>0.24931438544003989</v>
      </c>
      <c r="CN96" s="3">
        <f t="shared" ca="1" si="179"/>
        <v>0.24937655860349128</v>
      </c>
      <c r="CO96" s="3">
        <f t="shared" ca="1" si="180"/>
        <v>0</v>
      </c>
      <c r="CP96" s="3">
        <f t="shared" ca="1" si="181"/>
        <v>0</v>
      </c>
      <c r="CR96" s="3">
        <v>3.4590001106262207</v>
      </c>
      <c r="CS96" s="3">
        <v>1.9259999990463257</v>
      </c>
      <c r="CT96" s="3">
        <v>4.01</v>
      </c>
      <c r="CU96" s="3">
        <v>4.01</v>
      </c>
      <c r="CV96" s="21">
        <f t="shared" ca="1" si="183"/>
        <v>0.39476314536353896</v>
      </c>
      <c r="CW96" s="16">
        <f t="shared" ca="1" si="182"/>
        <v>13</v>
      </c>
    </row>
    <row r="97" spans="1:101" s="5" customFormat="1" x14ac:dyDescent="0.35">
      <c r="A97" s="4" t="s">
        <v>104</v>
      </c>
      <c r="B97" s="4">
        <v>2.6666666666666665</v>
      </c>
      <c r="C97" s="4" t="s">
        <v>167</v>
      </c>
      <c r="D97" s="4" t="s">
        <v>404</v>
      </c>
      <c r="E97" s="3"/>
      <c r="F97" s="5">
        <v>4.01</v>
      </c>
      <c r="G97" s="5">
        <v>4.016</v>
      </c>
      <c r="H97" s="5">
        <v>4.0149999999999997</v>
      </c>
      <c r="I97" s="5">
        <v>4.016</v>
      </c>
      <c r="K97" s="3">
        <f t="shared" ca="1" si="122"/>
        <v>0.99725685785536167</v>
      </c>
      <c r="L97" s="3">
        <f t="shared" ca="1" si="123"/>
        <v>0.9957669322709165</v>
      </c>
      <c r="M97" s="3">
        <f t="shared" ca="1" si="124"/>
        <v>0.99178082191780836</v>
      </c>
      <c r="N97" s="3">
        <f t="shared" ca="1" si="125"/>
        <v>0.99576693227091639</v>
      </c>
      <c r="P97" s="3">
        <f t="shared" ca="1" si="126"/>
        <v>0.86034907520449078</v>
      </c>
      <c r="Q97" s="3">
        <f t="shared" ca="1" si="127"/>
        <v>0.86678286363413382</v>
      </c>
      <c r="R97" s="3">
        <f t="shared" ca="1" si="128"/>
        <v>0.93823162047830355</v>
      </c>
      <c r="S97" s="3">
        <f t="shared" ca="1" si="129"/>
        <v>0.84213144400999307</v>
      </c>
      <c r="U97" s="3">
        <f t="shared" ca="1" si="130"/>
        <v>1.745635910224439</v>
      </c>
      <c r="V97" s="3">
        <f t="shared" ca="1" si="131"/>
        <v>2.4900398406374502</v>
      </c>
      <c r="W97" s="3">
        <f t="shared" ca="1" si="132"/>
        <v>2.7397260273972606</v>
      </c>
      <c r="X97" s="3">
        <f t="shared" ca="1" si="133"/>
        <v>2.4900398406374502</v>
      </c>
      <c r="Z97" s="3">
        <f t="shared" ca="1" si="134"/>
        <v>0.88528678304239417</v>
      </c>
      <c r="AA97" s="3">
        <f t="shared" ca="1" si="135"/>
        <v>0.9957669322709165</v>
      </c>
      <c r="AB97" s="3">
        <f t="shared" ca="1" si="136"/>
        <v>0.99178082191780836</v>
      </c>
      <c r="AC97" s="3">
        <f t="shared" ca="1" si="137"/>
        <v>0.99576693227091639</v>
      </c>
      <c r="AE97" s="3">
        <f t="shared" ca="1" si="138"/>
        <v>0.86034907520449078</v>
      </c>
      <c r="AF97" s="3">
        <f t="shared" ca="1" si="139"/>
        <v>0.86678286363413382</v>
      </c>
      <c r="AG97" s="3">
        <f t="shared" ca="1" si="140"/>
        <v>0.93823162047830355</v>
      </c>
      <c r="AH97" s="3">
        <f t="shared" ca="1" si="141"/>
        <v>0.84213144400999307</v>
      </c>
      <c r="AJ97" s="3">
        <f t="shared" ca="1" si="142"/>
        <v>1.745635910224439</v>
      </c>
      <c r="AK97" s="3">
        <f t="shared" ca="1" si="143"/>
        <v>2.4900398406374502</v>
      </c>
      <c r="AL97" s="3">
        <f t="shared" ca="1" si="144"/>
        <v>2.7397260273972606</v>
      </c>
      <c r="AM97" s="3">
        <f t="shared" ca="1" si="145"/>
        <v>2.4900398406374502</v>
      </c>
      <c r="AO97" s="3">
        <f t="shared" ca="1" si="146"/>
        <v>0.74812967581047385</v>
      </c>
      <c r="AP97" s="3">
        <f t="shared" ca="1" si="147"/>
        <v>0.24900398406374502</v>
      </c>
      <c r="AQ97" s="3">
        <f t="shared" ca="1" si="148"/>
        <v>0.24906600249066005</v>
      </c>
      <c r="AR97" s="3">
        <f t="shared" ca="1" si="149"/>
        <v>0.24900398406374502</v>
      </c>
      <c r="AT97" s="5">
        <v>6.0000000521540642E-3</v>
      </c>
      <c r="AU97" s="5">
        <v>2.0000000949949026E-3</v>
      </c>
      <c r="AV97" s="5">
        <v>4.8999998718500137E-2</v>
      </c>
      <c r="AW97" s="5">
        <v>7.0000002160668373E-3</v>
      </c>
      <c r="AY97" s="3">
        <f t="shared" ca="1" si="150"/>
        <v>0.47381546134663344</v>
      </c>
      <c r="AZ97" s="3">
        <f t="shared" ca="1" si="151"/>
        <v>0.4272908366533863</v>
      </c>
      <c r="BA97" s="3">
        <f t="shared" ca="1" si="152"/>
        <v>0.80498132004981338</v>
      </c>
      <c r="BB97" s="3">
        <f t="shared" ca="1" si="153"/>
        <v>0.39840637450199207</v>
      </c>
      <c r="BD97" s="3">
        <f t="shared" ca="1" si="154"/>
        <v>0.51920201415730238</v>
      </c>
      <c r="BE97" s="3">
        <f t="shared" ca="1" si="155"/>
        <v>0.53087650126669983</v>
      </c>
      <c r="BF97" s="3">
        <f t="shared" ca="1" si="156"/>
        <v>0.85504357871201686</v>
      </c>
      <c r="BG97" s="3">
        <f t="shared" ca="1" si="157"/>
        <v>0.34860555691073142</v>
      </c>
      <c r="BI97" s="3">
        <f t="shared" ca="1" si="158"/>
        <v>0.74812967581047385</v>
      </c>
      <c r="BJ97" s="3">
        <f t="shared" ca="1" si="159"/>
        <v>1.2450199203187251</v>
      </c>
      <c r="BK97" s="3">
        <f t="shared" ca="1" si="160"/>
        <v>2.4906600249066004</v>
      </c>
      <c r="BL97" s="3">
        <f t="shared" ca="1" si="161"/>
        <v>0.74701195219123506</v>
      </c>
      <c r="BN97" s="3">
        <f t="shared" ca="1" si="162"/>
        <v>0.74812967581047385</v>
      </c>
      <c r="BO97" s="3">
        <f t="shared" ca="1" si="163"/>
        <v>1.2450199203187251</v>
      </c>
      <c r="BP97" s="3">
        <f t="shared" ca="1" si="164"/>
        <v>0.9962640099626402</v>
      </c>
      <c r="BQ97" s="3">
        <f t="shared" ca="1" si="165"/>
        <v>0.99601593625498008</v>
      </c>
      <c r="BS97" s="5">
        <v>0.53899997472763062</v>
      </c>
      <c r="BT97" s="5">
        <v>0.5350000262260437</v>
      </c>
      <c r="BU97" s="5">
        <v>0.39899998903274536</v>
      </c>
      <c r="BV97" s="5">
        <v>0.68999999761581421</v>
      </c>
      <c r="BX97" s="3">
        <f t="shared" ca="1" si="166"/>
        <v>0</v>
      </c>
      <c r="BY97" s="3">
        <f t="shared" ca="1" si="167"/>
        <v>5.8017928286852614E-2</v>
      </c>
      <c r="BZ97" s="3">
        <f t="shared" ca="1" si="168"/>
        <v>0</v>
      </c>
      <c r="CA97" s="3">
        <f t="shared" ca="1" si="169"/>
        <v>0</v>
      </c>
      <c r="CC97" s="3">
        <f t="shared" ca="1" si="170"/>
        <v>0</v>
      </c>
      <c r="CD97" s="3">
        <f t="shared" ca="1" si="171"/>
        <v>0</v>
      </c>
      <c r="CE97" s="3">
        <f t="shared" ca="1" si="172"/>
        <v>0</v>
      </c>
      <c r="CF97" s="3">
        <f t="shared" ca="1" si="173"/>
        <v>0</v>
      </c>
      <c r="CH97" s="3">
        <f t="shared" ca="1" si="174"/>
        <v>0</v>
      </c>
      <c r="CI97" s="3">
        <f t="shared" ca="1" si="175"/>
        <v>0</v>
      </c>
      <c r="CJ97" s="3">
        <f t="shared" ca="1" si="176"/>
        <v>0</v>
      </c>
      <c r="CK97" s="3">
        <f t="shared" ca="1" si="177"/>
        <v>0</v>
      </c>
      <c r="CM97" s="3">
        <f t="shared" ca="1" si="178"/>
        <v>0</v>
      </c>
      <c r="CN97" s="3">
        <f t="shared" ca="1" si="179"/>
        <v>0.24900398406374502</v>
      </c>
      <c r="CO97" s="3">
        <f t="shared" ca="1" si="180"/>
        <v>0.24906600249066005</v>
      </c>
      <c r="CP97" s="3">
        <f t="shared" ca="1" si="181"/>
        <v>0.49800796812749004</v>
      </c>
      <c r="CR97" s="5">
        <v>4.01</v>
      </c>
      <c r="CS97" s="5">
        <v>4.016</v>
      </c>
      <c r="CT97" s="5">
        <v>4.0149999999999997</v>
      </c>
      <c r="CU97" s="5">
        <v>4.016</v>
      </c>
      <c r="CV97" s="21">
        <f t="shared" ca="1" si="183"/>
        <v>0.85504357871201686</v>
      </c>
      <c r="CW97" s="16">
        <f t="shared" ca="1" si="182"/>
        <v>2.6666666666666665</v>
      </c>
    </row>
    <row r="98" spans="1:101" s="5" customFormat="1" x14ac:dyDescent="0.35">
      <c r="A98" s="4" t="s">
        <v>103</v>
      </c>
      <c r="B98" s="4">
        <v>3.3333333333333335</v>
      </c>
      <c r="C98" s="4" t="s">
        <v>168</v>
      </c>
      <c r="D98" s="4" t="s">
        <v>404</v>
      </c>
      <c r="E98" s="3"/>
      <c r="F98" s="5">
        <v>1.7330000000000001</v>
      </c>
      <c r="G98" s="11" t="e">
        <v>#N/A</v>
      </c>
      <c r="H98" s="11" t="e">
        <v>#N/A</v>
      </c>
      <c r="I98" s="11" t="e">
        <v>#N/A</v>
      </c>
      <c r="K98" s="3" t="e">
        <f t="shared" ca="1" si="122"/>
        <v>#N/A</v>
      </c>
      <c r="L98" s="3" t="e">
        <f t="shared" ca="1" si="123"/>
        <v>#N/A</v>
      </c>
      <c r="M98" s="3" t="e">
        <f t="shared" ca="1" si="124"/>
        <v>#N/A</v>
      </c>
      <c r="N98" s="3" t="e">
        <f t="shared" ca="1" si="125"/>
        <v>#N/A</v>
      </c>
      <c r="P98" s="3" t="e">
        <f t="shared" ca="1" si="126"/>
        <v>#N/A</v>
      </c>
      <c r="Q98" s="3" t="e">
        <f t="shared" ca="1" si="127"/>
        <v>#N/A</v>
      </c>
      <c r="R98" s="3" t="e">
        <f t="shared" ca="1" si="128"/>
        <v>#N/A</v>
      </c>
      <c r="S98" s="3" t="e">
        <f t="shared" ca="1" si="129"/>
        <v>#N/A</v>
      </c>
      <c r="U98" s="3" t="e">
        <f t="shared" ca="1" si="130"/>
        <v>#N/A</v>
      </c>
      <c r="V98" s="3" t="e">
        <f t="shared" ca="1" si="131"/>
        <v>#N/A</v>
      </c>
      <c r="W98" s="3" t="e">
        <f t="shared" ca="1" si="132"/>
        <v>#N/A</v>
      </c>
      <c r="X98" s="3" t="e">
        <f t="shared" ca="1" si="133"/>
        <v>#N/A</v>
      </c>
      <c r="Z98" s="3" t="e">
        <f t="shared" ca="1" si="134"/>
        <v>#N/A</v>
      </c>
      <c r="AA98" s="3" t="e">
        <f t="shared" ca="1" si="135"/>
        <v>#N/A</v>
      </c>
      <c r="AB98" s="3" t="e">
        <f t="shared" ca="1" si="136"/>
        <v>#N/A</v>
      </c>
      <c r="AC98" s="3" t="e">
        <f t="shared" ca="1" si="137"/>
        <v>#N/A</v>
      </c>
      <c r="AE98" s="3" t="e">
        <f t="shared" ca="1" si="138"/>
        <v>#N/A</v>
      </c>
      <c r="AF98" s="3" t="e">
        <f t="shared" ca="1" si="139"/>
        <v>#N/A</v>
      </c>
      <c r="AG98" s="3" t="e">
        <f t="shared" ca="1" si="140"/>
        <v>#N/A</v>
      </c>
      <c r="AH98" s="3" t="e">
        <f t="shared" ca="1" si="141"/>
        <v>#N/A</v>
      </c>
      <c r="AJ98" s="3" t="e">
        <f t="shared" ca="1" si="142"/>
        <v>#N/A</v>
      </c>
      <c r="AK98" s="3" t="e">
        <f t="shared" ca="1" si="143"/>
        <v>#N/A</v>
      </c>
      <c r="AL98" s="3" t="e">
        <f t="shared" ca="1" si="144"/>
        <v>#N/A</v>
      </c>
      <c r="AM98" s="3" t="e">
        <f t="shared" ca="1" si="145"/>
        <v>#N/A</v>
      </c>
      <c r="AO98" s="3" t="e">
        <f t="shared" ca="1" si="146"/>
        <v>#N/A</v>
      </c>
      <c r="AP98" s="3" t="e">
        <f t="shared" ca="1" si="147"/>
        <v>#N/A</v>
      </c>
      <c r="AQ98" s="3" t="e">
        <f t="shared" ca="1" si="148"/>
        <v>#N/A</v>
      </c>
      <c r="AR98" s="3" t="e">
        <f t="shared" ca="1" si="149"/>
        <v>#N/A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Y98" s="3" t="e">
        <f t="shared" ca="1" si="150"/>
        <v>#N/A</v>
      </c>
      <c r="AZ98" s="3" t="e">
        <f t="shared" ca="1" si="151"/>
        <v>#N/A</v>
      </c>
      <c r="BA98" s="3" t="e">
        <f t="shared" ca="1" si="152"/>
        <v>#N/A</v>
      </c>
      <c r="BB98" s="3" t="e">
        <f t="shared" ca="1" si="153"/>
        <v>#N/A</v>
      </c>
      <c r="BD98" s="3" t="e">
        <f t="shared" ca="1" si="154"/>
        <v>#N/A</v>
      </c>
      <c r="BE98" s="3" t="e">
        <f t="shared" ca="1" si="155"/>
        <v>#N/A</v>
      </c>
      <c r="BF98" s="3" t="e">
        <f t="shared" ca="1" si="156"/>
        <v>#N/A</v>
      </c>
      <c r="BG98" s="3" t="e">
        <f t="shared" ca="1" si="157"/>
        <v>#N/A</v>
      </c>
      <c r="BI98" s="3" t="e">
        <f t="shared" ca="1" si="158"/>
        <v>#N/A</v>
      </c>
      <c r="BJ98" s="3" t="e">
        <f t="shared" ca="1" si="159"/>
        <v>#N/A</v>
      </c>
      <c r="BK98" s="3" t="e">
        <f t="shared" ca="1" si="160"/>
        <v>#N/A</v>
      </c>
      <c r="BL98" s="3" t="e">
        <f t="shared" ca="1" si="161"/>
        <v>#N/A</v>
      </c>
      <c r="BN98" s="3" t="e">
        <f t="shared" ca="1" si="162"/>
        <v>#N/A</v>
      </c>
      <c r="BO98" s="3" t="e">
        <f t="shared" ca="1" si="163"/>
        <v>#N/A</v>
      </c>
      <c r="BP98" s="3" t="e">
        <f t="shared" ca="1" si="164"/>
        <v>#N/A</v>
      </c>
      <c r="BQ98" s="3" t="e">
        <f t="shared" ca="1" si="165"/>
        <v>#N/A</v>
      </c>
      <c r="BS98" s="11" t="e">
        <v>#N/A</v>
      </c>
      <c r="BT98" s="11" t="e">
        <v>#N/A</v>
      </c>
      <c r="BU98" s="11" t="e">
        <v>#N/A</v>
      </c>
      <c r="BV98" s="11" t="e">
        <v>#N/A</v>
      </c>
      <c r="BX98" s="3" t="e">
        <f t="shared" ca="1" si="166"/>
        <v>#N/A</v>
      </c>
      <c r="BY98" s="3" t="e">
        <f t="shared" ca="1" si="167"/>
        <v>#N/A</v>
      </c>
      <c r="BZ98" s="3" t="e">
        <f t="shared" ca="1" si="168"/>
        <v>#N/A</v>
      </c>
      <c r="CA98" s="3" t="e">
        <f t="shared" ca="1" si="169"/>
        <v>#N/A</v>
      </c>
      <c r="CC98" s="3" t="e">
        <f t="shared" ca="1" si="170"/>
        <v>#N/A</v>
      </c>
      <c r="CD98" s="3" t="e">
        <f t="shared" ca="1" si="171"/>
        <v>#N/A</v>
      </c>
      <c r="CE98" s="3" t="e">
        <f t="shared" ca="1" si="172"/>
        <v>#N/A</v>
      </c>
      <c r="CF98" s="3" t="e">
        <f t="shared" ca="1" si="173"/>
        <v>#N/A</v>
      </c>
      <c r="CH98" s="3" t="e">
        <f t="shared" ca="1" si="174"/>
        <v>#N/A</v>
      </c>
      <c r="CI98" s="3" t="e">
        <f t="shared" ca="1" si="175"/>
        <v>#N/A</v>
      </c>
      <c r="CJ98" s="3" t="e">
        <f t="shared" ca="1" si="176"/>
        <v>#N/A</v>
      </c>
      <c r="CK98" s="3" t="e">
        <f t="shared" ca="1" si="177"/>
        <v>#N/A</v>
      </c>
      <c r="CM98" s="3" t="e">
        <f t="shared" ca="1" si="178"/>
        <v>#N/A</v>
      </c>
      <c r="CN98" s="3" t="e">
        <f t="shared" ca="1" si="179"/>
        <v>#N/A</v>
      </c>
      <c r="CO98" s="3" t="e">
        <f t="shared" ca="1" si="180"/>
        <v>#N/A</v>
      </c>
      <c r="CP98" s="3" t="e">
        <f t="shared" ca="1" si="181"/>
        <v>#N/A</v>
      </c>
      <c r="CR98" s="11" t="e">
        <v>#N/A</v>
      </c>
      <c r="CS98" s="11" t="e">
        <v>#N/A</v>
      </c>
      <c r="CT98" s="11" t="e">
        <v>#N/A</v>
      </c>
      <c r="CU98" s="11" t="e">
        <v>#N/A</v>
      </c>
      <c r="CV98" s="21" t="e">
        <f t="shared" ca="1" si="183"/>
        <v>#N/A</v>
      </c>
      <c r="CW98" s="16">
        <f t="shared" ca="1" si="182"/>
        <v>3.3333333333333335</v>
      </c>
    </row>
    <row r="99" spans="1:101" s="5" customFormat="1" x14ac:dyDescent="0.35">
      <c r="A99" s="4" t="s">
        <v>105</v>
      </c>
      <c r="B99" s="4">
        <v>3.4166666666666665</v>
      </c>
      <c r="C99" s="4" t="s">
        <v>168</v>
      </c>
      <c r="D99" s="4" t="s">
        <v>404</v>
      </c>
      <c r="E99" s="3"/>
      <c r="F99" s="5">
        <v>4.0019999999999998</v>
      </c>
      <c r="G99" s="11" t="e">
        <v>#N/A</v>
      </c>
      <c r="H99" s="5">
        <v>3.194</v>
      </c>
      <c r="I99" s="5">
        <v>2.8140000000000001</v>
      </c>
      <c r="K99" s="3">
        <f t="shared" ca="1" si="122"/>
        <v>0.99500249875062474</v>
      </c>
      <c r="L99" s="3" t="e">
        <f t="shared" ca="1" si="123"/>
        <v>#N/A</v>
      </c>
      <c r="M99" s="3">
        <f t="shared" ca="1" si="124"/>
        <v>0.99624295554164055</v>
      </c>
      <c r="N99" s="3">
        <f t="shared" ca="1" si="125"/>
        <v>0.99502487562189057</v>
      </c>
      <c r="P99" s="3">
        <f t="shared" ca="1" si="126"/>
        <v>0.90379811574829216</v>
      </c>
      <c r="Q99" s="3" t="e">
        <f t="shared" ca="1" si="127"/>
        <v>#N/A</v>
      </c>
      <c r="R99" s="3">
        <f t="shared" ca="1" si="128"/>
        <v>0.79304953038683146</v>
      </c>
      <c r="S99" s="3">
        <f t="shared" ca="1" si="129"/>
        <v>0.95948828920436058</v>
      </c>
      <c r="U99" s="3">
        <f t="shared" ca="1" si="130"/>
        <v>1.7491254372813594</v>
      </c>
      <c r="V99" s="3" t="e">
        <f t="shared" ca="1" si="131"/>
        <v>#N/A</v>
      </c>
      <c r="W99" s="3">
        <f t="shared" ca="1" si="132"/>
        <v>1.5654351909830932</v>
      </c>
      <c r="X99" s="3">
        <f t="shared" ca="1" si="133"/>
        <v>2.1321961620469083</v>
      </c>
      <c r="Z99" s="3">
        <f t="shared" ca="1" si="134"/>
        <v>0.94077961019490264</v>
      </c>
      <c r="AA99" s="3" t="e">
        <f t="shared" ca="1" si="135"/>
        <v>#N/A</v>
      </c>
      <c r="AB99" s="3">
        <f t="shared" ca="1" si="136"/>
        <v>0.80338134001252359</v>
      </c>
      <c r="AC99" s="3">
        <f t="shared" ca="1" si="137"/>
        <v>0.906183368869936</v>
      </c>
      <c r="AE99" s="3">
        <f t="shared" ca="1" si="138"/>
        <v>0.90379811574829216</v>
      </c>
      <c r="AF99" s="3" t="e">
        <f t="shared" ca="1" si="139"/>
        <v>#N/A</v>
      </c>
      <c r="AG99" s="3">
        <f t="shared" ca="1" si="140"/>
        <v>0.79304953038683146</v>
      </c>
      <c r="AH99" s="3">
        <f t="shared" ca="1" si="141"/>
        <v>0.95948828920436058</v>
      </c>
      <c r="AJ99" s="3">
        <f t="shared" ca="1" si="142"/>
        <v>1.7491254372813594</v>
      </c>
      <c r="AK99" s="3" t="e">
        <f t="shared" ca="1" si="143"/>
        <v>#N/A</v>
      </c>
      <c r="AL99" s="3">
        <f t="shared" ca="1" si="144"/>
        <v>1.5654351909830932</v>
      </c>
      <c r="AM99" s="3">
        <f t="shared" ca="1" si="145"/>
        <v>2.1321961620469083</v>
      </c>
      <c r="AO99" s="3">
        <f t="shared" ca="1" si="146"/>
        <v>0.49975012493753124</v>
      </c>
      <c r="AP99" s="3" t="e">
        <f t="shared" ca="1" si="147"/>
        <v>#N/A</v>
      </c>
      <c r="AQ99" s="3">
        <f t="shared" ca="1" si="148"/>
        <v>0.93926111458985595</v>
      </c>
      <c r="AR99" s="3">
        <f t="shared" ca="1" si="149"/>
        <v>0.71073205401563611</v>
      </c>
      <c r="AT99" s="5">
        <v>8.0000003799796104E-3</v>
      </c>
      <c r="AU99" s="11" t="e">
        <v>#N/A</v>
      </c>
      <c r="AV99" s="5">
        <v>7.0000002160668373E-3</v>
      </c>
      <c r="AW99" s="5">
        <v>1.4000000432133675E-2</v>
      </c>
      <c r="AY99" s="3">
        <f t="shared" ca="1" si="150"/>
        <v>6.2468765617191405E-2</v>
      </c>
      <c r="AZ99" s="3" t="e">
        <f t="shared" ca="1" si="151"/>
        <v>#N/A</v>
      </c>
      <c r="BA99" s="3">
        <f t="shared" ca="1" si="152"/>
        <v>0.14088916718847838</v>
      </c>
      <c r="BB99" s="3">
        <f t="shared" ca="1" si="153"/>
        <v>0</v>
      </c>
      <c r="BD99" s="3">
        <f t="shared" ca="1" si="154"/>
        <v>0.13318337660202798</v>
      </c>
      <c r="BE99" s="3" t="e">
        <f t="shared" ca="1" si="155"/>
        <v>#N/A</v>
      </c>
      <c r="BF99" s="3">
        <f t="shared" ca="1" si="156"/>
        <v>0.16186602353004642</v>
      </c>
      <c r="BG99" s="3">
        <f t="shared" ca="1" si="157"/>
        <v>0</v>
      </c>
      <c r="BI99" s="3">
        <f t="shared" ca="1" si="158"/>
        <v>0.24987506246876562</v>
      </c>
      <c r="BJ99" s="3" t="e">
        <f t="shared" ca="1" si="159"/>
        <v>#N/A</v>
      </c>
      <c r="BK99" s="3">
        <f t="shared" ca="1" si="160"/>
        <v>0.6261740763932373</v>
      </c>
      <c r="BL99" s="3">
        <f t="shared" ca="1" si="161"/>
        <v>0</v>
      </c>
      <c r="BN99" s="3">
        <f t="shared" ca="1" si="162"/>
        <v>0.24987506246876562</v>
      </c>
      <c r="BO99" s="3" t="e">
        <f t="shared" ca="1" si="163"/>
        <v>#N/A</v>
      </c>
      <c r="BP99" s="3">
        <f t="shared" ca="1" si="164"/>
        <v>0.31308703819661865</v>
      </c>
      <c r="BQ99" s="3">
        <f t="shared" ca="1" si="165"/>
        <v>0</v>
      </c>
      <c r="BS99" s="5">
        <v>1.7580000162124634</v>
      </c>
      <c r="BT99" s="11" t="e">
        <v>#N/A</v>
      </c>
      <c r="BU99" s="5">
        <v>1.3229999542236328</v>
      </c>
      <c r="BV99" s="5">
        <v>4.0110000000000001</v>
      </c>
      <c r="BX99" s="3">
        <f t="shared" ca="1" si="166"/>
        <v>0.1541729135432284</v>
      </c>
      <c r="BY99" s="3" t="e">
        <f t="shared" ca="1" si="167"/>
        <v>#N/A</v>
      </c>
      <c r="BZ99" s="3">
        <f t="shared" ca="1" si="168"/>
        <v>0</v>
      </c>
      <c r="CA99" s="3">
        <f t="shared" ca="1" si="169"/>
        <v>0</v>
      </c>
      <c r="CC99" s="3">
        <f t="shared" ca="1" si="170"/>
        <v>0.13768115918199042</v>
      </c>
      <c r="CD99" s="3" t="e">
        <f t="shared" ca="1" si="171"/>
        <v>#N/A</v>
      </c>
      <c r="CE99" s="3">
        <f t="shared" ca="1" si="172"/>
        <v>0</v>
      </c>
      <c r="CF99" s="3">
        <f t="shared" ca="1" si="173"/>
        <v>0</v>
      </c>
      <c r="CH99" s="3">
        <f t="shared" ca="1" si="174"/>
        <v>0.49975012493753124</v>
      </c>
      <c r="CI99" s="3" t="e">
        <f t="shared" ca="1" si="175"/>
        <v>#N/A</v>
      </c>
      <c r="CJ99" s="3">
        <f t="shared" ca="1" si="176"/>
        <v>0</v>
      </c>
      <c r="CK99" s="3">
        <f t="shared" ca="1" si="177"/>
        <v>0</v>
      </c>
      <c r="CM99" s="3">
        <f t="shared" ca="1" si="178"/>
        <v>0.74962518740629691</v>
      </c>
      <c r="CN99" s="3" t="e">
        <f t="shared" ca="1" si="179"/>
        <v>#N/A</v>
      </c>
      <c r="CO99" s="3">
        <f t="shared" ca="1" si="180"/>
        <v>0</v>
      </c>
      <c r="CP99" s="3">
        <f t="shared" ca="1" si="181"/>
        <v>0.35536602700781805</v>
      </c>
      <c r="CR99" s="5">
        <v>1.0410000085830688</v>
      </c>
      <c r="CS99" s="11" t="e">
        <v>#N/A</v>
      </c>
      <c r="CT99" s="5">
        <v>4.0110000000000001</v>
      </c>
      <c r="CU99" s="5">
        <v>4.0110000000000001</v>
      </c>
      <c r="CV99" s="21">
        <f t="shared" ca="1" si="183"/>
        <v>0.16186602353004642</v>
      </c>
      <c r="CW99" s="16">
        <f t="shared" ca="1" si="182"/>
        <v>3.4166666666666665</v>
      </c>
    </row>
    <row r="100" spans="1:101" s="5" customFormat="1" x14ac:dyDescent="0.35">
      <c r="A100" s="4" t="s">
        <v>112</v>
      </c>
      <c r="B100" s="4">
        <v>3.5833333333333335</v>
      </c>
      <c r="C100" s="4" t="s">
        <v>168</v>
      </c>
      <c r="D100" s="4" t="s">
        <v>404</v>
      </c>
      <c r="E100" s="3"/>
      <c r="F100" s="5">
        <v>2.1669999999999998</v>
      </c>
      <c r="G100" s="5">
        <v>4.0359999999999996</v>
      </c>
      <c r="H100" s="5">
        <v>4.016</v>
      </c>
      <c r="I100" s="5">
        <v>0.64900000000000002</v>
      </c>
      <c r="K100" s="3">
        <f t="shared" ref="K100:K131" ca="1" si="184">INDIRECT("'Data_Netteyage'!" &amp; LEFT(ADDRESS(1,COLUMN(),4),LEN(ADDRESS(1,COLUMN(),4))-1) &amp; ROW())/F100</f>
        <v>0.99953853253345659</v>
      </c>
      <c r="L100" s="3">
        <f t="shared" ref="L100:L131" ca="1" si="185">INDIRECT("'Data_Netteyage'!" &amp; LEFT(ADDRESS(1,COLUMN(),4),LEN(ADDRESS(1,COLUMN(),4))-1) &amp; ROW())/G100</f>
        <v>0.94549058473736403</v>
      </c>
      <c r="M100" s="3">
        <f t="shared" ref="M100:M131" ca="1" si="186">INDIRECT("'Data_Netteyage'!" &amp; LEFT(ADDRESS(1,COLUMN(),4),LEN(ADDRESS(1,COLUMN(),4))-1) &amp; ROW())/H100</f>
        <v>0.84636454183266929</v>
      </c>
      <c r="N100" s="3" t="e">
        <f t="shared" ref="N100:N131" ca="1" si="187">INDIRECT("'Data_Netteyage'!" &amp; LEFT(ADDRESS(1,COLUMN(),4),LEN(ADDRESS(1,COLUMN(),4))-1) &amp; ROW())/I100</f>
        <v>#N/A</v>
      </c>
      <c r="P100" s="3">
        <f t="shared" ref="P100:P131" ca="1" si="188">INDIRECT("'Data_Netteyage'!" &amp; LEFT(ADDRESS(1,COLUMN(),4),LEN(ADDRESS(1,COLUMN(),4))-1) &amp; ROW())/F100</f>
        <v>0.80018468204598636</v>
      </c>
      <c r="Q100" s="3">
        <f t="shared" ref="Q100:Q131" ca="1" si="189">INDIRECT("'Data_Netteyage'!" &amp; LEFT(ADDRESS(1,COLUMN(),4),LEN(ADDRESS(1,COLUMN(),4))-1) &amp; ROW())/G100</f>
        <v>0.90436082900057824</v>
      </c>
      <c r="R100" s="3">
        <f t="shared" ref="R100:R131" ca="1" si="190">INDIRECT("'Data_Netteyage'!" &amp; LEFT(ADDRESS(1,COLUMN(),4),LEN(ADDRESS(1,COLUMN(),4))-1) &amp; ROW())/H100</f>
        <v>0.73804788707024549</v>
      </c>
      <c r="S100" s="3" t="e">
        <f t="shared" ref="S100:S131" ca="1" si="191">INDIRECT("'Data_Netteyage'!" &amp; LEFT(ADDRESS(1,COLUMN(),4),LEN(ADDRESS(1,COLUMN(),4))-1) &amp; ROW())/I100</f>
        <v>#N/A</v>
      </c>
      <c r="U100" s="3">
        <f t="shared" ref="U100:U131" ca="1" si="192">INDIRECT("'Data_Netteyage'!" &amp; LEFT(ADDRESS(1,COLUMN(),4),LEN(ADDRESS(1,COLUMN(),4))-1) &amp; ROW())/F100</f>
        <v>2.3073373327180438</v>
      </c>
      <c r="V100" s="3">
        <f t="shared" ref="V100:V131" ca="1" si="193">INDIRECT("'Data_Netteyage'!" &amp; LEFT(ADDRESS(1,COLUMN(),4),LEN(ADDRESS(1,COLUMN(),4))-1) &amp; ROW())/G100</f>
        <v>2.2299306243805752</v>
      </c>
      <c r="W100" s="3">
        <f t="shared" ref="W100:W131" ca="1" si="194">INDIRECT("'Data_Netteyage'!" &amp; LEFT(ADDRESS(1,COLUMN(),4),LEN(ADDRESS(1,COLUMN(),4))-1) &amp; ROW())/H100</f>
        <v>2.241035856573705</v>
      </c>
      <c r="X100" s="3" t="e">
        <f t="shared" ref="X100:X131" ca="1" si="195">INDIRECT("'Data_Netteyage'!" &amp; LEFT(ADDRESS(1,COLUMN(),4),LEN(ADDRESS(1,COLUMN(),4))-1) &amp; ROW())/I100</f>
        <v>#N/A</v>
      </c>
      <c r="Z100" s="3">
        <f t="shared" ref="Z100:Z131" ca="1" si="196">INDIRECT("'Data_Netteyage'!" &amp; LEFT(ADDRESS(1,COLUMN(),4),LEN(ADDRESS(1,COLUMN(),4))-1) &amp; ROW())/F100</f>
        <v>0.99953853253345659</v>
      </c>
      <c r="AA100" s="3">
        <f t="shared" ref="AA100:AA131" ca="1" si="197">INDIRECT("'Data_Netteyage'!" &amp; LEFT(ADDRESS(1,COLUMN(),4),LEN(ADDRESS(1,COLUMN(),4))-1) &amp; ROW())/G100</f>
        <v>0.94127849355797844</v>
      </c>
      <c r="AB100" s="3">
        <f t="shared" ref="AB100:AB131" ca="1" si="198">INDIRECT("'Data_Netteyage'!" &amp; LEFT(ADDRESS(1,COLUMN(),4),LEN(ADDRESS(1,COLUMN(),4))-1) &amp; ROW())/H100</f>
        <v>0.65139442231075684</v>
      </c>
      <c r="AC100" s="3" t="e">
        <f t="shared" ref="AC100:AC131" ca="1" si="199">INDIRECT("'Data_Netteyage'!" &amp; LEFT(ADDRESS(1,COLUMN(),4),LEN(ADDRESS(1,COLUMN(),4))-1) &amp; ROW())/I100</f>
        <v>#N/A</v>
      </c>
      <c r="AE100" s="3">
        <f t="shared" ref="AE100:AE131" ca="1" si="200">INDIRECT("'Data_Netteyage'!" &amp; LEFT(ADDRESS(1,COLUMN(),4),LEN(ADDRESS(1,COLUMN(),4))-1) &amp; ROW())/F100</f>
        <v>0.80018468204598636</v>
      </c>
      <c r="AF100" s="3">
        <f t="shared" ref="AF100:AF131" ca="1" si="201">INDIRECT("'Data_Netteyage'!" &amp; LEFT(ADDRESS(1,COLUMN(),4),LEN(ADDRESS(1,COLUMN(),4))-1) &amp; ROW())/G100</f>
        <v>0.90436082900057824</v>
      </c>
      <c r="AG100" s="3">
        <f t="shared" ref="AG100:AG131" ca="1" si="202">INDIRECT("'Data_Netteyage'!" &amp; LEFT(ADDRESS(1,COLUMN(),4),LEN(ADDRESS(1,COLUMN(),4))-1) &amp; ROW())/H100</f>
        <v>0.55951202859679061</v>
      </c>
      <c r="AH100" s="3" t="e">
        <f t="shared" ref="AH100:AH131" ca="1" si="203">INDIRECT("'Data_Netteyage'!" &amp; LEFT(ADDRESS(1,COLUMN(),4),LEN(ADDRESS(1,COLUMN(),4))-1) &amp; ROW())/I100</f>
        <v>#N/A</v>
      </c>
      <c r="AJ100" s="3">
        <f t="shared" ref="AJ100:AJ131" ca="1" si="204">INDIRECT("'Data_Netteyage'!" &amp; LEFT(ADDRESS(1,COLUMN(),4),LEN(ADDRESS(1,COLUMN(),4))-1) &amp; ROW())/F100</f>
        <v>2.3073373327180438</v>
      </c>
      <c r="AK100" s="3">
        <f t="shared" ref="AK100:AK131" ca="1" si="205">INDIRECT("'Data_Netteyage'!" &amp; LEFT(ADDRESS(1,COLUMN(),4),LEN(ADDRESS(1,COLUMN(),4))-1) &amp; ROW())/G100</f>
        <v>2.2299306243805752</v>
      </c>
      <c r="AL100" s="3">
        <f t="shared" ref="AL100:AL131" ca="1" si="206">INDIRECT("'Data_Netteyage'!" &amp; LEFT(ADDRESS(1,COLUMN(),4),LEN(ADDRESS(1,COLUMN(),4))-1) &amp; ROW())/H100</f>
        <v>1.7430278884462151</v>
      </c>
      <c r="AM100" s="3" t="e">
        <f t="shared" ref="AM100:AM131" ca="1" si="207">INDIRECT("'Data_Netteyage'!" &amp; LEFT(ADDRESS(1,COLUMN(),4),LEN(ADDRESS(1,COLUMN(),4))-1) &amp; ROW())/I100</f>
        <v>#N/A</v>
      </c>
      <c r="AO100" s="3">
        <f t="shared" ref="AO100:AO131" ca="1" si="208">INDIRECT("'Data_Netteyage'!" &amp; LEFT(ADDRESS(1,COLUMN(),4),LEN(ADDRESS(1,COLUMN(),4))-1) &amp; ROW())/F100</f>
        <v>0.46146746654360871</v>
      </c>
      <c r="AP100" s="3">
        <f t="shared" ref="AP100:AP131" ca="1" si="209">INDIRECT("'Data_Netteyage'!" &amp; LEFT(ADDRESS(1,COLUMN(),4),LEN(ADDRESS(1,COLUMN(),4))-1) &amp; ROW())/G100</f>
        <v>0.49554013875123892</v>
      </c>
      <c r="AQ100" s="3">
        <f t="shared" ref="AQ100:AQ131" ca="1" si="210">INDIRECT("'Data_Netteyage'!" &amp; LEFT(ADDRESS(1,COLUMN(),4),LEN(ADDRESS(1,COLUMN(),4))-1) &amp; ROW())/H100</f>
        <v>0.49800796812749004</v>
      </c>
      <c r="AR100" s="3" t="e">
        <f t="shared" ref="AR100:AR131" ca="1" si="211">INDIRECT("'Data_Netteyage'!" &amp; LEFT(ADDRESS(1,COLUMN(),4),LEN(ADDRESS(1,COLUMN(),4))-1) &amp; ROW())/I100</f>
        <v>#N/A</v>
      </c>
      <c r="AT100" s="5">
        <v>2.2249999046325684</v>
      </c>
      <c r="AU100" s="5">
        <v>2.9999999329447746E-2</v>
      </c>
      <c r="AV100" s="5">
        <v>0.40400001406669617</v>
      </c>
      <c r="AW100" s="11" t="e">
        <v>#N/A</v>
      </c>
      <c r="AY100" s="3">
        <f t="shared" ref="AY100:AY131" ca="1" si="212">INDIRECT("'Data_Netteyage'!" &amp; LEFT(ADDRESS(1,COLUMN(),4),LEN(ADDRESS(1,COLUMN(),4))-1) &amp; ROW())/F100</f>
        <v>0.64605445316105259</v>
      </c>
      <c r="AZ100" s="3">
        <f t="shared" ref="AZ100:AZ131" ca="1" si="213">INDIRECT("'Data_Netteyage'!" &amp; LEFT(ADDRESS(1,COLUMN(),4),LEN(ADDRESS(1,COLUMN(),4))-1) &amp; ROW())/G100</f>
        <v>0.59440039643211118</v>
      </c>
      <c r="BA100" s="3">
        <f t="shared" ref="BA100:BA131" ca="1" si="214">INDIRECT("'Data_Netteyage'!" &amp; LEFT(ADDRESS(1,COLUMN(),4),LEN(ADDRESS(1,COLUMN(),4))-1) &amp; ROW())/H100</f>
        <v>0.16160358565737049</v>
      </c>
      <c r="BB100" s="3" t="e">
        <f t="shared" ref="BB100:BB131" ca="1" si="215">INDIRECT("'Data_Netteyage'!" &amp; LEFT(ADDRESS(1,COLUMN(),4),LEN(ADDRESS(1,COLUMN(),4))-1) &amp; ROW())/I100</f>
        <v>#N/A</v>
      </c>
      <c r="BD100" s="3">
        <f t="shared" ref="BD100:BD131" ca="1" si="216">INDIRECT("'Data_Netteyage'!" &amp; LEFT(ADDRESS(1,COLUMN(),4),LEN(ADDRESS(1,COLUMN(),4))-1) &amp; ROW())/F100</f>
        <v>0.67651134292046267</v>
      </c>
      <c r="BE100" s="3">
        <f t="shared" ref="BE100:BE131" ca="1" si="217">INDIRECT("'Data_Netteyage'!" &amp; LEFT(ADDRESS(1,COLUMN(),4),LEN(ADDRESS(1,COLUMN(),4))-1) &amp; ROW())/G100</f>
        <v>0.60282464483448261</v>
      </c>
      <c r="BF100" s="3">
        <f t="shared" ref="BF100:BF131" ca="1" si="218">INDIRECT("'Data_Netteyage'!" &amp; LEFT(ADDRESS(1,COLUMN(),4),LEN(ADDRESS(1,COLUMN(),4))-1) &amp; ROW())/H100</f>
        <v>0.18650400211136656</v>
      </c>
      <c r="BG100" s="3" t="e">
        <f t="shared" ref="BG100:BG131" ca="1" si="219">INDIRECT("'Data_Netteyage'!" &amp; LEFT(ADDRESS(1,COLUMN(),4),LEN(ADDRESS(1,COLUMN(),4))-1) &amp; ROW())/I100</f>
        <v>#N/A</v>
      </c>
      <c r="BI100" s="3">
        <f t="shared" ref="BI100:BI131" ca="1" si="220">INDIRECT("'Data_Netteyage'!" &amp; LEFT(ADDRESS(1,COLUMN(),4),LEN(ADDRESS(1,COLUMN(),4))-1) &amp; ROW())/F100</f>
        <v>1.3844023996308261</v>
      </c>
      <c r="BJ100" s="3">
        <f t="shared" ref="BJ100:BJ131" ca="1" si="221">INDIRECT("'Data_Netteyage'!" &amp; LEFT(ADDRESS(1,COLUMN(),4),LEN(ADDRESS(1,COLUMN(),4))-1) &amp; ROW())/G100</f>
        <v>0.99108027750247785</v>
      </c>
      <c r="BK100" s="3">
        <f t="shared" ref="BK100:BK131" ca="1" si="222">INDIRECT("'Data_Netteyage'!" &amp; LEFT(ADDRESS(1,COLUMN(),4),LEN(ADDRESS(1,COLUMN(),4))-1) &amp; ROW())/H100</f>
        <v>0.49800796812749004</v>
      </c>
      <c r="BL100" s="3" t="e">
        <f t="shared" ref="BL100:BL131" ca="1" si="223">INDIRECT("'Data_Netteyage'!" &amp; LEFT(ADDRESS(1,COLUMN(),4),LEN(ADDRESS(1,COLUMN(),4))-1) &amp; ROW())/I100</f>
        <v>#N/A</v>
      </c>
      <c r="BN100" s="3">
        <f t="shared" ref="BN100:BN131" ca="1" si="224">INDIRECT("'Data_Netteyage'!" &amp; LEFT(ADDRESS(1,COLUMN(),4),LEN(ADDRESS(1,COLUMN(),4))-1) &amp; ROW())/F100</f>
        <v>1.3844023996308261</v>
      </c>
      <c r="BO100" s="3">
        <f t="shared" ref="BO100:BO131" ca="1" si="225">INDIRECT("'Data_Netteyage'!" &amp; LEFT(ADDRESS(1,COLUMN(),4),LEN(ADDRESS(1,COLUMN(),4))-1) &amp; ROW())/G100</f>
        <v>0.99108027750247785</v>
      </c>
      <c r="BP100" s="3">
        <f t="shared" ref="BP100:BP131" ca="1" si="226">INDIRECT("'Data_Netteyage'!" &amp; LEFT(ADDRESS(1,COLUMN(),4),LEN(ADDRESS(1,COLUMN(),4))-1) &amp; ROW())/H100</f>
        <v>0.49800796812749004</v>
      </c>
      <c r="BQ100" s="3" t="e">
        <f t="shared" ref="BQ100:BQ131" ca="1" si="227">INDIRECT("'Data_Netteyage'!" &amp; LEFT(ADDRESS(1,COLUMN(),4),LEN(ADDRESS(1,COLUMN(),4))-1) &amp; ROW())/I100</f>
        <v>#N/A</v>
      </c>
      <c r="BS100" s="5">
        <v>2.5250000953674316</v>
      </c>
      <c r="BT100" s="5">
        <v>0.46399998664855957</v>
      </c>
      <c r="BU100" s="5">
        <v>0.83700001239776611</v>
      </c>
      <c r="BV100" s="11" t="e">
        <v>#N/A</v>
      </c>
      <c r="BX100" s="3">
        <f t="shared" ref="BX100:BX131" ca="1" si="228">INDIRECT("'Data_Netteyage'!" &amp; LEFT(ADDRESS(1,COLUMN(),4),LEN(ADDRESS(1,COLUMN(),4))-1) &amp; ROW())/F100</f>
        <v>0</v>
      </c>
      <c r="BY100" s="3">
        <f t="shared" ref="BY100:BY131" ca="1" si="229">INDIRECT("'Data_Netteyage'!" &amp; LEFT(ADDRESS(1,COLUMN(),4),LEN(ADDRESS(1,COLUMN(),4))-1) &amp; ROW())/G100</f>
        <v>0</v>
      </c>
      <c r="BZ100" s="3">
        <f t="shared" ref="BZ100:BZ131" ca="1" si="230">INDIRECT("'Data_Netteyage'!" &amp; LEFT(ADDRESS(1,COLUMN(),4),LEN(ADDRESS(1,COLUMN(),4))-1) &amp; ROW())/H100</f>
        <v>0.13695219123505983</v>
      </c>
      <c r="CA100" s="3" t="e">
        <f t="shared" ref="CA100:CA131" ca="1" si="231">INDIRECT("'Data_Netteyage'!" &amp; LEFT(ADDRESS(1,COLUMN(),4),LEN(ADDRESS(1,COLUMN(),4))-1) &amp; ROW())/I100</f>
        <v>#N/A</v>
      </c>
      <c r="CC100" s="3">
        <f t="shared" ref="CC100:CC131" ca="1" si="232">INDIRECT("'Data_Netteyage'!" &amp; LEFT(ADDRESS(1,COLUMN(),4),LEN(ADDRESS(1,COLUMN(),4))-1) &amp; ROW())/F100</f>
        <v>0</v>
      </c>
      <c r="CD100" s="3">
        <f t="shared" ref="CD100:CD131" ca="1" si="233">INDIRECT("'Data_Netteyage'!" &amp; LEFT(ADDRESS(1,COLUMN(),4),LEN(ADDRESS(1,COLUMN(),4))-1) &amp; ROW())/G100</f>
        <v>0</v>
      </c>
      <c r="CE100" s="3">
        <f t="shared" ref="CE100:CE131" ca="1" si="234">INDIRECT("'Data_Netteyage'!" &amp; LEFT(ADDRESS(1,COLUMN(),4),LEN(ADDRESS(1,COLUMN(),4))-1) &amp; ROW())/H100</f>
        <v>0.17006974296265864</v>
      </c>
      <c r="CF100" s="3" t="e">
        <f t="shared" ref="CF100:CF131" ca="1" si="235">INDIRECT("'Data_Netteyage'!" &amp; LEFT(ADDRESS(1,COLUMN(),4),LEN(ADDRESS(1,COLUMN(),4))-1) &amp; ROW())/I100</f>
        <v>#N/A</v>
      </c>
      <c r="CH100" s="3">
        <f t="shared" ref="CH100:CH131" ca="1" si="236">INDIRECT("'Data_Netteyage'!" &amp; LEFT(ADDRESS(1,COLUMN(),4),LEN(ADDRESS(1,COLUMN(),4))-1) &amp; ROW())/F100</f>
        <v>0</v>
      </c>
      <c r="CI100" s="3">
        <f t="shared" ref="CI100:CI131" ca="1" si="237">INDIRECT("'Data_Netteyage'!" &amp; LEFT(ADDRESS(1,COLUMN(),4),LEN(ADDRESS(1,COLUMN(),4))-1) &amp; ROW())/G100</f>
        <v>0</v>
      </c>
      <c r="CJ100" s="3">
        <f t="shared" ref="CJ100:CJ131" ca="1" si="238">INDIRECT("'Data_Netteyage'!" &amp; LEFT(ADDRESS(1,COLUMN(),4),LEN(ADDRESS(1,COLUMN(),4))-1) &amp; ROW())/H100</f>
        <v>0.49800796812749004</v>
      </c>
      <c r="CK100" s="3" t="e">
        <f t="shared" ref="CK100:CK131" ca="1" si="239">INDIRECT("'Data_Netteyage'!" &amp; LEFT(ADDRESS(1,COLUMN(),4),LEN(ADDRESS(1,COLUMN(),4))-1) &amp; ROW())/I100</f>
        <v>#N/A</v>
      </c>
      <c r="CM100" s="3">
        <f t="shared" ref="CM100:CM131" ca="1" si="240">INDIRECT("'Data_Netteyage'!" &amp; LEFT(ADDRESS(1,COLUMN(),4),LEN(ADDRESS(1,COLUMN(),4))-1) &amp; ROW())/F100</f>
        <v>0.92293493308721741</v>
      </c>
      <c r="CN100" s="3">
        <f t="shared" ref="CN100:CN131" ca="1" si="241">INDIRECT("'Data_Netteyage'!" &amp; LEFT(ADDRESS(1,COLUMN(),4),LEN(ADDRESS(1,COLUMN(),4))-1) &amp; ROW())/G100</f>
        <v>0.24777006937561946</v>
      </c>
      <c r="CO100" s="3">
        <f t="shared" ref="CO100:CO131" ca="1" si="242">INDIRECT("'Data_Netteyage'!" &amp; LEFT(ADDRESS(1,COLUMN(),4),LEN(ADDRESS(1,COLUMN(),4))-1) &amp; ROW())/H100</f>
        <v>0.99601593625498008</v>
      </c>
      <c r="CP100" s="3" t="e">
        <f t="shared" ref="CP100:CP131" ca="1" si="243">INDIRECT("'Data_Netteyage'!" &amp; LEFT(ADDRESS(1,COLUMN(),4),LEN(ADDRESS(1,COLUMN(),4))-1) &amp; ROW())/I100</f>
        <v>#N/A</v>
      </c>
      <c r="CR100" s="5">
        <v>4.0259999999999998</v>
      </c>
      <c r="CS100" s="5">
        <v>4.0359999999999996</v>
      </c>
      <c r="CT100" s="5">
        <v>1.7200000286102295</v>
      </c>
      <c r="CU100" s="11" t="e">
        <v>#N/A</v>
      </c>
      <c r="CV100" s="21">
        <f t="shared" ca="1" si="183"/>
        <v>0.18650400211136656</v>
      </c>
      <c r="CW100" s="16">
        <f t="shared" ca="1" si="182"/>
        <v>3.5833333333333335</v>
      </c>
    </row>
    <row r="101" spans="1:101" s="5" customFormat="1" x14ac:dyDescent="0.35">
      <c r="A101" s="4" t="s">
        <v>110</v>
      </c>
      <c r="B101" s="4">
        <v>3.8333333333333335</v>
      </c>
      <c r="C101" s="4" t="s">
        <v>167</v>
      </c>
      <c r="D101" s="4" t="s">
        <v>404</v>
      </c>
      <c r="E101" s="3"/>
      <c r="F101" s="11" t="e">
        <v>#N/A</v>
      </c>
      <c r="G101" s="5">
        <v>1.7160000000000002</v>
      </c>
      <c r="H101" s="5">
        <v>2.4779999999999998</v>
      </c>
      <c r="I101" s="5">
        <v>0.43299999999999983</v>
      </c>
      <c r="K101" s="3" t="e">
        <f t="shared" ca="1" si="184"/>
        <v>#N/A</v>
      </c>
      <c r="L101" s="3" t="e">
        <f t="shared" ca="1" si="185"/>
        <v>#N/A</v>
      </c>
      <c r="M101" s="3">
        <f t="shared" ca="1" si="186"/>
        <v>0.5847457627118644</v>
      </c>
      <c r="N101" s="3" t="e">
        <f t="shared" ca="1" si="187"/>
        <v>#N/A</v>
      </c>
      <c r="P101" s="3" t="e">
        <f t="shared" ca="1" si="188"/>
        <v>#N/A</v>
      </c>
      <c r="Q101" s="3" t="e">
        <f t="shared" ca="1" si="189"/>
        <v>#N/A</v>
      </c>
      <c r="R101" s="3">
        <f t="shared" ca="1" si="190"/>
        <v>0.57142850273169277</v>
      </c>
      <c r="S101" s="3" t="e">
        <f t="shared" ca="1" si="191"/>
        <v>#N/A</v>
      </c>
      <c r="U101" s="3" t="e">
        <f t="shared" ca="1" si="192"/>
        <v>#N/A</v>
      </c>
      <c r="V101" s="3" t="e">
        <f t="shared" ca="1" si="193"/>
        <v>#N/A</v>
      </c>
      <c r="W101" s="3">
        <f t="shared" ca="1" si="194"/>
        <v>0.80710250201775635</v>
      </c>
      <c r="X101" s="3" t="e">
        <f t="shared" ca="1" si="195"/>
        <v>#N/A</v>
      </c>
      <c r="Z101" s="3" t="e">
        <f t="shared" ca="1" si="196"/>
        <v>#N/A</v>
      </c>
      <c r="AA101" s="3" t="e">
        <f t="shared" ca="1" si="197"/>
        <v>#N/A</v>
      </c>
      <c r="AB101" s="3">
        <f t="shared" ca="1" si="198"/>
        <v>0.5847457627118644</v>
      </c>
      <c r="AC101" s="3" t="e">
        <f t="shared" ca="1" si="199"/>
        <v>#N/A</v>
      </c>
      <c r="AE101" s="3" t="e">
        <f t="shared" ca="1" si="200"/>
        <v>#N/A</v>
      </c>
      <c r="AF101" s="3" t="e">
        <f t="shared" ca="1" si="201"/>
        <v>#N/A</v>
      </c>
      <c r="AG101" s="3">
        <f t="shared" ca="1" si="202"/>
        <v>0.57142850273169277</v>
      </c>
      <c r="AH101" s="3" t="e">
        <f t="shared" ca="1" si="203"/>
        <v>#N/A</v>
      </c>
      <c r="AJ101" s="3" t="e">
        <f t="shared" ca="1" si="204"/>
        <v>#N/A</v>
      </c>
      <c r="AK101" s="3" t="e">
        <f t="shared" ca="1" si="205"/>
        <v>#N/A</v>
      </c>
      <c r="AL101" s="3">
        <f t="shared" ca="1" si="206"/>
        <v>0.80710250201775635</v>
      </c>
      <c r="AM101" s="3" t="e">
        <f t="shared" ca="1" si="207"/>
        <v>#N/A</v>
      </c>
      <c r="AO101" s="3" t="e">
        <f t="shared" ca="1" si="208"/>
        <v>#N/A</v>
      </c>
      <c r="AP101" s="3" t="e">
        <f t="shared" ca="1" si="209"/>
        <v>#N/A</v>
      </c>
      <c r="AQ101" s="3">
        <f t="shared" ca="1" si="210"/>
        <v>0.80710250201775635</v>
      </c>
      <c r="AR101" s="3" t="e">
        <f t="shared" ca="1" si="211"/>
        <v>#N/A</v>
      </c>
      <c r="AT101" s="11" t="e">
        <v>#N/A</v>
      </c>
      <c r="AU101" s="11" t="e">
        <v>#N/A</v>
      </c>
      <c r="AV101" s="5">
        <v>0.52899998426437378</v>
      </c>
      <c r="AW101" s="11" t="e">
        <v>#N/A</v>
      </c>
      <c r="AY101" s="3" t="e">
        <f t="shared" ca="1" si="212"/>
        <v>#N/A</v>
      </c>
      <c r="AZ101" s="3" t="e">
        <f t="shared" ca="1" si="213"/>
        <v>#N/A</v>
      </c>
      <c r="BA101" s="3">
        <f t="shared" ca="1" si="214"/>
        <v>0</v>
      </c>
      <c r="BB101" s="3" t="e">
        <f t="shared" ca="1" si="215"/>
        <v>#N/A</v>
      </c>
      <c r="BD101" s="3" t="e">
        <f t="shared" ca="1" si="216"/>
        <v>#N/A</v>
      </c>
      <c r="BE101" s="3" t="e">
        <f t="shared" ca="1" si="217"/>
        <v>#N/A</v>
      </c>
      <c r="BF101" s="3">
        <f t="shared" ca="1" si="218"/>
        <v>0</v>
      </c>
      <c r="BG101" s="3" t="e">
        <f t="shared" ca="1" si="219"/>
        <v>#N/A</v>
      </c>
      <c r="BI101" s="3" t="e">
        <f t="shared" ca="1" si="220"/>
        <v>#N/A</v>
      </c>
      <c r="BJ101" s="3" t="e">
        <f t="shared" ca="1" si="221"/>
        <v>#N/A</v>
      </c>
      <c r="BK101" s="3">
        <f t="shared" ca="1" si="222"/>
        <v>0</v>
      </c>
      <c r="BL101" s="3" t="e">
        <f t="shared" ca="1" si="223"/>
        <v>#N/A</v>
      </c>
      <c r="BN101" s="3" t="e">
        <f t="shared" ca="1" si="224"/>
        <v>#N/A</v>
      </c>
      <c r="BO101" s="3" t="e">
        <f t="shared" ca="1" si="225"/>
        <v>#N/A</v>
      </c>
      <c r="BP101" s="3">
        <f t="shared" ca="1" si="226"/>
        <v>0</v>
      </c>
      <c r="BQ101" s="3" t="e">
        <f t="shared" ca="1" si="227"/>
        <v>#N/A</v>
      </c>
      <c r="BS101" s="11" t="e">
        <v>#N/A</v>
      </c>
      <c r="BT101" s="11" t="e">
        <v>#N/A</v>
      </c>
      <c r="BU101" s="5">
        <v>4.0279999999999996</v>
      </c>
      <c r="BV101" s="11" t="e">
        <v>#N/A</v>
      </c>
      <c r="BX101" s="3" t="e">
        <f t="shared" ca="1" si="228"/>
        <v>#N/A</v>
      </c>
      <c r="BY101" s="3" t="e">
        <f t="shared" ca="1" si="229"/>
        <v>#N/A</v>
      </c>
      <c r="BZ101" s="3">
        <f t="shared" ca="1" si="230"/>
        <v>0</v>
      </c>
      <c r="CA101" s="3" t="e">
        <f t="shared" ca="1" si="231"/>
        <v>#N/A</v>
      </c>
      <c r="CC101" s="3" t="e">
        <f t="shared" ca="1" si="232"/>
        <v>#N/A</v>
      </c>
      <c r="CD101" s="3" t="e">
        <f t="shared" ca="1" si="233"/>
        <v>#N/A</v>
      </c>
      <c r="CE101" s="3">
        <f t="shared" ca="1" si="234"/>
        <v>0</v>
      </c>
      <c r="CF101" s="3" t="e">
        <f t="shared" ca="1" si="235"/>
        <v>#N/A</v>
      </c>
      <c r="CH101" s="3" t="e">
        <f t="shared" ca="1" si="236"/>
        <v>#N/A</v>
      </c>
      <c r="CI101" s="3" t="e">
        <f t="shared" ca="1" si="237"/>
        <v>#N/A</v>
      </c>
      <c r="CJ101" s="3">
        <f t="shared" ca="1" si="238"/>
        <v>0</v>
      </c>
      <c r="CK101" s="3" t="e">
        <f t="shared" ca="1" si="239"/>
        <v>#N/A</v>
      </c>
      <c r="CM101" s="3" t="e">
        <f t="shared" ca="1" si="240"/>
        <v>#N/A</v>
      </c>
      <c r="CN101" s="3" t="e">
        <f t="shared" ca="1" si="241"/>
        <v>#N/A</v>
      </c>
      <c r="CO101" s="3">
        <f t="shared" ca="1" si="242"/>
        <v>0</v>
      </c>
      <c r="CP101" s="3" t="e">
        <f t="shared" ca="1" si="243"/>
        <v>#N/A</v>
      </c>
      <c r="CR101" s="11" t="e">
        <v>#N/A</v>
      </c>
      <c r="CS101" s="11" t="e">
        <v>#N/A</v>
      </c>
      <c r="CT101" s="5">
        <v>4.0279999999999996</v>
      </c>
      <c r="CU101" s="11" t="e">
        <v>#N/A</v>
      </c>
      <c r="CV101" s="21">
        <f t="shared" ca="1" si="183"/>
        <v>0</v>
      </c>
      <c r="CW101" s="16">
        <f t="shared" ca="1" si="182"/>
        <v>3.8333333333333335</v>
      </c>
    </row>
    <row r="102" spans="1:101" s="5" customFormat="1" x14ac:dyDescent="0.35">
      <c r="A102" s="4" t="s">
        <v>148</v>
      </c>
      <c r="B102" s="4">
        <v>4.083333333333333</v>
      </c>
      <c r="C102" s="4" t="s">
        <v>168</v>
      </c>
      <c r="D102" s="4" t="s">
        <v>404</v>
      </c>
      <c r="E102" s="3"/>
      <c r="F102" s="11" t="e">
        <v>#N/A</v>
      </c>
      <c r="G102" s="11" t="e">
        <v>#N/A</v>
      </c>
      <c r="H102" s="5">
        <v>1.5390000000000001</v>
      </c>
      <c r="I102" s="11" t="e">
        <v>#N/A</v>
      </c>
      <c r="K102" s="3" t="e">
        <f t="shared" ca="1" si="184"/>
        <v>#N/A</v>
      </c>
      <c r="L102" s="3" t="e">
        <f t="shared" ca="1" si="185"/>
        <v>#N/A</v>
      </c>
      <c r="M102" s="3" t="e">
        <f t="shared" ca="1" si="186"/>
        <v>#N/A</v>
      </c>
      <c r="N102" s="3" t="e">
        <f t="shared" ca="1" si="187"/>
        <v>#N/A</v>
      </c>
      <c r="P102" s="3" t="e">
        <f t="shared" ca="1" si="188"/>
        <v>#N/A</v>
      </c>
      <c r="Q102" s="3" t="e">
        <f t="shared" ca="1" si="189"/>
        <v>#N/A</v>
      </c>
      <c r="R102" s="3" t="e">
        <f t="shared" ca="1" si="190"/>
        <v>#N/A</v>
      </c>
      <c r="S102" s="3" t="e">
        <f t="shared" ca="1" si="191"/>
        <v>#N/A</v>
      </c>
      <c r="U102" s="3" t="e">
        <f t="shared" ca="1" si="192"/>
        <v>#N/A</v>
      </c>
      <c r="V102" s="3" t="e">
        <f t="shared" ca="1" si="193"/>
        <v>#N/A</v>
      </c>
      <c r="W102" s="3" t="e">
        <f t="shared" ca="1" si="194"/>
        <v>#N/A</v>
      </c>
      <c r="X102" s="3" t="e">
        <f t="shared" ca="1" si="195"/>
        <v>#N/A</v>
      </c>
      <c r="Z102" s="3" t="e">
        <f t="shared" ca="1" si="196"/>
        <v>#N/A</v>
      </c>
      <c r="AA102" s="3" t="e">
        <f t="shared" ca="1" si="197"/>
        <v>#N/A</v>
      </c>
      <c r="AB102" s="3" t="e">
        <f t="shared" ca="1" si="198"/>
        <v>#N/A</v>
      </c>
      <c r="AC102" s="3" t="e">
        <f t="shared" ca="1" si="199"/>
        <v>#N/A</v>
      </c>
      <c r="AE102" s="3" t="e">
        <f t="shared" ca="1" si="200"/>
        <v>#N/A</v>
      </c>
      <c r="AF102" s="3" t="e">
        <f t="shared" ca="1" si="201"/>
        <v>#N/A</v>
      </c>
      <c r="AG102" s="3" t="e">
        <f t="shared" ca="1" si="202"/>
        <v>#N/A</v>
      </c>
      <c r="AH102" s="3" t="e">
        <f t="shared" ca="1" si="203"/>
        <v>#N/A</v>
      </c>
      <c r="AJ102" s="3" t="e">
        <f t="shared" ca="1" si="204"/>
        <v>#N/A</v>
      </c>
      <c r="AK102" s="3" t="e">
        <f t="shared" ca="1" si="205"/>
        <v>#N/A</v>
      </c>
      <c r="AL102" s="3" t="e">
        <f t="shared" ca="1" si="206"/>
        <v>#N/A</v>
      </c>
      <c r="AM102" s="3" t="e">
        <f t="shared" ca="1" si="207"/>
        <v>#N/A</v>
      </c>
      <c r="AO102" s="3" t="e">
        <f t="shared" ca="1" si="208"/>
        <v>#N/A</v>
      </c>
      <c r="AP102" s="3" t="e">
        <f t="shared" ca="1" si="209"/>
        <v>#N/A</v>
      </c>
      <c r="AQ102" s="3" t="e">
        <f t="shared" ca="1" si="210"/>
        <v>#N/A</v>
      </c>
      <c r="AR102" s="3" t="e">
        <f t="shared" ca="1" si="211"/>
        <v>#N/A</v>
      </c>
      <c r="AT102" s="11" t="e">
        <v>#N/A</v>
      </c>
      <c r="AU102" s="11" t="e">
        <v>#N/A</v>
      </c>
      <c r="AV102" s="11" t="e">
        <v>#N/A</v>
      </c>
      <c r="AW102" s="11" t="e">
        <v>#N/A</v>
      </c>
      <c r="AY102" s="3" t="e">
        <f t="shared" ca="1" si="212"/>
        <v>#N/A</v>
      </c>
      <c r="AZ102" s="3" t="e">
        <f t="shared" ca="1" si="213"/>
        <v>#N/A</v>
      </c>
      <c r="BA102" s="3" t="e">
        <f t="shared" ca="1" si="214"/>
        <v>#N/A</v>
      </c>
      <c r="BB102" s="3" t="e">
        <f t="shared" ca="1" si="215"/>
        <v>#N/A</v>
      </c>
      <c r="BD102" s="3" t="e">
        <f t="shared" ca="1" si="216"/>
        <v>#N/A</v>
      </c>
      <c r="BE102" s="3" t="e">
        <f t="shared" ca="1" si="217"/>
        <v>#N/A</v>
      </c>
      <c r="BF102" s="3" t="e">
        <f t="shared" ca="1" si="218"/>
        <v>#N/A</v>
      </c>
      <c r="BG102" s="3" t="e">
        <f t="shared" ca="1" si="219"/>
        <v>#N/A</v>
      </c>
      <c r="BI102" s="3" t="e">
        <f t="shared" ca="1" si="220"/>
        <v>#N/A</v>
      </c>
      <c r="BJ102" s="3" t="e">
        <f t="shared" ca="1" si="221"/>
        <v>#N/A</v>
      </c>
      <c r="BK102" s="3" t="e">
        <f t="shared" ca="1" si="222"/>
        <v>#N/A</v>
      </c>
      <c r="BL102" s="3" t="e">
        <f t="shared" ca="1" si="223"/>
        <v>#N/A</v>
      </c>
      <c r="BN102" s="3" t="e">
        <f t="shared" ca="1" si="224"/>
        <v>#N/A</v>
      </c>
      <c r="BO102" s="3" t="e">
        <f t="shared" ca="1" si="225"/>
        <v>#N/A</v>
      </c>
      <c r="BP102" s="3" t="e">
        <f t="shared" ca="1" si="226"/>
        <v>#N/A</v>
      </c>
      <c r="BQ102" s="3" t="e">
        <f t="shared" ca="1" si="227"/>
        <v>#N/A</v>
      </c>
      <c r="BS102" s="11" t="e">
        <v>#N/A</v>
      </c>
      <c r="BT102" s="11" t="e">
        <v>#N/A</v>
      </c>
      <c r="BU102" s="11" t="e">
        <v>#N/A</v>
      </c>
      <c r="BV102" s="11" t="e">
        <v>#N/A</v>
      </c>
      <c r="BX102" s="3" t="e">
        <f t="shared" ca="1" si="228"/>
        <v>#N/A</v>
      </c>
      <c r="BY102" s="3" t="e">
        <f t="shared" ca="1" si="229"/>
        <v>#N/A</v>
      </c>
      <c r="BZ102" s="3" t="e">
        <f t="shared" ca="1" si="230"/>
        <v>#N/A</v>
      </c>
      <c r="CA102" s="3" t="e">
        <f t="shared" ca="1" si="231"/>
        <v>#N/A</v>
      </c>
      <c r="CC102" s="3" t="e">
        <f t="shared" ca="1" si="232"/>
        <v>#N/A</v>
      </c>
      <c r="CD102" s="3" t="e">
        <f t="shared" ca="1" si="233"/>
        <v>#N/A</v>
      </c>
      <c r="CE102" s="3" t="e">
        <f t="shared" ca="1" si="234"/>
        <v>#N/A</v>
      </c>
      <c r="CF102" s="3" t="e">
        <f t="shared" ca="1" si="235"/>
        <v>#N/A</v>
      </c>
      <c r="CH102" s="3" t="e">
        <f t="shared" ca="1" si="236"/>
        <v>#N/A</v>
      </c>
      <c r="CI102" s="3" t="e">
        <f t="shared" ca="1" si="237"/>
        <v>#N/A</v>
      </c>
      <c r="CJ102" s="3" t="e">
        <f t="shared" ca="1" si="238"/>
        <v>#N/A</v>
      </c>
      <c r="CK102" s="3" t="e">
        <f t="shared" ca="1" si="239"/>
        <v>#N/A</v>
      </c>
      <c r="CM102" s="3" t="e">
        <f t="shared" ca="1" si="240"/>
        <v>#N/A</v>
      </c>
      <c r="CN102" s="3" t="e">
        <f t="shared" ca="1" si="241"/>
        <v>#N/A</v>
      </c>
      <c r="CO102" s="3" t="e">
        <f t="shared" ca="1" si="242"/>
        <v>#N/A</v>
      </c>
      <c r="CP102" s="3" t="e">
        <f t="shared" ca="1" si="243"/>
        <v>#N/A</v>
      </c>
      <c r="CR102" s="11" t="e">
        <v>#N/A</v>
      </c>
      <c r="CS102" s="11" t="e">
        <v>#N/A</v>
      </c>
      <c r="CT102" s="11" t="e">
        <v>#N/A</v>
      </c>
      <c r="CU102" s="11" t="e">
        <v>#N/A</v>
      </c>
      <c r="CV102" s="21" t="e">
        <f t="shared" ca="1" si="183"/>
        <v>#N/A</v>
      </c>
      <c r="CW102" s="16">
        <f t="shared" ca="1" si="182"/>
        <v>4.083333333333333</v>
      </c>
    </row>
    <row r="103" spans="1:101" s="5" customFormat="1" x14ac:dyDescent="0.35">
      <c r="A103" s="4" t="s">
        <v>127</v>
      </c>
      <c r="B103" s="4">
        <v>4.25</v>
      </c>
      <c r="C103" s="4" t="s">
        <v>168</v>
      </c>
      <c r="D103" s="4" t="s">
        <v>404</v>
      </c>
      <c r="E103" s="3"/>
      <c r="F103" s="5">
        <v>4</v>
      </c>
      <c r="G103" s="5">
        <v>4.0220000000000002</v>
      </c>
      <c r="H103" s="5">
        <v>4.0149999999999997</v>
      </c>
      <c r="I103" s="5">
        <v>4.016</v>
      </c>
      <c r="K103" s="3">
        <f t="shared" ca="1" si="184"/>
        <v>0.99550000000000005</v>
      </c>
      <c r="L103" s="3">
        <f t="shared" ca="1" si="185"/>
        <v>0.99850820487319736</v>
      </c>
      <c r="M103" s="3">
        <f t="shared" ca="1" si="186"/>
        <v>0.99601494396014967</v>
      </c>
      <c r="N103" s="3">
        <f t="shared" ca="1" si="187"/>
        <v>0.99576693227091628</v>
      </c>
      <c r="P103" s="3">
        <f t="shared" ca="1" si="188"/>
        <v>0.94925006246194243</v>
      </c>
      <c r="Q103" s="3">
        <f t="shared" ca="1" si="189"/>
        <v>0.93585276473285772</v>
      </c>
      <c r="R103" s="3">
        <f t="shared" ca="1" si="190"/>
        <v>0.91706101010190533</v>
      </c>
      <c r="S103" s="3">
        <f t="shared" ca="1" si="191"/>
        <v>0.9255478728147023</v>
      </c>
      <c r="U103" s="3">
        <f t="shared" ca="1" si="192"/>
        <v>2.25</v>
      </c>
      <c r="V103" s="3">
        <f t="shared" ca="1" si="193"/>
        <v>2.9835902536051715</v>
      </c>
      <c r="W103" s="3">
        <f t="shared" ca="1" si="194"/>
        <v>2.2415940224159403</v>
      </c>
      <c r="X103" s="3">
        <f t="shared" ca="1" si="195"/>
        <v>2.241035856573705</v>
      </c>
      <c r="Z103" s="3">
        <f t="shared" ca="1" si="196"/>
        <v>0.99550000000000005</v>
      </c>
      <c r="AA103" s="3">
        <f t="shared" ca="1" si="197"/>
        <v>0.99850820487319736</v>
      </c>
      <c r="AB103" s="3">
        <f t="shared" ca="1" si="198"/>
        <v>0.99601494396014967</v>
      </c>
      <c r="AC103" s="3">
        <f t="shared" ca="1" si="199"/>
        <v>0.99576693227091628</v>
      </c>
      <c r="AE103" s="3">
        <f t="shared" ca="1" si="200"/>
        <v>0.94925006246194243</v>
      </c>
      <c r="AF103" s="3">
        <f t="shared" ca="1" si="201"/>
        <v>0.93585276473285772</v>
      </c>
      <c r="AG103" s="3">
        <f t="shared" ca="1" si="202"/>
        <v>0.91706101010190533</v>
      </c>
      <c r="AH103" s="3">
        <f t="shared" ca="1" si="203"/>
        <v>0.9255478728147023</v>
      </c>
      <c r="AJ103" s="3">
        <f t="shared" ca="1" si="204"/>
        <v>2.25</v>
      </c>
      <c r="AK103" s="3">
        <f t="shared" ca="1" si="205"/>
        <v>2.9835902536051715</v>
      </c>
      <c r="AL103" s="3">
        <f t="shared" ca="1" si="206"/>
        <v>2.2415940224159403</v>
      </c>
      <c r="AM103" s="3">
        <f t="shared" ca="1" si="207"/>
        <v>2.241035856573705</v>
      </c>
      <c r="AO103" s="3">
        <f t="shared" ca="1" si="208"/>
        <v>0.25</v>
      </c>
      <c r="AP103" s="3">
        <f t="shared" ca="1" si="209"/>
        <v>0.24863252113376427</v>
      </c>
      <c r="AQ103" s="3">
        <f t="shared" ca="1" si="210"/>
        <v>0.24906600249066005</v>
      </c>
      <c r="AR103" s="3">
        <f t="shared" ca="1" si="211"/>
        <v>0.24900398406374502</v>
      </c>
      <c r="AT103" s="5">
        <v>9.9999997764825821E-3</v>
      </c>
      <c r="AU103" s="5">
        <v>3.7000000476837158E-2</v>
      </c>
      <c r="AV103" s="5">
        <v>2.0000000949949026E-3</v>
      </c>
      <c r="AW103" s="5">
        <v>1.3000000268220901E-2</v>
      </c>
      <c r="AY103" s="3">
        <f t="shared" ca="1" si="212"/>
        <v>0.26624999999999988</v>
      </c>
      <c r="AZ103" s="3">
        <f t="shared" ca="1" si="213"/>
        <v>9.1248135256091475E-2</v>
      </c>
      <c r="BA103" s="3">
        <f t="shared" ca="1" si="214"/>
        <v>0</v>
      </c>
      <c r="BB103" s="3">
        <f t="shared" ca="1" si="215"/>
        <v>5.0049800796812753E-2</v>
      </c>
      <c r="BD103" s="3">
        <f t="shared" ca="1" si="216"/>
        <v>0.30375000834465027</v>
      </c>
      <c r="BE103" s="3">
        <f t="shared" ca="1" si="217"/>
        <v>5.3953258982942447E-2</v>
      </c>
      <c r="BF103" s="3">
        <f t="shared" ca="1" si="218"/>
        <v>0</v>
      </c>
      <c r="BG103" s="3">
        <f t="shared" ca="1" si="219"/>
        <v>9.5617533494454926E-2</v>
      </c>
      <c r="BI103" s="3">
        <f t="shared" ca="1" si="220"/>
        <v>0.75</v>
      </c>
      <c r="BJ103" s="3">
        <f t="shared" ca="1" si="221"/>
        <v>0.24863252113376427</v>
      </c>
      <c r="BK103" s="3">
        <f t="shared" ca="1" si="222"/>
        <v>0</v>
      </c>
      <c r="BL103" s="3">
        <f t="shared" ca="1" si="223"/>
        <v>0.24900398406374502</v>
      </c>
      <c r="BN103" s="3">
        <f t="shared" ca="1" si="224"/>
        <v>1.25</v>
      </c>
      <c r="BO103" s="3">
        <f t="shared" ca="1" si="225"/>
        <v>0.99453008453505709</v>
      </c>
      <c r="BP103" s="3">
        <f t="shared" ca="1" si="226"/>
        <v>0</v>
      </c>
      <c r="BQ103" s="3">
        <f t="shared" ca="1" si="227"/>
        <v>0.74701195219123506</v>
      </c>
      <c r="BS103" s="5">
        <v>0.50999999046325684</v>
      </c>
      <c r="BT103" s="5">
        <v>1.3029999732971191</v>
      </c>
      <c r="BU103" s="5">
        <v>4.0149999999999997</v>
      </c>
      <c r="BV103" s="5">
        <v>1.3000000268220901E-2</v>
      </c>
      <c r="BX103" s="3">
        <f t="shared" ca="1" si="228"/>
        <v>0.36649999999999994</v>
      </c>
      <c r="BY103" s="3">
        <f t="shared" ca="1" si="229"/>
        <v>6.2158130283441068E-2</v>
      </c>
      <c r="BZ103" s="3">
        <f t="shared" ca="1" si="230"/>
        <v>0</v>
      </c>
      <c r="CA103" s="3">
        <f t="shared" ca="1" si="231"/>
        <v>0</v>
      </c>
      <c r="CC103" s="3">
        <f t="shared" ca="1" si="232"/>
        <v>0.375</v>
      </c>
      <c r="CD103" s="3">
        <f t="shared" ca="1" si="233"/>
        <v>6.2158130283441068E-2</v>
      </c>
      <c r="CE103" s="3">
        <f t="shared" ca="1" si="234"/>
        <v>0</v>
      </c>
      <c r="CF103" s="3">
        <f t="shared" ca="1" si="235"/>
        <v>0</v>
      </c>
      <c r="CH103" s="3">
        <f t="shared" ca="1" si="236"/>
        <v>0.5</v>
      </c>
      <c r="CI103" s="3">
        <f t="shared" ca="1" si="237"/>
        <v>0.24863252113376427</v>
      </c>
      <c r="CJ103" s="3">
        <f t="shared" ca="1" si="238"/>
        <v>0</v>
      </c>
      <c r="CK103" s="3">
        <f t="shared" ca="1" si="239"/>
        <v>0</v>
      </c>
      <c r="CM103" s="3">
        <f t="shared" ca="1" si="240"/>
        <v>0.5</v>
      </c>
      <c r="CN103" s="3">
        <f t="shared" ca="1" si="241"/>
        <v>0.24863252113376427</v>
      </c>
      <c r="CO103" s="3">
        <f t="shared" ca="1" si="242"/>
        <v>0</v>
      </c>
      <c r="CP103" s="3">
        <f t="shared" ca="1" si="243"/>
        <v>0</v>
      </c>
      <c r="CR103" s="5">
        <v>2.4760000705718994</v>
      </c>
      <c r="CS103" s="5">
        <v>3.6359999179840088</v>
      </c>
      <c r="CT103" s="5">
        <v>4.0149999999999997</v>
      </c>
      <c r="CU103" s="5">
        <v>4.016</v>
      </c>
      <c r="CV103" s="21">
        <f t="shared" ca="1" si="183"/>
        <v>0</v>
      </c>
      <c r="CW103" s="16">
        <f t="shared" ca="1" si="182"/>
        <v>4.25</v>
      </c>
    </row>
    <row r="104" spans="1:101" s="5" customFormat="1" x14ac:dyDescent="0.35">
      <c r="A104" s="4" t="s">
        <v>106</v>
      </c>
      <c r="B104" s="4">
        <v>4.583333333333333</v>
      </c>
      <c r="C104" s="4" t="s">
        <v>167</v>
      </c>
      <c r="D104" s="4" t="s">
        <v>404</v>
      </c>
      <c r="E104" s="3"/>
      <c r="F104" s="5">
        <v>4.016</v>
      </c>
      <c r="G104" s="5">
        <v>4.016</v>
      </c>
      <c r="H104" s="5">
        <v>4.0149999999999997</v>
      </c>
      <c r="I104" s="5">
        <v>4.016</v>
      </c>
      <c r="K104" s="3">
        <f t="shared" ca="1" si="184"/>
        <v>0.83789840637450208</v>
      </c>
      <c r="L104" s="3">
        <f t="shared" ca="1" si="185"/>
        <v>0.82993027888446225</v>
      </c>
      <c r="M104" s="3">
        <f t="shared" ca="1" si="186"/>
        <v>0.99576587795765892</v>
      </c>
      <c r="N104" s="3">
        <f t="shared" ca="1" si="187"/>
        <v>0.99576693227091639</v>
      </c>
      <c r="P104" s="3">
        <f t="shared" ca="1" si="188"/>
        <v>0.76319728477067683</v>
      </c>
      <c r="Q104" s="3">
        <f t="shared" ca="1" si="189"/>
        <v>0.80054778739275689</v>
      </c>
      <c r="R104" s="3">
        <f t="shared" ca="1" si="190"/>
        <v>0.96662521906252752</v>
      </c>
      <c r="S104" s="3">
        <f t="shared" ca="1" si="191"/>
        <v>0.93750007018313342</v>
      </c>
      <c r="U104" s="3">
        <f t="shared" ca="1" si="192"/>
        <v>2.241035856573705</v>
      </c>
      <c r="V104" s="3">
        <f t="shared" ca="1" si="193"/>
        <v>1.7430278884462151</v>
      </c>
      <c r="W104" s="3">
        <f t="shared" ca="1" si="194"/>
        <v>1.9925280199252804</v>
      </c>
      <c r="X104" s="3">
        <f t="shared" ca="1" si="195"/>
        <v>1.9920318725099602</v>
      </c>
      <c r="Z104" s="3">
        <f t="shared" ca="1" si="196"/>
        <v>0.82544820717131473</v>
      </c>
      <c r="AA104" s="3">
        <f t="shared" ca="1" si="197"/>
        <v>0.82993027888446225</v>
      </c>
      <c r="AB104" s="3">
        <f t="shared" ca="1" si="198"/>
        <v>0.99576587795765892</v>
      </c>
      <c r="AC104" s="3">
        <f t="shared" ca="1" si="199"/>
        <v>0.99576693227091639</v>
      </c>
      <c r="AE104" s="3">
        <f t="shared" ca="1" si="200"/>
        <v>0.76319728477067683</v>
      </c>
      <c r="AF104" s="3">
        <f t="shared" ca="1" si="201"/>
        <v>0.80054778739275689</v>
      </c>
      <c r="AG104" s="3">
        <f t="shared" ca="1" si="202"/>
        <v>0.96662521906252752</v>
      </c>
      <c r="AH104" s="3">
        <f t="shared" ca="1" si="203"/>
        <v>0.93750007018313342</v>
      </c>
      <c r="AJ104" s="3">
        <f t="shared" ca="1" si="204"/>
        <v>2.241035856573705</v>
      </c>
      <c r="AK104" s="3">
        <f t="shared" ca="1" si="205"/>
        <v>1.7430278884462151</v>
      </c>
      <c r="AL104" s="3">
        <f t="shared" ca="1" si="206"/>
        <v>1.9925280199252804</v>
      </c>
      <c r="AM104" s="3">
        <f t="shared" ca="1" si="207"/>
        <v>1.9920318725099602</v>
      </c>
      <c r="AO104" s="3">
        <f t="shared" ca="1" si="208"/>
        <v>0.24900398406374502</v>
      </c>
      <c r="AP104" s="3">
        <f t="shared" ca="1" si="209"/>
        <v>0.24900398406374502</v>
      </c>
      <c r="AQ104" s="3">
        <f t="shared" ca="1" si="210"/>
        <v>0.24906600249066005</v>
      </c>
      <c r="AR104" s="3">
        <f t="shared" ca="1" si="211"/>
        <v>0.24900398406374502</v>
      </c>
      <c r="AT104" s="5">
        <v>0.70899999141693115</v>
      </c>
      <c r="AU104" s="5">
        <v>0.68400001525878906</v>
      </c>
      <c r="AV104" s="5">
        <v>2.0000000949949026E-3</v>
      </c>
      <c r="AW104" s="5">
        <v>1.4000000432133675E-2</v>
      </c>
      <c r="AY104" s="3">
        <f t="shared" ca="1" si="212"/>
        <v>0.37724103585657381</v>
      </c>
      <c r="AZ104" s="3">
        <f t="shared" ca="1" si="213"/>
        <v>0.38570717131474108</v>
      </c>
      <c r="BA104" s="3">
        <f t="shared" ca="1" si="214"/>
        <v>0.25305105853051074</v>
      </c>
      <c r="BB104" s="3">
        <f t="shared" ca="1" si="215"/>
        <v>0.48505976095617531</v>
      </c>
      <c r="BD104" s="3">
        <f t="shared" ca="1" si="216"/>
        <v>0.36080683251301132</v>
      </c>
      <c r="BE104" s="3">
        <f t="shared" ca="1" si="217"/>
        <v>0.35657371539043714</v>
      </c>
      <c r="BF104" s="3">
        <f t="shared" ca="1" si="218"/>
        <v>5.8032373711002873E-2</v>
      </c>
      <c r="BG104" s="3">
        <f t="shared" ca="1" si="219"/>
        <v>0.45194227500740752</v>
      </c>
      <c r="BI104" s="3">
        <f t="shared" ca="1" si="220"/>
        <v>0.99601593625498008</v>
      </c>
      <c r="BJ104" s="3">
        <f t="shared" ca="1" si="221"/>
        <v>0.74701195219123506</v>
      </c>
      <c r="BK104" s="3">
        <f t="shared" ca="1" si="222"/>
        <v>0.24906600249066005</v>
      </c>
      <c r="BL104" s="3">
        <f t="shared" ca="1" si="223"/>
        <v>0.99601593625498008</v>
      </c>
      <c r="BN104" s="3">
        <f t="shared" ca="1" si="224"/>
        <v>1.2450199203187251</v>
      </c>
      <c r="BO104" s="3">
        <f t="shared" ca="1" si="225"/>
        <v>0.74701195219123506</v>
      </c>
      <c r="BP104" s="3">
        <f t="shared" ca="1" si="226"/>
        <v>1.2453300124533002</v>
      </c>
      <c r="BQ104" s="3">
        <f t="shared" ca="1" si="227"/>
        <v>0.99601593625498008</v>
      </c>
      <c r="BS104" s="5">
        <v>0.70899999141693115</v>
      </c>
      <c r="BT104" s="5">
        <v>0.68400001525878906</v>
      </c>
      <c r="BU104" s="5">
        <v>0.63499999046325684</v>
      </c>
      <c r="BV104" s="5">
        <v>1.3140000104904175</v>
      </c>
      <c r="BX104" s="3">
        <f t="shared" ca="1" si="228"/>
        <v>0</v>
      </c>
      <c r="BY104" s="3">
        <f t="shared" ca="1" si="229"/>
        <v>0</v>
      </c>
      <c r="BZ104" s="3">
        <f t="shared" ca="1" si="230"/>
        <v>0</v>
      </c>
      <c r="CA104" s="3">
        <f t="shared" ca="1" si="231"/>
        <v>0</v>
      </c>
      <c r="CC104" s="3">
        <f t="shared" ca="1" si="232"/>
        <v>0</v>
      </c>
      <c r="CD104" s="3">
        <f t="shared" ca="1" si="233"/>
        <v>0</v>
      </c>
      <c r="CE104" s="3">
        <f t="shared" ca="1" si="234"/>
        <v>0</v>
      </c>
      <c r="CF104" s="3">
        <f t="shared" ca="1" si="235"/>
        <v>0</v>
      </c>
      <c r="CH104" s="3">
        <f t="shared" ca="1" si="236"/>
        <v>0</v>
      </c>
      <c r="CI104" s="3">
        <f t="shared" ca="1" si="237"/>
        <v>0</v>
      </c>
      <c r="CJ104" s="3">
        <f t="shared" ca="1" si="238"/>
        <v>0</v>
      </c>
      <c r="CK104" s="3">
        <f t="shared" ca="1" si="239"/>
        <v>0</v>
      </c>
      <c r="CM104" s="3">
        <f t="shared" ca="1" si="240"/>
        <v>0</v>
      </c>
      <c r="CN104" s="3">
        <f t="shared" ca="1" si="241"/>
        <v>0</v>
      </c>
      <c r="CO104" s="3">
        <f t="shared" ca="1" si="242"/>
        <v>0</v>
      </c>
      <c r="CP104" s="3">
        <f t="shared" ca="1" si="243"/>
        <v>0</v>
      </c>
      <c r="CR104" s="5">
        <v>4.016</v>
      </c>
      <c r="CS104" s="5">
        <v>4.016</v>
      </c>
      <c r="CT104" s="5">
        <v>4.0149999999999997</v>
      </c>
      <c r="CU104" s="5">
        <v>4.016</v>
      </c>
      <c r="CV104" s="21">
        <f t="shared" ca="1" si="183"/>
        <v>5.8032373711002873E-2</v>
      </c>
      <c r="CW104" s="16">
        <f t="shared" ca="1" si="182"/>
        <v>4.583333333333333</v>
      </c>
    </row>
    <row r="105" spans="1:101" s="5" customFormat="1" x14ac:dyDescent="0.35">
      <c r="A105" s="4" t="s">
        <v>107</v>
      </c>
      <c r="B105" s="4">
        <v>4.583333333333333</v>
      </c>
      <c r="C105" s="4" t="s">
        <v>168</v>
      </c>
      <c r="D105" s="4" t="s">
        <v>404</v>
      </c>
      <c r="E105" s="3"/>
      <c r="F105" s="5">
        <v>3.0060000000000002</v>
      </c>
      <c r="G105" s="11" t="e">
        <v>#N/A</v>
      </c>
      <c r="H105" s="5">
        <v>2.9329999999999998</v>
      </c>
      <c r="I105" s="11" t="e">
        <v>#N/A</v>
      </c>
      <c r="K105" s="3">
        <f t="shared" ca="1" si="184"/>
        <v>0.99800399201596801</v>
      </c>
      <c r="L105" s="3" t="e">
        <f t="shared" ca="1" si="185"/>
        <v>#N/A</v>
      </c>
      <c r="M105" s="3">
        <f t="shared" ca="1" si="186"/>
        <v>0.82952608250937609</v>
      </c>
      <c r="N105" s="3" t="e">
        <f t="shared" ca="1" si="187"/>
        <v>#N/A</v>
      </c>
      <c r="P105" s="3">
        <f t="shared" ca="1" si="188"/>
        <v>0.34930142099985817</v>
      </c>
      <c r="Q105" s="3" t="e">
        <f t="shared" ca="1" si="189"/>
        <v>#N/A</v>
      </c>
      <c r="R105" s="3">
        <f t="shared" ca="1" si="190"/>
        <v>0.34674390403638311</v>
      </c>
      <c r="S105" s="3" t="e">
        <f t="shared" ca="1" si="191"/>
        <v>#N/A</v>
      </c>
      <c r="U105" s="3">
        <f t="shared" ca="1" si="192"/>
        <v>2.328675981370592</v>
      </c>
      <c r="V105" s="3" t="e">
        <f t="shared" ca="1" si="193"/>
        <v>#N/A</v>
      </c>
      <c r="W105" s="3">
        <f t="shared" ca="1" si="194"/>
        <v>1.0228435049437437</v>
      </c>
      <c r="X105" s="3" t="e">
        <f t="shared" ca="1" si="195"/>
        <v>#N/A</v>
      </c>
      <c r="Z105" s="3">
        <f t="shared" ca="1" si="196"/>
        <v>0.68762475049900218</v>
      </c>
      <c r="AA105" s="3" t="e">
        <f t="shared" ca="1" si="197"/>
        <v>#N/A</v>
      </c>
      <c r="AB105" s="3">
        <f t="shared" ca="1" si="198"/>
        <v>0.55676781452437785</v>
      </c>
      <c r="AC105" s="3" t="e">
        <f t="shared" ca="1" si="199"/>
        <v>#N/A</v>
      </c>
      <c r="AE105" s="3">
        <f t="shared" ca="1" si="200"/>
        <v>0.34930142099985817</v>
      </c>
      <c r="AF105" s="3" t="e">
        <f t="shared" ca="1" si="201"/>
        <v>#N/A</v>
      </c>
      <c r="AG105" s="3">
        <f t="shared" ca="1" si="202"/>
        <v>0.34674390403638311</v>
      </c>
      <c r="AH105" s="3" t="e">
        <f t="shared" ca="1" si="203"/>
        <v>#N/A</v>
      </c>
      <c r="AJ105" s="3">
        <f t="shared" ca="1" si="204"/>
        <v>2.328675981370592</v>
      </c>
      <c r="AK105" s="3" t="e">
        <f t="shared" ca="1" si="205"/>
        <v>#N/A</v>
      </c>
      <c r="AL105" s="3">
        <f t="shared" ca="1" si="206"/>
        <v>1.0228435049437437</v>
      </c>
      <c r="AM105" s="3" t="e">
        <f t="shared" ca="1" si="207"/>
        <v>#N/A</v>
      </c>
      <c r="AO105" s="3">
        <f t="shared" ca="1" si="208"/>
        <v>1.6633399866932799</v>
      </c>
      <c r="AP105" s="3" t="e">
        <f t="shared" ca="1" si="209"/>
        <v>#N/A</v>
      </c>
      <c r="AQ105" s="3">
        <f t="shared" ca="1" si="210"/>
        <v>1.3637913399249915</v>
      </c>
      <c r="AR105" s="3" t="e">
        <f t="shared" ca="1" si="211"/>
        <v>#N/A</v>
      </c>
      <c r="AT105" s="5">
        <v>1.3370000123977661</v>
      </c>
      <c r="AU105" s="11" t="e">
        <v>#N/A</v>
      </c>
      <c r="AV105" s="5">
        <v>0.48399999737739563</v>
      </c>
      <c r="AW105" s="11" t="e">
        <v>#N/A</v>
      </c>
      <c r="AY105" s="3">
        <f t="shared" ca="1" si="212"/>
        <v>0</v>
      </c>
      <c r="AZ105" s="3" t="e">
        <f t="shared" ca="1" si="213"/>
        <v>#N/A</v>
      </c>
      <c r="BA105" s="3">
        <f t="shared" ca="1" si="214"/>
        <v>0</v>
      </c>
      <c r="BB105" s="3" t="e">
        <f t="shared" ca="1" si="215"/>
        <v>#N/A</v>
      </c>
      <c r="BD105" s="3">
        <f t="shared" ca="1" si="216"/>
        <v>0</v>
      </c>
      <c r="BE105" s="3" t="e">
        <f t="shared" ca="1" si="217"/>
        <v>#N/A</v>
      </c>
      <c r="BF105" s="3">
        <f t="shared" ca="1" si="218"/>
        <v>0</v>
      </c>
      <c r="BG105" s="3" t="e">
        <f t="shared" ca="1" si="219"/>
        <v>#N/A</v>
      </c>
      <c r="BI105" s="3">
        <f t="shared" ca="1" si="220"/>
        <v>0</v>
      </c>
      <c r="BJ105" s="3" t="e">
        <f t="shared" ca="1" si="221"/>
        <v>#N/A</v>
      </c>
      <c r="BK105" s="3">
        <f t="shared" ca="1" si="222"/>
        <v>0</v>
      </c>
      <c r="BL105" s="3" t="e">
        <f t="shared" ca="1" si="223"/>
        <v>#N/A</v>
      </c>
      <c r="BN105" s="3">
        <f t="shared" ca="1" si="224"/>
        <v>0.33266799733865599</v>
      </c>
      <c r="BO105" s="3" t="e">
        <f t="shared" ca="1" si="225"/>
        <v>#N/A</v>
      </c>
      <c r="BP105" s="3">
        <f t="shared" ca="1" si="226"/>
        <v>0</v>
      </c>
      <c r="BQ105" s="3" t="e">
        <f t="shared" ca="1" si="227"/>
        <v>#N/A</v>
      </c>
      <c r="BS105" s="5">
        <v>4.0090000000000003</v>
      </c>
      <c r="BT105" s="11" t="e">
        <v>#N/A</v>
      </c>
      <c r="BU105" s="5">
        <v>4.016</v>
      </c>
      <c r="BV105" s="11" t="e">
        <v>#N/A</v>
      </c>
      <c r="BX105" s="3">
        <f t="shared" ca="1" si="228"/>
        <v>0</v>
      </c>
      <c r="BY105" s="3" t="e">
        <f t="shared" ca="1" si="229"/>
        <v>#N/A</v>
      </c>
      <c r="BZ105" s="3">
        <f t="shared" ca="1" si="230"/>
        <v>0</v>
      </c>
      <c r="CA105" s="3" t="e">
        <f t="shared" ca="1" si="231"/>
        <v>#N/A</v>
      </c>
      <c r="CC105" s="3">
        <f t="shared" ca="1" si="232"/>
        <v>0</v>
      </c>
      <c r="CD105" s="3" t="e">
        <f t="shared" ca="1" si="233"/>
        <v>#N/A</v>
      </c>
      <c r="CE105" s="3">
        <f t="shared" ca="1" si="234"/>
        <v>0</v>
      </c>
      <c r="CF105" s="3" t="e">
        <f t="shared" ca="1" si="235"/>
        <v>#N/A</v>
      </c>
      <c r="CH105" s="3">
        <f t="shared" ca="1" si="236"/>
        <v>0</v>
      </c>
      <c r="CI105" s="3" t="e">
        <f t="shared" ca="1" si="237"/>
        <v>#N/A</v>
      </c>
      <c r="CJ105" s="3">
        <f t="shared" ca="1" si="238"/>
        <v>0</v>
      </c>
      <c r="CK105" s="3" t="e">
        <f t="shared" ca="1" si="239"/>
        <v>#N/A</v>
      </c>
      <c r="CM105" s="3">
        <f t="shared" ca="1" si="240"/>
        <v>0</v>
      </c>
      <c r="CN105" s="3" t="e">
        <f t="shared" ca="1" si="241"/>
        <v>#N/A</v>
      </c>
      <c r="CO105" s="3">
        <f t="shared" ca="1" si="242"/>
        <v>0</v>
      </c>
      <c r="CP105" s="3" t="e">
        <f t="shared" ca="1" si="243"/>
        <v>#N/A</v>
      </c>
      <c r="CR105" s="5">
        <v>4.0090000000000003</v>
      </c>
      <c r="CS105" s="11" t="e">
        <v>#N/A</v>
      </c>
      <c r="CT105" s="5">
        <v>4.016</v>
      </c>
      <c r="CU105" s="11" t="e">
        <v>#N/A</v>
      </c>
      <c r="CV105" s="21">
        <f t="shared" ca="1" si="183"/>
        <v>0</v>
      </c>
      <c r="CW105" s="16">
        <f t="shared" ca="1" si="182"/>
        <v>4.583333333333333</v>
      </c>
    </row>
    <row r="106" spans="1:101" s="5" customFormat="1" x14ac:dyDescent="0.35">
      <c r="A106" s="4" t="s">
        <v>113</v>
      </c>
      <c r="B106" s="4">
        <v>4.583333333333333</v>
      </c>
      <c r="C106" s="4" t="s">
        <v>167</v>
      </c>
      <c r="D106" s="4" t="s">
        <v>404</v>
      </c>
      <c r="E106" s="3"/>
      <c r="F106" s="5">
        <v>2.992</v>
      </c>
      <c r="G106" s="5">
        <v>4.0149999999999997</v>
      </c>
      <c r="H106" s="11" t="e">
        <v>#N/A</v>
      </c>
      <c r="I106" s="5">
        <v>1.5340000000000003</v>
      </c>
      <c r="K106" s="3">
        <f t="shared" ca="1" si="184"/>
        <v>0.99699197860962585</v>
      </c>
      <c r="L106" s="3">
        <f t="shared" ca="1" si="185"/>
        <v>0.98381070983810714</v>
      </c>
      <c r="M106" s="3" t="e">
        <f t="shared" ca="1" si="186"/>
        <v>#N/A</v>
      </c>
      <c r="N106" s="3" t="e">
        <f t="shared" ca="1" si="187"/>
        <v>#N/A</v>
      </c>
      <c r="P106" s="3">
        <f t="shared" ca="1" si="188"/>
        <v>0.79612298445268115</v>
      </c>
      <c r="Q106" s="3">
        <f t="shared" ca="1" si="189"/>
        <v>0.95541717143611038</v>
      </c>
      <c r="R106" s="3" t="e">
        <f t="shared" ca="1" si="190"/>
        <v>#N/A</v>
      </c>
      <c r="S106" s="3" t="e">
        <f t="shared" ca="1" si="191"/>
        <v>#N/A</v>
      </c>
      <c r="U106" s="3">
        <f t="shared" ca="1" si="192"/>
        <v>2.6737967914438503</v>
      </c>
      <c r="V106" s="3">
        <f t="shared" ca="1" si="193"/>
        <v>1.9925280199252804</v>
      </c>
      <c r="W106" s="3" t="e">
        <f t="shared" ca="1" si="194"/>
        <v>#N/A</v>
      </c>
      <c r="X106" s="3" t="e">
        <f t="shared" ca="1" si="195"/>
        <v>#N/A</v>
      </c>
      <c r="Z106" s="3">
        <f t="shared" ca="1" si="196"/>
        <v>0.83556149732620322</v>
      </c>
      <c r="AA106" s="3">
        <f t="shared" ca="1" si="197"/>
        <v>0.98381070983810714</v>
      </c>
      <c r="AB106" s="3" t="e">
        <f t="shared" ca="1" si="198"/>
        <v>#N/A</v>
      </c>
      <c r="AC106" s="3" t="e">
        <f t="shared" ca="1" si="199"/>
        <v>#N/A</v>
      </c>
      <c r="AE106" s="3">
        <f t="shared" ca="1" si="200"/>
        <v>0.64004009420221497</v>
      </c>
      <c r="AF106" s="3">
        <f t="shared" ca="1" si="201"/>
        <v>0.95541717143611038</v>
      </c>
      <c r="AG106" s="3" t="e">
        <f t="shared" ca="1" si="202"/>
        <v>#N/A</v>
      </c>
      <c r="AH106" s="3" t="e">
        <f t="shared" ca="1" si="203"/>
        <v>#N/A</v>
      </c>
      <c r="AJ106" s="3">
        <f t="shared" ca="1" si="204"/>
        <v>2.3395721925133688</v>
      </c>
      <c r="AK106" s="3">
        <f t="shared" ca="1" si="205"/>
        <v>1.9925280199252804</v>
      </c>
      <c r="AL106" s="3" t="e">
        <f t="shared" ca="1" si="206"/>
        <v>#N/A</v>
      </c>
      <c r="AM106" s="3" t="e">
        <f t="shared" ca="1" si="207"/>
        <v>#N/A</v>
      </c>
      <c r="AO106" s="3">
        <f t="shared" ca="1" si="208"/>
        <v>0.33422459893048129</v>
      </c>
      <c r="AP106" s="3">
        <f t="shared" ca="1" si="209"/>
        <v>0.24906600249066005</v>
      </c>
      <c r="AQ106" s="3" t="e">
        <f t="shared" ca="1" si="210"/>
        <v>#N/A</v>
      </c>
      <c r="AR106" s="3" t="e">
        <f t="shared" ca="1" si="211"/>
        <v>#N/A</v>
      </c>
      <c r="AT106" s="5">
        <v>1.6399999856948853</v>
      </c>
      <c r="AU106" s="5">
        <v>1.0999999940395355E-2</v>
      </c>
      <c r="AV106" s="11" t="e">
        <v>#N/A</v>
      </c>
      <c r="AW106" s="11" t="e">
        <v>#N/A</v>
      </c>
      <c r="AY106" s="3">
        <f t="shared" ca="1" si="212"/>
        <v>0.22860962566844925</v>
      </c>
      <c r="AZ106" s="3">
        <f t="shared" ca="1" si="213"/>
        <v>0.37334993773349934</v>
      </c>
      <c r="BA106" s="3" t="e">
        <f t="shared" ca="1" si="214"/>
        <v>#N/A</v>
      </c>
      <c r="BB106" s="3" t="e">
        <f t="shared" ca="1" si="215"/>
        <v>#N/A</v>
      </c>
      <c r="BD106" s="3">
        <f t="shared" ca="1" si="216"/>
        <v>0.29512028643154203</v>
      </c>
      <c r="BE106" s="3">
        <f t="shared" ca="1" si="217"/>
        <v>0.4278953909725508</v>
      </c>
      <c r="BF106" s="3" t="e">
        <f t="shared" ca="1" si="218"/>
        <v>#N/A</v>
      </c>
      <c r="BG106" s="3" t="e">
        <f t="shared" ca="1" si="219"/>
        <v>#N/A</v>
      </c>
      <c r="BI106" s="3">
        <f t="shared" ca="1" si="220"/>
        <v>1.0026737967914439</v>
      </c>
      <c r="BJ106" s="3">
        <f t="shared" ca="1" si="221"/>
        <v>0.9962640099626402</v>
      </c>
      <c r="BK106" s="3" t="e">
        <f t="shared" ca="1" si="222"/>
        <v>#N/A</v>
      </c>
      <c r="BL106" s="3" t="e">
        <f t="shared" ca="1" si="223"/>
        <v>#N/A</v>
      </c>
      <c r="BN106" s="3">
        <f t="shared" ca="1" si="224"/>
        <v>1.0026737967914439</v>
      </c>
      <c r="BO106" s="3">
        <f t="shared" ca="1" si="225"/>
        <v>0.74719800747198017</v>
      </c>
      <c r="BP106" s="3" t="e">
        <f t="shared" ca="1" si="226"/>
        <v>#N/A</v>
      </c>
      <c r="BQ106" s="3" t="e">
        <f t="shared" ca="1" si="227"/>
        <v>#N/A</v>
      </c>
      <c r="BS106" s="5">
        <v>2.7390000820159912</v>
      </c>
      <c r="BT106" s="5">
        <v>0.81099998950958252</v>
      </c>
      <c r="BU106" s="11" t="e">
        <v>#N/A</v>
      </c>
      <c r="BV106" s="11" t="e">
        <v>#N/A</v>
      </c>
      <c r="BX106" s="3">
        <f t="shared" ca="1" si="228"/>
        <v>5.3475935828877054E-3</v>
      </c>
      <c r="BY106" s="3">
        <f t="shared" ca="1" si="229"/>
        <v>0</v>
      </c>
      <c r="BZ106" s="3" t="e">
        <f t="shared" ca="1" si="230"/>
        <v>#N/A</v>
      </c>
      <c r="CA106" s="3" t="e">
        <f t="shared" ca="1" si="231"/>
        <v>#N/A</v>
      </c>
      <c r="CC106" s="3">
        <f t="shared" ca="1" si="232"/>
        <v>0</v>
      </c>
      <c r="CD106" s="3">
        <f t="shared" ca="1" si="233"/>
        <v>0</v>
      </c>
      <c r="CE106" s="3" t="e">
        <f t="shared" ca="1" si="234"/>
        <v>#N/A</v>
      </c>
      <c r="CF106" s="3" t="e">
        <f t="shared" ca="1" si="235"/>
        <v>#N/A</v>
      </c>
      <c r="CH106" s="3">
        <f t="shared" ca="1" si="236"/>
        <v>0</v>
      </c>
      <c r="CI106" s="3">
        <f t="shared" ca="1" si="237"/>
        <v>0</v>
      </c>
      <c r="CJ106" s="3" t="e">
        <f t="shared" ca="1" si="238"/>
        <v>#N/A</v>
      </c>
      <c r="CK106" s="3" t="e">
        <f t="shared" ca="1" si="239"/>
        <v>#N/A</v>
      </c>
      <c r="CM106" s="3">
        <f t="shared" ca="1" si="240"/>
        <v>0.33422459893048129</v>
      </c>
      <c r="CN106" s="3">
        <f t="shared" ca="1" si="241"/>
        <v>0</v>
      </c>
      <c r="CO106" s="3" t="e">
        <f t="shared" ca="1" si="242"/>
        <v>#N/A</v>
      </c>
      <c r="CP106" s="3" t="e">
        <f t="shared" ca="1" si="243"/>
        <v>#N/A</v>
      </c>
      <c r="CR106" s="5">
        <v>4.0149999999999997</v>
      </c>
      <c r="CS106" s="5">
        <v>4.0149999999999997</v>
      </c>
      <c r="CT106" s="11" t="e">
        <v>#N/A</v>
      </c>
      <c r="CU106" s="11" t="e">
        <v>#N/A</v>
      </c>
      <c r="CV106" s="21" t="e">
        <f t="shared" ca="1" si="183"/>
        <v>#N/A</v>
      </c>
      <c r="CW106" s="16">
        <f t="shared" ca="1" si="182"/>
        <v>4.583333333333333</v>
      </c>
    </row>
    <row r="107" spans="1:101" s="5" customFormat="1" x14ac:dyDescent="0.35">
      <c r="A107" s="4" t="s">
        <v>153</v>
      </c>
      <c r="B107" s="4">
        <v>5</v>
      </c>
      <c r="C107" s="4" t="s">
        <v>168</v>
      </c>
      <c r="D107" s="4" t="s">
        <v>404</v>
      </c>
      <c r="E107" s="3"/>
      <c r="F107" s="5">
        <v>0.97599999999999998</v>
      </c>
      <c r="G107" s="5">
        <v>2.4449999999999998</v>
      </c>
      <c r="H107" s="5">
        <v>4.01</v>
      </c>
      <c r="I107" s="5">
        <v>3.024</v>
      </c>
      <c r="K107" s="3" t="e">
        <f t="shared" ca="1" si="184"/>
        <v>#N/A</v>
      </c>
      <c r="L107" s="3">
        <f t="shared" ca="1" si="185"/>
        <v>0.98813905930470347</v>
      </c>
      <c r="M107" s="3">
        <f t="shared" ca="1" si="186"/>
        <v>0.90598503740648384</v>
      </c>
      <c r="N107" s="3">
        <f t="shared" ca="1" si="187"/>
        <v>0.99735449735449733</v>
      </c>
      <c r="P107" s="3" t="e">
        <f t="shared" ca="1" si="188"/>
        <v>#N/A</v>
      </c>
      <c r="Q107" s="3">
        <f t="shared" ca="1" si="189"/>
        <v>0.81758693256748727</v>
      </c>
      <c r="R107" s="3">
        <f t="shared" ca="1" si="190"/>
        <v>0.86483800054488347</v>
      </c>
      <c r="S107" s="3">
        <f t="shared" ca="1" si="191"/>
        <v>0.94212958787533418</v>
      </c>
      <c r="U107" s="3" t="e">
        <f t="shared" ca="1" si="192"/>
        <v>#N/A</v>
      </c>
      <c r="V107" s="3">
        <f t="shared" ca="1" si="193"/>
        <v>2.4539877300613497</v>
      </c>
      <c r="W107" s="3">
        <f t="shared" ca="1" si="194"/>
        <v>2.4937655860349128</v>
      </c>
      <c r="X107" s="3">
        <f t="shared" ca="1" si="195"/>
        <v>1.6534391534391535</v>
      </c>
      <c r="Z107" s="3" t="e">
        <f t="shared" ca="1" si="196"/>
        <v>#N/A</v>
      </c>
      <c r="AA107" s="3">
        <f t="shared" ca="1" si="197"/>
        <v>0.86543967280163614</v>
      </c>
      <c r="AB107" s="3">
        <f t="shared" ca="1" si="198"/>
        <v>0.81446384039900266</v>
      </c>
      <c r="AC107" s="3">
        <f t="shared" ca="1" si="199"/>
        <v>0.99735449735449733</v>
      </c>
      <c r="AE107" s="3" t="e">
        <f t="shared" ca="1" si="200"/>
        <v>#N/A</v>
      </c>
      <c r="AF107" s="3">
        <f t="shared" ca="1" si="201"/>
        <v>0.81758693256748727</v>
      </c>
      <c r="AG107" s="3">
        <f t="shared" ca="1" si="202"/>
        <v>0.81097264390931167</v>
      </c>
      <c r="AH107" s="3">
        <f t="shared" ca="1" si="203"/>
        <v>0.94212958787533418</v>
      </c>
      <c r="AJ107" s="3" t="e">
        <f t="shared" ca="1" si="204"/>
        <v>#N/A</v>
      </c>
      <c r="AK107" s="3">
        <f t="shared" ca="1" si="205"/>
        <v>2.4539877300613497</v>
      </c>
      <c r="AL107" s="3">
        <f t="shared" ca="1" si="206"/>
        <v>2.2443890274314215</v>
      </c>
      <c r="AM107" s="3">
        <f t="shared" ca="1" si="207"/>
        <v>1.6534391534391535</v>
      </c>
      <c r="AO107" s="3" t="e">
        <f t="shared" ca="1" si="208"/>
        <v>#N/A</v>
      </c>
      <c r="AP107" s="3">
        <f t="shared" ca="1" si="209"/>
        <v>0.40899795501022496</v>
      </c>
      <c r="AQ107" s="3">
        <f t="shared" ca="1" si="210"/>
        <v>0.49875311720698257</v>
      </c>
      <c r="AR107" s="3">
        <f t="shared" ca="1" si="211"/>
        <v>0.3306878306878307</v>
      </c>
      <c r="AT107" s="11" t="e">
        <v>#N/A</v>
      </c>
      <c r="AU107" s="5">
        <v>6.1999998986721039E-2</v>
      </c>
      <c r="AV107" s="5">
        <v>0.37299999594688416</v>
      </c>
      <c r="AW107" s="5">
        <v>8.0000003799796104E-3</v>
      </c>
      <c r="AY107" s="3" t="e">
        <f t="shared" ca="1" si="212"/>
        <v>#N/A</v>
      </c>
      <c r="AZ107" s="3">
        <f t="shared" ca="1" si="213"/>
        <v>0.28588957055214731</v>
      </c>
      <c r="BA107" s="3">
        <f t="shared" ca="1" si="214"/>
        <v>0.42394014962593518</v>
      </c>
      <c r="BB107" s="3">
        <f t="shared" ca="1" si="215"/>
        <v>0.18187830687830697</v>
      </c>
      <c r="BD107" s="3" t="e">
        <f t="shared" ca="1" si="216"/>
        <v>#N/A</v>
      </c>
      <c r="BE107" s="3">
        <f t="shared" ca="1" si="217"/>
        <v>0.22453983868557983</v>
      </c>
      <c r="BF107" s="3">
        <f t="shared" ca="1" si="218"/>
        <v>0.44912722639906738</v>
      </c>
      <c r="BG107" s="3">
        <f t="shared" ca="1" si="219"/>
        <v>0.18716930712341631</v>
      </c>
      <c r="BI107" s="3" t="e">
        <f t="shared" ca="1" si="220"/>
        <v>#N/A</v>
      </c>
      <c r="BJ107" s="3">
        <f t="shared" ca="1" si="221"/>
        <v>1.2269938650306749</v>
      </c>
      <c r="BK107" s="3">
        <f t="shared" ca="1" si="222"/>
        <v>0.99750623441396513</v>
      </c>
      <c r="BL107" s="3">
        <f t="shared" ca="1" si="223"/>
        <v>0.66137566137566139</v>
      </c>
      <c r="BN107" s="3" t="e">
        <f t="shared" ca="1" si="224"/>
        <v>#N/A</v>
      </c>
      <c r="BO107" s="3">
        <f t="shared" ca="1" si="225"/>
        <v>1.2269938650306749</v>
      </c>
      <c r="BP107" s="3">
        <f t="shared" ca="1" si="226"/>
        <v>0.74812967581047385</v>
      </c>
      <c r="BQ107" s="3">
        <f t="shared" ca="1" si="227"/>
        <v>0.66137566137566139</v>
      </c>
      <c r="BS107" s="11" t="e">
        <v>#N/A</v>
      </c>
      <c r="BT107" s="5">
        <v>0.69599997997283936</v>
      </c>
      <c r="BU107" s="5">
        <v>0.72299998998641968</v>
      </c>
      <c r="BV107" s="5">
        <v>0.64099997282028198</v>
      </c>
      <c r="BX107" s="3" t="e">
        <f t="shared" ca="1" si="228"/>
        <v>#N/A</v>
      </c>
      <c r="BY107" s="3">
        <f t="shared" ca="1" si="229"/>
        <v>0</v>
      </c>
      <c r="BZ107" s="3">
        <f t="shared" ca="1" si="230"/>
        <v>9.9750623441396485E-2</v>
      </c>
      <c r="CA107" s="3">
        <f t="shared" ca="1" si="231"/>
        <v>0</v>
      </c>
      <c r="CC107" s="3" t="e">
        <f t="shared" ca="1" si="232"/>
        <v>#N/A</v>
      </c>
      <c r="CD107" s="3">
        <f t="shared" ca="1" si="233"/>
        <v>0</v>
      </c>
      <c r="CE107" s="3">
        <f t="shared" ca="1" si="234"/>
        <v>5.411471511954976E-2</v>
      </c>
      <c r="CF107" s="3">
        <f t="shared" ca="1" si="235"/>
        <v>0</v>
      </c>
      <c r="CH107" s="3" t="e">
        <f t="shared" ca="1" si="236"/>
        <v>#N/A</v>
      </c>
      <c r="CI107" s="3">
        <f t="shared" ca="1" si="237"/>
        <v>0</v>
      </c>
      <c r="CJ107" s="3">
        <f t="shared" ca="1" si="238"/>
        <v>0.24937655860349128</v>
      </c>
      <c r="CK107" s="3">
        <f t="shared" ca="1" si="239"/>
        <v>0</v>
      </c>
      <c r="CM107" s="3" t="e">
        <f t="shared" ca="1" si="240"/>
        <v>#N/A</v>
      </c>
      <c r="CN107" s="3">
        <f t="shared" ca="1" si="241"/>
        <v>0.40899795501022496</v>
      </c>
      <c r="CO107" s="3">
        <f t="shared" ca="1" si="242"/>
        <v>0.49875311720698257</v>
      </c>
      <c r="CP107" s="3">
        <f t="shared" ca="1" si="243"/>
        <v>0</v>
      </c>
      <c r="CR107" s="11" t="e">
        <v>#N/A</v>
      </c>
      <c r="CS107" s="5">
        <v>4.0110000000000001</v>
      </c>
      <c r="CT107" s="5">
        <v>2.2730000019073486</v>
      </c>
      <c r="CU107" s="5">
        <v>4.0110000000000001</v>
      </c>
      <c r="CV107" s="21">
        <f t="shared" ca="1" si="183"/>
        <v>0.44912722639906738</v>
      </c>
      <c r="CW107" s="16">
        <f t="shared" ca="1" si="182"/>
        <v>5</v>
      </c>
    </row>
    <row r="108" spans="1:101" s="5" customFormat="1" x14ac:dyDescent="0.35">
      <c r="A108" s="4" t="s">
        <v>94</v>
      </c>
      <c r="B108" s="4">
        <v>5.25</v>
      </c>
      <c r="C108" s="4" t="s">
        <v>168</v>
      </c>
      <c r="D108" s="4" t="s">
        <v>404</v>
      </c>
      <c r="E108" s="3"/>
      <c r="F108" s="11" t="e">
        <v>#N/A</v>
      </c>
      <c r="G108" s="11" t="e">
        <v>#N/A</v>
      </c>
      <c r="H108" s="11" t="e">
        <v>#N/A</v>
      </c>
      <c r="I108" s="5">
        <v>2.456</v>
      </c>
      <c r="K108" s="3" t="e">
        <f t="shared" ca="1" si="184"/>
        <v>#N/A</v>
      </c>
      <c r="L108" s="3" t="e">
        <f t="shared" ca="1" si="185"/>
        <v>#N/A</v>
      </c>
      <c r="M108" s="3" t="e">
        <f t="shared" ca="1" si="186"/>
        <v>#N/A</v>
      </c>
      <c r="N108" s="3">
        <f t="shared" ca="1" si="187"/>
        <v>0.99755700325732888</v>
      </c>
      <c r="P108" s="3" t="e">
        <f t="shared" ca="1" si="188"/>
        <v>#N/A</v>
      </c>
      <c r="Q108" s="3" t="e">
        <f t="shared" ca="1" si="189"/>
        <v>#N/A</v>
      </c>
      <c r="R108" s="3" t="e">
        <f t="shared" ca="1" si="190"/>
        <v>#N/A</v>
      </c>
      <c r="S108" s="3">
        <f t="shared" ca="1" si="191"/>
        <v>0.89576558880386603</v>
      </c>
      <c r="U108" s="3" t="e">
        <f t="shared" ca="1" si="192"/>
        <v>#N/A</v>
      </c>
      <c r="V108" s="3" t="e">
        <f t="shared" ca="1" si="193"/>
        <v>#N/A</v>
      </c>
      <c r="W108" s="3" t="e">
        <f t="shared" ca="1" si="194"/>
        <v>#N/A</v>
      </c>
      <c r="X108" s="3">
        <f t="shared" ca="1" si="195"/>
        <v>2.8501628664495113</v>
      </c>
      <c r="Z108" s="3" t="e">
        <f t="shared" ca="1" si="196"/>
        <v>#N/A</v>
      </c>
      <c r="AA108" s="3" t="e">
        <f t="shared" ca="1" si="197"/>
        <v>#N/A</v>
      </c>
      <c r="AB108" s="3" t="e">
        <f t="shared" ca="1" si="198"/>
        <v>#N/A</v>
      </c>
      <c r="AC108" s="3">
        <f t="shared" ca="1" si="199"/>
        <v>0.63151465798045592</v>
      </c>
      <c r="AE108" s="3" t="e">
        <f t="shared" ca="1" si="200"/>
        <v>#N/A</v>
      </c>
      <c r="AF108" s="3" t="e">
        <f t="shared" ca="1" si="201"/>
        <v>#N/A</v>
      </c>
      <c r="AG108" s="3" t="e">
        <f t="shared" ca="1" si="202"/>
        <v>#N/A</v>
      </c>
      <c r="AH108" s="3">
        <f t="shared" ca="1" si="203"/>
        <v>0.54275251755108667</v>
      </c>
      <c r="AJ108" s="3" t="e">
        <f t="shared" ca="1" si="204"/>
        <v>#N/A</v>
      </c>
      <c r="AK108" s="3" t="e">
        <f t="shared" ca="1" si="205"/>
        <v>#N/A</v>
      </c>
      <c r="AL108" s="3" t="e">
        <f t="shared" ca="1" si="206"/>
        <v>#N/A</v>
      </c>
      <c r="AM108" s="3">
        <f t="shared" ca="1" si="207"/>
        <v>2.0358306188925082</v>
      </c>
      <c r="AO108" s="3" t="e">
        <f t="shared" ca="1" si="208"/>
        <v>#N/A</v>
      </c>
      <c r="AP108" s="3" t="e">
        <f t="shared" ca="1" si="209"/>
        <v>#N/A</v>
      </c>
      <c r="AQ108" s="3" t="e">
        <f t="shared" ca="1" si="210"/>
        <v>#N/A</v>
      </c>
      <c r="AR108" s="3">
        <f t="shared" ca="1" si="211"/>
        <v>0.81433224755700329</v>
      </c>
      <c r="AT108" s="11" t="e">
        <v>#N/A</v>
      </c>
      <c r="AU108" s="11" t="e">
        <v>#N/A</v>
      </c>
      <c r="AV108" s="11" t="e">
        <v>#N/A</v>
      </c>
      <c r="AW108" s="5">
        <v>1.6599999666213989</v>
      </c>
      <c r="AY108" s="3" t="e">
        <f t="shared" ca="1" si="212"/>
        <v>#N/A</v>
      </c>
      <c r="AZ108" s="3" t="e">
        <f t="shared" ca="1" si="213"/>
        <v>#N/A</v>
      </c>
      <c r="BA108" s="3" t="e">
        <f t="shared" ca="1" si="214"/>
        <v>#N/A</v>
      </c>
      <c r="BB108" s="3">
        <f t="shared" ca="1" si="215"/>
        <v>0</v>
      </c>
      <c r="BD108" s="3" t="e">
        <f t="shared" ca="1" si="216"/>
        <v>#N/A</v>
      </c>
      <c r="BE108" s="3" t="e">
        <f t="shared" ca="1" si="217"/>
        <v>#N/A</v>
      </c>
      <c r="BF108" s="3" t="e">
        <f t="shared" ca="1" si="218"/>
        <v>#N/A</v>
      </c>
      <c r="BG108" s="3">
        <f t="shared" ca="1" si="219"/>
        <v>0</v>
      </c>
      <c r="BI108" s="3" t="e">
        <f t="shared" ca="1" si="220"/>
        <v>#N/A</v>
      </c>
      <c r="BJ108" s="3" t="e">
        <f t="shared" ca="1" si="221"/>
        <v>#N/A</v>
      </c>
      <c r="BK108" s="3" t="e">
        <f t="shared" ca="1" si="222"/>
        <v>#N/A</v>
      </c>
      <c r="BL108" s="3">
        <f t="shared" ca="1" si="223"/>
        <v>0</v>
      </c>
      <c r="BN108" s="3" t="e">
        <f t="shared" ca="1" si="224"/>
        <v>#N/A</v>
      </c>
      <c r="BO108" s="3" t="e">
        <f t="shared" ca="1" si="225"/>
        <v>#N/A</v>
      </c>
      <c r="BP108" s="3" t="e">
        <f t="shared" ca="1" si="226"/>
        <v>#N/A</v>
      </c>
      <c r="BQ108" s="3">
        <f t="shared" ca="1" si="227"/>
        <v>0</v>
      </c>
      <c r="BS108" s="11" t="e">
        <v>#N/A</v>
      </c>
      <c r="BT108" s="11" t="e">
        <v>#N/A</v>
      </c>
      <c r="BU108" s="11" t="e">
        <v>#N/A</v>
      </c>
      <c r="BV108" s="5">
        <v>4.016</v>
      </c>
      <c r="BX108" s="3" t="e">
        <f t="shared" ca="1" si="228"/>
        <v>#N/A</v>
      </c>
      <c r="BY108" s="3" t="e">
        <f t="shared" ca="1" si="229"/>
        <v>#N/A</v>
      </c>
      <c r="BZ108" s="3" t="e">
        <f t="shared" ca="1" si="230"/>
        <v>#N/A</v>
      </c>
      <c r="CA108" s="3">
        <f t="shared" ca="1" si="231"/>
        <v>2.6872964169381043E-2</v>
      </c>
      <c r="CC108" s="3" t="e">
        <f t="shared" ca="1" si="232"/>
        <v>#N/A</v>
      </c>
      <c r="CD108" s="3" t="e">
        <f t="shared" ca="1" si="233"/>
        <v>#N/A</v>
      </c>
      <c r="CE108" s="3" t="e">
        <f t="shared" ca="1" si="234"/>
        <v>#N/A</v>
      </c>
      <c r="CF108" s="3">
        <f t="shared" ca="1" si="235"/>
        <v>4.0716622085447032E-2</v>
      </c>
      <c r="CH108" s="3" t="e">
        <f t="shared" ca="1" si="236"/>
        <v>#N/A</v>
      </c>
      <c r="CI108" s="3" t="e">
        <f t="shared" ca="1" si="237"/>
        <v>#N/A</v>
      </c>
      <c r="CJ108" s="3" t="e">
        <f t="shared" ca="1" si="238"/>
        <v>#N/A</v>
      </c>
      <c r="CK108" s="3">
        <f t="shared" ca="1" si="239"/>
        <v>0.40716612377850164</v>
      </c>
      <c r="CM108" s="3" t="e">
        <f t="shared" ca="1" si="240"/>
        <v>#N/A</v>
      </c>
      <c r="CN108" s="3" t="e">
        <f t="shared" ca="1" si="241"/>
        <v>#N/A</v>
      </c>
      <c r="CO108" s="3" t="e">
        <f t="shared" ca="1" si="242"/>
        <v>#N/A</v>
      </c>
      <c r="CP108" s="3">
        <f t="shared" ca="1" si="243"/>
        <v>0.81433224755700329</v>
      </c>
      <c r="CR108" s="11" t="e">
        <v>#N/A</v>
      </c>
      <c r="CS108" s="11" t="e">
        <v>#N/A</v>
      </c>
      <c r="CT108" s="11" t="e">
        <v>#N/A</v>
      </c>
      <c r="CU108" s="5">
        <v>1.6599999666213989</v>
      </c>
      <c r="CV108" s="21" t="e">
        <f t="shared" ca="1" si="183"/>
        <v>#N/A</v>
      </c>
      <c r="CW108" s="16">
        <f t="shared" ca="1" si="182"/>
        <v>5.25</v>
      </c>
    </row>
    <row r="109" spans="1:101" s="5" customFormat="1" x14ac:dyDescent="0.35">
      <c r="A109" s="4" t="s">
        <v>124</v>
      </c>
      <c r="B109" s="4">
        <v>5.25</v>
      </c>
      <c r="C109" s="4" t="s">
        <v>168</v>
      </c>
      <c r="D109" s="4" t="s">
        <v>404</v>
      </c>
      <c r="E109" s="3"/>
      <c r="F109" s="5">
        <v>4.0309999999999997</v>
      </c>
      <c r="G109" s="5">
        <v>4.0250000000000004</v>
      </c>
      <c r="H109" s="5">
        <v>4.0110000000000001</v>
      </c>
      <c r="I109" s="11" t="e">
        <v>#N/A</v>
      </c>
      <c r="K109" s="3">
        <f t="shared" ca="1" si="184"/>
        <v>0.92582485735549491</v>
      </c>
      <c r="L109" s="3">
        <f t="shared" ca="1" si="185"/>
        <v>0.98534161490683225</v>
      </c>
      <c r="M109" s="3">
        <f t="shared" ca="1" si="186"/>
        <v>0.83520319122413367</v>
      </c>
      <c r="N109" s="3" t="e">
        <f t="shared" ca="1" si="187"/>
        <v>#N/A</v>
      </c>
      <c r="P109" s="3">
        <f t="shared" ca="1" si="188"/>
        <v>0.87670548267974902</v>
      </c>
      <c r="Q109" s="3">
        <f t="shared" ca="1" si="189"/>
        <v>0.91031066379191705</v>
      </c>
      <c r="R109" s="3">
        <f t="shared" ca="1" si="190"/>
        <v>0.79406626156606275</v>
      </c>
      <c r="S109" s="3" t="e">
        <f t="shared" ca="1" si="191"/>
        <v>#N/A</v>
      </c>
      <c r="U109" s="3">
        <f t="shared" ca="1" si="192"/>
        <v>2.2326966013396183</v>
      </c>
      <c r="V109" s="3">
        <f t="shared" ca="1" si="193"/>
        <v>3.726708074534161</v>
      </c>
      <c r="W109" s="3">
        <f t="shared" ca="1" si="194"/>
        <v>1.7452006980802792</v>
      </c>
      <c r="X109" s="3" t="e">
        <f t="shared" ca="1" si="195"/>
        <v>#N/A</v>
      </c>
      <c r="Z109" s="3">
        <f t="shared" ca="1" si="196"/>
        <v>0.92582485735549491</v>
      </c>
      <c r="AA109" s="3">
        <f t="shared" ca="1" si="197"/>
        <v>0.98534161490683225</v>
      </c>
      <c r="AB109" s="3">
        <f t="shared" ca="1" si="198"/>
        <v>0.75617053103964094</v>
      </c>
      <c r="AC109" s="3" t="e">
        <f t="shared" ca="1" si="199"/>
        <v>#N/A</v>
      </c>
      <c r="AE109" s="3">
        <f t="shared" ca="1" si="200"/>
        <v>0.87670548267974902</v>
      </c>
      <c r="AF109" s="3">
        <f t="shared" ca="1" si="201"/>
        <v>0.91031066379191705</v>
      </c>
      <c r="AG109" s="3">
        <f t="shared" ca="1" si="202"/>
        <v>0.72749932042323751</v>
      </c>
      <c r="AH109" s="3" t="e">
        <f t="shared" ca="1" si="203"/>
        <v>#N/A</v>
      </c>
      <c r="AJ109" s="3">
        <f t="shared" ca="1" si="204"/>
        <v>2.2326966013396183</v>
      </c>
      <c r="AK109" s="3">
        <f t="shared" ca="1" si="205"/>
        <v>3.726708074534161</v>
      </c>
      <c r="AL109" s="3">
        <f t="shared" ca="1" si="206"/>
        <v>1.4958863126402393</v>
      </c>
      <c r="AM109" s="3" t="e">
        <f t="shared" ca="1" si="207"/>
        <v>#N/A</v>
      </c>
      <c r="AO109" s="3">
        <f t="shared" ca="1" si="208"/>
        <v>0.24807740014884647</v>
      </c>
      <c r="AP109" s="3">
        <f t="shared" ca="1" si="209"/>
        <v>0.24844720496894407</v>
      </c>
      <c r="AQ109" s="3">
        <f t="shared" ca="1" si="210"/>
        <v>0.24931438544003989</v>
      </c>
      <c r="AR109" s="3" t="e">
        <f t="shared" ca="1" si="211"/>
        <v>#N/A</v>
      </c>
      <c r="AT109" s="5">
        <v>0.34700000286102295</v>
      </c>
      <c r="AU109" s="5">
        <v>6.4999997615814209E-2</v>
      </c>
      <c r="AV109" s="5">
        <v>0.36700001358985901</v>
      </c>
      <c r="AW109" s="11" t="e">
        <v>#N/A</v>
      </c>
      <c r="AY109" s="3">
        <f t="shared" ca="1" si="212"/>
        <v>0.4465393202679237</v>
      </c>
      <c r="AZ109" s="3">
        <f t="shared" ca="1" si="213"/>
        <v>0.17391304347826089</v>
      </c>
      <c r="BA109" s="3">
        <f t="shared" ca="1" si="214"/>
        <v>0.25754176015956126</v>
      </c>
      <c r="BB109" s="3" t="e">
        <f t="shared" ca="1" si="215"/>
        <v>#N/A</v>
      </c>
      <c r="BD109" s="3">
        <f t="shared" ca="1" si="216"/>
        <v>0.45050852531181385</v>
      </c>
      <c r="BE109" s="3">
        <f t="shared" ca="1" si="217"/>
        <v>0.18608697452900572</v>
      </c>
      <c r="BF109" s="3">
        <f t="shared" ca="1" si="218"/>
        <v>0.2954375324805637</v>
      </c>
      <c r="BG109" s="3" t="e">
        <f t="shared" ca="1" si="219"/>
        <v>#N/A</v>
      </c>
      <c r="BI109" s="3">
        <f t="shared" ca="1" si="220"/>
        <v>0.74423220044653937</v>
      </c>
      <c r="BJ109" s="3">
        <f t="shared" ca="1" si="221"/>
        <v>0.99378881987577627</v>
      </c>
      <c r="BK109" s="3">
        <f t="shared" ca="1" si="222"/>
        <v>0.74794315632011965</v>
      </c>
      <c r="BL109" s="3" t="e">
        <f t="shared" ca="1" si="223"/>
        <v>#N/A</v>
      </c>
      <c r="BN109" s="3">
        <f t="shared" ca="1" si="224"/>
        <v>0.49615480029769293</v>
      </c>
      <c r="BO109" s="3">
        <f t="shared" ca="1" si="225"/>
        <v>0.99378881987577627</v>
      </c>
      <c r="BP109" s="3">
        <f t="shared" ca="1" si="226"/>
        <v>0.74794315632011965</v>
      </c>
      <c r="BQ109" s="3" t="e">
        <f t="shared" ca="1" si="227"/>
        <v>#N/A</v>
      </c>
      <c r="BS109" s="5">
        <v>0.71399998664855957</v>
      </c>
      <c r="BT109" s="5">
        <v>0.78100001811981201</v>
      </c>
      <c r="BU109" s="5">
        <v>0.75</v>
      </c>
      <c r="BV109" s="11" t="e">
        <v>#N/A</v>
      </c>
      <c r="BX109" s="3">
        <f t="shared" ca="1" si="228"/>
        <v>1.240387000744232E-2</v>
      </c>
      <c r="BY109" s="3">
        <f t="shared" ca="1" si="229"/>
        <v>3.7267080745341609E-2</v>
      </c>
      <c r="BZ109" s="3">
        <f t="shared" ca="1" si="230"/>
        <v>2.0942408376963369E-2</v>
      </c>
      <c r="CA109" s="3" t="e">
        <f t="shared" ca="1" si="231"/>
        <v>#N/A</v>
      </c>
      <c r="CC109" s="3">
        <f t="shared" ca="1" si="232"/>
        <v>0</v>
      </c>
      <c r="CD109" s="3">
        <f t="shared" ca="1" si="233"/>
        <v>4.1242238157284179E-2</v>
      </c>
      <c r="CE109" s="3">
        <f t="shared" ca="1" si="234"/>
        <v>0</v>
      </c>
      <c r="CF109" s="3" t="e">
        <f t="shared" ca="1" si="235"/>
        <v>#N/A</v>
      </c>
      <c r="CH109" s="3">
        <f t="shared" ca="1" si="236"/>
        <v>0</v>
      </c>
      <c r="CI109" s="3">
        <f t="shared" ca="1" si="237"/>
        <v>0.24844720496894407</v>
      </c>
      <c r="CJ109" s="3">
        <f t="shared" ca="1" si="238"/>
        <v>0</v>
      </c>
      <c r="CK109" s="3" t="e">
        <f t="shared" ca="1" si="239"/>
        <v>#N/A</v>
      </c>
      <c r="CM109" s="3">
        <f t="shared" ca="1" si="240"/>
        <v>0.24807740014884647</v>
      </c>
      <c r="CN109" s="3">
        <f t="shared" ca="1" si="241"/>
        <v>0.24844720496894407</v>
      </c>
      <c r="CO109" s="3">
        <f t="shared" ca="1" si="242"/>
        <v>0.24931438544003989</v>
      </c>
      <c r="CP109" s="3" t="e">
        <f t="shared" ca="1" si="243"/>
        <v>#N/A</v>
      </c>
      <c r="CR109" s="5">
        <v>4.0309999999999997</v>
      </c>
      <c r="CS109" s="5">
        <v>6.4999997615814209E-2</v>
      </c>
      <c r="CT109" s="5">
        <v>4.0110000000000001</v>
      </c>
      <c r="CU109" s="11" t="e">
        <v>#N/A</v>
      </c>
      <c r="CV109" s="21">
        <f t="shared" ca="1" si="183"/>
        <v>0.2954375324805637</v>
      </c>
      <c r="CW109" s="16">
        <f t="shared" ca="1" si="182"/>
        <v>5.25</v>
      </c>
    </row>
    <row r="110" spans="1:101" s="5" customFormat="1" x14ac:dyDescent="0.35">
      <c r="A110" s="4" t="s">
        <v>114</v>
      </c>
      <c r="B110" s="4">
        <v>5.333333333333333</v>
      </c>
      <c r="C110" s="4" t="s">
        <v>168</v>
      </c>
      <c r="D110" s="4" t="s">
        <v>404</v>
      </c>
      <c r="E110" s="3"/>
      <c r="F110" s="5">
        <v>4.0110000000000001</v>
      </c>
      <c r="G110" s="5">
        <v>2.94</v>
      </c>
      <c r="H110" s="5">
        <v>2.3740000000000001</v>
      </c>
      <c r="I110" s="5">
        <v>0.56699999999999973</v>
      </c>
      <c r="K110" s="3">
        <f t="shared" ca="1" si="184"/>
        <v>0.93069060084766886</v>
      </c>
      <c r="L110" s="3">
        <f t="shared" ca="1" si="185"/>
        <v>0.89557823129251701</v>
      </c>
      <c r="M110" s="3">
        <f t="shared" ca="1" si="186"/>
        <v>0.9966301600673968</v>
      </c>
      <c r="N110" s="3" t="e">
        <f t="shared" ca="1" si="187"/>
        <v>#N/A</v>
      </c>
      <c r="P110" s="3">
        <f t="shared" ca="1" si="188"/>
        <v>0.79805539664121616</v>
      </c>
      <c r="Q110" s="3">
        <f t="shared" ca="1" si="189"/>
        <v>0.88469389110144714</v>
      </c>
      <c r="R110" s="3">
        <f t="shared" ca="1" si="190"/>
        <v>0.75063190408044733</v>
      </c>
      <c r="S110" s="3" t="e">
        <f t="shared" ca="1" si="191"/>
        <v>#N/A</v>
      </c>
      <c r="U110" s="3">
        <f t="shared" ca="1" si="192"/>
        <v>2.4931438544003988</v>
      </c>
      <c r="V110" s="3">
        <f t="shared" ca="1" si="193"/>
        <v>1.7006802721088436</v>
      </c>
      <c r="W110" s="3">
        <f t="shared" ca="1" si="194"/>
        <v>2.527379949452401</v>
      </c>
      <c r="X110" s="3" t="e">
        <f t="shared" ca="1" si="195"/>
        <v>#N/A</v>
      </c>
      <c r="Z110" s="3">
        <f t="shared" ca="1" si="196"/>
        <v>0.85165794066317624</v>
      </c>
      <c r="AA110" s="3">
        <f t="shared" ca="1" si="197"/>
        <v>0.99761904761904763</v>
      </c>
      <c r="AB110" s="3">
        <f t="shared" ca="1" si="198"/>
        <v>0.9966301600673968</v>
      </c>
      <c r="AC110" s="3" t="e">
        <f t="shared" ca="1" si="199"/>
        <v>#N/A</v>
      </c>
      <c r="AE110" s="3">
        <f t="shared" ca="1" si="200"/>
        <v>0.79805539664121616</v>
      </c>
      <c r="AF110" s="3">
        <f t="shared" ca="1" si="201"/>
        <v>0.88469389110144714</v>
      </c>
      <c r="AG110" s="3">
        <f t="shared" ca="1" si="202"/>
        <v>0.75063190408044733</v>
      </c>
      <c r="AH110" s="3" t="e">
        <f t="shared" ca="1" si="203"/>
        <v>#N/A</v>
      </c>
      <c r="AJ110" s="3">
        <f t="shared" ca="1" si="204"/>
        <v>2.4931438544003988</v>
      </c>
      <c r="AK110" s="3">
        <f t="shared" ca="1" si="205"/>
        <v>1.7006802721088436</v>
      </c>
      <c r="AL110" s="3">
        <f t="shared" ca="1" si="206"/>
        <v>2.527379949452401</v>
      </c>
      <c r="AM110" s="3" t="e">
        <f t="shared" ca="1" si="207"/>
        <v>#N/A</v>
      </c>
      <c r="AO110" s="3">
        <f t="shared" ca="1" si="208"/>
        <v>0.74794315632011965</v>
      </c>
      <c r="AP110" s="3">
        <f t="shared" ca="1" si="209"/>
        <v>0.3401360544217687</v>
      </c>
      <c r="AQ110" s="3">
        <f t="shared" ca="1" si="210"/>
        <v>0.42122999157540014</v>
      </c>
      <c r="AR110" s="3" t="e">
        <f t="shared" ca="1" si="211"/>
        <v>#N/A</v>
      </c>
      <c r="AT110" s="5">
        <v>6.0000000521540642E-3</v>
      </c>
      <c r="AU110" s="5">
        <v>7.0000002160668373E-3</v>
      </c>
      <c r="AV110" s="5">
        <v>8.0000003799796104E-3</v>
      </c>
      <c r="AW110" s="11" t="e">
        <v>#N/A</v>
      </c>
      <c r="AY110" s="3">
        <f t="shared" ca="1" si="212"/>
        <v>0.36125654450261774</v>
      </c>
      <c r="AZ110" s="3">
        <f t="shared" ca="1" si="213"/>
        <v>7.3809523809523839E-2</v>
      </c>
      <c r="BA110" s="3">
        <f t="shared" ca="1" si="214"/>
        <v>7.7085088458298298E-2</v>
      </c>
      <c r="BB110" s="3" t="e">
        <f t="shared" ca="1" si="215"/>
        <v>#N/A</v>
      </c>
      <c r="BD110" s="3">
        <f t="shared" ca="1" si="216"/>
        <v>0.28671156703251849</v>
      </c>
      <c r="BE110" s="3">
        <f t="shared" ca="1" si="217"/>
        <v>0.15884354000999815</v>
      </c>
      <c r="BF110" s="3">
        <f t="shared" ca="1" si="218"/>
        <v>4.2123009200445621E-2</v>
      </c>
      <c r="BG110" s="3" t="e">
        <f t="shared" ca="1" si="219"/>
        <v>#N/A</v>
      </c>
      <c r="BI110" s="3">
        <f t="shared" ca="1" si="220"/>
        <v>0.74794315632011965</v>
      </c>
      <c r="BJ110" s="3">
        <f t="shared" ca="1" si="221"/>
        <v>0.3401360544217687</v>
      </c>
      <c r="BK110" s="3">
        <f t="shared" ca="1" si="222"/>
        <v>0.42122999157540014</v>
      </c>
      <c r="BL110" s="3" t="e">
        <f t="shared" ca="1" si="223"/>
        <v>#N/A</v>
      </c>
      <c r="BN110" s="3">
        <f t="shared" ca="1" si="224"/>
        <v>0.99725754176015957</v>
      </c>
      <c r="BO110" s="3">
        <f t="shared" ca="1" si="225"/>
        <v>0.3401360544217687</v>
      </c>
      <c r="BP110" s="3">
        <f t="shared" ca="1" si="226"/>
        <v>0.84245998315080028</v>
      </c>
      <c r="BQ110" s="3" t="e">
        <f t="shared" ca="1" si="227"/>
        <v>#N/A</v>
      </c>
      <c r="BS110" s="5">
        <v>1.1059999465942383</v>
      </c>
      <c r="BT110" s="5">
        <v>1.3229999542236328</v>
      </c>
      <c r="BU110" s="5">
        <v>1.656999945640564</v>
      </c>
      <c r="BV110" s="11" t="e">
        <v>#N/A</v>
      </c>
      <c r="BX110" s="3">
        <f t="shared" ca="1" si="228"/>
        <v>0.12490650710546002</v>
      </c>
      <c r="BY110" s="3">
        <f t="shared" ca="1" si="229"/>
        <v>0.17006802721088435</v>
      </c>
      <c r="BZ110" s="3">
        <f t="shared" ca="1" si="230"/>
        <v>0</v>
      </c>
      <c r="CA110" s="3" t="e">
        <f t="shared" ca="1" si="231"/>
        <v>#N/A</v>
      </c>
      <c r="CC110" s="3">
        <f t="shared" ca="1" si="232"/>
        <v>0.16629267474661977</v>
      </c>
      <c r="CD110" s="3">
        <f t="shared" ca="1" si="233"/>
        <v>0.17006803703095233</v>
      </c>
      <c r="CE110" s="3">
        <f t="shared" ca="1" si="234"/>
        <v>0</v>
      </c>
      <c r="CF110" s="3" t="e">
        <f t="shared" ca="1" si="235"/>
        <v>#N/A</v>
      </c>
      <c r="CH110" s="3">
        <f t="shared" ca="1" si="236"/>
        <v>0.74794315632011965</v>
      </c>
      <c r="CI110" s="3">
        <f t="shared" ca="1" si="237"/>
        <v>0.3401360544217687</v>
      </c>
      <c r="CJ110" s="3">
        <f t="shared" ca="1" si="238"/>
        <v>0</v>
      </c>
      <c r="CK110" s="3" t="e">
        <f t="shared" ca="1" si="239"/>
        <v>#N/A</v>
      </c>
      <c r="CM110" s="3">
        <f t="shared" ca="1" si="240"/>
        <v>0.99725754176015957</v>
      </c>
      <c r="CN110" s="3">
        <f t="shared" ca="1" si="241"/>
        <v>0.3401360544217687</v>
      </c>
      <c r="CO110" s="3">
        <f t="shared" ca="1" si="242"/>
        <v>0.42122999157540014</v>
      </c>
      <c r="CP110" s="3" t="e">
        <f t="shared" ca="1" si="243"/>
        <v>#N/A</v>
      </c>
      <c r="CR110" s="5">
        <v>6.0000000521540642E-3</v>
      </c>
      <c r="CS110" s="5">
        <v>7.0000002160668373E-3</v>
      </c>
      <c r="CT110" s="5">
        <v>4.0060000000000002</v>
      </c>
      <c r="CU110" s="11" t="e">
        <v>#N/A</v>
      </c>
      <c r="CV110" s="21">
        <f t="shared" ca="1" si="183"/>
        <v>4.2123009200445621E-2</v>
      </c>
      <c r="CW110" s="16">
        <f t="shared" ca="1" si="182"/>
        <v>5.333333333333333</v>
      </c>
    </row>
    <row r="111" spans="1:101" s="5" customFormat="1" x14ac:dyDescent="0.35">
      <c r="A111" s="4" t="s">
        <v>122</v>
      </c>
      <c r="B111" s="4">
        <v>5.333333333333333</v>
      </c>
      <c r="C111" s="4" t="s">
        <v>168</v>
      </c>
      <c r="D111" s="4" t="s">
        <v>404</v>
      </c>
      <c r="E111" s="3"/>
      <c r="F111" s="5">
        <v>4.0110000000000001</v>
      </c>
      <c r="G111" s="5">
        <v>4.016</v>
      </c>
      <c r="H111" s="5">
        <v>4.016</v>
      </c>
      <c r="I111" s="5">
        <v>4.016</v>
      </c>
      <c r="K111" s="3">
        <f t="shared" ca="1" si="184"/>
        <v>0.99700822737471939</v>
      </c>
      <c r="L111" s="3">
        <f t="shared" ca="1" si="185"/>
        <v>0.99576693227091639</v>
      </c>
      <c r="M111" s="3">
        <f t="shared" ca="1" si="186"/>
        <v>0.9375</v>
      </c>
      <c r="N111" s="3">
        <f t="shared" ca="1" si="187"/>
        <v>0.98754980079681276</v>
      </c>
      <c r="P111" s="3">
        <f t="shared" ca="1" si="188"/>
        <v>0.93492898138992742</v>
      </c>
      <c r="Q111" s="3">
        <f t="shared" ca="1" si="189"/>
        <v>0.92106560742356391</v>
      </c>
      <c r="R111" s="3">
        <f t="shared" ca="1" si="190"/>
        <v>0.87524891137126903</v>
      </c>
      <c r="S111" s="3">
        <f t="shared" ca="1" si="191"/>
        <v>0.83067726744598602</v>
      </c>
      <c r="U111" s="3">
        <f t="shared" ca="1" si="192"/>
        <v>2.4931438544003988</v>
      </c>
      <c r="V111" s="3">
        <f t="shared" ca="1" si="193"/>
        <v>2.9880478087649402</v>
      </c>
      <c r="W111" s="3">
        <f t="shared" ca="1" si="194"/>
        <v>1.7430278884462151</v>
      </c>
      <c r="X111" s="3">
        <f t="shared" ca="1" si="195"/>
        <v>2.9880478087649402</v>
      </c>
      <c r="Z111" s="3">
        <f t="shared" ca="1" si="196"/>
        <v>0.93069060084766875</v>
      </c>
      <c r="AA111" s="3">
        <f t="shared" ca="1" si="197"/>
        <v>0.90039840637450208</v>
      </c>
      <c r="AB111" s="3">
        <f t="shared" ca="1" si="198"/>
        <v>0.9086155378486056</v>
      </c>
      <c r="AC111" s="3">
        <f t="shared" ca="1" si="199"/>
        <v>0.86304780876494025</v>
      </c>
      <c r="AE111" s="3">
        <f t="shared" ca="1" si="200"/>
        <v>0.8726003861908781</v>
      </c>
      <c r="AF111" s="3">
        <f t="shared" ca="1" si="201"/>
        <v>0.83391417738094753</v>
      </c>
      <c r="AG111" s="3">
        <f t="shared" ca="1" si="202"/>
        <v>0.87524891137126903</v>
      </c>
      <c r="AH111" s="3">
        <f t="shared" ca="1" si="203"/>
        <v>0.76842627143004971</v>
      </c>
      <c r="AJ111" s="3">
        <f t="shared" ca="1" si="204"/>
        <v>2.2438294689603588</v>
      </c>
      <c r="AK111" s="3">
        <f t="shared" ca="1" si="205"/>
        <v>2.4900398406374502</v>
      </c>
      <c r="AL111" s="3">
        <f t="shared" ca="1" si="206"/>
        <v>1.7430278884462151</v>
      </c>
      <c r="AM111" s="3">
        <f t="shared" ca="1" si="207"/>
        <v>2.739043824701195</v>
      </c>
      <c r="AO111" s="3">
        <f t="shared" ca="1" si="208"/>
        <v>0.24931438544003989</v>
      </c>
      <c r="AP111" s="3">
        <f t="shared" ca="1" si="209"/>
        <v>0.74701195219123506</v>
      </c>
      <c r="AQ111" s="3">
        <f t="shared" ca="1" si="210"/>
        <v>0.24900398406374502</v>
      </c>
      <c r="AR111" s="3">
        <f t="shared" ca="1" si="211"/>
        <v>0.49800796812749004</v>
      </c>
      <c r="AT111" s="5">
        <v>0.27099999785423279</v>
      </c>
      <c r="AU111" s="5">
        <v>5.9000000357627869E-2</v>
      </c>
      <c r="AV111" s="5">
        <v>0.39899998903274536</v>
      </c>
      <c r="AW111" s="5">
        <v>0.38400000333786011</v>
      </c>
      <c r="AY111" s="3">
        <f t="shared" ca="1" si="212"/>
        <v>0.50261780104712062</v>
      </c>
      <c r="AZ111" s="3">
        <f t="shared" ca="1" si="213"/>
        <v>0.41882470119521897</v>
      </c>
      <c r="BA111" s="3">
        <f t="shared" ca="1" si="214"/>
        <v>0.45642430278884472</v>
      </c>
      <c r="BB111" s="3">
        <f t="shared" ca="1" si="215"/>
        <v>0.55577689243027895</v>
      </c>
      <c r="BD111" s="3">
        <f t="shared" ca="1" si="216"/>
        <v>0.48990279057173919</v>
      </c>
      <c r="BE111" s="3">
        <f t="shared" ca="1" si="217"/>
        <v>0.41484052085306539</v>
      </c>
      <c r="BF111" s="3">
        <f t="shared" ca="1" si="218"/>
        <v>0.48929277762948753</v>
      </c>
      <c r="BG111" s="3">
        <f t="shared" ca="1" si="219"/>
        <v>0.5313744731395843</v>
      </c>
      <c r="BI111" s="3">
        <f t="shared" ca="1" si="220"/>
        <v>0.99725754176015957</v>
      </c>
      <c r="BJ111" s="3">
        <f t="shared" ca="1" si="221"/>
        <v>0.99601593625498008</v>
      </c>
      <c r="BK111" s="3">
        <f t="shared" ca="1" si="222"/>
        <v>0.99601593625498008</v>
      </c>
      <c r="BL111" s="3">
        <f t="shared" ca="1" si="223"/>
        <v>1.4940239043824701</v>
      </c>
      <c r="BN111" s="3">
        <f t="shared" ca="1" si="224"/>
        <v>0.74794315632011965</v>
      </c>
      <c r="BO111" s="3">
        <f t="shared" ca="1" si="225"/>
        <v>0.99601593625498008</v>
      </c>
      <c r="BP111" s="3">
        <f t="shared" ca="1" si="226"/>
        <v>0.74701195219123506</v>
      </c>
      <c r="BQ111" s="3">
        <f t="shared" ca="1" si="227"/>
        <v>0.74701195219123506</v>
      </c>
      <c r="BS111" s="5">
        <v>0.73799997568130493</v>
      </c>
      <c r="BT111" s="5">
        <v>0.52499997615814209</v>
      </c>
      <c r="BU111" s="5">
        <v>0.39899998903274536</v>
      </c>
      <c r="BV111" s="5">
        <v>0.38400000333786011</v>
      </c>
      <c r="BX111" s="3">
        <f t="shared" ca="1" si="228"/>
        <v>0.17053103964098726</v>
      </c>
      <c r="BY111" s="3">
        <f t="shared" ca="1" si="229"/>
        <v>2.9133466135458166E-2</v>
      </c>
      <c r="BZ111" s="3">
        <f t="shared" ca="1" si="230"/>
        <v>0</v>
      </c>
      <c r="CA111" s="3">
        <f t="shared" ca="1" si="231"/>
        <v>0.10358565737051796</v>
      </c>
      <c r="CC111" s="3">
        <f t="shared" ca="1" si="232"/>
        <v>0.12066815446897862</v>
      </c>
      <c r="CD111" s="3">
        <f t="shared" ca="1" si="233"/>
        <v>4.5567750930786133E-2</v>
      </c>
      <c r="CE111" s="3">
        <f t="shared" ca="1" si="234"/>
        <v>0</v>
      </c>
      <c r="CF111" s="3">
        <f t="shared" ca="1" si="235"/>
        <v>0.10383467512776652</v>
      </c>
      <c r="CH111" s="3">
        <f t="shared" ca="1" si="236"/>
        <v>0.24931438544003989</v>
      </c>
      <c r="CI111" s="3">
        <f t="shared" ca="1" si="237"/>
        <v>0.24900398406374502</v>
      </c>
      <c r="CJ111" s="3">
        <f t="shared" ca="1" si="238"/>
        <v>0</v>
      </c>
      <c r="CK111" s="3">
        <f t="shared" ca="1" si="239"/>
        <v>0.24900398406374502</v>
      </c>
      <c r="CM111" s="3">
        <f t="shared" ca="1" si="240"/>
        <v>0.49862877088007979</v>
      </c>
      <c r="CN111" s="3">
        <f t="shared" ca="1" si="241"/>
        <v>0.24900398406374502</v>
      </c>
      <c r="CO111" s="3">
        <f t="shared" ca="1" si="242"/>
        <v>0</v>
      </c>
      <c r="CP111" s="3">
        <f t="shared" ca="1" si="243"/>
        <v>0.49800796812749004</v>
      </c>
      <c r="CR111" s="5">
        <v>2.3870000839233398</v>
      </c>
      <c r="CS111" s="5">
        <v>3.2079999446868896</v>
      </c>
      <c r="CT111" s="5">
        <v>4.016</v>
      </c>
      <c r="CU111" s="5">
        <v>3.5829999446868896</v>
      </c>
      <c r="CV111" s="21">
        <f t="shared" ca="1" si="183"/>
        <v>0.48929277762948753</v>
      </c>
      <c r="CW111" s="16">
        <f t="shared" ca="1" si="182"/>
        <v>5.333333333333333</v>
      </c>
    </row>
    <row r="112" spans="1:101" s="5" customFormat="1" x14ac:dyDescent="0.35">
      <c r="A112" s="4" t="s">
        <v>118</v>
      </c>
      <c r="B112" s="4">
        <v>5.416666666666667</v>
      </c>
      <c r="C112" s="4" t="s">
        <v>168</v>
      </c>
      <c r="D112" s="4" t="s">
        <v>404</v>
      </c>
      <c r="E112" s="3"/>
      <c r="F112" s="5">
        <v>0.89999999999999991</v>
      </c>
      <c r="G112" s="5">
        <v>0.98099999999999987</v>
      </c>
      <c r="H112" s="5">
        <v>1.9200000000000004</v>
      </c>
      <c r="I112" s="5">
        <v>3.1989999999999998</v>
      </c>
      <c r="K112" s="3" t="e">
        <f t="shared" ca="1" si="184"/>
        <v>#N/A</v>
      </c>
      <c r="L112" s="3" t="e">
        <f t="shared" ca="1" si="185"/>
        <v>#N/A</v>
      </c>
      <c r="M112" s="3" t="e">
        <f t="shared" ca="1" si="186"/>
        <v>#N/A</v>
      </c>
      <c r="N112" s="3">
        <f t="shared" ca="1" si="187"/>
        <v>0.67739918724601444</v>
      </c>
      <c r="P112" s="3" t="e">
        <f t="shared" ca="1" si="188"/>
        <v>#N/A</v>
      </c>
      <c r="Q112" s="3" t="e">
        <f t="shared" ca="1" si="189"/>
        <v>#N/A</v>
      </c>
      <c r="R112" s="3" t="e">
        <f t="shared" ca="1" si="190"/>
        <v>#N/A</v>
      </c>
      <c r="S112" s="3">
        <f t="shared" ca="1" si="191"/>
        <v>0.45232876795237797</v>
      </c>
      <c r="U112" s="3" t="e">
        <f t="shared" ca="1" si="192"/>
        <v>#N/A</v>
      </c>
      <c r="V112" s="3" t="e">
        <f t="shared" ca="1" si="193"/>
        <v>#N/A</v>
      </c>
      <c r="W112" s="3" t="e">
        <f t="shared" ca="1" si="194"/>
        <v>#N/A</v>
      </c>
      <c r="X112" s="3">
        <f t="shared" ca="1" si="195"/>
        <v>2.5007814942169428</v>
      </c>
      <c r="Z112" s="3" t="e">
        <f t="shared" ca="1" si="196"/>
        <v>#N/A</v>
      </c>
      <c r="AA112" s="3" t="e">
        <f t="shared" ca="1" si="197"/>
        <v>#N/A</v>
      </c>
      <c r="AB112" s="3" t="e">
        <f t="shared" ca="1" si="198"/>
        <v>#N/A</v>
      </c>
      <c r="AC112" s="3">
        <f t="shared" ca="1" si="199"/>
        <v>0.39043451078462033</v>
      </c>
      <c r="AE112" s="3" t="e">
        <f t="shared" ca="1" si="200"/>
        <v>#N/A</v>
      </c>
      <c r="AF112" s="3" t="e">
        <f t="shared" ca="1" si="201"/>
        <v>#N/A</v>
      </c>
      <c r="AG112" s="3" t="e">
        <f t="shared" ca="1" si="202"/>
        <v>#N/A</v>
      </c>
      <c r="AH112" s="3">
        <f t="shared" ca="1" si="203"/>
        <v>0.36917784766280382</v>
      </c>
      <c r="AJ112" s="3" t="e">
        <f t="shared" ca="1" si="204"/>
        <v>#N/A</v>
      </c>
      <c r="AK112" s="3" t="e">
        <f t="shared" ca="1" si="205"/>
        <v>#N/A</v>
      </c>
      <c r="AL112" s="3" t="e">
        <f t="shared" ca="1" si="206"/>
        <v>#N/A</v>
      </c>
      <c r="AM112" s="3">
        <f t="shared" ca="1" si="207"/>
        <v>1.8755861206627071</v>
      </c>
      <c r="AO112" s="3" t="e">
        <f t="shared" ca="1" si="208"/>
        <v>#N/A</v>
      </c>
      <c r="AP112" s="3" t="e">
        <f t="shared" ca="1" si="209"/>
        <v>#N/A</v>
      </c>
      <c r="AQ112" s="3" t="e">
        <f t="shared" ca="1" si="210"/>
        <v>#N/A</v>
      </c>
      <c r="AR112" s="3">
        <f t="shared" ca="1" si="211"/>
        <v>1.8755861206627071</v>
      </c>
      <c r="AT112" s="11" t="e">
        <v>#N/A</v>
      </c>
      <c r="AU112" s="11" t="e">
        <v>#N/A</v>
      </c>
      <c r="AV112" s="11" t="e">
        <v>#N/A</v>
      </c>
      <c r="AW112" s="5">
        <v>0.62099999189376831</v>
      </c>
      <c r="AY112" s="3" t="e">
        <f t="shared" ca="1" si="212"/>
        <v>#N/A</v>
      </c>
      <c r="AZ112" s="3" t="e">
        <f t="shared" ca="1" si="213"/>
        <v>#N/A</v>
      </c>
      <c r="BA112" s="3" t="e">
        <f t="shared" ca="1" si="214"/>
        <v>#N/A</v>
      </c>
      <c r="BB112" s="3">
        <f t="shared" ca="1" si="215"/>
        <v>7.2835261019068426E-2</v>
      </c>
      <c r="BD112" s="3" t="e">
        <f t="shared" ca="1" si="216"/>
        <v>#N/A</v>
      </c>
      <c r="BE112" s="3" t="e">
        <f t="shared" ca="1" si="217"/>
        <v>#N/A</v>
      </c>
      <c r="BF112" s="3" t="e">
        <f t="shared" ca="1" si="218"/>
        <v>#N/A</v>
      </c>
      <c r="BG112" s="3">
        <f t="shared" ca="1" si="219"/>
        <v>9.8780864251707082E-2</v>
      </c>
      <c r="BI112" s="3" t="e">
        <f t="shared" ca="1" si="220"/>
        <v>#N/A</v>
      </c>
      <c r="BJ112" s="3" t="e">
        <f t="shared" ca="1" si="221"/>
        <v>#N/A</v>
      </c>
      <c r="BK112" s="3" t="e">
        <f t="shared" ca="1" si="222"/>
        <v>#N/A</v>
      </c>
      <c r="BL112" s="3">
        <f t="shared" ca="1" si="223"/>
        <v>0.31259768677711786</v>
      </c>
      <c r="BN112" s="3" t="e">
        <f t="shared" ca="1" si="224"/>
        <v>#N/A</v>
      </c>
      <c r="BO112" s="3" t="e">
        <f t="shared" ca="1" si="225"/>
        <v>#N/A</v>
      </c>
      <c r="BP112" s="3" t="e">
        <f t="shared" ca="1" si="226"/>
        <v>#N/A</v>
      </c>
      <c r="BQ112" s="3">
        <f t="shared" ca="1" si="227"/>
        <v>0.31259768677711786</v>
      </c>
      <c r="BS112" s="11" t="e">
        <v>#N/A</v>
      </c>
      <c r="BT112" s="11" t="e">
        <v>#N/A</v>
      </c>
      <c r="BU112" s="11" t="e">
        <v>#N/A</v>
      </c>
      <c r="BV112" s="5">
        <v>1.3380000591278076</v>
      </c>
      <c r="BX112" s="3" t="e">
        <f t="shared" ca="1" si="228"/>
        <v>#N/A</v>
      </c>
      <c r="BY112" s="3" t="e">
        <f t="shared" ca="1" si="229"/>
        <v>#N/A</v>
      </c>
      <c r="BZ112" s="3" t="e">
        <f t="shared" ca="1" si="230"/>
        <v>#N/A</v>
      </c>
      <c r="CA112" s="3">
        <f t="shared" ca="1" si="231"/>
        <v>0</v>
      </c>
      <c r="CC112" s="3" t="e">
        <f t="shared" ca="1" si="232"/>
        <v>#N/A</v>
      </c>
      <c r="CD112" s="3" t="e">
        <f t="shared" ca="1" si="233"/>
        <v>#N/A</v>
      </c>
      <c r="CE112" s="3" t="e">
        <f t="shared" ca="1" si="234"/>
        <v>#N/A</v>
      </c>
      <c r="CF112" s="3">
        <f t="shared" ca="1" si="235"/>
        <v>0</v>
      </c>
      <c r="CH112" s="3" t="e">
        <f t="shared" ca="1" si="236"/>
        <v>#N/A</v>
      </c>
      <c r="CI112" s="3" t="e">
        <f t="shared" ca="1" si="237"/>
        <v>#N/A</v>
      </c>
      <c r="CJ112" s="3" t="e">
        <f t="shared" ca="1" si="238"/>
        <v>#N/A</v>
      </c>
      <c r="CK112" s="3">
        <f t="shared" ca="1" si="239"/>
        <v>0</v>
      </c>
      <c r="CM112" s="3" t="e">
        <f t="shared" ca="1" si="240"/>
        <v>#N/A</v>
      </c>
      <c r="CN112" s="3" t="e">
        <f t="shared" ca="1" si="241"/>
        <v>#N/A</v>
      </c>
      <c r="CO112" s="3" t="e">
        <f t="shared" ca="1" si="242"/>
        <v>#N/A</v>
      </c>
      <c r="CP112" s="3">
        <f t="shared" ca="1" si="243"/>
        <v>0</v>
      </c>
      <c r="CR112" s="11" t="e">
        <v>#N/A</v>
      </c>
      <c r="CS112" s="11" t="e">
        <v>#N/A</v>
      </c>
      <c r="CT112" s="11" t="e">
        <v>#N/A</v>
      </c>
      <c r="CU112" s="5">
        <v>4.0149999999999997</v>
      </c>
      <c r="CV112" s="21" t="e">
        <f t="shared" ca="1" si="183"/>
        <v>#N/A</v>
      </c>
      <c r="CW112" s="16">
        <f t="shared" ca="1" si="182"/>
        <v>5.416666666666667</v>
      </c>
    </row>
    <row r="113" spans="1:101" s="5" customFormat="1" x14ac:dyDescent="0.35">
      <c r="A113" s="4" t="s">
        <v>119</v>
      </c>
      <c r="B113" s="4">
        <v>5.416666666666667</v>
      </c>
      <c r="C113" s="4" t="s">
        <v>168</v>
      </c>
      <c r="D113" s="4" t="s">
        <v>404</v>
      </c>
      <c r="E113" s="3"/>
      <c r="F113" s="5">
        <v>4.01</v>
      </c>
      <c r="G113" s="5">
        <v>4.0019999999999998</v>
      </c>
      <c r="H113" s="5">
        <v>4.016</v>
      </c>
      <c r="I113" s="5">
        <v>4.0250000000000004</v>
      </c>
      <c r="K113" s="3">
        <f t="shared" ca="1" si="184"/>
        <v>0.99301745635910232</v>
      </c>
      <c r="L113" s="3">
        <f t="shared" ca="1" si="185"/>
        <v>0.8120939530234883</v>
      </c>
      <c r="M113" s="3">
        <f t="shared" ca="1" si="186"/>
        <v>0.99576693227091639</v>
      </c>
      <c r="N113" s="3">
        <f t="shared" ca="1" si="187"/>
        <v>0.99354037267080741</v>
      </c>
      <c r="P113" s="3">
        <f t="shared" ca="1" si="188"/>
        <v>0.97231919461503591</v>
      </c>
      <c r="Q113" s="3">
        <f t="shared" ca="1" si="189"/>
        <v>0.72913542054761127</v>
      </c>
      <c r="R113" s="3">
        <f t="shared" ca="1" si="190"/>
        <v>0.96663346792853244</v>
      </c>
      <c r="S113" s="3">
        <f t="shared" ca="1" si="191"/>
        <v>0.95652169715728808</v>
      </c>
      <c r="U113" s="3">
        <f t="shared" ca="1" si="192"/>
        <v>1.4962593516209477</v>
      </c>
      <c r="V113" s="3">
        <f t="shared" ca="1" si="193"/>
        <v>1.7491254372813594</v>
      </c>
      <c r="W113" s="3">
        <f t="shared" ca="1" si="194"/>
        <v>1.9920318725099602</v>
      </c>
      <c r="X113" s="3">
        <f t="shared" ca="1" si="195"/>
        <v>2.4844720496894408</v>
      </c>
      <c r="Z113" s="3">
        <f t="shared" ca="1" si="196"/>
        <v>0.99301745635910232</v>
      </c>
      <c r="AA113" s="3">
        <f t="shared" ca="1" si="197"/>
        <v>0.75387306346826588</v>
      </c>
      <c r="AB113" s="3">
        <f t="shared" ca="1" si="198"/>
        <v>0.99576693227091639</v>
      </c>
      <c r="AC113" s="3">
        <f t="shared" ca="1" si="199"/>
        <v>0.99354037267080741</v>
      </c>
      <c r="AE113" s="3">
        <f t="shared" ca="1" si="200"/>
        <v>0.97231919461503591</v>
      </c>
      <c r="AF113" s="3">
        <f t="shared" ca="1" si="201"/>
        <v>0.72913542054761127</v>
      </c>
      <c r="AG113" s="3">
        <f t="shared" ca="1" si="202"/>
        <v>0.96663346792853244</v>
      </c>
      <c r="AH113" s="3">
        <f t="shared" ca="1" si="203"/>
        <v>0.95652169715728808</v>
      </c>
      <c r="AJ113" s="3">
        <f t="shared" ca="1" si="204"/>
        <v>1.4962593516209477</v>
      </c>
      <c r="AK113" s="3">
        <f t="shared" ca="1" si="205"/>
        <v>1.7491254372813594</v>
      </c>
      <c r="AL113" s="3">
        <f t="shared" ca="1" si="206"/>
        <v>1.9920318725099602</v>
      </c>
      <c r="AM113" s="3">
        <f t="shared" ca="1" si="207"/>
        <v>2.4844720496894408</v>
      </c>
      <c r="AO113" s="3">
        <f t="shared" ca="1" si="208"/>
        <v>0.24937655860349128</v>
      </c>
      <c r="AP113" s="3">
        <f t="shared" ca="1" si="209"/>
        <v>0.24987506246876562</v>
      </c>
      <c r="AQ113" s="3">
        <f t="shared" ca="1" si="210"/>
        <v>0.24900398406374502</v>
      </c>
      <c r="AR113" s="3">
        <f t="shared" ca="1" si="211"/>
        <v>0.24844720496894407</v>
      </c>
      <c r="AT113" s="5">
        <v>1.3000000268220901E-2</v>
      </c>
      <c r="AU113" s="5">
        <v>0.23800000548362732</v>
      </c>
      <c r="AV113" s="5">
        <v>4.0000001899898052E-3</v>
      </c>
      <c r="AW113" s="5">
        <v>1.4999999664723873E-2</v>
      </c>
      <c r="AY113" s="3">
        <f t="shared" ca="1" si="212"/>
        <v>0.13291770573566083</v>
      </c>
      <c r="AZ113" s="3">
        <f t="shared" ca="1" si="213"/>
        <v>0.29185407296351817</v>
      </c>
      <c r="BA113" s="3">
        <f t="shared" ca="1" si="214"/>
        <v>0.8508466135458167</v>
      </c>
      <c r="BB113" s="3">
        <f t="shared" ca="1" si="215"/>
        <v>0.53813664596273292</v>
      </c>
      <c r="BD113" s="3">
        <f t="shared" ca="1" si="216"/>
        <v>0.30349128394204189</v>
      </c>
      <c r="BE113" s="3">
        <f t="shared" ca="1" si="217"/>
        <v>0.41679165203651153</v>
      </c>
      <c r="BF113" s="3">
        <f t="shared" ca="1" si="218"/>
        <v>0.8505976116989713</v>
      </c>
      <c r="BG113" s="3">
        <f t="shared" ca="1" si="219"/>
        <v>0.52596271408270601</v>
      </c>
      <c r="BI113" s="3">
        <f t="shared" ca="1" si="220"/>
        <v>0.49875311720698257</v>
      </c>
      <c r="BJ113" s="3">
        <f t="shared" ca="1" si="221"/>
        <v>1.2493753123438283</v>
      </c>
      <c r="BK113" s="3">
        <f t="shared" ca="1" si="222"/>
        <v>1.7430278884462151</v>
      </c>
      <c r="BL113" s="3">
        <f t="shared" ca="1" si="223"/>
        <v>1.4906832298136645</v>
      </c>
      <c r="BN113" s="3">
        <f t="shared" ca="1" si="224"/>
        <v>0.49875311720698257</v>
      </c>
      <c r="BO113" s="3">
        <f t="shared" ca="1" si="225"/>
        <v>0.74962518740629691</v>
      </c>
      <c r="BP113" s="3">
        <f t="shared" ca="1" si="226"/>
        <v>0.49800796812749004</v>
      </c>
      <c r="BQ113" s="3">
        <f t="shared" ca="1" si="227"/>
        <v>0.74534161490683226</v>
      </c>
      <c r="BS113" s="5">
        <v>1.3000000268220901E-2</v>
      </c>
      <c r="BT113" s="5">
        <v>0.23800000548362732</v>
      </c>
      <c r="BU113" s="5">
        <v>0.4869999885559082</v>
      </c>
      <c r="BV113" s="5">
        <v>0.5820000171661377</v>
      </c>
      <c r="BX113" s="3">
        <f t="shared" ca="1" si="228"/>
        <v>0</v>
      </c>
      <c r="BY113" s="3">
        <f t="shared" ca="1" si="229"/>
        <v>0.13318340829585207</v>
      </c>
      <c r="BZ113" s="3">
        <f t="shared" ca="1" si="230"/>
        <v>0</v>
      </c>
      <c r="CA113" s="3">
        <f t="shared" ca="1" si="231"/>
        <v>0</v>
      </c>
      <c r="CC113" s="3">
        <f t="shared" ca="1" si="232"/>
        <v>0</v>
      </c>
      <c r="CD113" s="3">
        <f t="shared" ca="1" si="233"/>
        <v>0.14992501365131644</v>
      </c>
      <c r="CE113" s="3">
        <f t="shared" ca="1" si="234"/>
        <v>0</v>
      </c>
      <c r="CF113" s="3">
        <f t="shared" ca="1" si="235"/>
        <v>0</v>
      </c>
      <c r="CH113" s="3">
        <f t="shared" ca="1" si="236"/>
        <v>0</v>
      </c>
      <c r="CI113" s="3">
        <f t="shared" ca="1" si="237"/>
        <v>0.24987506246876562</v>
      </c>
      <c r="CJ113" s="3">
        <f t="shared" ca="1" si="238"/>
        <v>0</v>
      </c>
      <c r="CK113" s="3">
        <f t="shared" ca="1" si="239"/>
        <v>0</v>
      </c>
      <c r="CM113" s="3">
        <f t="shared" ca="1" si="240"/>
        <v>0</v>
      </c>
      <c r="CN113" s="3">
        <f t="shared" ca="1" si="241"/>
        <v>0.24987506246876562</v>
      </c>
      <c r="CO113" s="3">
        <f t="shared" ca="1" si="242"/>
        <v>0</v>
      </c>
      <c r="CP113" s="3">
        <f t="shared" ca="1" si="243"/>
        <v>0</v>
      </c>
      <c r="CR113" s="5">
        <v>4.01</v>
      </c>
      <c r="CS113" s="5">
        <v>2.255000114440918</v>
      </c>
      <c r="CT113" s="5">
        <v>4.016</v>
      </c>
      <c r="CU113" s="5">
        <v>4.0250000000000004</v>
      </c>
      <c r="CV113" s="21">
        <f t="shared" ca="1" si="183"/>
        <v>0.8505976116989713</v>
      </c>
      <c r="CW113" s="16">
        <f t="shared" ca="1" si="182"/>
        <v>5.416666666666667</v>
      </c>
    </row>
    <row r="114" spans="1:101" s="5" customFormat="1" x14ac:dyDescent="0.35">
      <c r="A114" s="4" t="s">
        <v>142</v>
      </c>
      <c r="B114" s="4">
        <v>5.5</v>
      </c>
      <c r="C114" s="4" t="s">
        <v>168</v>
      </c>
      <c r="D114" s="4" t="s">
        <v>404</v>
      </c>
      <c r="E114" s="3"/>
      <c r="F114" s="11" t="e">
        <v>#N/A</v>
      </c>
      <c r="G114" s="5">
        <v>4.0030000000000001</v>
      </c>
      <c r="H114" s="5">
        <v>4.0309999999999997</v>
      </c>
      <c r="I114" s="5">
        <v>3.9750000000000001</v>
      </c>
      <c r="K114" s="3" t="e">
        <f t="shared" ca="1" si="184"/>
        <v>#N/A</v>
      </c>
      <c r="L114" s="3">
        <f t="shared" ca="1" si="185"/>
        <v>0.99500374718960782</v>
      </c>
      <c r="M114" s="3">
        <f t="shared" ca="1" si="186"/>
        <v>0.99627883899776737</v>
      </c>
      <c r="N114" s="3">
        <f t="shared" ca="1" si="187"/>
        <v>0.87194968553459107</v>
      </c>
      <c r="P114" s="3" t="e">
        <f t="shared" ca="1" si="188"/>
        <v>#N/A</v>
      </c>
      <c r="Q114" s="3">
        <f t="shared" ca="1" si="189"/>
        <v>0.96527600366377453</v>
      </c>
      <c r="R114" s="3">
        <f t="shared" ca="1" si="190"/>
        <v>0.94219793768193472</v>
      </c>
      <c r="S114" s="3">
        <f t="shared" ca="1" si="191"/>
        <v>0.77559743474864362</v>
      </c>
      <c r="U114" s="3" t="e">
        <f t="shared" ca="1" si="192"/>
        <v>#N/A</v>
      </c>
      <c r="V114" s="3">
        <f t="shared" ca="1" si="193"/>
        <v>1.9985011241568822</v>
      </c>
      <c r="W114" s="3">
        <f t="shared" ca="1" si="194"/>
        <v>2.2326966013396183</v>
      </c>
      <c r="X114" s="3">
        <f t="shared" ca="1" si="195"/>
        <v>2.0125786163522013</v>
      </c>
      <c r="Z114" s="3" t="e">
        <f t="shared" ca="1" si="196"/>
        <v>#N/A</v>
      </c>
      <c r="AA114" s="3">
        <f t="shared" ca="1" si="197"/>
        <v>0.99500374718960782</v>
      </c>
      <c r="AB114" s="3">
        <f t="shared" ca="1" si="198"/>
        <v>0.99627883899776737</v>
      </c>
      <c r="AC114" s="3">
        <f t="shared" ca="1" si="199"/>
        <v>0.80075471698113199</v>
      </c>
      <c r="AE114" s="3" t="e">
        <f t="shared" ca="1" si="200"/>
        <v>#N/A</v>
      </c>
      <c r="AF114" s="3">
        <f t="shared" ca="1" si="201"/>
        <v>0.96527600366377453</v>
      </c>
      <c r="AG114" s="3">
        <f t="shared" ca="1" si="202"/>
        <v>0.94219793768193472</v>
      </c>
      <c r="AH114" s="3">
        <f t="shared" ca="1" si="203"/>
        <v>0.77559743474864362</v>
      </c>
      <c r="AJ114" s="3" t="e">
        <f t="shared" ca="1" si="204"/>
        <v>#N/A</v>
      </c>
      <c r="AK114" s="3">
        <f t="shared" ca="1" si="205"/>
        <v>1.9985011241568822</v>
      </c>
      <c r="AL114" s="3">
        <f t="shared" ca="1" si="206"/>
        <v>2.2326966013396183</v>
      </c>
      <c r="AM114" s="3">
        <f t="shared" ca="1" si="207"/>
        <v>2.0125786163522013</v>
      </c>
      <c r="AO114" s="3" t="e">
        <f t="shared" ca="1" si="208"/>
        <v>#N/A</v>
      </c>
      <c r="AP114" s="3">
        <f t="shared" ca="1" si="209"/>
        <v>0.24981264051961027</v>
      </c>
      <c r="AQ114" s="3">
        <f t="shared" ca="1" si="210"/>
        <v>0.24807740014884647</v>
      </c>
      <c r="AR114" s="3">
        <f t="shared" ca="1" si="211"/>
        <v>0.50314465408805031</v>
      </c>
      <c r="AT114" s="11" t="e">
        <v>#N/A</v>
      </c>
      <c r="AU114" s="5">
        <v>7.0000002160668373E-3</v>
      </c>
      <c r="AV114" s="5">
        <v>1.4000000432133675E-2</v>
      </c>
      <c r="AW114" s="5">
        <v>1.0999999940395355E-2</v>
      </c>
      <c r="AY114" s="3" t="e">
        <f t="shared" ca="1" si="212"/>
        <v>#N/A</v>
      </c>
      <c r="AZ114" s="3">
        <f t="shared" ca="1" si="213"/>
        <v>0.48288783412440661</v>
      </c>
      <c r="BA114" s="3">
        <f t="shared" ca="1" si="214"/>
        <v>0.79756884147854135</v>
      </c>
      <c r="BB114" s="3">
        <f t="shared" ca="1" si="215"/>
        <v>0.53257861635220127</v>
      </c>
      <c r="BD114" s="3" t="e">
        <f t="shared" ca="1" si="216"/>
        <v>#N/A</v>
      </c>
      <c r="BE114" s="3">
        <f t="shared" ca="1" si="217"/>
        <v>0.47839121940044826</v>
      </c>
      <c r="BF114" s="3">
        <f t="shared" ca="1" si="218"/>
        <v>0.84718428986506089</v>
      </c>
      <c r="BG114" s="3">
        <f t="shared" ca="1" si="219"/>
        <v>0.49459121512167109</v>
      </c>
      <c r="BI114" s="3" t="e">
        <f t="shared" ca="1" si="220"/>
        <v>#N/A</v>
      </c>
      <c r="BJ114" s="3">
        <f t="shared" ca="1" si="221"/>
        <v>0.9992505620784411</v>
      </c>
      <c r="BK114" s="3">
        <f t="shared" ca="1" si="222"/>
        <v>1.9846192011907717</v>
      </c>
      <c r="BL114" s="3">
        <f t="shared" ca="1" si="223"/>
        <v>1.0062893081761006</v>
      </c>
      <c r="BN114" s="3" t="e">
        <f t="shared" ca="1" si="224"/>
        <v>#N/A</v>
      </c>
      <c r="BO114" s="3">
        <f t="shared" ca="1" si="225"/>
        <v>0.49962528103922055</v>
      </c>
      <c r="BP114" s="3">
        <f t="shared" ca="1" si="226"/>
        <v>0.74423220044653937</v>
      </c>
      <c r="BQ114" s="3">
        <f t="shared" ca="1" si="227"/>
        <v>0.50314465408805031</v>
      </c>
      <c r="BS114" s="11" t="e">
        <v>#N/A</v>
      </c>
      <c r="BT114" s="5">
        <v>0.42399999499320984</v>
      </c>
      <c r="BU114" s="5">
        <v>0.414000004529953</v>
      </c>
      <c r="BV114" s="5">
        <v>0.36100000143051147</v>
      </c>
      <c r="BX114" s="3" t="e">
        <f t="shared" ca="1" si="228"/>
        <v>#N/A</v>
      </c>
      <c r="BY114" s="3">
        <f t="shared" ca="1" si="229"/>
        <v>0.32475643267549331</v>
      </c>
      <c r="BZ114" s="3">
        <f t="shared" ca="1" si="230"/>
        <v>0</v>
      </c>
      <c r="CA114" s="3">
        <f t="shared" ca="1" si="231"/>
        <v>0</v>
      </c>
      <c r="CC114" s="3" t="e">
        <f t="shared" ca="1" si="232"/>
        <v>#N/A</v>
      </c>
      <c r="CD114" s="3">
        <f t="shared" ca="1" si="233"/>
        <v>0.30377213132402286</v>
      </c>
      <c r="CE114" s="3">
        <f t="shared" ca="1" si="234"/>
        <v>0</v>
      </c>
      <c r="CF114" s="3">
        <f t="shared" ca="1" si="235"/>
        <v>0</v>
      </c>
      <c r="CH114" s="3" t="e">
        <f t="shared" ca="1" si="236"/>
        <v>#N/A</v>
      </c>
      <c r="CI114" s="3">
        <f t="shared" ca="1" si="237"/>
        <v>0.24981264051961027</v>
      </c>
      <c r="CJ114" s="3">
        <f t="shared" ca="1" si="238"/>
        <v>0</v>
      </c>
      <c r="CK114" s="3">
        <f t="shared" ca="1" si="239"/>
        <v>0</v>
      </c>
      <c r="CM114" s="3" t="e">
        <f t="shared" ca="1" si="240"/>
        <v>#N/A</v>
      </c>
      <c r="CN114" s="3">
        <f t="shared" ca="1" si="241"/>
        <v>0.49962528103922055</v>
      </c>
      <c r="CO114" s="3">
        <f t="shared" ca="1" si="242"/>
        <v>0</v>
      </c>
      <c r="CP114" s="3">
        <f t="shared" ca="1" si="243"/>
        <v>0</v>
      </c>
      <c r="CR114" s="11" t="e">
        <v>#N/A</v>
      </c>
      <c r="CS114" s="5">
        <v>2.4070000648498535</v>
      </c>
      <c r="CT114" s="5">
        <v>4.0309999999999997</v>
      </c>
      <c r="CU114" s="5">
        <v>3.9750000000000001</v>
      </c>
      <c r="CV114" s="21">
        <f t="shared" ca="1" si="183"/>
        <v>0.84718428986506089</v>
      </c>
      <c r="CW114" s="16">
        <f t="shared" ca="1" si="182"/>
        <v>5.5</v>
      </c>
    </row>
    <row r="115" spans="1:101" s="5" customFormat="1" x14ac:dyDescent="0.35">
      <c r="A115" s="4" t="s">
        <v>138</v>
      </c>
      <c r="B115" s="4">
        <v>5.583333333333333</v>
      </c>
      <c r="C115" s="4" t="s">
        <v>168</v>
      </c>
      <c r="D115" s="4" t="s">
        <v>404</v>
      </c>
      <c r="E115" s="3"/>
      <c r="F115" s="11" t="e">
        <v>#N/A</v>
      </c>
      <c r="G115" s="11" t="e">
        <v>#N/A</v>
      </c>
      <c r="H115" s="5">
        <v>0.64999999999999991</v>
      </c>
      <c r="I115" s="11" t="e">
        <v>#N/A</v>
      </c>
      <c r="K115" s="3" t="e">
        <f t="shared" ca="1" si="184"/>
        <v>#N/A</v>
      </c>
      <c r="L115" s="3" t="e">
        <f t="shared" ca="1" si="185"/>
        <v>#N/A</v>
      </c>
      <c r="M115" s="3" t="e">
        <f t="shared" ca="1" si="186"/>
        <v>#N/A</v>
      </c>
      <c r="N115" s="3" t="e">
        <f t="shared" ca="1" si="187"/>
        <v>#N/A</v>
      </c>
      <c r="P115" s="3" t="e">
        <f t="shared" ca="1" si="188"/>
        <v>#N/A</v>
      </c>
      <c r="Q115" s="3" t="e">
        <f t="shared" ca="1" si="189"/>
        <v>#N/A</v>
      </c>
      <c r="R115" s="3" t="e">
        <f t="shared" ca="1" si="190"/>
        <v>#N/A</v>
      </c>
      <c r="S115" s="3" t="e">
        <f t="shared" ca="1" si="191"/>
        <v>#N/A</v>
      </c>
      <c r="U115" s="3" t="e">
        <f t="shared" ca="1" si="192"/>
        <v>#N/A</v>
      </c>
      <c r="V115" s="3" t="e">
        <f t="shared" ca="1" si="193"/>
        <v>#N/A</v>
      </c>
      <c r="W115" s="3" t="e">
        <f t="shared" ca="1" si="194"/>
        <v>#N/A</v>
      </c>
      <c r="X115" s="3" t="e">
        <f t="shared" ca="1" si="195"/>
        <v>#N/A</v>
      </c>
      <c r="Z115" s="3" t="e">
        <f t="shared" ca="1" si="196"/>
        <v>#N/A</v>
      </c>
      <c r="AA115" s="3" t="e">
        <f t="shared" ca="1" si="197"/>
        <v>#N/A</v>
      </c>
      <c r="AB115" s="3" t="e">
        <f t="shared" ca="1" si="198"/>
        <v>#N/A</v>
      </c>
      <c r="AC115" s="3" t="e">
        <f t="shared" ca="1" si="199"/>
        <v>#N/A</v>
      </c>
      <c r="AE115" s="3" t="e">
        <f t="shared" ca="1" si="200"/>
        <v>#N/A</v>
      </c>
      <c r="AF115" s="3" t="e">
        <f t="shared" ca="1" si="201"/>
        <v>#N/A</v>
      </c>
      <c r="AG115" s="3" t="e">
        <f t="shared" ca="1" si="202"/>
        <v>#N/A</v>
      </c>
      <c r="AH115" s="3" t="e">
        <f t="shared" ca="1" si="203"/>
        <v>#N/A</v>
      </c>
      <c r="AJ115" s="3" t="e">
        <f t="shared" ca="1" si="204"/>
        <v>#N/A</v>
      </c>
      <c r="AK115" s="3" t="e">
        <f t="shared" ca="1" si="205"/>
        <v>#N/A</v>
      </c>
      <c r="AL115" s="3" t="e">
        <f t="shared" ca="1" si="206"/>
        <v>#N/A</v>
      </c>
      <c r="AM115" s="3" t="e">
        <f t="shared" ca="1" si="207"/>
        <v>#N/A</v>
      </c>
      <c r="AO115" s="3" t="e">
        <f t="shared" ca="1" si="208"/>
        <v>#N/A</v>
      </c>
      <c r="AP115" s="3" t="e">
        <f t="shared" ca="1" si="209"/>
        <v>#N/A</v>
      </c>
      <c r="AQ115" s="3" t="e">
        <f t="shared" ca="1" si="210"/>
        <v>#N/A</v>
      </c>
      <c r="AR115" s="3" t="e">
        <f t="shared" ca="1" si="211"/>
        <v>#N/A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Y115" s="3" t="e">
        <f t="shared" ca="1" si="212"/>
        <v>#N/A</v>
      </c>
      <c r="AZ115" s="3" t="e">
        <f t="shared" ca="1" si="213"/>
        <v>#N/A</v>
      </c>
      <c r="BA115" s="3" t="e">
        <f t="shared" ca="1" si="214"/>
        <v>#N/A</v>
      </c>
      <c r="BB115" s="3" t="e">
        <f t="shared" ca="1" si="215"/>
        <v>#N/A</v>
      </c>
      <c r="BD115" s="3" t="e">
        <f t="shared" ca="1" si="216"/>
        <v>#N/A</v>
      </c>
      <c r="BE115" s="3" t="e">
        <f t="shared" ca="1" si="217"/>
        <v>#N/A</v>
      </c>
      <c r="BF115" s="3" t="e">
        <f t="shared" ca="1" si="218"/>
        <v>#N/A</v>
      </c>
      <c r="BG115" s="3" t="e">
        <f t="shared" ca="1" si="219"/>
        <v>#N/A</v>
      </c>
      <c r="BI115" s="3" t="e">
        <f t="shared" ca="1" si="220"/>
        <v>#N/A</v>
      </c>
      <c r="BJ115" s="3" t="e">
        <f t="shared" ca="1" si="221"/>
        <v>#N/A</v>
      </c>
      <c r="BK115" s="3" t="e">
        <f t="shared" ca="1" si="222"/>
        <v>#N/A</v>
      </c>
      <c r="BL115" s="3" t="e">
        <f t="shared" ca="1" si="223"/>
        <v>#N/A</v>
      </c>
      <c r="BN115" s="3" t="e">
        <f t="shared" ca="1" si="224"/>
        <v>#N/A</v>
      </c>
      <c r="BO115" s="3" t="e">
        <f t="shared" ca="1" si="225"/>
        <v>#N/A</v>
      </c>
      <c r="BP115" s="3" t="e">
        <f t="shared" ca="1" si="226"/>
        <v>#N/A</v>
      </c>
      <c r="BQ115" s="3" t="e">
        <f t="shared" ca="1" si="227"/>
        <v>#N/A</v>
      </c>
      <c r="BS115" s="11" t="e">
        <v>#N/A</v>
      </c>
      <c r="BT115" s="11" t="e">
        <v>#N/A</v>
      </c>
      <c r="BU115" s="11" t="e">
        <v>#N/A</v>
      </c>
      <c r="BV115" s="11" t="e">
        <v>#N/A</v>
      </c>
      <c r="BX115" s="3" t="e">
        <f t="shared" ca="1" si="228"/>
        <v>#N/A</v>
      </c>
      <c r="BY115" s="3" t="e">
        <f t="shared" ca="1" si="229"/>
        <v>#N/A</v>
      </c>
      <c r="BZ115" s="3" t="e">
        <f t="shared" ca="1" si="230"/>
        <v>#N/A</v>
      </c>
      <c r="CA115" s="3" t="e">
        <f t="shared" ca="1" si="231"/>
        <v>#N/A</v>
      </c>
      <c r="CC115" s="3" t="e">
        <f t="shared" ca="1" si="232"/>
        <v>#N/A</v>
      </c>
      <c r="CD115" s="3" t="e">
        <f t="shared" ca="1" si="233"/>
        <v>#N/A</v>
      </c>
      <c r="CE115" s="3" t="e">
        <f t="shared" ca="1" si="234"/>
        <v>#N/A</v>
      </c>
      <c r="CF115" s="3" t="e">
        <f t="shared" ca="1" si="235"/>
        <v>#N/A</v>
      </c>
      <c r="CH115" s="3" t="e">
        <f t="shared" ca="1" si="236"/>
        <v>#N/A</v>
      </c>
      <c r="CI115" s="3" t="e">
        <f t="shared" ca="1" si="237"/>
        <v>#N/A</v>
      </c>
      <c r="CJ115" s="3" t="e">
        <f t="shared" ca="1" si="238"/>
        <v>#N/A</v>
      </c>
      <c r="CK115" s="3" t="e">
        <f t="shared" ca="1" si="239"/>
        <v>#N/A</v>
      </c>
      <c r="CM115" s="3" t="e">
        <f t="shared" ca="1" si="240"/>
        <v>#N/A</v>
      </c>
      <c r="CN115" s="3" t="e">
        <f t="shared" ca="1" si="241"/>
        <v>#N/A</v>
      </c>
      <c r="CO115" s="3" t="e">
        <f t="shared" ca="1" si="242"/>
        <v>#N/A</v>
      </c>
      <c r="CP115" s="3" t="e">
        <f t="shared" ca="1" si="243"/>
        <v>#N/A</v>
      </c>
      <c r="CR115" s="11" t="e">
        <v>#N/A</v>
      </c>
      <c r="CS115" s="11" t="e">
        <v>#N/A</v>
      </c>
      <c r="CT115" s="11" t="e">
        <v>#N/A</v>
      </c>
      <c r="CU115" s="11" t="e">
        <v>#N/A</v>
      </c>
      <c r="CV115" s="21" t="e">
        <f t="shared" ca="1" si="183"/>
        <v>#N/A</v>
      </c>
      <c r="CW115" s="16">
        <f t="shared" ca="1" si="182"/>
        <v>5.583333333333333</v>
      </c>
    </row>
    <row r="116" spans="1:101" s="5" customFormat="1" x14ac:dyDescent="0.35">
      <c r="A116" s="4" t="s">
        <v>108</v>
      </c>
      <c r="B116" s="4">
        <v>5.75</v>
      </c>
      <c r="C116" s="4" t="s">
        <v>168</v>
      </c>
      <c r="D116" s="4" t="s">
        <v>404</v>
      </c>
      <c r="E116" s="3"/>
      <c r="F116" s="5">
        <v>4.0039999999999996</v>
      </c>
      <c r="G116" s="5">
        <v>4.0039999999999996</v>
      </c>
      <c r="H116" s="5">
        <v>1.234</v>
      </c>
      <c r="I116" s="5">
        <v>0.65899999999999981</v>
      </c>
      <c r="K116" s="3">
        <f t="shared" ca="1" si="184"/>
        <v>0.99900099900099915</v>
      </c>
      <c r="L116" s="3">
        <f t="shared" ca="1" si="185"/>
        <v>0.84090909090909105</v>
      </c>
      <c r="M116" s="3" t="e">
        <f t="shared" ca="1" si="186"/>
        <v>#N/A</v>
      </c>
      <c r="N116" s="3" t="e">
        <f t="shared" ca="1" si="187"/>
        <v>#N/A</v>
      </c>
      <c r="P116" s="3">
        <f t="shared" ca="1" si="188"/>
        <v>0.98226767009613558</v>
      </c>
      <c r="Q116" s="3">
        <f t="shared" ca="1" si="189"/>
        <v>0.78646354538343899</v>
      </c>
      <c r="R116" s="3" t="e">
        <f t="shared" ca="1" si="190"/>
        <v>#N/A</v>
      </c>
      <c r="S116" s="3" t="e">
        <f t="shared" ca="1" si="191"/>
        <v>#N/A</v>
      </c>
      <c r="U116" s="3">
        <f t="shared" ca="1" si="192"/>
        <v>1.2487512487512489</v>
      </c>
      <c r="V116" s="3">
        <f t="shared" ca="1" si="193"/>
        <v>1.4985014985014986</v>
      </c>
      <c r="W116" s="3" t="e">
        <f t="shared" ca="1" si="194"/>
        <v>#N/A</v>
      </c>
      <c r="X116" s="3" t="e">
        <f t="shared" ca="1" si="195"/>
        <v>#N/A</v>
      </c>
      <c r="Z116" s="3">
        <f t="shared" ca="1" si="196"/>
        <v>0.99900099900099915</v>
      </c>
      <c r="AA116" s="3">
        <f t="shared" ca="1" si="197"/>
        <v>0.84090909090909105</v>
      </c>
      <c r="AB116" s="3" t="e">
        <f t="shared" ca="1" si="198"/>
        <v>#N/A</v>
      </c>
      <c r="AC116" s="3" t="e">
        <f t="shared" ca="1" si="199"/>
        <v>#N/A</v>
      </c>
      <c r="AE116" s="3">
        <f t="shared" ca="1" si="200"/>
        <v>0.98226767009613558</v>
      </c>
      <c r="AF116" s="3">
        <f t="shared" ca="1" si="201"/>
        <v>0.78646354538343899</v>
      </c>
      <c r="AG116" s="3" t="e">
        <f t="shared" ca="1" si="202"/>
        <v>#N/A</v>
      </c>
      <c r="AH116" s="3" t="e">
        <f t="shared" ca="1" si="203"/>
        <v>#N/A</v>
      </c>
      <c r="AJ116" s="3">
        <f t="shared" ca="1" si="204"/>
        <v>1.2487512487512489</v>
      </c>
      <c r="AK116" s="3">
        <f t="shared" ca="1" si="205"/>
        <v>1.4985014985014986</v>
      </c>
      <c r="AL116" s="3" t="e">
        <f t="shared" ca="1" si="206"/>
        <v>#N/A</v>
      </c>
      <c r="AM116" s="3" t="e">
        <f t="shared" ca="1" si="207"/>
        <v>#N/A</v>
      </c>
      <c r="AO116" s="3">
        <f t="shared" ca="1" si="208"/>
        <v>0.24975024975024979</v>
      </c>
      <c r="AP116" s="3">
        <f t="shared" ca="1" si="209"/>
        <v>0.24975024975024979</v>
      </c>
      <c r="AQ116" s="3" t="e">
        <f t="shared" ca="1" si="210"/>
        <v>#N/A</v>
      </c>
      <c r="AR116" s="3" t="e">
        <f t="shared" ca="1" si="211"/>
        <v>#N/A</v>
      </c>
      <c r="AT116" s="5">
        <v>3.0000000260770321E-3</v>
      </c>
      <c r="AU116" s="5">
        <v>1.0000000474974513E-3</v>
      </c>
      <c r="AV116" s="11" t="e">
        <v>#N/A</v>
      </c>
      <c r="AW116" s="11" t="e">
        <v>#N/A</v>
      </c>
      <c r="AY116" s="3">
        <f t="shared" ca="1" si="212"/>
        <v>0.19980019980019972</v>
      </c>
      <c r="AZ116" s="3">
        <f t="shared" ca="1" si="213"/>
        <v>0.54920079920079923</v>
      </c>
      <c r="BA116" s="3" t="e">
        <f t="shared" ca="1" si="214"/>
        <v>#N/A</v>
      </c>
      <c r="BB116" s="3" t="e">
        <f t="shared" ca="1" si="215"/>
        <v>#N/A</v>
      </c>
      <c r="BD116" s="3">
        <f t="shared" ca="1" si="216"/>
        <v>4.570428784434255E-2</v>
      </c>
      <c r="BE116" s="3">
        <f t="shared" ca="1" si="217"/>
        <v>0.55319681153311717</v>
      </c>
      <c r="BF116" s="3" t="e">
        <f t="shared" ca="1" si="218"/>
        <v>#N/A</v>
      </c>
      <c r="BG116" s="3" t="e">
        <f t="shared" ca="1" si="219"/>
        <v>#N/A</v>
      </c>
      <c r="BI116" s="3">
        <f t="shared" ca="1" si="220"/>
        <v>0.24975024975024979</v>
      </c>
      <c r="BJ116" s="3">
        <f t="shared" ca="1" si="221"/>
        <v>0.99900099900099915</v>
      </c>
      <c r="BK116" s="3" t="e">
        <f t="shared" ca="1" si="222"/>
        <v>#N/A</v>
      </c>
      <c r="BL116" s="3" t="e">
        <f t="shared" ca="1" si="223"/>
        <v>#N/A</v>
      </c>
      <c r="BN116" s="3">
        <f t="shared" ca="1" si="224"/>
        <v>0.99900099900099915</v>
      </c>
      <c r="BO116" s="3">
        <f t="shared" ca="1" si="225"/>
        <v>0.24975024975024979</v>
      </c>
      <c r="BP116" s="3" t="e">
        <f t="shared" ca="1" si="226"/>
        <v>#N/A</v>
      </c>
      <c r="BQ116" s="3" t="e">
        <f t="shared" ca="1" si="227"/>
        <v>#N/A</v>
      </c>
      <c r="BS116" s="5">
        <v>0.50300002098083496</v>
      </c>
      <c r="BT116" s="5">
        <v>0.51800000667572021</v>
      </c>
      <c r="BU116" s="11" t="e">
        <v>#N/A</v>
      </c>
      <c r="BV116" s="11" t="e">
        <v>#N/A</v>
      </c>
      <c r="BX116" s="3">
        <f t="shared" ca="1" si="228"/>
        <v>0</v>
      </c>
      <c r="BY116" s="3">
        <f t="shared" ca="1" si="229"/>
        <v>0.1960539460539461</v>
      </c>
      <c r="BZ116" s="3" t="e">
        <f t="shared" ca="1" si="230"/>
        <v>#N/A</v>
      </c>
      <c r="CA116" s="3" t="e">
        <f t="shared" ca="1" si="231"/>
        <v>#N/A</v>
      </c>
      <c r="CC116" s="3">
        <f t="shared" ca="1" si="232"/>
        <v>0</v>
      </c>
      <c r="CD116" s="3">
        <f t="shared" ca="1" si="233"/>
        <v>0.10839161220249478</v>
      </c>
      <c r="CE116" s="3" t="e">
        <f t="shared" ca="1" si="234"/>
        <v>#N/A</v>
      </c>
      <c r="CF116" s="3" t="e">
        <f t="shared" ca="1" si="235"/>
        <v>#N/A</v>
      </c>
      <c r="CH116" s="3">
        <f t="shared" ca="1" si="236"/>
        <v>0</v>
      </c>
      <c r="CI116" s="3">
        <f t="shared" ca="1" si="237"/>
        <v>0.24975024975024979</v>
      </c>
      <c r="CJ116" s="3" t="e">
        <f t="shared" ca="1" si="238"/>
        <v>#N/A</v>
      </c>
      <c r="CK116" s="3" t="e">
        <f t="shared" ca="1" si="239"/>
        <v>#N/A</v>
      </c>
      <c r="CM116" s="3">
        <f t="shared" ca="1" si="240"/>
        <v>0</v>
      </c>
      <c r="CN116" s="3">
        <f t="shared" ca="1" si="241"/>
        <v>0.7492507492507493</v>
      </c>
      <c r="CO116" s="3" t="e">
        <f t="shared" ca="1" si="242"/>
        <v>#N/A</v>
      </c>
      <c r="CP116" s="3" t="e">
        <f t="shared" ca="1" si="243"/>
        <v>#N/A</v>
      </c>
      <c r="CR116" s="5">
        <v>4.0039999999999996</v>
      </c>
      <c r="CS116" s="5">
        <v>2.8840000629425049</v>
      </c>
      <c r="CT116" s="11" t="e">
        <v>#N/A</v>
      </c>
      <c r="CU116" s="11" t="e">
        <v>#N/A</v>
      </c>
      <c r="CV116" s="21" t="e">
        <f t="shared" ca="1" si="183"/>
        <v>#N/A</v>
      </c>
      <c r="CW116" s="16">
        <f t="shared" ca="1" si="182"/>
        <v>5.75</v>
      </c>
    </row>
    <row r="117" spans="1:101" s="5" customFormat="1" x14ac:dyDescent="0.35">
      <c r="A117" s="4" t="s">
        <v>151</v>
      </c>
      <c r="B117" s="4">
        <v>5.75</v>
      </c>
      <c r="C117" s="4" t="s">
        <v>168</v>
      </c>
      <c r="D117" s="4" t="s">
        <v>404</v>
      </c>
      <c r="E117" s="3"/>
      <c r="F117" s="5">
        <v>4.016</v>
      </c>
      <c r="G117" s="5">
        <v>4.016</v>
      </c>
      <c r="H117" s="5">
        <v>1.883</v>
      </c>
      <c r="I117" s="5">
        <v>1.145</v>
      </c>
      <c r="K117" s="3">
        <f t="shared" ca="1" si="184"/>
        <v>0.9957669322709165</v>
      </c>
      <c r="L117" s="3">
        <f t="shared" ca="1" si="185"/>
        <v>0.99576693227091639</v>
      </c>
      <c r="M117" s="3" t="e">
        <f t="shared" ca="1" si="186"/>
        <v>#N/A</v>
      </c>
      <c r="N117" s="3" t="e">
        <f t="shared" ca="1" si="187"/>
        <v>#N/A</v>
      </c>
      <c r="P117" s="3">
        <f t="shared" ca="1" si="188"/>
        <v>0.97485064104268049</v>
      </c>
      <c r="Q117" s="3">
        <f t="shared" ca="1" si="189"/>
        <v>0.85458163110784202</v>
      </c>
      <c r="R117" s="3" t="e">
        <f t="shared" ca="1" si="190"/>
        <v>#N/A</v>
      </c>
      <c r="S117" s="3" t="e">
        <f t="shared" ca="1" si="191"/>
        <v>#N/A</v>
      </c>
      <c r="U117" s="3">
        <f t="shared" ca="1" si="192"/>
        <v>1.4940239043824701</v>
      </c>
      <c r="V117" s="3">
        <f t="shared" ca="1" si="193"/>
        <v>1.7430278884462151</v>
      </c>
      <c r="W117" s="3" t="e">
        <f t="shared" ca="1" si="194"/>
        <v>#N/A</v>
      </c>
      <c r="X117" s="3" t="e">
        <f t="shared" ca="1" si="195"/>
        <v>#N/A</v>
      </c>
      <c r="Z117" s="3">
        <f t="shared" ca="1" si="196"/>
        <v>0.9957669322709165</v>
      </c>
      <c r="AA117" s="3">
        <f t="shared" ca="1" si="197"/>
        <v>0.99576693227091639</v>
      </c>
      <c r="AB117" s="3" t="e">
        <f t="shared" ca="1" si="198"/>
        <v>#N/A</v>
      </c>
      <c r="AC117" s="3" t="e">
        <f t="shared" ca="1" si="199"/>
        <v>#N/A</v>
      </c>
      <c r="AE117" s="3">
        <f t="shared" ca="1" si="200"/>
        <v>0.97485064104268049</v>
      </c>
      <c r="AF117" s="3">
        <f t="shared" ca="1" si="201"/>
        <v>0.85458163110784202</v>
      </c>
      <c r="AG117" s="3" t="e">
        <f t="shared" ca="1" si="202"/>
        <v>#N/A</v>
      </c>
      <c r="AH117" s="3" t="e">
        <f t="shared" ca="1" si="203"/>
        <v>#N/A</v>
      </c>
      <c r="AJ117" s="3">
        <f t="shared" ca="1" si="204"/>
        <v>1.4940239043824701</v>
      </c>
      <c r="AK117" s="3">
        <f t="shared" ca="1" si="205"/>
        <v>1.7430278884462151</v>
      </c>
      <c r="AL117" s="3" t="e">
        <f t="shared" ca="1" si="206"/>
        <v>#N/A</v>
      </c>
      <c r="AM117" s="3" t="e">
        <f t="shared" ca="1" si="207"/>
        <v>#N/A</v>
      </c>
      <c r="AO117" s="3">
        <f t="shared" ca="1" si="208"/>
        <v>0.24900398406374502</v>
      </c>
      <c r="AP117" s="3">
        <f t="shared" ca="1" si="209"/>
        <v>0.24900398406374502</v>
      </c>
      <c r="AQ117" s="3" t="e">
        <f t="shared" ca="1" si="210"/>
        <v>#N/A</v>
      </c>
      <c r="AR117" s="3" t="e">
        <f t="shared" ca="1" si="211"/>
        <v>#N/A</v>
      </c>
      <c r="AT117" s="5">
        <v>2.0000000949949026E-3</v>
      </c>
      <c r="AU117" s="5">
        <v>1.4000000432133675E-2</v>
      </c>
      <c r="AV117" s="11" t="e">
        <v>#N/A</v>
      </c>
      <c r="AW117" s="11" t="e">
        <v>#N/A</v>
      </c>
      <c r="AY117" s="3">
        <f t="shared" ca="1" si="212"/>
        <v>5.0049800796812823E-2</v>
      </c>
      <c r="AZ117" s="3">
        <f t="shared" ca="1" si="213"/>
        <v>0.39392430278884438</v>
      </c>
      <c r="BA117" s="3" t="e">
        <f t="shared" ca="1" si="214"/>
        <v>#N/A</v>
      </c>
      <c r="BB117" s="3" t="e">
        <f t="shared" ca="1" si="215"/>
        <v>#N/A</v>
      </c>
      <c r="BD117" s="3">
        <f t="shared" ca="1" si="216"/>
        <v>3.3117533917446061E-2</v>
      </c>
      <c r="BE117" s="3">
        <f t="shared" ca="1" si="217"/>
        <v>0.52265937169234589</v>
      </c>
      <c r="BF117" s="3" t="e">
        <f t="shared" ca="1" si="218"/>
        <v>#N/A</v>
      </c>
      <c r="BG117" s="3" t="e">
        <f t="shared" ca="1" si="219"/>
        <v>#N/A</v>
      </c>
      <c r="BI117" s="3">
        <f t="shared" ca="1" si="220"/>
        <v>0.24900398406374502</v>
      </c>
      <c r="BJ117" s="3">
        <f t="shared" ca="1" si="221"/>
        <v>0.49800796812749004</v>
      </c>
      <c r="BK117" s="3" t="e">
        <f t="shared" ca="1" si="222"/>
        <v>#N/A</v>
      </c>
      <c r="BL117" s="3" t="e">
        <f t="shared" ca="1" si="223"/>
        <v>#N/A</v>
      </c>
      <c r="BN117" s="3">
        <f t="shared" ca="1" si="224"/>
        <v>0.74701195219123506</v>
      </c>
      <c r="BO117" s="3">
        <f t="shared" ca="1" si="225"/>
        <v>1.2450199203187251</v>
      </c>
      <c r="BP117" s="3" t="e">
        <f t="shared" ca="1" si="226"/>
        <v>#N/A</v>
      </c>
      <c r="BQ117" s="3" t="e">
        <f t="shared" ca="1" si="227"/>
        <v>#N/A</v>
      </c>
      <c r="BS117" s="5">
        <v>1.8519999980926514</v>
      </c>
      <c r="BT117" s="5">
        <v>0.61400002241134644</v>
      </c>
      <c r="BU117" s="11" t="e">
        <v>#N/A</v>
      </c>
      <c r="BV117" s="11" t="e">
        <v>#N/A</v>
      </c>
      <c r="BX117" s="3">
        <f t="shared" ca="1" si="228"/>
        <v>4.5567729083665409E-2</v>
      </c>
      <c r="BY117" s="3">
        <f t="shared" ca="1" si="229"/>
        <v>0.17006972111553781</v>
      </c>
      <c r="BZ117" s="3" t="e">
        <f t="shared" ca="1" si="230"/>
        <v>#N/A</v>
      </c>
      <c r="CA117" s="3" t="e">
        <f t="shared" ca="1" si="231"/>
        <v>#N/A</v>
      </c>
      <c r="CC117" s="3">
        <f t="shared" ca="1" si="232"/>
        <v>0</v>
      </c>
      <c r="CD117" s="3">
        <f t="shared" ca="1" si="233"/>
        <v>0.18675297274220867</v>
      </c>
      <c r="CE117" s="3" t="e">
        <f t="shared" ca="1" si="234"/>
        <v>#N/A</v>
      </c>
      <c r="CF117" s="3" t="e">
        <f t="shared" ca="1" si="235"/>
        <v>#N/A</v>
      </c>
      <c r="CH117" s="3">
        <f t="shared" ca="1" si="236"/>
        <v>0</v>
      </c>
      <c r="CI117" s="3">
        <f t="shared" ca="1" si="237"/>
        <v>0.49800796812749004</v>
      </c>
      <c r="CJ117" s="3" t="e">
        <f t="shared" ca="1" si="238"/>
        <v>#N/A</v>
      </c>
      <c r="CK117" s="3" t="e">
        <f t="shared" ca="1" si="239"/>
        <v>#N/A</v>
      </c>
      <c r="CM117" s="3">
        <f t="shared" ca="1" si="240"/>
        <v>0.24900398406374502</v>
      </c>
      <c r="CN117" s="3">
        <f t="shared" ca="1" si="241"/>
        <v>0.99601593625498008</v>
      </c>
      <c r="CO117" s="3" t="e">
        <f t="shared" ca="1" si="242"/>
        <v>#N/A</v>
      </c>
      <c r="CP117" s="3" t="e">
        <f t="shared" ca="1" si="243"/>
        <v>#N/A</v>
      </c>
      <c r="CR117" s="5">
        <v>4.016</v>
      </c>
      <c r="CS117" s="5">
        <v>1.4000000432133675E-2</v>
      </c>
      <c r="CT117" s="11" t="e">
        <v>#N/A</v>
      </c>
      <c r="CU117" s="11" t="e">
        <v>#N/A</v>
      </c>
      <c r="CV117" s="21" t="e">
        <f t="shared" ca="1" si="183"/>
        <v>#N/A</v>
      </c>
      <c r="CW117" s="16">
        <f t="shared" ca="1" si="182"/>
        <v>5.75</v>
      </c>
    </row>
    <row r="118" spans="1:101" s="5" customFormat="1" x14ac:dyDescent="0.35">
      <c r="A118" s="4" t="s">
        <v>96</v>
      </c>
      <c r="B118" s="4">
        <v>5.833333333333333</v>
      </c>
      <c r="C118" s="4" t="s">
        <v>168</v>
      </c>
      <c r="D118" s="4" t="s">
        <v>404</v>
      </c>
      <c r="E118" s="3"/>
      <c r="F118" s="5">
        <v>2.3000000000000003</v>
      </c>
      <c r="G118" s="5">
        <v>4.0250000000000004</v>
      </c>
      <c r="H118" s="5">
        <v>2.6819999999999999</v>
      </c>
      <c r="I118" s="5">
        <v>2.0250000000000004</v>
      </c>
      <c r="K118" s="3">
        <f t="shared" ca="1" si="184"/>
        <v>0.97782608695652151</v>
      </c>
      <c r="L118" s="3">
        <f t="shared" ca="1" si="185"/>
        <v>0.9935403726708073</v>
      </c>
      <c r="M118" s="3">
        <f t="shared" ca="1" si="186"/>
        <v>0.99403430275913518</v>
      </c>
      <c r="N118" s="3">
        <f t="shared" ca="1" si="187"/>
        <v>0.98765432098765416</v>
      </c>
      <c r="P118" s="3">
        <f t="shared" ca="1" si="188"/>
        <v>0.89826082243867533</v>
      </c>
      <c r="Q118" s="3">
        <f t="shared" ca="1" si="189"/>
        <v>0.96869568924726157</v>
      </c>
      <c r="R118" s="3">
        <f t="shared" ca="1" si="190"/>
        <v>0.71401937429270224</v>
      </c>
      <c r="S118" s="3">
        <f t="shared" ca="1" si="191"/>
        <v>0.56790125498801092</v>
      </c>
      <c r="U118" s="3">
        <f t="shared" ca="1" si="192"/>
        <v>3.043478260869565</v>
      </c>
      <c r="V118" s="3">
        <f t="shared" ca="1" si="193"/>
        <v>1.2422360248447204</v>
      </c>
      <c r="W118" s="3">
        <f t="shared" ca="1" si="194"/>
        <v>2.609992542878449</v>
      </c>
      <c r="X118" s="3">
        <f t="shared" ca="1" si="195"/>
        <v>1.4814814814814812</v>
      </c>
      <c r="Z118" s="3">
        <f t="shared" ca="1" si="196"/>
        <v>0.97782608695652151</v>
      </c>
      <c r="AA118" s="3">
        <f t="shared" ca="1" si="197"/>
        <v>0.9935403726708073</v>
      </c>
      <c r="AB118" s="3">
        <f t="shared" ca="1" si="198"/>
        <v>0.76435495898583161</v>
      </c>
      <c r="AC118" s="3">
        <f t="shared" ca="1" si="199"/>
        <v>0.66666666666666663</v>
      </c>
      <c r="AE118" s="3">
        <f t="shared" ca="1" si="200"/>
        <v>0.89826082243867533</v>
      </c>
      <c r="AF118" s="3">
        <f t="shared" ca="1" si="201"/>
        <v>0.96869568924726157</v>
      </c>
      <c r="AG118" s="3">
        <f t="shared" ca="1" si="202"/>
        <v>0.71401937429270224</v>
      </c>
      <c r="AH118" s="3">
        <f t="shared" ca="1" si="203"/>
        <v>0.56790125498801092</v>
      </c>
      <c r="AJ118" s="3">
        <f t="shared" ca="1" si="204"/>
        <v>3.043478260869565</v>
      </c>
      <c r="AK118" s="3">
        <f t="shared" ca="1" si="205"/>
        <v>1.2422360248447204</v>
      </c>
      <c r="AL118" s="3">
        <f t="shared" ca="1" si="206"/>
        <v>2.609992542878449</v>
      </c>
      <c r="AM118" s="3">
        <f t="shared" ca="1" si="207"/>
        <v>1.4814814814814812</v>
      </c>
      <c r="AO118" s="3">
        <f t="shared" ca="1" si="208"/>
        <v>0.86956521739130421</v>
      </c>
      <c r="AP118" s="3">
        <f t="shared" ca="1" si="209"/>
        <v>0.24844720496894407</v>
      </c>
      <c r="AQ118" s="3">
        <f t="shared" ca="1" si="210"/>
        <v>0.74571215510812827</v>
      </c>
      <c r="AR118" s="3">
        <f t="shared" ca="1" si="211"/>
        <v>1.4814814814814812</v>
      </c>
      <c r="AT118" s="5">
        <v>5.000000074505806E-2</v>
      </c>
      <c r="AU118" s="5">
        <v>1.3000000268220901E-2</v>
      </c>
      <c r="AV118" s="5">
        <v>1.9769999980926514</v>
      </c>
      <c r="AW118" s="5">
        <v>2.500000037252903E-2</v>
      </c>
      <c r="AY118" s="3">
        <f t="shared" ca="1" si="212"/>
        <v>0.54304347826086952</v>
      </c>
      <c r="AZ118" s="3">
        <f t="shared" ca="1" si="213"/>
        <v>0.81167701863354036</v>
      </c>
      <c r="BA118" s="3">
        <f t="shared" ca="1" si="214"/>
        <v>0.3232662192393736</v>
      </c>
      <c r="BB118" s="3">
        <f t="shared" ca="1" si="215"/>
        <v>0.27160493827160487</v>
      </c>
      <c r="BD118" s="3">
        <f t="shared" ca="1" si="216"/>
        <v>0.49260865087094508</v>
      </c>
      <c r="BE118" s="3">
        <f t="shared" ca="1" si="217"/>
        <v>0.88173916621237802</v>
      </c>
      <c r="BF118" s="3">
        <f t="shared" ca="1" si="218"/>
        <v>0.19239374810772811</v>
      </c>
      <c r="BG118" s="3">
        <f t="shared" ca="1" si="219"/>
        <v>0.26320988749280383</v>
      </c>
      <c r="BI118" s="3">
        <f t="shared" ca="1" si="220"/>
        <v>1.7391304347826084</v>
      </c>
      <c r="BJ118" s="3">
        <f t="shared" ca="1" si="221"/>
        <v>0.99378881987577627</v>
      </c>
      <c r="BK118" s="3">
        <f t="shared" ca="1" si="222"/>
        <v>0.74571215510812827</v>
      </c>
      <c r="BL118" s="3">
        <f t="shared" ca="1" si="223"/>
        <v>0.49382716049382708</v>
      </c>
      <c r="BN118" s="3">
        <f t="shared" ca="1" si="224"/>
        <v>0.86956521739130421</v>
      </c>
      <c r="BO118" s="3">
        <f t="shared" ca="1" si="225"/>
        <v>0.49689440993788814</v>
      </c>
      <c r="BP118" s="3">
        <f t="shared" ca="1" si="226"/>
        <v>1.1185682326621924</v>
      </c>
      <c r="BQ118" s="3">
        <f t="shared" ca="1" si="227"/>
        <v>0.98765432098765416</v>
      </c>
      <c r="BS118" s="5">
        <v>2</v>
      </c>
      <c r="BT118" s="5">
        <v>0.37900000810623169</v>
      </c>
      <c r="BU118" s="5">
        <v>2.3610000610351563</v>
      </c>
      <c r="BV118" s="5">
        <v>0.44200000166893005</v>
      </c>
      <c r="BX118" s="3">
        <f t="shared" ca="1" si="228"/>
        <v>0</v>
      </c>
      <c r="BY118" s="3">
        <f t="shared" ca="1" si="229"/>
        <v>2.4844720496894408E-2</v>
      </c>
      <c r="BZ118" s="3">
        <f t="shared" ca="1" si="230"/>
        <v>4.3251304996271479E-2</v>
      </c>
      <c r="CA118" s="3">
        <f t="shared" ca="1" si="231"/>
        <v>7.90123456790124E-3</v>
      </c>
      <c r="CC118" s="3">
        <f t="shared" ca="1" si="232"/>
        <v>0</v>
      </c>
      <c r="CD118" s="3">
        <f t="shared" ca="1" si="233"/>
        <v>0</v>
      </c>
      <c r="CE118" s="3">
        <f t="shared" ca="1" si="234"/>
        <v>0</v>
      </c>
      <c r="CF118" s="3">
        <f t="shared" ca="1" si="235"/>
        <v>0</v>
      </c>
      <c r="CH118" s="3">
        <f t="shared" ca="1" si="236"/>
        <v>0</v>
      </c>
      <c r="CI118" s="3">
        <f t="shared" ca="1" si="237"/>
        <v>0</v>
      </c>
      <c r="CJ118" s="3">
        <f t="shared" ca="1" si="238"/>
        <v>0</v>
      </c>
      <c r="CK118" s="3">
        <f t="shared" ca="1" si="239"/>
        <v>0</v>
      </c>
      <c r="CM118" s="3">
        <f t="shared" ca="1" si="240"/>
        <v>0</v>
      </c>
      <c r="CN118" s="3">
        <f t="shared" ca="1" si="241"/>
        <v>0.49689440993788814</v>
      </c>
      <c r="CO118" s="3">
        <f t="shared" ca="1" si="242"/>
        <v>0.37285607755406414</v>
      </c>
      <c r="CP118" s="3">
        <f t="shared" ca="1" si="243"/>
        <v>0.98765432098765416</v>
      </c>
      <c r="CR118" s="5">
        <v>4.0170000000000003</v>
      </c>
      <c r="CS118" s="5">
        <v>4.0250000000000004</v>
      </c>
      <c r="CT118" s="5">
        <v>4.01</v>
      </c>
      <c r="CU118" s="5">
        <v>4.016</v>
      </c>
      <c r="CV118" s="21">
        <f t="shared" ca="1" si="183"/>
        <v>0.19239374810772811</v>
      </c>
      <c r="CW118" s="16">
        <f t="shared" ca="1" si="182"/>
        <v>5.833333333333333</v>
      </c>
    </row>
    <row r="119" spans="1:101" s="5" customFormat="1" x14ac:dyDescent="0.35">
      <c r="A119" s="4" t="s">
        <v>115</v>
      </c>
      <c r="B119" s="4">
        <v>6</v>
      </c>
      <c r="C119" s="4" t="s">
        <v>168</v>
      </c>
      <c r="D119" s="4" t="s">
        <v>404</v>
      </c>
      <c r="E119" s="3"/>
      <c r="F119" s="5">
        <v>2.742</v>
      </c>
      <c r="G119" s="5">
        <v>3.2240000000000002</v>
      </c>
      <c r="H119" s="5">
        <v>1.0089999999999999</v>
      </c>
      <c r="I119" s="11" t="e">
        <v>#N/A</v>
      </c>
      <c r="K119" s="3">
        <f t="shared" ca="1" si="184"/>
        <v>0.96644784828592267</v>
      </c>
      <c r="L119" s="3">
        <f t="shared" ca="1" si="185"/>
        <v>0.98263027295285355</v>
      </c>
      <c r="M119" s="3" t="e">
        <f t="shared" ca="1" si="186"/>
        <v>#N/A</v>
      </c>
      <c r="N119" s="3" t="e">
        <f t="shared" ca="1" si="187"/>
        <v>#N/A</v>
      </c>
      <c r="P119" s="3">
        <f t="shared" ca="1" si="188"/>
        <v>0.64989050577192908</v>
      </c>
      <c r="Q119" s="3">
        <f t="shared" ca="1" si="189"/>
        <v>0.87406959502539472</v>
      </c>
      <c r="R119" s="3" t="e">
        <f t="shared" ca="1" si="190"/>
        <v>#N/A</v>
      </c>
      <c r="S119" s="3" t="e">
        <f t="shared" ca="1" si="191"/>
        <v>#N/A</v>
      </c>
      <c r="U119" s="3">
        <f t="shared" ca="1" si="192"/>
        <v>1.0940919037199124</v>
      </c>
      <c r="V119" s="3">
        <f t="shared" ca="1" si="193"/>
        <v>2.791563275434243</v>
      </c>
      <c r="W119" s="3" t="e">
        <f t="shared" ca="1" si="194"/>
        <v>#N/A</v>
      </c>
      <c r="X119" s="3" t="e">
        <f t="shared" ca="1" si="195"/>
        <v>#N/A</v>
      </c>
      <c r="Z119" s="3">
        <f t="shared" ca="1" si="196"/>
        <v>0.68672501823486509</v>
      </c>
      <c r="AA119" s="3">
        <f t="shared" ca="1" si="197"/>
        <v>0.95130272952853601</v>
      </c>
      <c r="AB119" s="3" t="e">
        <f t="shared" ca="1" si="198"/>
        <v>#N/A</v>
      </c>
      <c r="AC119" s="3" t="e">
        <f t="shared" ca="1" si="199"/>
        <v>#N/A</v>
      </c>
      <c r="AE119" s="3">
        <f t="shared" ca="1" si="200"/>
        <v>0.64989050577192908</v>
      </c>
      <c r="AF119" s="3">
        <f t="shared" ca="1" si="201"/>
        <v>0.84305218092764422</v>
      </c>
      <c r="AG119" s="3" t="e">
        <f t="shared" ca="1" si="202"/>
        <v>#N/A</v>
      </c>
      <c r="AH119" s="3" t="e">
        <f t="shared" ca="1" si="203"/>
        <v>#N/A</v>
      </c>
      <c r="AJ119" s="3">
        <f t="shared" ca="1" si="204"/>
        <v>1.0940919037199124</v>
      </c>
      <c r="AK119" s="3">
        <f t="shared" ca="1" si="205"/>
        <v>2.4813895781637716</v>
      </c>
      <c r="AL119" s="3" t="e">
        <f t="shared" ca="1" si="206"/>
        <v>#N/A</v>
      </c>
      <c r="AM119" s="3" t="e">
        <f t="shared" ca="1" si="207"/>
        <v>#N/A</v>
      </c>
      <c r="AO119" s="3">
        <f t="shared" ca="1" si="208"/>
        <v>0.36469730123997085</v>
      </c>
      <c r="AP119" s="3">
        <f t="shared" ca="1" si="209"/>
        <v>1.2406947890818858</v>
      </c>
      <c r="AQ119" s="3" t="e">
        <f t="shared" ca="1" si="210"/>
        <v>#N/A</v>
      </c>
      <c r="AR119" s="3" t="e">
        <f t="shared" ca="1" si="211"/>
        <v>#N/A</v>
      </c>
      <c r="AT119" s="5">
        <v>0.9089999794960022</v>
      </c>
      <c r="AU119" s="5">
        <v>1.4000000432133675E-2</v>
      </c>
      <c r="AV119" s="11" t="e">
        <v>#N/A</v>
      </c>
      <c r="AW119" s="11" t="e">
        <v>#N/A</v>
      </c>
      <c r="AY119" s="3">
        <f t="shared" ca="1" si="212"/>
        <v>0.37053245805981039</v>
      </c>
      <c r="AZ119" s="3">
        <f t="shared" ca="1" si="213"/>
        <v>8.7779156327543462E-2</v>
      </c>
      <c r="BA119" s="3" t="e">
        <f t="shared" ca="1" si="214"/>
        <v>#N/A</v>
      </c>
      <c r="BB119" s="3" t="e">
        <f t="shared" ca="1" si="215"/>
        <v>#N/A</v>
      </c>
      <c r="BD119" s="3">
        <f t="shared" ca="1" si="216"/>
        <v>0.41320206995518166</v>
      </c>
      <c r="BE119" s="3">
        <f t="shared" ca="1" si="217"/>
        <v>0.10359801222609527</v>
      </c>
      <c r="BF119" s="3" t="e">
        <f t="shared" ca="1" si="218"/>
        <v>#N/A</v>
      </c>
      <c r="BG119" s="3" t="e">
        <f t="shared" ca="1" si="219"/>
        <v>#N/A</v>
      </c>
      <c r="BI119" s="3">
        <f t="shared" ca="1" si="220"/>
        <v>0.36469730123997085</v>
      </c>
      <c r="BJ119" s="3">
        <f t="shared" ca="1" si="221"/>
        <v>0.31017369727047145</v>
      </c>
      <c r="BK119" s="3" t="e">
        <f t="shared" ca="1" si="222"/>
        <v>#N/A</v>
      </c>
      <c r="BL119" s="3" t="e">
        <f t="shared" ca="1" si="223"/>
        <v>#N/A</v>
      </c>
      <c r="BN119" s="3">
        <f t="shared" ca="1" si="224"/>
        <v>0.36469730123997085</v>
      </c>
      <c r="BO119" s="3">
        <f t="shared" ca="1" si="225"/>
        <v>0.6203473945409429</v>
      </c>
      <c r="BP119" s="3" t="e">
        <f t="shared" ca="1" si="226"/>
        <v>#N/A</v>
      </c>
      <c r="BQ119" s="3" t="e">
        <f t="shared" ca="1" si="227"/>
        <v>#N/A</v>
      </c>
      <c r="BS119" s="5">
        <v>0.9089999794960022</v>
      </c>
      <c r="BT119" s="5">
        <v>1.8140000104904175</v>
      </c>
      <c r="BU119" s="11" t="e">
        <v>#N/A</v>
      </c>
      <c r="BV119" s="11" t="e">
        <v>#N/A</v>
      </c>
      <c r="BX119" s="3">
        <f t="shared" ca="1" si="228"/>
        <v>1.2035010940919048E-2</v>
      </c>
      <c r="BY119" s="3">
        <f t="shared" ca="1" si="229"/>
        <v>5.2729528535981228E-3</v>
      </c>
      <c r="BZ119" s="3" t="e">
        <f t="shared" ca="1" si="230"/>
        <v>#N/A</v>
      </c>
      <c r="CA119" s="3" t="e">
        <f t="shared" ca="1" si="231"/>
        <v>#N/A</v>
      </c>
      <c r="CC119" s="3">
        <f t="shared" ca="1" si="232"/>
        <v>0</v>
      </c>
      <c r="CD119" s="3">
        <f t="shared" ca="1" si="233"/>
        <v>0</v>
      </c>
      <c r="CE119" s="3" t="e">
        <f t="shared" ca="1" si="234"/>
        <v>#N/A</v>
      </c>
      <c r="CF119" s="3" t="e">
        <f t="shared" ca="1" si="235"/>
        <v>#N/A</v>
      </c>
      <c r="CH119" s="3">
        <f t="shared" ca="1" si="236"/>
        <v>0</v>
      </c>
      <c r="CI119" s="3">
        <f t="shared" ca="1" si="237"/>
        <v>0</v>
      </c>
      <c r="CJ119" s="3" t="e">
        <f t="shared" ca="1" si="238"/>
        <v>#N/A</v>
      </c>
      <c r="CK119" s="3" t="e">
        <f t="shared" ca="1" si="239"/>
        <v>#N/A</v>
      </c>
      <c r="CM119" s="3">
        <f t="shared" ca="1" si="240"/>
        <v>0.36469730123997085</v>
      </c>
      <c r="CN119" s="3">
        <f t="shared" ca="1" si="241"/>
        <v>0.31017369727047145</v>
      </c>
      <c r="CO119" s="3" t="e">
        <f t="shared" ca="1" si="242"/>
        <v>#N/A</v>
      </c>
      <c r="CP119" s="3" t="e">
        <f t="shared" ca="1" si="243"/>
        <v>#N/A</v>
      </c>
      <c r="CR119" s="5">
        <v>4.032</v>
      </c>
      <c r="CS119" s="5">
        <v>3.99</v>
      </c>
      <c r="CT119" s="11" t="e">
        <v>#N/A</v>
      </c>
      <c r="CU119" s="11" t="e">
        <v>#N/A</v>
      </c>
      <c r="CV119" s="21" t="e">
        <f t="shared" ca="1" si="183"/>
        <v>#N/A</v>
      </c>
      <c r="CW119" s="16">
        <f t="shared" ca="1" si="182"/>
        <v>6</v>
      </c>
    </row>
    <row r="120" spans="1:101" s="5" customFormat="1" x14ac:dyDescent="0.35">
      <c r="A120" s="4" t="s">
        <v>99</v>
      </c>
      <c r="B120" s="4">
        <v>6.083333333333333</v>
      </c>
      <c r="C120" s="4" t="s">
        <v>168</v>
      </c>
      <c r="D120" s="4" t="s">
        <v>404</v>
      </c>
      <c r="E120" s="3"/>
      <c r="F120" s="5">
        <v>4.0090000000000003</v>
      </c>
      <c r="G120" s="5">
        <v>4.016</v>
      </c>
      <c r="H120" s="5">
        <v>4.0149999999999997</v>
      </c>
      <c r="I120" s="5">
        <v>4.01</v>
      </c>
      <c r="K120" s="3">
        <f t="shared" ca="1" si="184"/>
        <v>0.99351459216762283</v>
      </c>
      <c r="L120" s="3">
        <f t="shared" ca="1" si="185"/>
        <v>0.99601593625498008</v>
      </c>
      <c r="M120" s="3">
        <f t="shared" ca="1" si="186"/>
        <v>0.9962640099626402</v>
      </c>
      <c r="N120" s="3">
        <f t="shared" ca="1" si="187"/>
        <v>0.99725685785536167</v>
      </c>
      <c r="P120" s="3">
        <f t="shared" ca="1" si="188"/>
        <v>0.93514594347228963</v>
      </c>
      <c r="Q120" s="3">
        <f t="shared" ca="1" si="189"/>
        <v>0.94621509672569271</v>
      </c>
      <c r="R120" s="3">
        <f t="shared" ca="1" si="190"/>
        <v>0.86699875806960491</v>
      </c>
      <c r="S120" s="3">
        <f t="shared" ca="1" si="191"/>
        <v>0.91446376500878845</v>
      </c>
      <c r="U120" s="3">
        <f t="shared" ca="1" si="192"/>
        <v>1.2471938139186829</v>
      </c>
      <c r="V120" s="3">
        <f t="shared" ca="1" si="193"/>
        <v>1.7430278884462151</v>
      </c>
      <c r="W120" s="3">
        <f t="shared" ca="1" si="194"/>
        <v>2.7397260273972606</v>
      </c>
      <c r="X120" s="3">
        <f t="shared" ca="1" si="195"/>
        <v>2.2443890274314215</v>
      </c>
      <c r="Z120" s="3">
        <f t="shared" ca="1" si="196"/>
        <v>0.99351459216762283</v>
      </c>
      <c r="AA120" s="3">
        <f t="shared" ca="1" si="197"/>
        <v>0.99601593625498008</v>
      </c>
      <c r="AB120" s="3">
        <f t="shared" ca="1" si="198"/>
        <v>0.91731008717310092</v>
      </c>
      <c r="AC120" s="3">
        <f t="shared" ca="1" si="199"/>
        <v>0.90997506234413972</v>
      </c>
      <c r="AE120" s="3">
        <f t="shared" ca="1" si="200"/>
        <v>0.93514594347228963</v>
      </c>
      <c r="AF120" s="3">
        <f t="shared" ca="1" si="201"/>
        <v>0.94621509672569271</v>
      </c>
      <c r="AG120" s="3">
        <f t="shared" ca="1" si="202"/>
        <v>0.82540473486685373</v>
      </c>
      <c r="AH120" s="3">
        <f t="shared" ca="1" si="203"/>
        <v>0.85610965838158815</v>
      </c>
      <c r="AJ120" s="3">
        <f t="shared" ca="1" si="204"/>
        <v>1.2471938139186829</v>
      </c>
      <c r="AK120" s="3">
        <f t="shared" ca="1" si="205"/>
        <v>1.7430278884462151</v>
      </c>
      <c r="AL120" s="3">
        <f t="shared" ca="1" si="206"/>
        <v>2.4906600249066004</v>
      </c>
      <c r="AM120" s="3">
        <f t="shared" ca="1" si="207"/>
        <v>1.9950124688279303</v>
      </c>
      <c r="AO120" s="3">
        <f t="shared" ca="1" si="208"/>
        <v>0.24943876278373658</v>
      </c>
      <c r="AP120" s="3">
        <f t="shared" ca="1" si="209"/>
        <v>0.24900398406374502</v>
      </c>
      <c r="AQ120" s="3">
        <f t="shared" ca="1" si="210"/>
        <v>0.4981320049813201</v>
      </c>
      <c r="AR120" s="3">
        <f t="shared" ca="1" si="211"/>
        <v>0.49875311720698257</v>
      </c>
      <c r="AT120" s="5">
        <v>4.5000001788139343E-2</v>
      </c>
      <c r="AU120" s="5">
        <v>4.999999888241291E-3</v>
      </c>
      <c r="AV120" s="5">
        <v>0.42500001192092896</v>
      </c>
      <c r="AW120" s="5">
        <v>0</v>
      </c>
      <c r="AY120" s="3">
        <f t="shared" ca="1" si="212"/>
        <v>0.29109503616862054</v>
      </c>
      <c r="AZ120" s="3">
        <f t="shared" ca="1" si="213"/>
        <v>0.25273904382470108</v>
      </c>
      <c r="BA120" s="3">
        <f t="shared" ca="1" si="214"/>
        <v>0.23262764632627647</v>
      </c>
      <c r="BB120" s="3">
        <f t="shared" ca="1" si="215"/>
        <v>0.10798004987531185</v>
      </c>
      <c r="BD120" s="3">
        <f t="shared" ca="1" si="216"/>
        <v>0.29508604852301007</v>
      </c>
      <c r="BE120" s="3">
        <f t="shared" ca="1" si="217"/>
        <v>9.9601558005192367E-2</v>
      </c>
      <c r="BF120" s="3">
        <f t="shared" ca="1" si="218"/>
        <v>0.19900374216576147</v>
      </c>
      <c r="BG120" s="3">
        <f t="shared" ca="1" si="219"/>
        <v>0</v>
      </c>
      <c r="BI120" s="3">
        <f t="shared" ca="1" si="220"/>
        <v>0.49887752556747317</v>
      </c>
      <c r="BJ120" s="3">
        <f t="shared" ca="1" si="221"/>
        <v>0.49800796812749004</v>
      </c>
      <c r="BK120" s="3">
        <f t="shared" ca="1" si="222"/>
        <v>0.74719800747198017</v>
      </c>
      <c r="BL120" s="3">
        <f t="shared" ca="1" si="223"/>
        <v>0</v>
      </c>
      <c r="BN120" s="3">
        <f t="shared" ca="1" si="224"/>
        <v>0.49887752556747317</v>
      </c>
      <c r="BO120" s="3">
        <f t="shared" ca="1" si="225"/>
        <v>0.99601593625498008</v>
      </c>
      <c r="BP120" s="3">
        <f t="shared" ca="1" si="226"/>
        <v>1.2453300124533002</v>
      </c>
      <c r="BQ120" s="3">
        <f t="shared" ca="1" si="227"/>
        <v>0.74812967581047385</v>
      </c>
      <c r="BS120" s="5">
        <v>0.92799997329711914</v>
      </c>
      <c r="BT120" s="5">
        <v>1.6549999713897705</v>
      </c>
      <c r="BU120" s="5">
        <v>0.42500001192092896</v>
      </c>
      <c r="BV120" s="5">
        <v>4.01</v>
      </c>
      <c r="BX120" s="3">
        <f t="shared" ca="1" si="228"/>
        <v>2.0952856073833889E-2</v>
      </c>
      <c r="BY120" s="3">
        <f t="shared" ca="1" si="229"/>
        <v>3.7350597609561845E-2</v>
      </c>
      <c r="BZ120" s="3">
        <f t="shared" ca="1" si="230"/>
        <v>0</v>
      </c>
      <c r="CA120" s="3">
        <f t="shared" ca="1" si="231"/>
        <v>0</v>
      </c>
      <c r="CC120" s="3">
        <f t="shared" ca="1" si="232"/>
        <v>0</v>
      </c>
      <c r="CD120" s="3">
        <f t="shared" ca="1" si="233"/>
        <v>0</v>
      </c>
      <c r="CE120" s="3">
        <f t="shared" ca="1" si="234"/>
        <v>0</v>
      </c>
      <c r="CF120" s="3">
        <f t="shared" ca="1" si="235"/>
        <v>0</v>
      </c>
      <c r="CH120" s="3">
        <f t="shared" ca="1" si="236"/>
        <v>0</v>
      </c>
      <c r="CI120" s="3">
        <f t="shared" ca="1" si="237"/>
        <v>0</v>
      </c>
      <c r="CJ120" s="3">
        <f t="shared" ca="1" si="238"/>
        <v>0</v>
      </c>
      <c r="CK120" s="3">
        <f t="shared" ca="1" si="239"/>
        <v>0</v>
      </c>
      <c r="CM120" s="3">
        <f t="shared" ca="1" si="240"/>
        <v>0.74831628835120967</v>
      </c>
      <c r="CN120" s="3">
        <f t="shared" ca="1" si="241"/>
        <v>0.24900398406374502</v>
      </c>
      <c r="CO120" s="3">
        <f t="shared" ca="1" si="242"/>
        <v>0.24906600249066005</v>
      </c>
      <c r="CP120" s="3">
        <f t="shared" ca="1" si="243"/>
        <v>0</v>
      </c>
      <c r="CR120" s="5">
        <v>4.0090000000000003</v>
      </c>
      <c r="CS120" s="5">
        <v>4.016</v>
      </c>
      <c r="CT120" s="5">
        <v>4.0149999999999997</v>
      </c>
      <c r="CU120" s="5">
        <v>4.01</v>
      </c>
      <c r="CV120" s="21">
        <f t="shared" ca="1" si="183"/>
        <v>0.19900374216576147</v>
      </c>
      <c r="CW120" s="16">
        <f t="shared" ca="1" si="182"/>
        <v>6.083333333333333</v>
      </c>
    </row>
    <row r="121" spans="1:101" s="5" customFormat="1" x14ac:dyDescent="0.35">
      <c r="A121" s="4" t="s">
        <v>140</v>
      </c>
      <c r="B121" s="4">
        <v>6.083333333333333</v>
      </c>
      <c r="C121" s="4" t="s">
        <v>168</v>
      </c>
      <c r="D121" s="4" t="s">
        <v>404</v>
      </c>
      <c r="E121" s="3"/>
      <c r="F121" s="11" t="e">
        <v>#N/A</v>
      </c>
      <c r="G121" s="11" t="e">
        <v>#N/A</v>
      </c>
      <c r="H121" s="5">
        <v>1.359</v>
      </c>
      <c r="I121" s="11" t="e">
        <v>#N/A</v>
      </c>
      <c r="K121" s="3" t="e">
        <f t="shared" ca="1" si="184"/>
        <v>#N/A</v>
      </c>
      <c r="L121" s="3" t="e">
        <f t="shared" ca="1" si="185"/>
        <v>#N/A</v>
      </c>
      <c r="M121" s="3" t="e">
        <f t="shared" ca="1" si="186"/>
        <v>#N/A</v>
      </c>
      <c r="N121" s="3" t="e">
        <f t="shared" ca="1" si="187"/>
        <v>#N/A</v>
      </c>
      <c r="P121" s="3" t="e">
        <f t="shared" ca="1" si="188"/>
        <v>#N/A</v>
      </c>
      <c r="Q121" s="3" t="e">
        <f t="shared" ca="1" si="189"/>
        <v>#N/A</v>
      </c>
      <c r="R121" s="3" t="e">
        <f t="shared" ca="1" si="190"/>
        <v>#N/A</v>
      </c>
      <c r="S121" s="3" t="e">
        <f t="shared" ca="1" si="191"/>
        <v>#N/A</v>
      </c>
      <c r="U121" s="3" t="e">
        <f t="shared" ca="1" si="192"/>
        <v>#N/A</v>
      </c>
      <c r="V121" s="3" t="e">
        <f t="shared" ca="1" si="193"/>
        <v>#N/A</v>
      </c>
      <c r="W121" s="3" t="e">
        <f t="shared" ca="1" si="194"/>
        <v>#N/A</v>
      </c>
      <c r="X121" s="3" t="e">
        <f t="shared" ca="1" si="195"/>
        <v>#N/A</v>
      </c>
      <c r="Z121" s="3" t="e">
        <f t="shared" ca="1" si="196"/>
        <v>#N/A</v>
      </c>
      <c r="AA121" s="3" t="e">
        <f t="shared" ca="1" si="197"/>
        <v>#N/A</v>
      </c>
      <c r="AB121" s="3" t="e">
        <f t="shared" ca="1" si="198"/>
        <v>#N/A</v>
      </c>
      <c r="AC121" s="3" t="e">
        <f t="shared" ca="1" si="199"/>
        <v>#N/A</v>
      </c>
      <c r="AE121" s="3" t="e">
        <f t="shared" ca="1" si="200"/>
        <v>#N/A</v>
      </c>
      <c r="AF121" s="3" t="e">
        <f t="shared" ca="1" si="201"/>
        <v>#N/A</v>
      </c>
      <c r="AG121" s="3" t="e">
        <f t="shared" ca="1" si="202"/>
        <v>#N/A</v>
      </c>
      <c r="AH121" s="3" t="e">
        <f t="shared" ca="1" si="203"/>
        <v>#N/A</v>
      </c>
      <c r="AJ121" s="3" t="e">
        <f t="shared" ca="1" si="204"/>
        <v>#N/A</v>
      </c>
      <c r="AK121" s="3" t="e">
        <f t="shared" ca="1" si="205"/>
        <v>#N/A</v>
      </c>
      <c r="AL121" s="3" t="e">
        <f t="shared" ca="1" si="206"/>
        <v>#N/A</v>
      </c>
      <c r="AM121" s="3" t="e">
        <f t="shared" ca="1" si="207"/>
        <v>#N/A</v>
      </c>
      <c r="AO121" s="3" t="e">
        <f t="shared" ca="1" si="208"/>
        <v>#N/A</v>
      </c>
      <c r="AP121" s="3" t="e">
        <f t="shared" ca="1" si="209"/>
        <v>#N/A</v>
      </c>
      <c r="AQ121" s="3" t="e">
        <f t="shared" ca="1" si="210"/>
        <v>#N/A</v>
      </c>
      <c r="AR121" s="3" t="e">
        <f t="shared" ca="1" si="211"/>
        <v>#N/A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Y121" s="3" t="e">
        <f t="shared" ca="1" si="212"/>
        <v>#N/A</v>
      </c>
      <c r="AZ121" s="3" t="e">
        <f t="shared" ca="1" si="213"/>
        <v>#N/A</v>
      </c>
      <c r="BA121" s="3" t="e">
        <f t="shared" ca="1" si="214"/>
        <v>#N/A</v>
      </c>
      <c r="BB121" s="3" t="e">
        <f t="shared" ca="1" si="215"/>
        <v>#N/A</v>
      </c>
      <c r="BD121" s="3" t="e">
        <f t="shared" ca="1" si="216"/>
        <v>#N/A</v>
      </c>
      <c r="BE121" s="3" t="e">
        <f t="shared" ca="1" si="217"/>
        <v>#N/A</v>
      </c>
      <c r="BF121" s="3" t="e">
        <f t="shared" ca="1" si="218"/>
        <v>#N/A</v>
      </c>
      <c r="BG121" s="3" t="e">
        <f t="shared" ca="1" si="219"/>
        <v>#N/A</v>
      </c>
      <c r="BI121" s="3" t="e">
        <f t="shared" ca="1" si="220"/>
        <v>#N/A</v>
      </c>
      <c r="BJ121" s="3" t="e">
        <f t="shared" ca="1" si="221"/>
        <v>#N/A</v>
      </c>
      <c r="BK121" s="3" t="e">
        <f t="shared" ca="1" si="222"/>
        <v>#N/A</v>
      </c>
      <c r="BL121" s="3" t="e">
        <f t="shared" ca="1" si="223"/>
        <v>#N/A</v>
      </c>
      <c r="BN121" s="3" t="e">
        <f t="shared" ca="1" si="224"/>
        <v>#N/A</v>
      </c>
      <c r="BO121" s="3" t="e">
        <f t="shared" ca="1" si="225"/>
        <v>#N/A</v>
      </c>
      <c r="BP121" s="3" t="e">
        <f t="shared" ca="1" si="226"/>
        <v>#N/A</v>
      </c>
      <c r="BQ121" s="3" t="e">
        <f t="shared" ca="1" si="227"/>
        <v>#N/A</v>
      </c>
      <c r="BS121" s="11" t="e">
        <v>#N/A</v>
      </c>
      <c r="BT121" s="11" t="e">
        <v>#N/A</v>
      </c>
      <c r="BU121" s="11" t="e">
        <v>#N/A</v>
      </c>
      <c r="BV121" s="11" t="e">
        <v>#N/A</v>
      </c>
      <c r="BX121" s="3" t="e">
        <f t="shared" ca="1" si="228"/>
        <v>#N/A</v>
      </c>
      <c r="BY121" s="3" t="e">
        <f t="shared" ca="1" si="229"/>
        <v>#N/A</v>
      </c>
      <c r="BZ121" s="3" t="e">
        <f t="shared" ca="1" si="230"/>
        <v>#N/A</v>
      </c>
      <c r="CA121" s="3" t="e">
        <f t="shared" ca="1" si="231"/>
        <v>#N/A</v>
      </c>
      <c r="CC121" s="3" t="e">
        <f t="shared" ca="1" si="232"/>
        <v>#N/A</v>
      </c>
      <c r="CD121" s="3" t="e">
        <f t="shared" ca="1" si="233"/>
        <v>#N/A</v>
      </c>
      <c r="CE121" s="3" t="e">
        <f t="shared" ca="1" si="234"/>
        <v>#N/A</v>
      </c>
      <c r="CF121" s="3" t="e">
        <f t="shared" ca="1" si="235"/>
        <v>#N/A</v>
      </c>
      <c r="CH121" s="3" t="e">
        <f t="shared" ca="1" si="236"/>
        <v>#N/A</v>
      </c>
      <c r="CI121" s="3" t="e">
        <f t="shared" ca="1" si="237"/>
        <v>#N/A</v>
      </c>
      <c r="CJ121" s="3" t="e">
        <f t="shared" ca="1" si="238"/>
        <v>#N/A</v>
      </c>
      <c r="CK121" s="3" t="e">
        <f t="shared" ca="1" si="239"/>
        <v>#N/A</v>
      </c>
      <c r="CM121" s="3" t="e">
        <f t="shared" ca="1" si="240"/>
        <v>#N/A</v>
      </c>
      <c r="CN121" s="3" t="e">
        <f t="shared" ca="1" si="241"/>
        <v>#N/A</v>
      </c>
      <c r="CO121" s="3" t="e">
        <f t="shared" ca="1" si="242"/>
        <v>#N/A</v>
      </c>
      <c r="CP121" s="3" t="e">
        <f t="shared" ca="1" si="243"/>
        <v>#N/A</v>
      </c>
      <c r="CR121" s="11" t="e">
        <v>#N/A</v>
      </c>
      <c r="CS121" s="11" t="e">
        <v>#N/A</v>
      </c>
      <c r="CT121" s="11" t="e">
        <v>#N/A</v>
      </c>
      <c r="CU121" s="11" t="e">
        <v>#N/A</v>
      </c>
      <c r="CV121" s="21" t="e">
        <f t="shared" ca="1" si="183"/>
        <v>#N/A</v>
      </c>
      <c r="CW121" s="16">
        <f t="shared" ca="1" si="182"/>
        <v>6.083333333333333</v>
      </c>
    </row>
    <row r="122" spans="1:101" s="5" customFormat="1" x14ac:dyDescent="0.35">
      <c r="A122" s="4" t="s">
        <v>147</v>
      </c>
      <c r="B122" s="4">
        <v>6.083333333333333</v>
      </c>
      <c r="C122" s="4" t="s">
        <v>168</v>
      </c>
      <c r="D122" s="4" t="s">
        <v>404</v>
      </c>
      <c r="E122" s="3"/>
      <c r="F122" s="5">
        <v>4.0110000000000001</v>
      </c>
      <c r="G122" s="5">
        <v>4.016</v>
      </c>
      <c r="H122" s="5">
        <v>4.01</v>
      </c>
      <c r="I122" s="5">
        <v>4.0149999999999997</v>
      </c>
      <c r="K122" s="3">
        <f t="shared" ca="1" si="184"/>
        <v>0.99301919720767884</v>
      </c>
      <c r="L122" s="3">
        <f t="shared" ca="1" si="185"/>
        <v>0.99576693227091628</v>
      </c>
      <c r="M122" s="3">
        <f t="shared" ca="1" si="186"/>
        <v>0.99725685785536167</v>
      </c>
      <c r="N122" s="3">
        <f t="shared" ca="1" si="187"/>
        <v>0.99601494396014956</v>
      </c>
      <c r="P122" s="3">
        <f t="shared" ca="1" si="188"/>
        <v>0.95986040126568539</v>
      </c>
      <c r="Q122" s="3">
        <f t="shared" ca="1" si="189"/>
        <v>0.91757974309097246</v>
      </c>
      <c r="R122" s="3">
        <f t="shared" ca="1" si="190"/>
        <v>0.98079806379509393</v>
      </c>
      <c r="S122" s="3">
        <f t="shared" ca="1" si="191"/>
        <v>0.95442097337167264</v>
      </c>
      <c r="U122" s="3">
        <f t="shared" ca="1" si="192"/>
        <v>1.7452006980802792</v>
      </c>
      <c r="V122" s="3">
        <f t="shared" ca="1" si="193"/>
        <v>2.739043824701195</v>
      </c>
      <c r="W122" s="3">
        <f t="shared" ca="1" si="194"/>
        <v>1.2468827930174564</v>
      </c>
      <c r="X122" s="3">
        <f t="shared" ca="1" si="195"/>
        <v>1.9925280199252804</v>
      </c>
      <c r="Z122" s="3">
        <f t="shared" ca="1" si="196"/>
        <v>0.99301919720767884</v>
      </c>
      <c r="AA122" s="3">
        <f t="shared" ca="1" si="197"/>
        <v>0.97485059760956161</v>
      </c>
      <c r="AB122" s="3">
        <f t="shared" ca="1" si="198"/>
        <v>0.99725685785536167</v>
      </c>
      <c r="AC122" s="3">
        <f t="shared" ca="1" si="199"/>
        <v>0.99601494396014956</v>
      </c>
      <c r="AE122" s="3">
        <f t="shared" ca="1" si="200"/>
        <v>0.95986040126568539</v>
      </c>
      <c r="AF122" s="3">
        <f t="shared" ca="1" si="201"/>
        <v>0.91757974309097246</v>
      </c>
      <c r="AG122" s="3">
        <f t="shared" ca="1" si="202"/>
        <v>0.98079806379509393</v>
      </c>
      <c r="AH122" s="3">
        <f t="shared" ca="1" si="203"/>
        <v>0.95442097337167264</v>
      </c>
      <c r="AJ122" s="3">
        <f t="shared" ca="1" si="204"/>
        <v>1.7452006980802792</v>
      </c>
      <c r="AK122" s="3">
        <f t="shared" ca="1" si="205"/>
        <v>2.739043824701195</v>
      </c>
      <c r="AL122" s="3">
        <f t="shared" ca="1" si="206"/>
        <v>1.2468827930174564</v>
      </c>
      <c r="AM122" s="3">
        <f t="shared" ca="1" si="207"/>
        <v>1.9925280199252804</v>
      </c>
      <c r="AO122" s="3">
        <f t="shared" ca="1" si="208"/>
        <v>0.24931438544003989</v>
      </c>
      <c r="AP122" s="3">
        <f t="shared" ca="1" si="209"/>
        <v>0.74701195219123506</v>
      </c>
      <c r="AQ122" s="3">
        <f t="shared" ca="1" si="210"/>
        <v>0.24937655860349128</v>
      </c>
      <c r="AR122" s="3">
        <f t="shared" ca="1" si="211"/>
        <v>0.24906600249066005</v>
      </c>
      <c r="AT122" s="5">
        <v>1.4999999664723873E-2</v>
      </c>
      <c r="AU122" s="5">
        <v>1.0999999940395355E-2</v>
      </c>
      <c r="AV122" s="5">
        <v>7.0000002160668373E-3</v>
      </c>
      <c r="AW122" s="5">
        <v>6.0000000521540642E-3</v>
      </c>
      <c r="AY122" s="3">
        <f t="shared" ca="1" si="212"/>
        <v>0.13712291199202201</v>
      </c>
      <c r="AZ122" s="3">
        <f t="shared" ca="1" si="213"/>
        <v>0.35283864541832677</v>
      </c>
      <c r="BA122" s="3">
        <f t="shared" ca="1" si="214"/>
        <v>0.22019950124688281</v>
      </c>
      <c r="BB122" s="3">
        <f t="shared" ca="1" si="215"/>
        <v>0.17011207970112088</v>
      </c>
      <c r="BD122" s="3">
        <f t="shared" ca="1" si="216"/>
        <v>7.9032668030728601E-2</v>
      </c>
      <c r="BE122" s="3">
        <f t="shared" ca="1" si="217"/>
        <v>0.39890439683697615</v>
      </c>
      <c r="BF122" s="3">
        <f t="shared" ca="1" si="218"/>
        <v>3.7406507572925601E-2</v>
      </c>
      <c r="BG122" s="3">
        <f t="shared" ca="1" si="219"/>
        <v>0.17833122577643484</v>
      </c>
      <c r="BI122" s="3">
        <f t="shared" ca="1" si="220"/>
        <v>0.24931438544003989</v>
      </c>
      <c r="BJ122" s="3">
        <f t="shared" ca="1" si="221"/>
        <v>1.2450199203187251</v>
      </c>
      <c r="BK122" s="3">
        <f t="shared" ca="1" si="222"/>
        <v>0.24937655860349128</v>
      </c>
      <c r="BL122" s="3">
        <f t="shared" ca="1" si="223"/>
        <v>0.74719800747198017</v>
      </c>
      <c r="BN122" s="3">
        <f t="shared" ca="1" si="224"/>
        <v>0.99725754176015957</v>
      </c>
      <c r="BO122" s="3">
        <f t="shared" ca="1" si="225"/>
        <v>1.2450199203187251</v>
      </c>
      <c r="BP122" s="3">
        <f t="shared" ca="1" si="226"/>
        <v>0.49875311720698257</v>
      </c>
      <c r="BQ122" s="3">
        <f t="shared" ca="1" si="227"/>
        <v>0.4981320049813201</v>
      </c>
      <c r="BS122" s="5">
        <v>0.31499999761581421</v>
      </c>
      <c r="BT122" s="5">
        <v>0.36100000143051147</v>
      </c>
      <c r="BU122" s="5">
        <v>3.8559999465942383</v>
      </c>
      <c r="BV122" s="5">
        <v>0.48899999260902405</v>
      </c>
      <c r="BX122" s="3">
        <f t="shared" ca="1" si="228"/>
        <v>0</v>
      </c>
      <c r="BY122" s="3">
        <f t="shared" ca="1" si="229"/>
        <v>8.2918326693227143E-2</v>
      </c>
      <c r="BZ122" s="3">
        <f t="shared" ca="1" si="230"/>
        <v>0</v>
      </c>
      <c r="CA122" s="3">
        <f t="shared" ca="1" si="231"/>
        <v>5.8032378580323785E-2</v>
      </c>
      <c r="CC122" s="3">
        <f t="shared" ca="1" si="232"/>
        <v>0</v>
      </c>
      <c r="CD122" s="3">
        <f t="shared" ca="1" si="233"/>
        <v>8.2918372287218309E-2</v>
      </c>
      <c r="CE122" s="3">
        <f t="shared" ca="1" si="234"/>
        <v>0</v>
      </c>
      <c r="CF122" s="3">
        <f t="shared" ca="1" si="235"/>
        <v>0</v>
      </c>
      <c r="CH122" s="3">
        <f t="shared" ca="1" si="236"/>
        <v>0</v>
      </c>
      <c r="CI122" s="3">
        <f t="shared" ca="1" si="237"/>
        <v>0.24900398406374502</v>
      </c>
      <c r="CJ122" s="3">
        <f t="shared" ca="1" si="238"/>
        <v>0</v>
      </c>
      <c r="CK122" s="3">
        <f t="shared" ca="1" si="239"/>
        <v>0</v>
      </c>
      <c r="CM122" s="3">
        <f t="shared" ca="1" si="240"/>
        <v>0</v>
      </c>
      <c r="CN122" s="3">
        <f t="shared" ca="1" si="241"/>
        <v>0.24900398406374502</v>
      </c>
      <c r="CO122" s="3">
        <f t="shared" ca="1" si="242"/>
        <v>0</v>
      </c>
      <c r="CP122" s="3">
        <f t="shared" ca="1" si="243"/>
        <v>0.24906600249066005</v>
      </c>
      <c r="CR122" s="5">
        <v>4.0110000000000001</v>
      </c>
      <c r="CS122" s="5">
        <v>3.3269999027252197</v>
      </c>
      <c r="CT122" s="5">
        <v>4.01</v>
      </c>
      <c r="CU122" s="5">
        <v>4.0149999999999997</v>
      </c>
      <c r="CV122" s="21">
        <f t="shared" ca="1" si="183"/>
        <v>3.7406507572925601E-2</v>
      </c>
      <c r="CW122" s="16">
        <f t="shared" ca="1" si="182"/>
        <v>6.083333333333333</v>
      </c>
    </row>
    <row r="123" spans="1:101" s="5" customFormat="1" x14ac:dyDescent="0.35">
      <c r="A123" s="4" t="s">
        <v>159</v>
      </c>
      <c r="B123" s="4">
        <v>6.083333333333333</v>
      </c>
      <c r="C123" s="4" t="s">
        <v>168</v>
      </c>
      <c r="D123" s="4" t="s">
        <v>404</v>
      </c>
      <c r="E123" s="3"/>
      <c r="F123" s="5">
        <v>2.7949999999999999</v>
      </c>
      <c r="G123" s="11" t="e">
        <v>#N/A</v>
      </c>
      <c r="H123" s="11" t="e">
        <v>#N/A</v>
      </c>
      <c r="I123" s="5">
        <v>4.0110000000000001</v>
      </c>
      <c r="K123" s="3">
        <f t="shared" ca="1" si="184"/>
        <v>0.99570661896243307</v>
      </c>
      <c r="L123" s="3" t="e">
        <f t="shared" ca="1" si="185"/>
        <v>#N/A</v>
      </c>
      <c r="M123" s="3" t="e">
        <f t="shared" ca="1" si="186"/>
        <v>#N/A</v>
      </c>
      <c r="N123" s="3">
        <f t="shared" ca="1" si="187"/>
        <v>0.85963600099725745</v>
      </c>
      <c r="P123" s="3">
        <f t="shared" ca="1" si="188"/>
        <v>0.50661901881741711</v>
      </c>
      <c r="Q123" s="3" t="e">
        <f t="shared" ca="1" si="189"/>
        <v>#N/A</v>
      </c>
      <c r="R123" s="3" t="e">
        <f t="shared" ca="1" si="190"/>
        <v>#N/A</v>
      </c>
      <c r="S123" s="3">
        <f t="shared" ca="1" si="191"/>
        <v>0.81077037503136207</v>
      </c>
      <c r="U123" s="3">
        <f t="shared" ca="1" si="192"/>
        <v>2.8622540250447228</v>
      </c>
      <c r="V123" s="3" t="e">
        <f t="shared" ca="1" si="193"/>
        <v>#N/A</v>
      </c>
      <c r="W123" s="3" t="e">
        <f t="shared" ca="1" si="194"/>
        <v>#N/A</v>
      </c>
      <c r="X123" s="3">
        <f t="shared" ca="1" si="195"/>
        <v>2.7424582398404387</v>
      </c>
      <c r="Z123" s="3">
        <f t="shared" ca="1" si="196"/>
        <v>0.75134168157423997</v>
      </c>
      <c r="AA123" s="3" t="e">
        <f t="shared" ca="1" si="197"/>
        <v>#N/A</v>
      </c>
      <c r="AB123" s="3" t="e">
        <f t="shared" ca="1" si="198"/>
        <v>#N/A</v>
      </c>
      <c r="AC123" s="3">
        <f t="shared" ca="1" si="199"/>
        <v>0.88057840937422083</v>
      </c>
      <c r="AE123" s="3">
        <f t="shared" ca="1" si="200"/>
        <v>0.50661901881741711</v>
      </c>
      <c r="AF123" s="3" t="e">
        <f t="shared" ca="1" si="201"/>
        <v>#N/A</v>
      </c>
      <c r="AG123" s="3" t="e">
        <f t="shared" ca="1" si="202"/>
        <v>#N/A</v>
      </c>
      <c r="AH123" s="3">
        <f t="shared" ca="1" si="203"/>
        <v>0.81077037503136207</v>
      </c>
      <c r="AJ123" s="3">
        <f t="shared" ca="1" si="204"/>
        <v>2.8622540250447228</v>
      </c>
      <c r="AK123" s="3" t="e">
        <f t="shared" ca="1" si="205"/>
        <v>#N/A</v>
      </c>
      <c r="AL123" s="3" t="e">
        <f t="shared" ca="1" si="206"/>
        <v>#N/A</v>
      </c>
      <c r="AM123" s="3">
        <f t="shared" ca="1" si="207"/>
        <v>2.7424582398404387</v>
      </c>
      <c r="AO123" s="3">
        <f t="shared" ca="1" si="208"/>
        <v>1.0733452593917709</v>
      </c>
      <c r="AP123" s="3" t="e">
        <f t="shared" ca="1" si="209"/>
        <v>#N/A</v>
      </c>
      <c r="AQ123" s="3" t="e">
        <f t="shared" ca="1" si="210"/>
        <v>#N/A</v>
      </c>
      <c r="AR123" s="3">
        <f t="shared" ca="1" si="211"/>
        <v>0.49862877088007979</v>
      </c>
      <c r="AT123" s="5">
        <v>0.28999999165534973</v>
      </c>
      <c r="AU123" s="11" t="e">
        <v>#N/A</v>
      </c>
      <c r="AV123" s="11" t="e">
        <v>#N/A</v>
      </c>
      <c r="AW123" s="5">
        <v>0.40200001001358032</v>
      </c>
      <c r="AY123" s="3">
        <f t="shared" ca="1" si="212"/>
        <v>0.1846153846153846</v>
      </c>
      <c r="AZ123" s="3" t="e">
        <f t="shared" ca="1" si="213"/>
        <v>#N/A</v>
      </c>
      <c r="BA123" s="3" t="e">
        <f t="shared" ca="1" si="214"/>
        <v>#N/A</v>
      </c>
      <c r="BB123" s="3">
        <f t="shared" ca="1" si="215"/>
        <v>0</v>
      </c>
      <c r="BD123" s="3">
        <f t="shared" ca="1" si="216"/>
        <v>0.17853307809300842</v>
      </c>
      <c r="BE123" s="3" t="e">
        <f t="shared" ca="1" si="217"/>
        <v>#N/A</v>
      </c>
      <c r="BF123" s="3" t="e">
        <f t="shared" ca="1" si="218"/>
        <v>#N/A</v>
      </c>
      <c r="BG123" s="3">
        <f t="shared" ca="1" si="219"/>
        <v>0</v>
      </c>
      <c r="BI123" s="3">
        <f t="shared" ca="1" si="220"/>
        <v>1.0733452593917709</v>
      </c>
      <c r="BJ123" s="3" t="e">
        <f t="shared" ca="1" si="221"/>
        <v>#N/A</v>
      </c>
      <c r="BK123" s="3" t="e">
        <f t="shared" ca="1" si="222"/>
        <v>#N/A</v>
      </c>
      <c r="BL123" s="3">
        <f t="shared" ca="1" si="223"/>
        <v>0</v>
      </c>
      <c r="BN123" s="3">
        <f t="shared" ca="1" si="224"/>
        <v>1.7889087656529516</v>
      </c>
      <c r="BO123" s="3" t="e">
        <f t="shared" ca="1" si="225"/>
        <v>#N/A</v>
      </c>
      <c r="BP123" s="3" t="e">
        <f t="shared" ca="1" si="226"/>
        <v>#N/A</v>
      </c>
      <c r="BQ123" s="3">
        <f t="shared" ca="1" si="227"/>
        <v>0</v>
      </c>
      <c r="BS123" s="5">
        <v>0.72399997711181641</v>
      </c>
      <c r="BT123" s="11" t="e">
        <v>#N/A</v>
      </c>
      <c r="BU123" s="11" t="e">
        <v>#N/A</v>
      </c>
      <c r="BV123" s="5">
        <v>4.0110000000000001</v>
      </c>
      <c r="BX123" s="3">
        <f t="shared" ca="1" si="228"/>
        <v>0.1370304114490162</v>
      </c>
      <c r="BY123" s="3" t="e">
        <f t="shared" ca="1" si="229"/>
        <v>#N/A</v>
      </c>
      <c r="BZ123" s="3" t="e">
        <f t="shared" ca="1" si="230"/>
        <v>#N/A</v>
      </c>
      <c r="CA123" s="3">
        <f t="shared" ca="1" si="231"/>
        <v>0</v>
      </c>
      <c r="CC123" s="3">
        <f t="shared" ca="1" si="232"/>
        <v>4.7585021617800691E-2</v>
      </c>
      <c r="CD123" s="3" t="e">
        <f t="shared" ca="1" si="233"/>
        <v>#N/A</v>
      </c>
      <c r="CE123" s="3" t="e">
        <f t="shared" ca="1" si="234"/>
        <v>#N/A</v>
      </c>
      <c r="CF123" s="3">
        <f t="shared" ca="1" si="235"/>
        <v>0</v>
      </c>
      <c r="CH123" s="3">
        <f t="shared" ca="1" si="236"/>
        <v>0.35778175313059035</v>
      </c>
      <c r="CI123" s="3" t="e">
        <f t="shared" ca="1" si="237"/>
        <v>#N/A</v>
      </c>
      <c r="CJ123" s="3" t="e">
        <f t="shared" ca="1" si="238"/>
        <v>#N/A</v>
      </c>
      <c r="CK123" s="3">
        <f t="shared" ca="1" si="239"/>
        <v>0</v>
      </c>
      <c r="CM123" s="3">
        <f t="shared" ca="1" si="240"/>
        <v>3.9355992844364938</v>
      </c>
      <c r="CN123" s="3" t="e">
        <f t="shared" ca="1" si="241"/>
        <v>#N/A</v>
      </c>
      <c r="CO123" s="3" t="e">
        <f t="shared" ca="1" si="242"/>
        <v>#N/A</v>
      </c>
      <c r="CP123" s="3">
        <f t="shared" ca="1" si="243"/>
        <v>0</v>
      </c>
      <c r="CR123" s="5">
        <v>3.872999906539917</v>
      </c>
      <c r="CS123" s="11" t="e">
        <v>#N/A</v>
      </c>
      <c r="CT123" s="11" t="e">
        <v>#N/A</v>
      </c>
      <c r="CU123" s="5">
        <v>4.0110000000000001</v>
      </c>
      <c r="CV123" s="21" t="e">
        <f t="shared" ca="1" si="183"/>
        <v>#N/A</v>
      </c>
      <c r="CW123" s="16">
        <f t="shared" ca="1" si="182"/>
        <v>6.083333333333333</v>
      </c>
    </row>
    <row r="124" spans="1:101" s="5" customFormat="1" x14ac:dyDescent="0.35">
      <c r="A124" s="4" t="s">
        <v>136</v>
      </c>
      <c r="B124" s="4">
        <v>6.166666666666667</v>
      </c>
      <c r="C124" s="4" t="s">
        <v>168</v>
      </c>
      <c r="D124" s="4" t="s">
        <v>404</v>
      </c>
      <c r="E124" s="3"/>
      <c r="F124" s="5">
        <v>1.0169999999999999</v>
      </c>
      <c r="G124" s="5">
        <v>1.3890000000000002</v>
      </c>
      <c r="H124" s="5">
        <v>0.64599999999999991</v>
      </c>
      <c r="I124" s="5">
        <v>2.1829999999999998</v>
      </c>
      <c r="K124" s="3" t="e">
        <f t="shared" ca="1" si="184"/>
        <v>#N/A</v>
      </c>
      <c r="L124" s="3" t="e">
        <f t="shared" ca="1" si="185"/>
        <v>#N/A</v>
      </c>
      <c r="M124" s="3" t="e">
        <f t="shared" ca="1" si="186"/>
        <v>#N/A</v>
      </c>
      <c r="N124" s="3">
        <f t="shared" ca="1" si="187"/>
        <v>0.90059551076500244</v>
      </c>
      <c r="P124" s="3" t="e">
        <f t="shared" ca="1" si="188"/>
        <v>#N/A</v>
      </c>
      <c r="Q124" s="3" t="e">
        <f t="shared" ca="1" si="189"/>
        <v>#N/A</v>
      </c>
      <c r="R124" s="3" t="e">
        <f t="shared" ca="1" si="190"/>
        <v>#N/A</v>
      </c>
      <c r="S124" s="3">
        <f t="shared" ca="1" si="191"/>
        <v>0.14475491742611588</v>
      </c>
      <c r="U124" s="3" t="e">
        <f t="shared" ca="1" si="192"/>
        <v>#N/A</v>
      </c>
      <c r="V124" s="3" t="e">
        <f t="shared" ca="1" si="193"/>
        <v>#N/A</v>
      </c>
      <c r="W124" s="3" t="e">
        <f t="shared" ca="1" si="194"/>
        <v>#N/A</v>
      </c>
      <c r="X124" s="3">
        <f t="shared" ca="1" si="195"/>
        <v>0.45808520384791573</v>
      </c>
      <c r="Z124" s="3" t="e">
        <f t="shared" ca="1" si="196"/>
        <v>#N/A</v>
      </c>
      <c r="AA124" s="3" t="e">
        <f t="shared" ca="1" si="197"/>
        <v>#N/A</v>
      </c>
      <c r="AB124" s="3" t="e">
        <f t="shared" ca="1" si="198"/>
        <v>#N/A</v>
      </c>
      <c r="AC124" s="3">
        <f t="shared" ca="1" si="199"/>
        <v>7.650022904260205E-2</v>
      </c>
      <c r="AE124" s="3" t="e">
        <f t="shared" ca="1" si="200"/>
        <v>#N/A</v>
      </c>
      <c r="AF124" s="3" t="e">
        <f t="shared" ca="1" si="201"/>
        <v>#N/A</v>
      </c>
      <c r="AG124" s="3" t="e">
        <f t="shared" ca="1" si="202"/>
        <v>#N/A</v>
      </c>
      <c r="AH124" s="3">
        <f t="shared" ca="1" si="203"/>
        <v>0</v>
      </c>
      <c r="AJ124" s="3" t="e">
        <f t="shared" ca="1" si="204"/>
        <v>#N/A</v>
      </c>
      <c r="AK124" s="3" t="e">
        <f t="shared" ca="1" si="205"/>
        <v>#N/A</v>
      </c>
      <c r="AL124" s="3" t="e">
        <f t="shared" ca="1" si="206"/>
        <v>#N/A</v>
      </c>
      <c r="AM124" s="3">
        <f t="shared" ca="1" si="207"/>
        <v>0</v>
      </c>
      <c r="AO124" s="3" t="e">
        <f t="shared" ca="1" si="208"/>
        <v>#N/A</v>
      </c>
      <c r="AP124" s="3" t="e">
        <f t="shared" ca="1" si="209"/>
        <v>#N/A</v>
      </c>
      <c r="AQ124" s="3" t="e">
        <f t="shared" ca="1" si="210"/>
        <v>#N/A</v>
      </c>
      <c r="AR124" s="3">
        <f t="shared" ca="1" si="211"/>
        <v>2.2904260192395789</v>
      </c>
      <c r="AT124" s="11" t="e">
        <v>#N/A</v>
      </c>
      <c r="AU124" s="11" t="e">
        <v>#N/A</v>
      </c>
      <c r="AV124" s="11" t="e">
        <v>#N/A</v>
      </c>
      <c r="AW124" s="5">
        <v>4.0149999999999997</v>
      </c>
      <c r="AY124" s="3" t="e">
        <f t="shared" ca="1" si="212"/>
        <v>#N/A</v>
      </c>
      <c r="AZ124" s="3" t="e">
        <f t="shared" ca="1" si="213"/>
        <v>#N/A</v>
      </c>
      <c r="BA124" s="3" t="e">
        <f t="shared" ca="1" si="214"/>
        <v>#N/A</v>
      </c>
      <c r="BB124" s="3">
        <f t="shared" ca="1" si="215"/>
        <v>0</v>
      </c>
      <c r="BD124" s="3" t="e">
        <f t="shared" ca="1" si="216"/>
        <v>#N/A</v>
      </c>
      <c r="BE124" s="3" t="e">
        <f t="shared" ca="1" si="217"/>
        <v>#N/A</v>
      </c>
      <c r="BF124" s="3" t="e">
        <f t="shared" ca="1" si="218"/>
        <v>#N/A</v>
      </c>
      <c r="BG124" s="3">
        <f t="shared" ca="1" si="219"/>
        <v>0</v>
      </c>
      <c r="BI124" s="3" t="e">
        <f t="shared" ca="1" si="220"/>
        <v>#N/A</v>
      </c>
      <c r="BJ124" s="3" t="e">
        <f t="shared" ca="1" si="221"/>
        <v>#N/A</v>
      </c>
      <c r="BK124" s="3" t="e">
        <f t="shared" ca="1" si="222"/>
        <v>#N/A</v>
      </c>
      <c r="BL124" s="3">
        <f t="shared" ca="1" si="223"/>
        <v>0</v>
      </c>
      <c r="BN124" s="3" t="e">
        <f t="shared" ca="1" si="224"/>
        <v>#N/A</v>
      </c>
      <c r="BO124" s="3" t="e">
        <f t="shared" ca="1" si="225"/>
        <v>#N/A</v>
      </c>
      <c r="BP124" s="3" t="e">
        <f t="shared" ca="1" si="226"/>
        <v>#N/A</v>
      </c>
      <c r="BQ124" s="3">
        <f t="shared" ca="1" si="227"/>
        <v>0.45808520384791573</v>
      </c>
      <c r="BS124" s="11" t="e">
        <v>#N/A</v>
      </c>
      <c r="BT124" s="11" t="e">
        <v>#N/A</v>
      </c>
      <c r="BU124" s="11" t="e">
        <v>#N/A</v>
      </c>
      <c r="BV124" s="5">
        <v>4.0149999999999997</v>
      </c>
      <c r="BX124" s="3" t="e">
        <f t="shared" ca="1" si="228"/>
        <v>#N/A</v>
      </c>
      <c r="BY124" s="3" t="e">
        <f t="shared" ca="1" si="229"/>
        <v>#N/A</v>
      </c>
      <c r="BZ124" s="3" t="e">
        <f t="shared" ca="1" si="230"/>
        <v>#N/A</v>
      </c>
      <c r="CA124" s="3">
        <f t="shared" ca="1" si="231"/>
        <v>0</v>
      </c>
      <c r="CC124" s="3" t="e">
        <f t="shared" ca="1" si="232"/>
        <v>#N/A</v>
      </c>
      <c r="CD124" s="3" t="e">
        <f t="shared" ca="1" si="233"/>
        <v>#N/A</v>
      </c>
      <c r="CE124" s="3" t="e">
        <f t="shared" ca="1" si="234"/>
        <v>#N/A</v>
      </c>
      <c r="CF124" s="3">
        <f t="shared" ca="1" si="235"/>
        <v>0</v>
      </c>
      <c r="CH124" s="3" t="e">
        <f t="shared" ca="1" si="236"/>
        <v>#N/A</v>
      </c>
      <c r="CI124" s="3" t="e">
        <f t="shared" ca="1" si="237"/>
        <v>#N/A</v>
      </c>
      <c r="CJ124" s="3" t="e">
        <f t="shared" ca="1" si="238"/>
        <v>#N/A</v>
      </c>
      <c r="CK124" s="3">
        <f t="shared" ca="1" si="239"/>
        <v>0</v>
      </c>
      <c r="CM124" s="3" t="e">
        <f t="shared" ca="1" si="240"/>
        <v>#N/A</v>
      </c>
      <c r="CN124" s="3" t="e">
        <f t="shared" ca="1" si="241"/>
        <v>#N/A</v>
      </c>
      <c r="CO124" s="3" t="e">
        <f t="shared" ca="1" si="242"/>
        <v>#N/A</v>
      </c>
      <c r="CP124" s="3">
        <f t="shared" ca="1" si="243"/>
        <v>0.45808520384791573</v>
      </c>
      <c r="CR124" s="11" t="e">
        <v>#N/A</v>
      </c>
      <c r="CS124" s="11" t="e">
        <v>#N/A</v>
      </c>
      <c r="CT124" s="11" t="e">
        <v>#N/A</v>
      </c>
      <c r="CU124" s="5">
        <v>4.0149999999999997</v>
      </c>
      <c r="CV124" s="21" t="e">
        <f t="shared" ca="1" si="183"/>
        <v>#N/A</v>
      </c>
      <c r="CW124" s="16">
        <f t="shared" ca="1" si="182"/>
        <v>6.166666666666667</v>
      </c>
    </row>
    <row r="125" spans="1:101" s="5" customFormat="1" x14ac:dyDescent="0.35">
      <c r="A125" s="4" t="s">
        <v>139</v>
      </c>
      <c r="B125" s="4">
        <v>6.333333333333333</v>
      </c>
      <c r="C125" s="4" t="s">
        <v>168</v>
      </c>
      <c r="D125" s="4" t="s">
        <v>404</v>
      </c>
      <c r="E125" s="3"/>
      <c r="F125" s="5">
        <v>2.6240000000000001</v>
      </c>
      <c r="G125" s="5">
        <v>4.0259999999999998</v>
      </c>
      <c r="H125" s="5">
        <v>4.0110000000000001</v>
      </c>
      <c r="I125" s="5">
        <v>3.0439999999999996</v>
      </c>
      <c r="K125" s="3">
        <f t="shared" ca="1" si="184"/>
        <v>0.92721036585365846</v>
      </c>
      <c r="L125" s="3">
        <f t="shared" ca="1" si="185"/>
        <v>0.97267759562841538</v>
      </c>
      <c r="M125" s="3">
        <f t="shared" ca="1" si="186"/>
        <v>0.9970082273747195</v>
      </c>
      <c r="N125" s="3">
        <f t="shared" ca="1" si="187"/>
        <v>0.99080157687253612</v>
      </c>
      <c r="P125" s="3">
        <f t="shared" ca="1" si="188"/>
        <v>0.71150920298461595</v>
      </c>
      <c r="Q125" s="3">
        <f t="shared" ca="1" si="189"/>
        <v>0.91455525629452794</v>
      </c>
      <c r="R125" s="3">
        <f t="shared" ca="1" si="190"/>
        <v>0.90177010441102812</v>
      </c>
      <c r="S125" s="3">
        <f t="shared" ca="1" si="191"/>
        <v>0.8814060884930498</v>
      </c>
      <c r="U125" s="3">
        <f t="shared" ca="1" si="192"/>
        <v>2.6676829268292681</v>
      </c>
      <c r="V125" s="3">
        <f t="shared" ca="1" si="193"/>
        <v>3.2290114257327374</v>
      </c>
      <c r="W125" s="3">
        <f t="shared" ca="1" si="194"/>
        <v>1.7452006980802792</v>
      </c>
      <c r="X125" s="3">
        <f t="shared" ca="1" si="195"/>
        <v>2.2996057818659663</v>
      </c>
      <c r="Z125" s="3">
        <f t="shared" ca="1" si="196"/>
        <v>0.6097560975609756</v>
      </c>
      <c r="AA125" s="3">
        <f t="shared" ca="1" si="197"/>
        <v>0.97267759562841538</v>
      </c>
      <c r="AB125" s="3">
        <f t="shared" ca="1" si="198"/>
        <v>0.88057840937422083</v>
      </c>
      <c r="AC125" s="3">
        <f t="shared" ca="1" si="199"/>
        <v>0.99080157687253612</v>
      </c>
      <c r="AE125" s="3">
        <f t="shared" ca="1" si="200"/>
        <v>0.57812500212670914</v>
      </c>
      <c r="AF125" s="3">
        <f t="shared" ca="1" si="201"/>
        <v>0.91455525629452794</v>
      </c>
      <c r="AG125" s="3">
        <f t="shared" ca="1" si="202"/>
        <v>0.82697580066725251</v>
      </c>
      <c r="AH125" s="3">
        <f t="shared" ca="1" si="203"/>
        <v>0.8814060884930498</v>
      </c>
      <c r="AJ125" s="3">
        <f t="shared" ca="1" si="204"/>
        <v>1.9054878048780488</v>
      </c>
      <c r="AK125" s="3">
        <f t="shared" ca="1" si="205"/>
        <v>3.2290114257327374</v>
      </c>
      <c r="AL125" s="3">
        <f t="shared" ca="1" si="206"/>
        <v>1.4958863126402393</v>
      </c>
      <c r="AM125" s="3">
        <f t="shared" ca="1" si="207"/>
        <v>2.2996057818659663</v>
      </c>
      <c r="AO125" s="3">
        <f t="shared" ca="1" si="208"/>
        <v>0.38109756097560976</v>
      </c>
      <c r="AP125" s="3">
        <f t="shared" ca="1" si="209"/>
        <v>0.24838549428713363</v>
      </c>
      <c r="AQ125" s="3">
        <f t="shared" ca="1" si="210"/>
        <v>0.74794315632011965</v>
      </c>
      <c r="AR125" s="3">
        <f t="shared" ca="1" si="211"/>
        <v>0.65703022339027606</v>
      </c>
      <c r="AT125" s="5">
        <v>8.0000003799796104E-3</v>
      </c>
      <c r="AU125" s="5">
        <v>1.0000000474974513E-3</v>
      </c>
      <c r="AV125" s="5">
        <v>1.2000000104308128E-2</v>
      </c>
      <c r="AW125" s="5">
        <v>1.4999999664723873E-2</v>
      </c>
      <c r="AY125" s="3">
        <f t="shared" ca="1" si="212"/>
        <v>0.10175304878048778</v>
      </c>
      <c r="AZ125" s="3">
        <f t="shared" ca="1" si="213"/>
        <v>0.19076005961251868</v>
      </c>
      <c r="BA125" s="3">
        <f t="shared" ca="1" si="214"/>
        <v>0.34106207928197463</v>
      </c>
      <c r="BB125" s="3">
        <f t="shared" ca="1" si="215"/>
        <v>0.41557161629434947</v>
      </c>
      <c r="BD125" s="3">
        <f t="shared" ca="1" si="216"/>
        <v>0.21608232374291683</v>
      </c>
      <c r="BE125" s="3">
        <f t="shared" ca="1" si="217"/>
        <v>0.21112759463892491</v>
      </c>
      <c r="BF125" s="3">
        <f t="shared" ca="1" si="218"/>
        <v>0.22463225212753399</v>
      </c>
      <c r="BG125" s="3">
        <f t="shared" ca="1" si="219"/>
        <v>0.58574245663778313</v>
      </c>
      <c r="BI125" s="3">
        <f t="shared" ca="1" si="220"/>
        <v>0.76219512195121952</v>
      </c>
      <c r="BJ125" s="3">
        <f t="shared" ca="1" si="221"/>
        <v>0.99354197714853454</v>
      </c>
      <c r="BK125" s="3">
        <f t="shared" ca="1" si="222"/>
        <v>0.74794315632011965</v>
      </c>
      <c r="BL125" s="3">
        <f t="shared" ca="1" si="223"/>
        <v>1.3140604467805521</v>
      </c>
      <c r="BN125" s="3">
        <f t="shared" ca="1" si="224"/>
        <v>0.76219512195121952</v>
      </c>
      <c r="BO125" s="3">
        <f t="shared" ca="1" si="225"/>
        <v>0.7451564828614009</v>
      </c>
      <c r="BP125" s="3">
        <f t="shared" ca="1" si="226"/>
        <v>0.99725754176015957</v>
      </c>
      <c r="BQ125" s="3">
        <f t="shared" ca="1" si="227"/>
        <v>1.3140604467805521</v>
      </c>
      <c r="BS125" s="5">
        <v>8.0000003799796104E-3</v>
      </c>
      <c r="BT125" s="5">
        <v>0.36800000071525574</v>
      </c>
      <c r="BU125" s="5">
        <v>0.51200002431869507</v>
      </c>
      <c r="BV125" s="5">
        <v>1.4999999664723873E-2</v>
      </c>
      <c r="BX125" s="3">
        <f t="shared" ca="1" si="228"/>
        <v>0</v>
      </c>
      <c r="BY125" s="3">
        <f t="shared" ca="1" si="229"/>
        <v>0</v>
      </c>
      <c r="BZ125" s="3">
        <f t="shared" ca="1" si="230"/>
        <v>0</v>
      </c>
      <c r="CA125" s="3">
        <f t="shared" ca="1" si="231"/>
        <v>0</v>
      </c>
      <c r="CC125" s="3">
        <f t="shared" ca="1" si="232"/>
        <v>0</v>
      </c>
      <c r="CD125" s="3">
        <f t="shared" ca="1" si="233"/>
        <v>0</v>
      </c>
      <c r="CE125" s="3">
        <f t="shared" ca="1" si="234"/>
        <v>0</v>
      </c>
      <c r="CF125" s="3">
        <f t="shared" ca="1" si="235"/>
        <v>0</v>
      </c>
      <c r="CH125" s="3">
        <f t="shared" ca="1" si="236"/>
        <v>0</v>
      </c>
      <c r="CI125" s="3">
        <f t="shared" ca="1" si="237"/>
        <v>0</v>
      </c>
      <c r="CJ125" s="3">
        <f t="shared" ca="1" si="238"/>
        <v>0</v>
      </c>
      <c r="CK125" s="3">
        <f t="shared" ca="1" si="239"/>
        <v>0</v>
      </c>
      <c r="CM125" s="3">
        <f t="shared" ca="1" si="240"/>
        <v>0</v>
      </c>
      <c r="CN125" s="3">
        <f t="shared" ca="1" si="241"/>
        <v>0</v>
      </c>
      <c r="CO125" s="3">
        <f t="shared" ca="1" si="242"/>
        <v>0</v>
      </c>
      <c r="CP125" s="3">
        <f t="shared" ca="1" si="243"/>
        <v>0</v>
      </c>
      <c r="CR125" s="5">
        <v>4.0110000000000001</v>
      </c>
      <c r="CS125" s="5">
        <v>4.0259999999999998</v>
      </c>
      <c r="CT125" s="5">
        <v>4.0110000000000001</v>
      </c>
      <c r="CU125" s="5">
        <v>4.01</v>
      </c>
      <c r="CV125" s="21">
        <f t="shared" ca="1" si="183"/>
        <v>0.22463225212753399</v>
      </c>
      <c r="CW125" s="16">
        <f t="shared" ca="1" si="182"/>
        <v>6.333333333333333</v>
      </c>
    </row>
    <row r="126" spans="1:101" s="5" customFormat="1" x14ac:dyDescent="0.35">
      <c r="A126" s="4" t="s">
        <v>161</v>
      </c>
      <c r="B126" s="4">
        <v>6.416666666666667</v>
      </c>
      <c r="C126" s="4" t="s">
        <v>168</v>
      </c>
      <c r="D126" s="4" t="s">
        <v>404</v>
      </c>
      <c r="E126" s="3"/>
      <c r="F126" s="5">
        <v>4.016</v>
      </c>
      <c r="G126" s="5">
        <v>0.65300000000000002</v>
      </c>
      <c r="H126" s="5">
        <v>4.0110000000000001</v>
      </c>
      <c r="I126" s="5">
        <v>4.0129999999999999</v>
      </c>
      <c r="K126" s="3">
        <f t="shared" ca="1" si="184"/>
        <v>0.9957669322709165</v>
      </c>
      <c r="L126" s="3" t="e">
        <f t="shared" ca="1" si="185"/>
        <v>#N/A</v>
      </c>
      <c r="M126" s="3">
        <f t="shared" ca="1" si="186"/>
        <v>0.9970082273747195</v>
      </c>
      <c r="N126" s="3">
        <f t="shared" ca="1" si="187"/>
        <v>0.99651133815100923</v>
      </c>
      <c r="P126" s="3">
        <f t="shared" ca="1" si="188"/>
        <v>0.3568226744261277</v>
      </c>
      <c r="Q126" s="3" t="e">
        <f t="shared" ca="1" si="189"/>
        <v>#N/A</v>
      </c>
      <c r="R126" s="3">
        <f t="shared" ca="1" si="190"/>
        <v>0.69384205909002394</v>
      </c>
      <c r="S126" s="3">
        <f t="shared" ca="1" si="191"/>
        <v>0.9421879059428323</v>
      </c>
      <c r="U126" s="3">
        <f t="shared" ca="1" si="192"/>
        <v>1.4940239043824701</v>
      </c>
      <c r="V126" s="3" t="e">
        <f t="shared" ca="1" si="193"/>
        <v>#N/A</v>
      </c>
      <c r="W126" s="3">
        <f t="shared" ca="1" si="194"/>
        <v>2.7424582398404387</v>
      </c>
      <c r="X126" s="3">
        <f t="shared" ca="1" si="195"/>
        <v>1.9935210565661601</v>
      </c>
      <c r="Z126" s="3">
        <f t="shared" ca="1" si="196"/>
        <v>0.91708167330677293</v>
      </c>
      <c r="AA126" s="3" t="e">
        <f t="shared" ca="1" si="197"/>
        <v>#N/A</v>
      </c>
      <c r="AB126" s="3">
        <f t="shared" ca="1" si="198"/>
        <v>0.90575916230366493</v>
      </c>
      <c r="AC126" s="3">
        <f t="shared" ca="1" si="199"/>
        <v>0.99651133815100923</v>
      </c>
      <c r="AE126" s="3">
        <f t="shared" ca="1" si="200"/>
        <v>0.30702187779890111</v>
      </c>
      <c r="AF126" s="3" t="e">
        <f t="shared" ca="1" si="201"/>
        <v>#N/A</v>
      </c>
      <c r="AG126" s="3">
        <f t="shared" ca="1" si="202"/>
        <v>0.69384205909002394</v>
      </c>
      <c r="AH126" s="3">
        <f t="shared" ca="1" si="203"/>
        <v>0.9421879059428323</v>
      </c>
      <c r="AJ126" s="3">
        <f t="shared" ca="1" si="204"/>
        <v>1.2450199203187251</v>
      </c>
      <c r="AK126" s="3" t="e">
        <f t="shared" ca="1" si="205"/>
        <v>#N/A</v>
      </c>
      <c r="AL126" s="3">
        <f t="shared" ca="1" si="206"/>
        <v>2.7424582398404387</v>
      </c>
      <c r="AM126" s="3">
        <f t="shared" ca="1" si="207"/>
        <v>1.9935210565661601</v>
      </c>
      <c r="AO126" s="3">
        <f t="shared" ca="1" si="208"/>
        <v>0.74701195219123506</v>
      </c>
      <c r="AP126" s="3" t="e">
        <f t="shared" ca="1" si="209"/>
        <v>#N/A</v>
      </c>
      <c r="AQ126" s="3">
        <f t="shared" ca="1" si="210"/>
        <v>0.24931438544003989</v>
      </c>
      <c r="AR126" s="3">
        <f t="shared" ca="1" si="211"/>
        <v>0.24919013207077001</v>
      </c>
      <c r="AT126" s="5">
        <v>0.70200002193450928</v>
      </c>
      <c r="AU126" s="11" t="e">
        <v>#N/A</v>
      </c>
      <c r="AV126" s="5">
        <v>0.36700001358985901</v>
      </c>
      <c r="AW126" s="5">
        <v>2.4000000208616257E-2</v>
      </c>
      <c r="AY126" s="3">
        <f t="shared" ca="1" si="212"/>
        <v>0.80502988047808766</v>
      </c>
      <c r="AZ126" s="3" t="e">
        <f t="shared" ca="1" si="213"/>
        <v>#N/A</v>
      </c>
      <c r="BA126" s="3">
        <f t="shared" ca="1" si="214"/>
        <v>0.45674395412615315</v>
      </c>
      <c r="BB126" s="3">
        <f t="shared" ca="1" si="215"/>
        <v>0.52329927734861703</v>
      </c>
      <c r="BD126" s="3">
        <f t="shared" ca="1" si="216"/>
        <v>0.30702187779890111</v>
      </c>
      <c r="BE126" s="3" t="e">
        <f t="shared" ca="1" si="217"/>
        <v>#N/A</v>
      </c>
      <c r="BF126" s="3">
        <f t="shared" ca="1" si="218"/>
        <v>0.3323361883137298</v>
      </c>
      <c r="BG126" s="3">
        <f t="shared" ca="1" si="219"/>
        <v>0.50211812741079742</v>
      </c>
      <c r="BI126" s="3">
        <f t="shared" ca="1" si="220"/>
        <v>1.2450199203187251</v>
      </c>
      <c r="BJ126" s="3" t="e">
        <f t="shared" ca="1" si="221"/>
        <v>#N/A</v>
      </c>
      <c r="BK126" s="3">
        <f t="shared" ca="1" si="222"/>
        <v>1.7452006980802792</v>
      </c>
      <c r="BL126" s="3">
        <f t="shared" ca="1" si="223"/>
        <v>1.2459506603538499</v>
      </c>
      <c r="BN126" s="3">
        <f t="shared" ca="1" si="224"/>
        <v>0.99601593625498008</v>
      </c>
      <c r="BO126" s="3" t="e">
        <f t="shared" ca="1" si="225"/>
        <v>#N/A</v>
      </c>
      <c r="BP126" s="3">
        <f t="shared" ca="1" si="226"/>
        <v>0.99725754176015957</v>
      </c>
      <c r="BQ126" s="3">
        <f t="shared" ca="1" si="227"/>
        <v>0.49838026414154002</v>
      </c>
      <c r="BS126" s="5">
        <v>0.70200002193450928</v>
      </c>
      <c r="BT126" s="11" t="e">
        <v>#N/A</v>
      </c>
      <c r="BU126" s="5">
        <v>0.36700001358985901</v>
      </c>
      <c r="BV126" s="5">
        <v>0.87400001287460327</v>
      </c>
      <c r="BX126" s="3">
        <f t="shared" ca="1" si="228"/>
        <v>0</v>
      </c>
      <c r="BY126" s="3" t="e">
        <f t="shared" ca="1" si="229"/>
        <v>#N/A</v>
      </c>
      <c r="BZ126" s="3">
        <f t="shared" ca="1" si="230"/>
        <v>0</v>
      </c>
      <c r="CA126" s="3">
        <f t="shared" ca="1" si="231"/>
        <v>0</v>
      </c>
      <c r="CC126" s="3">
        <f t="shared" ca="1" si="232"/>
        <v>0</v>
      </c>
      <c r="CD126" s="3" t="e">
        <f t="shared" ca="1" si="233"/>
        <v>#N/A</v>
      </c>
      <c r="CE126" s="3">
        <f t="shared" ca="1" si="234"/>
        <v>0</v>
      </c>
      <c r="CF126" s="3">
        <f t="shared" ca="1" si="235"/>
        <v>0</v>
      </c>
      <c r="CH126" s="3">
        <f t="shared" ca="1" si="236"/>
        <v>0</v>
      </c>
      <c r="CI126" s="3" t="e">
        <f t="shared" ca="1" si="237"/>
        <v>#N/A</v>
      </c>
      <c r="CJ126" s="3">
        <f t="shared" ca="1" si="238"/>
        <v>0</v>
      </c>
      <c r="CK126" s="3">
        <f t="shared" ca="1" si="239"/>
        <v>0</v>
      </c>
      <c r="CM126" s="3">
        <f t="shared" ca="1" si="240"/>
        <v>0.49800796812749004</v>
      </c>
      <c r="CN126" s="3" t="e">
        <f t="shared" ca="1" si="241"/>
        <v>#N/A</v>
      </c>
      <c r="CO126" s="3">
        <f t="shared" ca="1" si="242"/>
        <v>0</v>
      </c>
      <c r="CP126" s="3">
        <f t="shared" ca="1" si="243"/>
        <v>0</v>
      </c>
      <c r="CR126" s="5">
        <v>4.016</v>
      </c>
      <c r="CS126" s="11" t="e">
        <v>#N/A</v>
      </c>
      <c r="CT126" s="5">
        <v>4.0110000000000001</v>
      </c>
      <c r="CU126" s="5">
        <v>4.0129999999999999</v>
      </c>
      <c r="CV126" s="21">
        <f t="shared" ca="1" si="183"/>
        <v>0.3323361883137298</v>
      </c>
      <c r="CW126" s="16">
        <f t="shared" ca="1" si="182"/>
        <v>6.416666666666667</v>
      </c>
    </row>
    <row r="127" spans="1:101" s="5" customFormat="1" x14ac:dyDescent="0.35">
      <c r="A127" s="4" t="s">
        <v>101</v>
      </c>
      <c r="B127" s="4">
        <v>6.583333333333333</v>
      </c>
      <c r="C127" s="4" t="s">
        <v>168</v>
      </c>
      <c r="D127" s="4" t="s">
        <v>404</v>
      </c>
      <c r="E127" s="3"/>
      <c r="F127" s="5">
        <v>3.98</v>
      </c>
      <c r="G127" s="5">
        <v>4.01</v>
      </c>
      <c r="H127" s="5">
        <v>4.0090000000000003</v>
      </c>
      <c r="I127" s="5">
        <v>4.0010000000000003</v>
      </c>
      <c r="K127" s="3">
        <f t="shared" ca="1" si="184"/>
        <v>0.99221105527638187</v>
      </c>
      <c r="L127" s="3">
        <f t="shared" ca="1" si="185"/>
        <v>0.99326683291770579</v>
      </c>
      <c r="M127" s="3">
        <f t="shared" ca="1" si="186"/>
        <v>0.99750561237216262</v>
      </c>
      <c r="N127" s="3">
        <f t="shared" ca="1" si="187"/>
        <v>0.99525118720319916</v>
      </c>
      <c r="P127" s="3">
        <f t="shared" ca="1" si="188"/>
        <v>0.97537691138647309</v>
      </c>
      <c r="Q127" s="3">
        <f t="shared" ca="1" si="189"/>
        <v>0.90199495500831539</v>
      </c>
      <c r="R127" s="3">
        <f t="shared" ca="1" si="190"/>
        <v>0.8348715769200884</v>
      </c>
      <c r="S127" s="3">
        <f t="shared" ca="1" si="191"/>
        <v>0.96225940339105231</v>
      </c>
      <c r="U127" s="3">
        <f t="shared" ca="1" si="192"/>
        <v>1.256281407035176</v>
      </c>
      <c r="V127" s="3">
        <f t="shared" ca="1" si="193"/>
        <v>3.7406483790523692</v>
      </c>
      <c r="W127" s="3">
        <f t="shared" ca="1" si="194"/>
        <v>3.2427039161885753</v>
      </c>
      <c r="X127" s="3">
        <f t="shared" ca="1" si="195"/>
        <v>2.2494376405898522</v>
      </c>
      <c r="Z127" s="3">
        <f t="shared" ca="1" si="196"/>
        <v>0.99221105527638187</v>
      </c>
      <c r="AA127" s="3">
        <f t="shared" ca="1" si="197"/>
        <v>0.99326683291770579</v>
      </c>
      <c r="AB127" s="3">
        <f t="shared" ca="1" si="198"/>
        <v>0.8311299575954102</v>
      </c>
      <c r="AC127" s="3">
        <f t="shared" ca="1" si="199"/>
        <v>0.99525118720319916</v>
      </c>
      <c r="AE127" s="3">
        <f t="shared" ca="1" si="200"/>
        <v>0.97537691138647309</v>
      </c>
      <c r="AF127" s="3">
        <f t="shared" ca="1" si="201"/>
        <v>0.90199495500831539</v>
      </c>
      <c r="AG127" s="3">
        <f t="shared" ca="1" si="202"/>
        <v>0.73908707631083304</v>
      </c>
      <c r="AH127" s="3">
        <f t="shared" ca="1" si="203"/>
        <v>0.96225940339105231</v>
      </c>
      <c r="AJ127" s="3">
        <f t="shared" ca="1" si="204"/>
        <v>1.256281407035176</v>
      </c>
      <c r="AK127" s="3">
        <f t="shared" ca="1" si="205"/>
        <v>3.7406483790523692</v>
      </c>
      <c r="AL127" s="3">
        <f t="shared" ca="1" si="206"/>
        <v>2.9932651534048387</v>
      </c>
      <c r="AM127" s="3">
        <f t="shared" ca="1" si="207"/>
        <v>2.2494376405898522</v>
      </c>
      <c r="AO127" s="3">
        <f t="shared" ca="1" si="208"/>
        <v>0.25125628140703515</v>
      </c>
      <c r="AP127" s="3">
        <f t="shared" ca="1" si="209"/>
        <v>0.24937655860349128</v>
      </c>
      <c r="AQ127" s="3">
        <f t="shared" ca="1" si="210"/>
        <v>0.49887752556747317</v>
      </c>
      <c r="AR127" s="3">
        <f t="shared" ca="1" si="211"/>
        <v>0.2499375156210947</v>
      </c>
      <c r="AT127" s="5">
        <v>2.4000000208616257E-2</v>
      </c>
      <c r="AU127" s="5">
        <v>1.2000000104308128E-2</v>
      </c>
      <c r="AV127" s="5">
        <v>0</v>
      </c>
      <c r="AW127" s="5">
        <v>1.4000000432133675E-2</v>
      </c>
      <c r="AY127" s="3">
        <f t="shared" ca="1" si="212"/>
        <v>0.90427135678391957</v>
      </c>
      <c r="AZ127" s="3">
        <f t="shared" ca="1" si="213"/>
        <v>0.3743142144638405</v>
      </c>
      <c r="BA127" s="3">
        <f t="shared" ca="1" si="214"/>
        <v>0.27837365926664992</v>
      </c>
      <c r="BB127" s="3">
        <f t="shared" ca="1" si="215"/>
        <v>0.59135216195951001</v>
      </c>
      <c r="BD127" s="3">
        <f t="shared" ca="1" si="216"/>
        <v>0.89597992561570361</v>
      </c>
      <c r="BE127" s="3">
        <f t="shared" ca="1" si="217"/>
        <v>0.40748124417298454</v>
      </c>
      <c r="BF127" s="3">
        <f t="shared" ca="1" si="218"/>
        <v>0.2614118625291656</v>
      </c>
      <c r="BG127" s="3">
        <f t="shared" ca="1" si="219"/>
        <v>0.58735311552751834</v>
      </c>
      <c r="BI127" s="3">
        <f t="shared" ca="1" si="220"/>
        <v>1.0050251256281406</v>
      </c>
      <c r="BJ127" s="3">
        <f t="shared" ca="1" si="221"/>
        <v>1.745635910224439</v>
      </c>
      <c r="BK127" s="3">
        <f t="shared" ca="1" si="222"/>
        <v>1.2471938139186829</v>
      </c>
      <c r="BL127" s="3">
        <f t="shared" ca="1" si="223"/>
        <v>1.2496875781054735</v>
      </c>
      <c r="BN127" s="3">
        <f t="shared" ca="1" si="224"/>
        <v>0.25125628140703515</v>
      </c>
      <c r="BO127" s="3">
        <f t="shared" ca="1" si="225"/>
        <v>1.2468827930174564</v>
      </c>
      <c r="BP127" s="3">
        <f t="shared" ca="1" si="226"/>
        <v>1.4966325767024193</v>
      </c>
      <c r="BQ127" s="3">
        <f t="shared" ca="1" si="227"/>
        <v>0.99975006248437881</v>
      </c>
      <c r="BS127" s="5">
        <v>0.35699999332427979</v>
      </c>
      <c r="BT127" s="5">
        <v>1.2000000104308128E-2</v>
      </c>
      <c r="BU127" s="5">
        <v>0.41600000858306885</v>
      </c>
      <c r="BV127" s="5">
        <v>0.47999998927116394</v>
      </c>
      <c r="BX127" s="3">
        <f t="shared" ca="1" si="228"/>
        <v>0</v>
      </c>
      <c r="BY127" s="3">
        <f t="shared" ca="1" si="229"/>
        <v>0</v>
      </c>
      <c r="BZ127" s="3">
        <f t="shared" ca="1" si="230"/>
        <v>0</v>
      </c>
      <c r="CA127" s="3">
        <f t="shared" ca="1" si="231"/>
        <v>0</v>
      </c>
      <c r="CC127" s="3">
        <f t="shared" ca="1" si="232"/>
        <v>0</v>
      </c>
      <c r="CD127" s="3">
        <f t="shared" ca="1" si="233"/>
        <v>0</v>
      </c>
      <c r="CE127" s="3">
        <f t="shared" ca="1" si="234"/>
        <v>0</v>
      </c>
      <c r="CF127" s="3">
        <f t="shared" ca="1" si="235"/>
        <v>0</v>
      </c>
      <c r="CH127" s="3">
        <f t="shared" ca="1" si="236"/>
        <v>0</v>
      </c>
      <c r="CI127" s="3">
        <f t="shared" ca="1" si="237"/>
        <v>0</v>
      </c>
      <c r="CJ127" s="3">
        <f t="shared" ca="1" si="238"/>
        <v>0</v>
      </c>
      <c r="CK127" s="3">
        <f t="shared" ca="1" si="239"/>
        <v>0</v>
      </c>
      <c r="CM127" s="3">
        <f t="shared" ca="1" si="240"/>
        <v>0</v>
      </c>
      <c r="CN127" s="3">
        <f t="shared" ca="1" si="241"/>
        <v>0</v>
      </c>
      <c r="CO127" s="3">
        <f t="shared" ca="1" si="242"/>
        <v>0</v>
      </c>
      <c r="CP127" s="3">
        <f t="shared" ca="1" si="243"/>
        <v>0</v>
      </c>
      <c r="CR127" s="5">
        <v>3.98</v>
      </c>
      <c r="CS127" s="5">
        <v>4.01</v>
      </c>
      <c r="CT127" s="5">
        <v>4.0090000000000003</v>
      </c>
      <c r="CU127" s="5">
        <v>4.0010000000000003</v>
      </c>
      <c r="CV127" s="21">
        <f t="shared" ca="1" si="183"/>
        <v>0.2614118625291656</v>
      </c>
      <c r="CW127" s="16">
        <f t="shared" ca="1" si="182"/>
        <v>6.583333333333333</v>
      </c>
    </row>
    <row r="128" spans="1:101" s="5" customFormat="1" x14ac:dyDescent="0.35">
      <c r="A128" s="4" t="s">
        <v>145</v>
      </c>
      <c r="B128" s="4">
        <v>6.583333333333333</v>
      </c>
      <c r="C128" s="4" t="s">
        <v>168</v>
      </c>
      <c r="D128" s="4" t="s">
        <v>404</v>
      </c>
      <c r="E128" s="3"/>
      <c r="F128" s="5">
        <v>4.016</v>
      </c>
      <c r="G128" s="5">
        <v>4.0629999999999997</v>
      </c>
      <c r="H128" s="5">
        <v>4.0019999999999998</v>
      </c>
      <c r="I128" s="5">
        <v>4.0259999999999998</v>
      </c>
      <c r="K128" s="3">
        <f t="shared" ca="1" si="184"/>
        <v>0.99576693227091639</v>
      </c>
      <c r="L128" s="3">
        <f t="shared" ca="1" si="185"/>
        <v>0.9965542702436625</v>
      </c>
      <c r="M128" s="3">
        <f t="shared" ca="1" si="186"/>
        <v>0.9952523738130935</v>
      </c>
      <c r="N128" s="3">
        <f t="shared" ca="1" si="187"/>
        <v>0.99726775956284175</v>
      </c>
      <c r="P128" s="3">
        <f t="shared" ca="1" si="188"/>
        <v>0.66384468394595075</v>
      </c>
      <c r="Q128" s="3">
        <f t="shared" ca="1" si="189"/>
        <v>0.97194191702434563</v>
      </c>
      <c r="R128" s="3">
        <f t="shared" ca="1" si="190"/>
        <v>0.81959025383271145</v>
      </c>
      <c r="S128" s="3">
        <f t="shared" ca="1" si="191"/>
        <v>0.81520128747197573</v>
      </c>
      <c r="U128" s="3">
        <f t="shared" ca="1" si="192"/>
        <v>2.241035856573705</v>
      </c>
      <c r="V128" s="3">
        <f t="shared" ca="1" si="193"/>
        <v>1.7228648781688409</v>
      </c>
      <c r="W128" s="3">
        <f t="shared" ca="1" si="194"/>
        <v>2.2488755622188905</v>
      </c>
      <c r="X128" s="3">
        <f t="shared" ca="1" si="195"/>
        <v>2.4838549428713366</v>
      </c>
      <c r="Z128" s="3">
        <f t="shared" ca="1" si="196"/>
        <v>0.80054780876494025</v>
      </c>
      <c r="AA128" s="3">
        <f t="shared" ca="1" si="197"/>
        <v>0.9965542702436625</v>
      </c>
      <c r="AB128" s="3">
        <f t="shared" ca="1" si="198"/>
        <v>0.9952523738130935</v>
      </c>
      <c r="AC128" s="3">
        <f t="shared" ca="1" si="199"/>
        <v>0.79855936413313489</v>
      </c>
      <c r="AE128" s="3">
        <f t="shared" ca="1" si="200"/>
        <v>0.66384468394595075</v>
      </c>
      <c r="AF128" s="3">
        <f t="shared" ca="1" si="201"/>
        <v>0.97194191702434563</v>
      </c>
      <c r="AG128" s="3">
        <f t="shared" ca="1" si="202"/>
        <v>0.81959025383271145</v>
      </c>
      <c r="AH128" s="3">
        <f t="shared" ca="1" si="203"/>
        <v>0.72006963913306277</v>
      </c>
      <c r="AJ128" s="3">
        <f t="shared" ca="1" si="204"/>
        <v>2.241035856573705</v>
      </c>
      <c r="AK128" s="3">
        <f t="shared" ca="1" si="205"/>
        <v>1.7228648781688409</v>
      </c>
      <c r="AL128" s="3">
        <f t="shared" ca="1" si="206"/>
        <v>2.2488755622188905</v>
      </c>
      <c r="AM128" s="3">
        <f t="shared" ca="1" si="207"/>
        <v>1.9870839542970691</v>
      </c>
      <c r="AO128" s="3">
        <f t="shared" ca="1" si="208"/>
        <v>0.74701195219123506</v>
      </c>
      <c r="AP128" s="3">
        <f t="shared" ca="1" si="209"/>
        <v>0.24612355402412012</v>
      </c>
      <c r="AQ128" s="3">
        <f t="shared" ca="1" si="210"/>
        <v>0.24987506246876562</v>
      </c>
      <c r="AR128" s="3">
        <f t="shared" ca="1" si="211"/>
        <v>0.49677098857426727</v>
      </c>
      <c r="AT128" s="5">
        <v>8.999999612569809E-3</v>
      </c>
      <c r="AU128" s="5">
        <v>4.0000001899898052E-3</v>
      </c>
      <c r="AV128" s="5">
        <v>1.4999999664723873E-2</v>
      </c>
      <c r="AW128" s="5">
        <v>9.9999997764825821E-3</v>
      </c>
      <c r="AY128" s="3">
        <f t="shared" ca="1" si="212"/>
        <v>0.43525896414342635</v>
      </c>
      <c r="AZ128" s="3">
        <f t="shared" ca="1" si="213"/>
        <v>0.63573714004430237</v>
      </c>
      <c r="BA128" s="3">
        <f t="shared" ca="1" si="214"/>
        <v>0.14167916041979015</v>
      </c>
      <c r="BB128" s="3">
        <f t="shared" ca="1" si="215"/>
        <v>0.3390461997019375</v>
      </c>
      <c r="BD128" s="3">
        <f t="shared" ca="1" si="216"/>
        <v>0.42305776916177151</v>
      </c>
      <c r="BE128" s="3">
        <f t="shared" ca="1" si="217"/>
        <v>0.55771596672908741</v>
      </c>
      <c r="BF128" s="3">
        <f t="shared" ca="1" si="218"/>
        <v>0.12468768917638502</v>
      </c>
      <c r="BG128" s="3">
        <f t="shared" ca="1" si="219"/>
        <v>0.38102338755835485</v>
      </c>
      <c r="BI128" s="3">
        <f t="shared" ca="1" si="220"/>
        <v>1.2450199203187251</v>
      </c>
      <c r="BJ128" s="3">
        <f t="shared" ca="1" si="221"/>
        <v>0.98449421609648047</v>
      </c>
      <c r="BK128" s="3">
        <f t="shared" ca="1" si="222"/>
        <v>0.49975012493753124</v>
      </c>
      <c r="BL128" s="3">
        <f t="shared" ca="1" si="223"/>
        <v>0.7451564828614009</v>
      </c>
      <c r="BN128" s="3">
        <f t="shared" ca="1" si="224"/>
        <v>0.74701195219123506</v>
      </c>
      <c r="BO128" s="3">
        <f t="shared" ca="1" si="225"/>
        <v>0.73837066207236035</v>
      </c>
      <c r="BP128" s="3">
        <f t="shared" ca="1" si="226"/>
        <v>0.74962518740629691</v>
      </c>
      <c r="BQ128" s="3">
        <f t="shared" ca="1" si="227"/>
        <v>0.99354197714853454</v>
      </c>
      <c r="BS128" s="5">
        <v>0.55900001525878906</v>
      </c>
      <c r="BT128" s="5">
        <v>0.50400000810623169</v>
      </c>
      <c r="BU128" s="5">
        <v>0.68199998140335083</v>
      </c>
      <c r="BV128" s="5">
        <v>0.57599997520446777</v>
      </c>
      <c r="BX128" s="3">
        <f t="shared" ca="1" si="228"/>
        <v>0</v>
      </c>
      <c r="BY128" s="3">
        <f t="shared" ca="1" si="229"/>
        <v>0</v>
      </c>
      <c r="BZ128" s="3">
        <f t="shared" ca="1" si="230"/>
        <v>0</v>
      </c>
      <c r="CA128" s="3">
        <f t="shared" ca="1" si="231"/>
        <v>5.7873820168902135E-2</v>
      </c>
      <c r="CC128" s="3">
        <f t="shared" ca="1" si="232"/>
        <v>0</v>
      </c>
      <c r="CD128" s="3">
        <f t="shared" ca="1" si="233"/>
        <v>0</v>
      </c>
      <c r="CE128" s="3">
        <f t="shared" ca="1" si="234"/>
        <v>0</v>
      </c>
      <c r="CF128" s="3">
        <f t="shared" ca="1" si="235"/>
        <v>0</v>
      </c>
      <c r="CH128" s="3">
        <f t="shared" ca="1" si="236"/>
        <v>0</v>
      </c>
      <c r="CI128" s="3">
        <f t="shared" ca="1" si="237"/>
        <v>0</v>
      </c>
      <c r="CJ128" s="3">
        <f t="shared" ca="1" si="238"/>
        <v>0</v>
      </c>
      <c r="CK128" s="3">
        <f t="shared" ca="1" si="239"/>
        <v>0</v>
      </c>
      <c r="CM128" s="3">
        <f t="shared" ca="1" si="240"/>
        <v>0</v>
      </c>
      <c r="CN128" s="3">
        <f t="shared" ca="1" si="241"/>
        <v>0</v>
      </c>
      <c r="CO128" s="3">
        <f t="shared" ca="1" si="242"/>
        <v>0</v>
      </c>
      <c r="CP128" s="3">
        <f t="shared" ca="1" si="243"/>
        <v>0.24838549428713363</v>
      </c>
      <c r="CR128" s="5">
        <v>4.016</v>
      </c>
      <c r="CS128" s="5">
        <v>4.0629999999999997</v>
      </c>
      <c r="CT128" s="5">
        <v>4.0019999999999998</v>
      </c>
      <c r="CU128" s="5">
        <v>4.0259999999999998</v>
      </c>
      <c r="CV128" s="21">
        <f t="shared" ca="1" si="183"/>
        <v>0.12468768917638502</v>
      </c>
      <c r="CW128" s="16">
        <f t="shared" ca="1" si="182"/>
        <v>6.583333333333333</v>
      </c>
    </row>
    <row r="129" spans="1:101" s="5" customFormat="1" x14ac:dyDescent="0.35">
      <c r="A129" s="4" t="s">
        <v>144</v>
      </c>
      <c r="B129" s="4">
        <v>6.833333333333333</v>
      </c>
      <c r="C129" s="4" t="s">
        <v>168</v>
      </c>
      <c r="D129" s="4" t="s">
        <v>404</v>
      </c>
      <c r="E129" s="3"/>
      <c r="F129" s="5">
        <v>2.1609999999999996</v>
      </c>
      <c r="G129" s="5">
        <v>2.8249999999999997</v>
      </c>
      <c r="H129" s="11" t="e">
        <v>#N/A</v>
      </c>
      <c r="I129" s="5">
        <v>4.0110000000000001</v>
      </c>
      <c r="K129" s="3">
        <f t="shared" ca="1" si="184"/>
        <v>0.94076816288755216</v>
      </c>
      <c r="L129" s="3">
        <f t="shared" ca="1" si="185"/>
        <v>0.92035398230088505</v>
      </c>
      <c r="M129" s="3" t="e">
        <f t="shared" ca="1" si="186"/>
        <v>#N/A</v>
      </c>
      <c r="N129" s="3">
        <f t="shared" ca="1" si="187"/>
        <v>0.93467963101470941</v>
      </c>
      <c r="P129" s="3">
        <f t="shared" ca="1" si="188"/>
        <v>0.68625630547966143</v>
      </c>
      <c r="Q129" s="3">
        <f t="shared" ca="1" si="189"/>
        <v>0.78407080827561104</v>
      </c>
      <c r="R129" s="3" t="e">
        <f t="shared" ca="1" si="190"/>
        <v>#N/A</v>
      </c>
      <c r="S129" s="3">
        <f t="shared" ca="1" si="191"/>
        <v>0.7102967007027633</v>
      </c>
      <c r="U129" s="3">
        <f t="shared" ca="1" si="192"/>
        <v>1.8509949097639986</v>
      </c>
      <c r="V129" s="3">
        <f t="shared" ca="1" si="193"/>
        <v>2.1238938053097347</v>
      </c>
      <c r="W129" s="3" t="e">
        <f t="shared" ca="1" si="194"/>
        <v>#N/A</v>
      </c>
      <c r="X129" s="3">
        <f t="shared" ca="1" si="195"/>
        <v>2.2438294689603588</v>
      </c>
      <c r="Z129" s="3">
        <f t="shared" ca="1" si="196"/>
        <v>0.94076816288755216</v>
      </c>
      <c r="AA129" s="3">
        <f t="shared" ca="1" si="197"/>
        <v>0.92035398230088505</v>
      </c>
      <c r="AB129" s="3" t="e">
        <f t="shared" ca="1" si="198"/>
        <v>#N/A</v>
      </c>
      <c r="AC129" s="3">
        <f t="shared" ca="1" si="199"/>
        <v>0.93467963101470941</v>
      </c>
      <c r="AE129" s="3">
        <f t="shared" ca="1" si="200"/>
        <v>0.68625630547966143</v>
      </c>
      <c r="AF129" s="3">
        <f t="shared" ca="1" si="201"/>
        <v>0.78407080827561104</v>
      </c>
      <c r="AG129" s="3" t="e">
        <f t="shared" ca="1" si="202"/>
        <v>#N/A</v>
      </c>
      <c r="AH129" s="3">
        <f t="shared" ca="1" si="203"/>
        <v>0.7102967007027633</v>
      </c>
      <c r="AJ129" s="3">
        <f t="shared" ca="1" si="204"/>
        <v>1.8509949097639986</v>
      </c>
      <c r="AK129" s="3">
        <f t="shared" ca="1" si="205"/>
        <v>2.1238938053097347</v>
      </c>
      <c r="AL129" s="3" t="e">
        <f t="shared" ca="1" si="206"/>
        <v>#N/A</v>
      </c>
      <c r="AM129" s="3">
        <f t="shared" ca="1" si="207"/>
        <v>2.2438294689603588</v>
      </c>
      <c r="AO129" s="3">
        <f t="shared" ca="1" si="208"/>
        <v>0.9254974548819993</v>
      </c>
      <c r="AP129" s="3">
        <f t="shared" ca="1" si="209"/>
        <v>0.3539823008849558</v>
      </c>
      <c r="AQ129" s="3" t="e">
        <f t="shared" ca="1" si="210"/>
        <v>#N/A</v>
      </c>
      <c r="AR129" s="3">
        <f t="shared" ca="1" si="211"/>
        <v>0.24931438544003989</v>
      </c>
      <c r="AT129" s="5">
        <v>0.22300000488758087</v>
      </c>
      <c r="AU129" s="5">
        <v>1.2020000219345093</v>
      </c>
      <c r="AV129" s="11" t="e">
        <v>#N/A</v>
      </c>
      <c r="AW129" s="5">
        <v>0.25600001215934753</v>
      </c>
      <c r="AY129" s="3">
        <f t="shared" ca="1" si="212"/>
        <v>0.67838963442850553</v>
      </c>
      <c r="AZ129" s="3">
        <f t="shared" ca="1" si="213"/>
        <v>0.6605309734513275</v>
      </c>
      <c r="BA129" s="3" t="e">
        <f t="shared" ca="1" si="214"/>
        <v>#N/A</v>
      </c>
      <c r="BB129" s="3">
        <f t="shared" ca="1" si="215"/>
        <v>0.34455248067813504</v>
      </c>
      <c r="BD129" s="3">
        <f t="shared" ca="1" si="216"/>
        <v>0.68625630547966143</v>
      </c>
      <c r="BE129" s="3">
        <f t="shared" ca="1" si="217"/>
        <v>0.68991154696034129</v>
      </c>
      <c r="BF129" s="3" t="e">
        <f t="shared" ca="1" si="218"/>
        <v>#N/A</v>
      </c>
      <c r="BG129" s="3">
        <f t="shared" ca="1" si="219"/>
        <v>0.35726747676875042</v>
      </c>
      <c r="BI129" s="3">
        <f t="shared" ca="1" si="220"/>
        <v>1.8509949097639986</v>
      </c>
      <c r="BJ129" s="3">
        <f t="shared" ca="1" si="221"/>
        <v>1.4159292035398232</v>
      </c>
      <c r="BK129" s="3" t="e">
        <f t="shared" ca="1" si="222"/>
        <v>#N/A</v>
      </c>
      <c r="BL129" s="3">
        <f t="shared" ca="1" si="223"/>
        <v>0.74794315632011965</v>
      </c>
      <c r="BN129" s="3">
        <f t="shared" ca="1" si="224"/>
        <v>1.3882461823229988</v>
      </c>
      <c r="BO129" s="3">
        <f t="shared" ca="1" si="225"/>
        <v>1.0619469026548674</v>
      </c>
      <c r="BP129" s="3" t="e">
        <f t="shared" ca="1" si="226"/>
        <v>#N/A</v>
      </c>
      <c r="BQ129" s="3">
        <f t="shared" ca="1" si="227"/>
        <v>0.74794315632011965</v>
      </c>
      <c r="BS129" s="5">
        <v>0.22300000488758087</v>
      </c>
      <c r="BT129" s="5">
        <v>1.3190000057220459</v>
      </c>
      <c r="BU129" s="11" t="e">
        <v>#N/A</v>
      </c>
      <c r="BV129" s="5">
        <v>1.0729999542236328</v>
      </c>
      <c r="BX129" s="3">
        <f t="shared" ca="1" si="228"/>
        <v>0</v>
      </c>
      <c r="BY129" s="3">
        <f t="shared" ca="1" si="229"/>
        <v>0</v>
      </c>
      <c r="BZ129" s="3" t="e">
        <f t="shared" ca="1" si="230"/>
        <v>#N/A</v>
      </c>
      <c r="CA129" s="3">
        <f t="shared" ca="1" si="231"/>
        <v>0.15382697581650467</v>
      </c>
      <c r="CC129" s="3">
        <f t="shared" ca="1" si="232"/>
        <v>0</v>
      </c>
      <c r="CD129" s="3">
        <f t="shared" ca="1" si="233"/>
        <v>0</v>
      </c>
      <c r="CE129" s="3" t="e">
        <f t="shared" ca="1" si="234"/>
        <v>#N/A</v>
      </c>
      <c r="CF129" s="3">
        <f t="shared" ca="1" si="235"/>
        <v>0.17003245081458118</v>
      </c>
      <c r="CH129" s="3">
        <f t="shared" ca="1" si="236"/>
        <v>0</v>
      </c>
      <c r="CI129" s="3">
        <f t="shared" ca="1" si="237"/>
        <v>0</v>
      </c>
      <c r="CJ129" s="3" t="e">
        <f t="shared" ca="1" si="238"/>
        <v>#N/A</v>
      </c>
      <c r="CK129" s="3">
        <f t="shared" ca="1" si="239"/>
        <v>0.74794315632011965</v>
      </c>
      <c r="CM129" s="3">
        <f t="shared" ca="1" si="240"/>
        <v>0.46274872744099965</v>
      </c>
      <c r="CN129" s="3">
        <f t="shared" ca="1" si="241"/>
        <v>0</v>
      </c>
      <c r="CO129" s="3" t="e">
        <f t="shared" ca="1" si="242"/>
        <v>#N/A</v>
      </c>
      <c r="CP129" s="3">
        <f t="shared" ca="1" si="243"/>
        <v>0.99725754176015957</v>
      </c>
      <c r="CR129" s="5">
        <v>4.01</v>
      </c>
      <c r="CS129" s="5">
        <v>4.01</v>
      </c>
      <c r="CT129" s="11" t="e">
        <v>#N/A</v>
      </c>
      <c r="CU129" s="5">
        <v>3.0559999942779541</v>
      </c>
      <c r="CV129" s="21" t="e">
        <f t="shared" ca="1" si="183"/>
        <v>#N/A</v>
      </c>
      <c r="CW129" s="16">
        <f t="shared" ca="1" si="182"/>
        <v>6.833333333333333</v>
      </c>
    </row>
    <row r="130" spans="1:101" s="5" customFormat="1" x14ac:dyDescent="0.35">
      <c r="A130" s="4" t="s">
        <v>162</v>
      </c>
      <c r="B130" s="4">
        <v>6.833333333333333</v>
      </c>
      <c r="C130" s="4" t="s">
        <v>168</v>
      </c>
      <c r="D130" s="4" t="s">
        <v>404</v>
      </c>
      <c r="E130" s="3"/>
      <c r="F130" s="5">
        <v>4.0149999999999997</v>
      </c>
      <c r="G130" s="5">
        <v>1.2329999999999997</v>
      </c>
      <c r="H130" s="5">
        <v>2.9089999999999998</v>
      </c>
      <c r="I130" s="5">
        <v>4.016</v>
      </c>
      <c r="K130" s="3">
        <f t="shared" ca="1" si="184"/>
        <v>0.98356164383561662</v>
      </c>
      <c r="L130" s="3" t="e">
        <f t="shared" ca="1" si="185"/>
        <v>#N/A</v>
      </c>
      <c r="M130" s="3">
        <f t="shared" ca="1" si="186"/>
        <v>0.99690615331729104</v>
      </c>
      <c r="N130" s="3">
        <f t="shared" ca="1" si="187"/>
        <v>0.91284860557768921</v>
      </c>
      <c r="P130" s="3">
        <f t="shared" ca="1" si="188"/>
        <v>0.83387299709875673</v>
      </c>
      <c r="Q130" s="3" t="e">
        <f t="shared" ca="1" si="189"/>
        <v>#N/A</v>
      </c>
      <c r="R130" s="3">
        <f t="shared" ca="1" si="190"/>
        <v>0.80164996942331723</v>
      </c>
      <c r="S130" s="3">
        <f t="shared" ca="1" si="191"/>
        <v>0.8508466059839227</v>
      </c>
      <c r="U130" s="3">
        <f t="shared" ca="1" si="192"/>
        <v>1.4943960149439603</v>
      </c>
      <c r="V130" s="3" t="e">
        <f t="shared" ca="1" si="193"/>
        <v>#N/A</v>
      </c>
      <c r="W130" s="3">
        <f t="shared" ca="1" si="194"/>
        <v>2.4063251976624271</v>
      </c>
      <c r="X130" s="3">
        <f t="shared" ca="1" si="195"/>
        <v>3.237051792828685</v>
      </c>
      <c r="Z130" s="3">
        <f t="shared" ca="1" si="196"/>
        <v>0.98356164383561662</v>
      </c>
      <c r="AA130" s="3" t="e">
        <f t="shared" ca="1" si="197"/>
        <v>#N/A</v>
      </c>
      <c r="AB130" s="3">
        <f t="shared" ca="1" si="198"/>
        <v>0.99106222069439665</v>
      </c>
      <c r="AC130" s="3">
        <f t="shared" ca="1" si="199"/>
        <v>0.85458167330677293</v>
      </c>
      <c r="AE130" s="3">
        <f t="shared" ca="1" si="200"/>
        <v>0.83387299709875673</v>
      </c>
      <c r="AF130" s="3" t="e">
        <f t="shared" ca="1" si="201"/>
        <v>#N/A</v>
      </c>
      <c r="AG130" s="3">
        <f t="shared" ca="1" si="202"/>
        <v>0.80164996942331723</v>
      </c>
      <c r="AH130" s="3">
        <f t="shared" ca="1" si="203"/>
        <v>0.8010457972977385</v>
      </c>
      <c r="AJ130" s="3">
        <f t="shared" ca="1" si="204"/>
        <v>1.4943960149439603</v>
      </c>
      <c r="AK130" s="3" t="e">
        <f t="shared" ca="1" si="205"/>
        <v>#N/A</v>
      </c>
      <c r="AL130" s="3">
        <f t="shared" ca="1" si="206"/>
        <v>2.4063251976624271</v>
      </c>
      <c r="AM130" s="3">
        <f t="shared" ca="1" si="207"/>
        <v>2.9880478087649402</v>
      </c>
      <c r="AO130" s="3">
        <f t="shared" ca="1" si="208"/>
        <v>0.24906600249066005</v>
      </c>
      <c r="AP130" s="3" t="e">
        <f t="shared" ca="1" si="209"/>
        <v>#N/A</v>
      </c>
      <c r="AQ130" s="3">
        <f t="shared" ca="1" si="210"/>
        <v>0.68752148504640775</v>
      </c>
      <c r="AR130" s="3">
        <f t="shared" ca="1" si="211"/>
        <v>0.24900398406374502</v>
      </c>
      <c r="AT130" s="5">
        <v>2.0000000949949026E-3</v>
      </c>
      <c r="AU130" s="11" t="e">
        <v>#N/A</v>
      </c>
      <c r="AV130" s="5">
        <v>6.0000000521540642E-3</v>
      </c>
      <c r="AW130" s="5">
        <v>8.999999612569809E-3</v>
      </c>
      <c r="AY130" s="3">
        <f t="shared" ca="1" si="212"/>
        <v>0.48567870485678721</v>
      </c>
      <c r="AZ130" s="3" t="e">
        <f t="shared" ca="1" si="213"/>
        <v>#N/A</v>
      </c>
      <c r="BA130" s="3">
        <f t="shared" ca="1" si="214"/>
        <v>0.67067720866277059</v>
      </c>
      <c r="BB130" s="3">
        <f t="shared" ca="1" si="215"/>
        <v>4.1334661354581671E-2</v>
      </c>
      <c r="BD130" s="3">
        <f t="shared" ca="1" si="216"/>
        <v>0.65554174905408591</v>
      </c>
      <c r="BE130" s="3" t="e">
        <f t="shared" ca="1" si="217"/>
        <v>#N/A</v>
      </c>
      <c r="BF130" s="3">
        <f t="shared" ca="1" si="218"/>
        <v>0.65314535553582809</v>
      </c>
      <c r="BG130" s="3">
        <f t="shared" ca="1" si="219"/>
        <v>3.3117533917446061E-2</v>
      </c>
      <c r="BI130" s="3">
        <f t="shared" ca="1" si="220"/>
        <v>0.9962640099626402</v>
      </c>
      <c r="BJ130" s="3" t="e">
        <f t="shared" ca="1" si="221"/>
        <v>#N/A</v>
      </c>
      <c r="BK130" s="3">
        <f t="shared" ca="1" si="222"/>
        <v>1.7188037126160194</v>
      </c>
      <c r="BL130" s="3">
        <f t="shared" ca="1" si="223"/>
        <v>0.24900398406374502</v>
      </c>
      <c r="BN130" s="3">
        <f t="shared" ca="1" si="224"/>
        <v>0.9962640099626402</v>
      </c>
      <c r="BO130" s="3" t="e">
        <f t="shared" ca="1" si="225"/>
        <v>#N/A</v>
      </c>
      <c r="BP130" s="3">
        <f t="shared" ca="1" si="226"/>
        <v>1.3750429700928155</v>
      </c>
      <c r="BQ130" s="3">
        <f t="shared" ca="1" si="227"/>
        <v>0.24900398406374502</v>
      </c>
      <c r="BS130" s="5">
        <v>2.0000000949949026E-3</v>
      </c>
      <c r="BT130" s="11" t="e">
        <v>#N/A</v>
      </c>
      <c r="BU130" s="5">
        <v>6.0000000521540642E-3</v>
      </c>
      <c r="BV130" s="5">
        <v>0.45899999141693115</v>
      </c>
      <c r="BX130" s="3">
        <f t="shared" ca="1" si="228"/>
        <v>1.6687422166874154E-2</v>
      </c>
      <c r="BY130" s="3" t="e">
        <f t="shared" ca="1" si="229"/>
        <v>#N/A</v>
      </c>
      <c r="BZ130" s="3">
        <f t="shared" ca="1" si="230"/>
        <v>0</v>
      </c>
      <c r="CA130" s="3">
        <f t="shared" ca="1" si="231"/>
        <v>0</v>
      </c>
      <c r="CC130" s="3">
        <f t="shared" ca="1" si="232"/>
        <v>0</v>
      </c>
      <c r="CD130" s="3" t="e">
        <f t="shared" ca="1" si="233"/>
        <v>#N/A</v>
      </c>
      <c r="CE130" s="3">
        <f t="shared" ca="1" si="234"/>
        <v>0</v>
      </c>
      <c r="CF130" s="3">
        <f t="shared" ca="1" si="235"/>
        <v>0</v>
      </c>
      <c r="CH130" s="3">
        <f t="shared" ca="1" si="236"/>
        <v>0</v>
      </c>
      <c r="CI130" s="3" t="e">
        <f t="shared" ca="1" si="237"/>
        <v>#N/A</v>
      </c>
      <c r="CJ130" s="3">
        <f t="shared" ca="1" si="238"/>
        <v>0</v>
      </c>
      <c r="CK130" s="3">
        <f t="shared" ca="1" si="239"/>
        <v>0</v>
      </c>
      <c r="CM130" s="3">
        <f t="shared" ca="1" si="240"/>
        <v>0.4981320049813201</v>
      </c>
      <c r="CN130" s="3" t="e">
        <f t="shared" ca="1" si="241"/>
        <v>#N/A</v>
      </c>
      <c r="CO130" s="3">
        <f t="shared" ca="1" si="242"/>
        <v>0.34376074252320388</v>
      </c>
      <c r="CP130" s="3">
        <f t="shared" ca="1" si="243"/>
        <v>0</v>
      </c>
      <c r="CR130" s="5">
        <v>4.0149999999999997</v>
      </c>
      <c r="CS130" s="11" t="e">
        <v>#N/A</v>
      </c>
      <c r="CT130" s="5">
        <v>4.0419999999999998</v>
      </c>
      <c r="CU130" s="5">
        <v>4.016</v>
      </c>
      <c r="CV130" s="21">
        <f t="shared" ca="1" si="183"/>
        <v>0.65314535553582809</v>
      </c>
      <c r="CW130" s="16">
        <f t="shared" ca="1" si="182"/>
        <v>6.833333333333333</v>
      </c>
    </row>
    <row r="131" spans="1:101" s="5" customFormat="1" x14ac:dyDescent="0.35">
      <c r="A131" s="4" t="s">
        <v>157</v>
      </c>
      <c r="B131" s="4">
        <v>7</v>
      </c>
      <c r="C131" s="4" t="s">
        <v>168</v>
      </c>
      <c r="D131" s="4" t="s">
        <v>404</v>
      </c>
      <c r="E131" s="3"/>
      <c r="F131" s="5">
        <v>2.5629999999999997</v>
      </c>
      <c r="G131" s="5">
        <v>0.91900000000000004</v>
      </c>
      <c r="H131" s="5">
        <v>0.85600000000000032</v>
      </c>
      <c r="I131" s="5">
        <v>1.012</v>
      </c>
      <c r="K131" s="3">
        <f t="shared" ca="1" si="184"/>
        <v>0.8845103394459618</v>
      </c>
      <c r="L131" s="3" t="e">
        <f t="shared" ca="1" si="185"/>
        <v>#N/A</v>
      </c>
      <c r="M131" s="3" t="e">
        <f t="shared" ca="1" si="186"/>
        <v>#N/A</v>
      </c>
      <c r="N131" s="3" t="e">
        <f t="shared" ca="1" si="187"/>
        <v>#N/A</v>
      </c>
      <c r="P131" s="3">
        <f t="shared" ca="1" si="188"/>
        <v>0.55950061446095745</v>
      </c>
      <c r="Q131" s="3" t="e">
        <f t="shared" ca="1" si="189"/>
        <v>#N/A</v>
      </c>
      <c r="R131" s="3" t="e">
        <f t="shared" ca="1" si="190"/>
        <v>#N/A</v>
      </c>
      <c r="S131" s="3" t="e">
        <f t="shared" ca="1" si="191"/>
        <v>#N/A</v>
      </c>
      <c r="U131" s="3">
        <f t="shared" ca="1" si="192"/>
        <v>2.3410066328521268</v>
      </c>
      <c r="V131" s="3" t="e">
        <f t="shared" ca="1" si="193"/>
        <v>#N/A</v>
      </c>
      <c r="W131" s="3" t="e">
        <f t="shared" ca="1" si="194"/>
        <v>#N/A</v>
      </c>
      <c r="X131" s="3" t="e">
        <f t="shared" ca="1" si="195"/>
        <v>#N/A</v>
      </c>
      <c r="Z131" s="3">
        <f t="shared" ca="1" si="196"/>
        <v>0.70893484198205237</v>
      </c>
      <c r="AA131" s="3" t="e">
        <f t="shared" ca="1" si="197"/>
        <v>#N/A</v>
      </c>
      <c r="AB131" s="3" t="e">
        <f t="shared" ca="1" si="198"/>
        <v>#N/A</v>
      </c>
      <c r="AC131" s="3" t="e">
        <f t="shared" ca="1" si="199"/>
        <v>#N/A</v>
      </c>
      <c r="AE131" s="3">
        <f t="shared" ca="1" si="200"/>
        <v>0.47483411190614916</v>
      </c>
      <c r="AF131" s="3" t="e">
        <f t="shared" ca="1" si="201"/>
        <v>#N/A</v>
      </c>
      <c r="AG131" s="3" t="e">
        <f t="shared" ca="1" si="202"/>
        <v>#N/A</v>
      </c>
      <c r="AH131" s="3" t="e">
        <f t="shared" ca="1" si="203"/>
        <v>#N/A</v>
      </c>
      <c r="AJ131" s="3">
        <f t="shared" ca="1" si="204"/>
        <v>1.5606710885680843</v>
      </c>
      <c r="AK131" s="3" t="e">
        <f t="shared" ca="1" si="205"/>
        <v>#N/A</v>
      </c>
      <c r="AL131" s="3" t="e">
        <f t="shared" ca="1" si="206"/>
        <v>#N/A</v>
      </c>
      <c r="AM131" s="3" t="e">
        <f t="shared" ca="1" si="207"/>
        <v>#N/A</v>
      </c>
      <c r="AO131" s="3">
        <f t="shared" ca="1" si="208"/>
        <v>1.5606710885680843</v>
      </c>
      <c r="AP131" s="3" t="e">
        <f t="shared" ca="1" si="209"/>
        <v>#N/A</v>
      </c>
      <c r="AQ131" s="3" t="e">
        <f t="shared" ca="1" si="210"/>
        <v>#N/A</v>
      </c>
      <c r="AR131" s="3" t="e">
        <f t="shared" ca="1" si="211"/>
        <v>#N/A</v>
      </c>
      <c r="AT131" s="5">
        <v>0.19699999690055847</v>
      </c>
      <c r="AU131" s="11" t="e">
        <v>#N/A</v>
      </c>
      <c r="AV131" s="11" t="e">
        <v>#N/A</v>
      </c>
      <c r="AW131" s="11" t="e">
        <v>#N/A</v>
      </c>
      <c r="AY131" s="3">
        <f t="shared" ca="1" si="212"/>
        <v>0.20171673819742489</v>
      </c>
      <c r="AZ131" s="3" t="e">
        <f t="shared" ca="1" si="213"/>
        <v>#N/A</v>
      </c>
      <c r="BA131" s="3" t="e">
        <f t="shared" ca="1" si="214"/>
        <v>#N/A</v>
      </c>
      <c r="BB131" s="3" t="e">
        <f t="shared" ca="1" si="215"/>
        <v>#N/A</v>
      </c>
      <c r="BD131" s="3">
        <f t="shared" ca="1" si="216"/>
        <v>0.20171672256951961</v>
      </c>
      <c r="BE131" s="3" t="e">
        <f t="shared" ca="1" si="217"/>
        <v>#N/A</v>
      </c>
      <c r="BF131" s="3" t="e">
        <f t="shared" ca="1" si="218"/>
        <v>#N/A</v>
      </c>
      <c r="BG131" s="3" t="e">
        <f t="shared" ca="1" si="219"/>
        <v>#N/A</v>
      </c>
      <c r="BI131" s="3">
        <f t="shared" ca="1" si="220"/>
        <v>0.39016777214202109</v>
      </c>
      <c r="BJ131" s="3" t="e">
        <f t="shared" ca="1" si="221"/>
        <v>#N/A</v>
      </c>
      <c r="BK131" s="3" t="e">
        <f t="shared" ca="1" si="222"/>
        <v>#N/A</v>
      </c>
      <c r="BL131" s="3" t="e">
        <f t="shared" ca="1" si="223"/>
        <v>#N/A</v>
      </c>
      <c r="BN131" s="3">
        <f t="shared" ca="1" si="224"/>
        <v>0.78033554428404217</v>
      </c>
      <c r="BO131" s="3" t="e">
        <f t="shared" ca="1" si="225"/>
        <v>#N/A</v>
      </c>
      <c r="BP131" s="3" t="e">
        <f t="shared" ca="1" si="226"/>
        <v>#N/A</v>
      </c>
      <c r="BQ131" s="3" t="e">
        <f t="shared" ca="1" si="227"/>
        <v>#N/A</v>
      </c>
      <c r="BS131" s="5">
        <v>1.1130000352859497</v>
      </c>
      <c r="BT131" s="11" t="e">
        <v>#N/A</v>
      </c>
      <c r="BU131" s="11" t="e">
        <v>#N/A</v>
      </c>
      <c r="BV131" s="11" t="e">
        <v>#N/A</v>
      </c>
      <c r="BX131" s="3">
        <f t="shared" ca="1" si="228"/>
        <v>1.2875536480686751E-2</v>
      </c>
      <c r="BY131" s="3" t="e">
        <f t="shared" ca="1" si="229"/>
        <v>#N/A</v>
      </c>
      <c r="BZ131" s="3" t="e">
        <f t="shared" ca="1" si="230"/>
        <v>#N/A</v>
      </c>
      <c r="CA131" s="3" t="e">
        <f t="shared" ca="1" si="231"/>
        <v>#N/A</v>
      </c>
      <c r="CC131" s="3">
        <f t="shared" ca="1" si="232"/>
        <v>0</v>
      </c>
      <c r="CD131" s="3" t="e">
        <f t="shared" ca="1" si="233"/>
        <v>#N/A</v>
      </c>
      <c r="CE131" s="3" t="e">
        <f t="shared" ca="1" si="234"/>
        <v>#N/A</v>
      </c>
      <c r="CF131" s="3" t="e">
        <f t="shared" ca="1" si="235"/>
        <v>#N/A</v>
      </c>
      <c r="CH131" s="3">
        <f t="shared" ca="1" si="236"/>
        <v>0</v>
      </c>
      <c r="CI131" s="3" t="e">
        <f t="shared" ca="1" si="237"/>
        <v>#N/A</v>
      </c>
      <c r="CJ131" s="3" t="e">
        <f t="shared" ca="1" si="238"/>
        <v>#N/A</v>
      </c>
      <c r="CK131" s="3" t="e">
        <f t="shared" ca="1" si="239"/>
        <v>#N/A</v>
      </c>
      <c r="CM131" s="3">
        <f t="shared" ca="1" si="240"/>
        <v>0.78033554428404217</v>
      </c>
      <c r="CN131" s="3" t="e">
        <f t="shared" ca="1" si="241"/>
        <v>#N/A</v>
      </c>
      <c r="CO131" s="3" t="e">
        <f t="shared" ca="1" si="242"/>
        <v>#N/A</v>
      </c>
      <c r="CP131" s="3" t="e">
        <f t="shared" ca="1" si="243"/>
        <v>#N/A</v>
      </c>
      <c r="CR131" s="5">
        <v>4.0289999999999999</v>
      </c>
      <c r="CS131" s="11" t="e">
        <v>#N/A</v>
      </c>
      <c r="CT131" s="11" t="e">
        <v>#N/A</v>
      </c>
      <c r="CU131" s="11" t="e">
        <v>#N/A</v>
      </c>
      <c r="CV131" s="21" t="e">
        <f t="shared" ca="1" si="183"/>
        <v>#N/A</v>
      </c>
      <c r="CW131" s="16">
        <f t="shared" ca="1" si="182"/>
        <v>7</v>
      </c>
    </row>
    <row r="132" spans="1:101" s="5" customFormat="1" x14ac:dyDescent="0.35">
      <c r="A132" s="4" t="s">
        <v>95</v>
      </c>
      <c r="B132" s="4">
        <v>7.25</v>
      </c>
      <c r="C132" s="4" t="s">
        <v>168</v>
      </c>
      <c r="D132" s="4" t="s">
        <v>404</v>
      </c>
      <c r="E132" s="3"/>
      <c r="F132" s="5">
        <v>0.41699999999999982</v>
      </c>
      <c r="G132" s="11" t="e">
        <v>#N/A</v>
      </c>
      <c r="H132" s="11" t="e">
        <v>#N/A</v>
      </c>
      <c r="I132" s="5">
        <v>2.0629999999999997</v>
      </c>
      <c r="K132" s="3" t="e">
        <f t="shared" ref="K132:K168" ca="1" si="244">INDIRECT("'Data_Netteyage'!" &amp; LEFT(ADDRESS(1,COLUMN(),4),LEN(ADDRESS(1,COLUMN(),4))-1) &amp; ROW())/F132</f>
        <v>#N/A</v>
      </c>
      <c r="L132" s="3" t="e">
        <f t="shared" ref="L132:L168" ca="1" si="245">INDIRECT("'Data_Netteyage'!" &amp; LEFT(ADDRESS(1,COLUMN(),4),LEN(ADDRESS(1,COLUMN(),4))-1) &amp; ROW())/G132</f>
        <v>#N/A</v>
      </c>
      <c r="M132" s="3" t="e">
        <f t="shared" ref="M132:M168" ca="1" si="246">INDIRECT("'Data_Netteyage'!" &amp; LEFT(ADDRESS(1,COLUMN(),4),LEN(ADDRESS(1,COLUMN(),4))-1) &amp; ROW())/H132</f>
        <v>#N/A</v>
      </c>
      <c r="N132" s="3">
        <f t="shared" ref="N132:N168" ca="1" si="247">INDIRECT("'Data_Netteyage'!" &amp; LEFT(ADDRESS(1,COLUMN(),4),LEN(ADDRESS(1,COLUMN(),4))-1) &amp; ROW())/I132</f>
        <v>0.99369849733397964</v>
      </c>
      <c r="P132" s="3" t="e">
        <f t="shared" ref="P132:P168" ca="1" si="248">INDIRECT("'Data_Netteyage'!" &amp; LEFT(ADDRESS(1,COLUMN(),4),LEN(ADDRESS(1,COLUMN(),4))-1) &amp; ROW())/F132</f>
        <v>#N/A</v>
      </c>
      <c r="Q132" s="3" t="e">
        <f t="shared" ref="Q132:Q168" ca="1" si="249">INDIRECT("'Data_Netteyage'!" &amp; LEFT(ADDRESS(1,COLUMN(),4),LEN(ADDRESS(1,COLUMN(),4))-1) &amp; ROW())/G132</f>
        <v>#N/A</v>
      </c>
      <c r="R132" s="3" t="e">
        <f t="shared" ref="R132:R168" ca="1" si="250">INDIRECT("'Data_Netteyage'!" &amp; LEFT(ADDRESS(1,COLUMN(),4),LEN(ADDRESS(1,COLUMN(),4))-1) &amp; ROW())/H132</f>
        <v>#N/A</v>
      </c>
      <c r="S132" s="3">
        <f t="shared" ref="S132:S168" ca="1" si="251">INDIRECT("'Data_Netteyage'!" &amp; LEFT(ADDRESS(1,COLUMN(),4),LEN(ADDRESS(1,COLUMN(),4))-1) &amp; ROW())/I132</f>
        <v>0.75957339421326375</v>
      </c>
      <c r="U132" s="3" t="e">
        <f t="shared" ref="U132:U168" ca="1" si="252">INDIRECT("'Data_Netteyage'!" &amp; LEFT(ADDRESS(1,COLUMN(),4),LEN(ADDRESS(1,COLUMN(),4))-1) &amp; ROW())/F132</f>
        <v>#N/A</v>
      </c>
      <c r="V132" s="3" t="e">
        <f t="shared" ref="V132:V168" ca="1" si="253">INDIRECT("'Data_Netteyage'!" &amp; LEFT(ADDRESS(1,COLUMN(),4),LEN(ADDRESS(1,COLUMN(),4))-1) &amp; ROW())/G132</f>
        <v>#N/A</v>
      </c>
      <c r="W132" s="3" t="e">
        <f t="shared" ref="W132:W168" ca="1" si="254">INDIRECT("'Data_Netteyage'!" &amp; LEFT(ADDRESS(1,COLUMN(),4),LEN(ADDRESS(1,COLUMN(),4))-1) &amp; ROW())/H132</f>
        <v>#N/A</v>
      </c>
      <c r="X132" s="3">
        <f t="shared" ref="X132:X168" ca="1" si="255">INDIRECT("'Data_Netteyage'!" &amp; LEFT(ADDRESS(1,COLUMN(),4),LEN(ADDRESS(1,COLUMN(),4))-1) &amp; ROW())/I132</f>
        <v>4.362578768783326</v>
      </c>
      <c r="Z132" s="3" t="e">
        <f t="shared" ref="Z132:Z168" ca="1" si="256">INDIRECT("'Data_Netteyage'!" &amp; LEFT(ADDRESS(1,COLUMN(),4),LEN(ADDRESS(1,COLUMN(),4))-1) &amp; ROW())/F132</f>
        <v>#N/A</v>
      </c>
      <c r="AA132" s="3" t="e">
        <f t="shared" ref="AA132:AA168" ca="1" si="257">INDIRECT("'Data_Netteyage'!" &amp; LEFT(ADDRESS(1,COLUMN(),4),LEN(ADDRESS(1,COLUMN(),4))-1) &amp; ROW())/G132</f>
        <v>#N/A</v>
      </c>
      <c r="AB132" s="3" t="e">
        <f t="shared" ref="AB132:AB168" ca="1" si="258">INDIRECT("'Data_Netteyage'!" &amp; LEFT(ADDRESS(1,COLUMN(),4),LEN(ADDRESS(1,COLUMN(),4))-1) &amp; ROW())/H132</f>
        <v>#N/A</v>
      </c>
      <c r="AC132" s="3">
        <f t="shared" ref="AC132:AC168" ca="1" si="259">INDIRECT("'Data_Netteyage'!" &amp; LEFT(ADDRESS(1,COLUMN(),4),LEN(ADDRESS(1,COLUMN(),4))-1) &amp; ROW())/I132</f>
        <v>0.86427532719340772</v>
      </c>
      <c r="AE132" s="3" t="e">
        <f t="shared" ref="AE132:AE168" ca="1" si="260">INDIRECT("'Data_Netteyage'!" &amp; LEFT(ADDRESS(1,COLUMN(),4),LEN(ADDRESS(1,COLUMN(),4))-1) &amp; ROW())/F132</f>
        <v>#N/A</v>
      </c>
      <c r="AF132" s="3" t="e">
        <f t="shared" ref="AF132:AF168" ca="1" si="261">INDIRECT("'Data_Netteyage'!" &amp; LEFT(ADDRESS(1,COLUMN(),4),LEN(ADDRESS(1,COLUMN(),4))-1) &amp; ROW())/G132</f>
        <v>#N/A</v>
      </c>
      <c r="AG132" s="3" t="e">
        <f t="shared" ref="AG132:AG168" ca="1" si="262">INDIRECT("'Data_Netteyage'!" &amp; LEFT(ADDRESS(1,COLUMN(),4),LEN(ADDRESS(1,COLUMN(),4))-1) &amp; ROW())/H132</f>
        <v>#N/A</v>
      </c>
      <c r="AH132" s="3">
        <f t="shared" ref="AH132:AH168" ca="1" si="263">INDIRECT("'Data_Netteyage'!" &amp; LEFT(ADDRESS(1,COLUMN(),4),LEN(ADDRESS(1,COLUMN(),4))-1) &amp; ROW())/I132</f>
        <v>0.69461941314564135</v>
      </c>
      <c r="AJ132" s="3" t="e">
        <f t="shared" ref="AJ132:AJ168" ca="1" si="264">INDIRECT("'Data_Netteyage'!" &amp; LEFT(ADDRESS(1,COLUMN(),4),LEN(ADDRESS(1,COLUMN(),4))-1) &amp; ROW())/F132</f>
        <v>#N/A</v>
      </c>
      <c r="AK132" s="3" t="e">
        <f t="shared" ref="AK132:AK168" ca="1" si="265">INDIRECT("'Data_Netteyage'!" &amp; LEFT(ADDRESS(1,COLUMN(),4),LEN(ADDRESS(1,COLUMN(),4))-1) &amp; ROW())/G132</f>
        <v>#N/A</v>
      </c>
      <c r="AL132" s="3" t="e">
        <f t="shared" ref="AL132:AL168" ca="1" si="266">INDIRECT("'Data_Netteyage'!" &amp; LEFT(ADDRESS(1,COLUMN(),4),LEN(ADDRESS(1,COLUMN(),4))-1) &amp; ROW())/H132</f>
        <v>#N/A</v>
      </c>
      <c r="AM132" s="3">
        <f t="shared" ref="AM132:AM168" ca="1" si="267">INDIRECT("'Data_Netteyage'!" &amp; LEFT(ADDRESS(1,COLUMN(),4),LEN(ADDRESS(1,COLUMN(),4))-1) &amp; ROW())/I132</f>
        <v>3.8778477944740675</v>
      </c>
      <c r="AO132" s="3" t="e">
        <f t="shared" ref="AO132:AO168" ca="1" si="268">INDIRECT("'Data_Netteyage'!" &amp; LEFT(ADDRESS(1,COLUMN(),4),LEN(ADDRESS(1,COLUMN(),4))-1) &amp; ROW())/F132</f>
        <v>#N/A</v>
      </c>
      <c r="AP132" s="3" t="e">
        <f t="shared" ref="AP132:AP168" ca="1" si="269">INDIRECT("'Data_Netteyage'!" &amp; LEFT(ADDRESS(1,COLUMN(),4),LEN(ADDRESS(1,COLUMN(),4))-1) &amp; ROW())/G132</f>
        <v>#N/A</v>
      </c>
      <c r="AQ132" s="3" t="e">
        <f t="shared" ref="AQ132:AQ168" ca="1" si="270">INDIRECT("'Data_Netteyage'!" &amp; LEFT(ADDRESS(1,COLUMN(),4),LEN(ADDRESS(1,COLUMN(),4))-1) &amp; ROW())/H132</f>
        <v>#N/A</v>
      </c>
      <c r="AR132" s="3">
        <f t="shared" ref="AR132:AR168" ca="1" si="271">INDIRECT("'Data_Netteyage'!" &amp; LEFT(ADDRESS(1,COLUMN(),4),LEN(ADDRESS(1,COLUMN(),4))-1) &amp; ROW())/I132</f>
        <v>1.4541929229277752</v>
      </c>
      <c r="AT132" s="11" t="e">
        <v>#N/A</v>
      </c>
      <c r="AU132" s="11" t="e">
        <v>#N/A</v>
      </c>
      <c r="AV132" s="11" t="e">
        <v>#N/A</v>
      </c>
      <c r="AW132" s="5">
        <v>2.0190000534057617</v>
      </c>
      <c r="AY132" s="3" t="e">
        <f t="shared" ref="AY132:AY168" ca="1" si="272">INDIRECT("'Data_Netteyage'!" &amp; LEFT(ADDRESS(1,COLUMN(),4),LEN(ADDRESS(1,COLUMN(),4))-1) &amp; ROW())/F132</f>
        <v>#N/A</v>
      </c>
      <c r="AZ132" s="3" t="e">
        <f t="shared" ref="AZ132:AZ168" ca="1" si="273">INDIRECT("'Data_Netteyage'!" &amp; LEFT(ADDRESS(1,COLUMN(),4),LEN(ADDRESS(1,COLUMN(),4))-1) &amp; ROW())/G132</f>
        <v>#N/A</v>
      </c>
      <c r="BA132" s="3" t="e">
        <f t="shared" ref="BA132:BA168" ca="1" si="274">INDIRECT("'Data_Netteyage'!" &amp; LEFT(ADDRESS(1,COLUMN(),4),LEN(ADDRESS(1,COLUMN(),4))-1) &amp; ROW())/H132</f>
        <v>#N/A</v>
      </c>
      <c r="BB132" s="3">
        <f t="shared" ref="BB132:BB168" ca="1" si="275">INDIRECT("'Data_Netteyage'!" &amp; LEFT(ADDRESS(1,COLUMN(),4),LEN(ADDRESS(1,COLUMN(),4))-1) &amp; ROW())/I132</f>
        <v>0.12166747455162359</v>
      </c>
      <c r="BD132" s="3" t="e">
        <f t="shared" ref="BD132:BD168" ca="1" si="276">INDIRECT("'Data_Netteyage'!" &amp; LEFT(ADDRESS(1,COLUMN(),4),LEN(ADDRESS(1,COLUMN(),4))-1) &amp; ROW())/F132</f>
        <v>#N/A</v>
      </c>
      <c r="BE132" s="3" t="e">
        <f t="shared" ref="BE132:BE168" ca="1" si="277">INDIRECT("'Data_Netteyage'!" &amp; LEFT(ADDRESS(1,COLUMN(),4),LEN(ADDRESS(1,COLUMN(),4))-1) &amp; ROW())/G132</f>
        <v>#N/A</v>
      </c>
      <c r="BF132" s="3" t="e">
        <f t="shared" ref="BF132:BF168" ca="1" si="278">INDIRECT("'Data_Netteyage'!" &amp; LEFT(ADDRESS(1,COLUMN(),4),LEN(ADDRESS(1,COLUMN(),4))-1) &amp; ROW())/H132</f>
        <v>#N/A</v>
      </c>
      <c r="BG132" s="3">
        <f t="shared" ref="BG132:BG168" ca="1" si="279">INDIRECT("'Data_Netteyage'!" &amp; LEFT(ADDRESS(1,COLUMN(),4),LEN(ADDRESS(1,COLUMN(),4))-1) &amp; ROW())/I132</f>
        <v>0.10518662512331292</v>
      </c>
      <c r="BI132" s="3" t="e">
        <f t="shared" ref="BI132:BI168" ca="1" si="280">INDIRECT("'Data_Netteyage'!" &amp; LEFT(ADDRESS(1,COLUMN(),4),LEN(ADDRESS(1,COLUMN(),4))-1) &amp; ROW())/F132</f>
        <v>#N/A</v>
      </c>
      <c r="BJ132" s="3" t="e">
        <f t="shared" ref="BJ132:BJ168" ca="1" si="281">INDIRECT("'Data_Netteyage'!" &amp; LEFT(ADDRESS(1,COLUMN(),4),LEN(ADDRESS(1,COLUMN(),4))-1) &amp; ROW())/G132</f>
        <v>#N/A</v>
      </c>
      <c r="BK132" s="3" t="e">
        <f t="shared" ref="BK132:BK168" ca="1" si="282">INDIRECT("'Data_Netteyage'!" &amp; LEFT(ADDRESS(1,COLUMN(),4),LEN(ADDRESS(1,COLUMN(),4))-1) &amp; ROW())/H132</f>
        <v>#N/A</v>
      </c>
      <c r="BL132" s="3">
        <f t="shared" ref="BL132:BL168" ca="1" si="283">INDIRECT("'Data_Netteyage'!" &amp; LEFT(ADDRESS(1,COLUMN(),4),LEN(ADDRESS(1,COLUMN(),4))-1) &amp; ROW())/I132</f>
        <v>0.96946194861851687</v>
      </c>
      <c r="BN132" s="3" t="e">
        <f t="shared" ref="BN132:BN168" ca="1" si="284">INDIRECT("'Data_Netteyage'!" &amp; LEFT(ADDRESS(1,COLUMN(),4),LEN(ADDRESS(1,COLUMN(),4))-1) &amp; ROW())/F132</f>
        <v>#N/A</v>
      </c>
      <c r="BO132" s="3" t="e">
        <f t="shared" ref="BO132:BO168" ca="1" si="285">INDIRECT("'Data_Netteyage'!" &amp; LEFT(ADDRESS(1,COLUMN(),4),LEN(ADDRESS(1,COLUMN(),4))-1) &amp; ROW())/G132</f>
        <v>#N/A</v>
      </c>
      <c r="BP132" s="3" t="e">
        <f t="shared" ref="BP132:BP168" ca="1" si="286">INDIRECT("'Data_Netteyage'!" &amp; LEFT(ADDRESS(1,COLUMN(),4),LEN(ADDRESS(1,COLUMN(),4))-1) &amp; ROW())/H132</f>
        <v>#N/A</v>
      </c>
      <c r="BQ132" s="3">
        <f t="shared" ref="BQ132:BQ168" ca="1" si="287">INDIRECT("'Data_Netteyage'!" &amp; LEFT(ADDRESS(1,COLUMN(),4),LEN(ADDRESS(1,COLUMN(),4))-1) &amp; ROW())/I132</f>
        <v>1.4541929229277752</v>
      </c>
      <c r="BS132" s="11" t="e">
        <v>#N/A</v>
      </c>
      <c r="BT132" s="11" t="e">
        <v>#N/A</v>
      </c>
      <c r="BU132" s="11" t="e">
        <v>#N/A</v>
      </c>
      <c r="BV132" s="5">
        <v>3.7679998874664307</v>
      </c>
      <c r="BX132" s="3" t="e">
        <f t="shared" ref="BX132:BX168" ca="1" si="288">INDIRECT("'Data_Netteyage'!" &amp; LEFT(ADDRESS(1,COLUMN(),4),LEN(ADDRESS(1,COLUMN(),4))-1) &amp; ROW())/F132</f>
        <v>#N/A</v>
      </c>
      <c r="BY132" s="3" t="e">
        <f t="shared" ref="BY132:BY168" ca="1" si="289">INDIRECT("'Data_Netteyage'!" &amp; LEFT(ADDRESS(1,COLUMN(),4),LEN(ADDRESS(1,COLUMN(),4))-1) &amp; ROW())/G132</f>
        <v>#N/A</v>
      </c>
      <c r="BZ132" s="3" t="e">
        <f t="shared" ref="BZ132:BZ168" ca="1" si="290">INDIRECT("'Data_Netteyage'!" &amp; LEFT(ADDRESS(1,COLUMN(),4),LEN(ADDRESS(1,COLUMN(),4))-1) &amp; ROW())/H132</f>
        <v>#N/A</v>
      </c>
      <c r="CA132" s="3">
        <f t="shared" ref="CA132:CA168" ca="1" si="291">INDIRECT("'Data_Netteyage'!" &amp; LEFT(ADDRESS(1,COLUMN(),4),LEN(ADDRESS(1,COLUMN(),4))-1) &amp; ROW())/I132</f>
        <v>8.9190499272903637E-2</v>
      </c>
      <c r="CC132" s="3" t="e">
        <f t="shared" ref="CC132:CC168" ca="1" si="292">INDIRECT("'Data_Netteyage'!" &amp; LEFT(ADDRESS(1,COLUMN(),4),LEN(ADDRESS(1,COLUMN(),4))-1) &amp; ROW())/F132</f>
        <v>#N/A</v>
      </c>
      <c r="CD132" s="3" t="e">
        <f t="shared" ref="CD132:CD168" ca="1" si="293">INDIRECT("'Data_Netteyage'!" &amp; LEFT(ADDRESS(1,COLUMN(),4),LEN(ADDRESS(1,COLUMN(),4))-1) &amp; ROW())/G132</f>
        <v>#N/A</v>
      </c>
      <c r="CE132" s="3" t="e">
        <f t="shared" ref="CE132:CE168" ca="1" si="294">INDIRECT("'Data_Netteyage'!" &amp; LEFT(ADDRESS(1,COLUMN(),4),LEN(ADDRESS(1,COLUMN(),4))-1) &amp; ROW())/H132</f>
        <v>#N/A</v>
      </c>
      <c r="CF132" s="3">
        <f t="shared" ref="CF132:CF168" ca="1" si="295">INDIRECT("'Data_Netteyage'!" &amp; LEFT(ADDRESS(1,COLUMN(),4),LEN(ADDRESS(1,COLUMN(),4))-1) &amp; ROW())/I132</f>
        <v>6.4469169657379463E-2</v>
      </c>
      <c r="CH132" s="3" t="e">
        <f t="shared" ref="CH132:CH168" ca="1" si="296">INDIRECT("'Data_Netteyage'!" &amp; LEFT(ADDRESS(1,COLUMN(),4),LEN(ADDRESS(1,COLUMN(),4))-1) &amp; ROW())/F132</f>
        <v>#N/A</v>
      </c>
      <c r="CI132" s="3" t="e">
        <f t="shared" ref="CI132:CI168" ca="1" si="297">INDIRECT("'Data_Netteyage'!" &amp; LEFT(ADDRESS(1,COLUMN(),4),LEN(ADDRESS(1,COLUMN(),4))-1) &amp; ROW())/G132</f>
        <v>#N/A</v>
      </c>
      <c r="CJ132" s="3" t="e">
        <f t="shared" ref="CJ132:CJ168" ca="1" si="298">INDIRECT("'Data_Netteyage'!" &amp; LEFT(ADDRESS(1,COLUMN(),4),LEN(ADDRESS(1,COLUMN(),4))-1) &amp; ROW())/H132</f>
        <v>#N/A</v>
      </c>
      <c r="CK132" s="3">
        <f t="shared" ref="CK132:CK168" ca="1" si="299">INDIRECT("'Data_Netteyage'!" &amp; LEFT(ADDRESS(1,COLUMN(),4),LEN(ADDRESS(1,COLUMN(),4))-1) &amp; ROW())/I132</f>
        <v>0.48473097430925843</v>
      </c>
      <c r="CM132" s="3" t="e">
        <f t="shared" ref="CM132:CM168" ca="1" si="300">INDIRECT("'Data_Netteyage'!" &amp; LEFT(ADDRESS(1,COLUMN(),4),LEN(ADDRESS(1,COLUMN(),4))-1) &amp; ROW())/F132</f>
        <v>#N/A</v>
      </c>
      <c r="CN132" s="3" t="e">
        <f t="shared" ref="CN132:CN168" ca="1" si="301">INDIRECT("'Data_Netteyage'!" &amp; LEFT(ADDRESS(1,COLUMN(),4),LEN(ADDRESS(1,COLUMN(),4))-1) &amp; ROW())/G132</f>
        <v>#N/A</v>
      </c>
      <c r="CO132" s="3" t="e">
        <f t="shared" ref="CO132:CO168" ca="1" si="302">INDIRECT("'Data_Netteyage'!" &amp; LEFT(ADDRESS(1,COLUMN(),4),LEN(ADDRESS(1,COLUMN(),4))-1) &amp; ROW())/H132</f>
        <v>#N/A</v>
      </c>
      <c r="CP132" s="3">
        <f t="shared" ref="CP132:CP168" ca="1" si="303">INDIRECT("'Data_Netteyage'!" &amp; LEFT(ADDRESS(1,COLUMN(),4),LEN(ADDRESS(1,COLUMN(),4))-1) &amp; ROW())/I132</f>
        <v>1.4541929229277752</v>
      </c>
      <c r="CR132" s="11" t="e">
        <v>#N/A</v>
      </c>
      <c r="CS132" s="11" t="e">
        <v>#N/A</v>
      </c>
      <c r="CT132" s="11" t="e">
        <v>#N/A</v>
      </c>
      <c r="CU132" s="5">
        <v>3.6019999980926514</v>
      </c>
      <c r="CV132" s="21" t="e">
        <f t="shared" ca="1" si="183"/>
        <v>#N/A</v>
      </c>
      <c r="CW132" s="16">
        <f t="shared" ca="1" si="182"/>
        <v>7.25</v>
      </c>
    </row>
    <row r="133" spans="1:101" s="5" customFormat="1" x14ac:dyDescent="0.35">
      <c r="A133" s="4" t="s">
        <v>97</v>
      </c>
      <c r="B133" s="4">
        <v>7.25</v>
      </c>
      <c r="C133" s="4" t="s">
        <v>168</v>
      </c>
      <c r="D133" s="4" t="s">
        <v>404</v>
      </c>
      <c r="E133" s="3"/>
      <c r="F133" s="11" t="e">
        <v>#N/A</v>
      </c>
      <c r="G133" s="5">
        <v>0.81699999999999973</v>
      </c>
      <c r="H133" s="5">
        <v>3.0319999999999996</v>
      </c>
      <c r="I133" s="5">
        <v>1.0499999999999998</v>
      </c>
      <c r="K133" s="3" t="e">
        <f t="shared" ca="1" si="244"/>
        <v>#N/A</v>
      </c>
      <c r="L133" s="3" t="e">
        <f t="shared" ca="1" si="245"/>
        <v>#N/A</v>
      </c>
      <c r="M133" s="3">
        <f t="shared" ca="1" si="246"/>
        <v>0.99472295514511888</v>
      </c>
      <c r="N133" s="3" t="e">
        <f t="shared" ca="1" si="247"/>
        <v>#N/A</v>
      </c>
      <c r="P133" s="3" t="e">
        <f t="shared" ca="1" si="248"/>
        <v>#N/A</v>
      </c>
      <c r="Q133" s="3" t="e">
        <f t="shared" ca="1" si="249"/>
        <v>#N/A</v>
      </c>
      <c r="R133" s="3">
        <f t="shared" ca="1" si="250"/>
        <v>0.96141159691722555</v>
      </c>
      <c r="S133" s="3" t="e">
        <f t="shared" ca="1" si="251"/>
        <v>#N/A</v>
      </c>
      <c r="U133" s="3" t="e">
        <f t="shared" ca="1" si="252"/>
        <v>#N/A</v>
      </c>
      <c r="V133" s="3" t="e">
        <f t="shared" ca="1" si="253"/>
        <v>#N/A</v>
      </c>
      <c r="W133" s="3">
        <f t="shared" ca="1" si="254"/>
        <v>1.3192612137203168</v>
      </c>
      <c r="X133" s="3" t="e">
        <f t="shared" ca="1" si="255"/>
        <v>#N/A</v>
      </c>
      <c r="Z133" s="3" t="e">
        <f t="shared" ca="1" si="256"/>
        <v>#N/A</v>
      </c>
      <c r="AA133" s="3" t="e">
        <f t="shared" ca="1" si="257"/>
        <v>#N/A</v>
      </c>
      <c r="AB133" s="3">
        <f t="shared" ca="1" si="258"/>
        <v>0.97823218997361494</v>
      </c>
      <c r="AC133" s="3" t="e">
        <f t="shared" ca="1" si="259"/>
        <v>#N/A</v>
      </c>
      <c r="AE133" s="3" t="e">
        <f t="shared" ca="1" si="260"/>
        <v>#N/A</v>
      </c>
      <c r="AF133" s="3" t="e">
        <f t="shared" ca="1" si="261"/>
        <v>#N/A</v>
      </c>
      <c r="AG133" s="3">
        <f t="shared" ca="1" si="262"/>
        <v>0.96141159691722555</v>
      </c>
      <c r="AH133" s="3" t="e">
        <f t="shared" ca="1" si="263"/>
        <v>#N/A</v>
      </c>
      <c r="AJ133" s="3" t="e">
        <f t="shared" ca="1" si="264"/>
        <v>#N/A</v>
      </c>
      <c r="AK133" s="3" t="e">
        <f t="shared" ca="1" si="265"/>
        <v>#N/A</v>
      </c>
      <c r="AL133" s="3">
        <f t="shared" ca="1" si="266"/>
        <v>1.3192612137203168</v>
      </c>
      <c r="AM133" s="3" t="e">
        <f t="shared" ca="1" si="267"/>
        <v>#N/A</v>
      </c>
      <c r="AO133" s="3" t="e">
        <f t="shared" ca="1" si="268"/>
        <v>#N/A</v>
      </c>
      <c r="AP133" s="3" t="e">
        <f t="shared" ca="1" si="269"/>
        <v>#N/A</v>
      </c>
      <c r="AQ133" s="3">
        <f t="shared" ca="1" si="270"/>
        <v>0.3298153034300792</v>
      </c>
      <c r="AR133" s="3" t="e">
        <f t="shared" ca="1" si="271"/>
        <v>#N/A</v>
      </c>
      <c r="AT133" s="11" t="e">
        <v>#N/A</v>
      </c>
      <c r="AU133" s="11" t="e">
        <v>#N/A</v>
      </c>
      <c r="AV133" s="5">
        <v>1.0279999971389771</v>
      </c>
      <c r="AW133" s="11" t="e">
        <v>#N/A</v>
      </c>
      <c r="AY133" s="3" t="e">
        <f t="shared" ca="1" si="272"/>
        <v>#N/A</v>
      </c>
      <c r="AZ133" s="3" t="e">
        <f t="shared" ca="1" si="273"/>
        <v>#N/A</v>
      </c>
      <c r="BA133" s="3">
        <f t="shared" ca="1" si="274"/>
        <v>0.54419525065963081</v>
      </c>
      <c r="BB133" s="3" t="e">
        <f t="shared" ca="1" si="275"/>
        <v>#N/A</v>
      </c>
      <c r="BD133" s="3" t="e">
        <f t="shared" ca="1" si="276"/>
        <v>#N/A</v>
      </c>
      <c r="BE133" s="3" t="e">
        <f t="shared" ca="1" si="277"/>
        <v>#N/A</v>
      </c>
      <c r="BF133" s="3">
        <f t="shared" ca="1" si="278"/>
        <v>0.56596308710707222</v>
      </c>
      <c r="BG133" s="3" t="e">
        <f t="shared" ca="1" si="279"/>
        <v>#N/A</v>
      </c>
      <c r="BI133" s="3" t="e">
        <f t="shared" ca="1" si="280"/>
        <v>#N/A</v>
      </c>
      <c r="BJ133" s="3" t="e">
        <f t="shared" ca="1" si="281"/>
        <v>#N/A</v>
      </c>
      <c r="BK133" s="3">
        <f t="shared" ca="1" si="282"/>
        <v>0.6596306068601584</v>
      </c>
      <c r="BL133" s="3" t="e">
        <f t="shared" ca="1" si="283"/>
        <v>#N/A</v>
      </c>
      <c r="BN133" s="3" t="e">
        <f t="shared" ca="1" si="284"/>
        <v>#N/A</v>
      </c>
      <c r="BO133" s="3" t="e">
        <f t="shared" ca="1" si="285"/>
        <v>#N/A</v>
      </c>
      <c r="BP133" s="3">
        <f t="shared" ca="1" si="286"/>
        <v>0.3298153034300792</v>
      </c>
      <c r="BQ133" s="3" t="e">
        <f t="shared" ca="1" si="287"/>
        <v>#N/A</v>
      </c>
      <c r="BS133" s="11" t="e">
        <v>#N/A</v>
      </c>
      <c r="BT133" s="11" t="e">
        <v>#N/A</v>
      </c>
      <c r="BU133" s="5">
        <v>2.2609999179840088</v>
      </c>
      <c r="BV133" s="11" t="e">
        <v>#N/A</v>
      </c>
      <c r="BX133" s="3" t="e">
        <f t="shared" ca="1" si="288"/>
        <v>#N/A</v>
      </c>
      <c r="BY133" s="3" t="e">
        <f t="shared" ca="1" si="289"/>
        <v>#N/A</v>
      </c>
      <c r="BZ133" s="3">
        <f t="shared" ca="1" si="290"/>
        <v>0</v>
      </c>
      <c r="CA133" s="3" t="e">
        <f t="shared" ca="1" si="291"/>
        <v>#N/A</v>
      </c>
      <c r="CC133" s="3" t="e">
        <f t="shared" ca="1" si="292"/>
        <v>#N/A</v>
      </c>
      <c r="CD133" s="3" t="e">
        <f t="shared" ca="1" si="293"/>
        <v>#N/A</v>
      </c>
      <c r="CE133" s="3">
        <f t="shared" ca="1" si="294"/>
        <v>0</v>
      </c>
      <c r="CF133" s="3" t="e">
        <f t="shared" ca="1" si="295"/>
        <v>#N/A</v>
      </c>
      <c r="CH133" s="3" t="e">
        <f t="shared" ca="1" si="296"/>
        <v>#N/A</v>
      </c>
      <c r="CI133" s="3" t="e">
        <f t="shared" ca="1" si="297"/>
        <v>#N/A</v>
      </c>
      <c r="CJ133" s="3">
        <f t="shared" ca="1" si="298"/>
        <v>0</v>
      </c>
      <c r="CK133" s="3" t="e">
        <f t="shared" ca="1" si="299"/>
        <v>#N/A</v>
      </c>
      <c r="CM133" s="3" t="e">
        <f t="shared" ca="1" si="300"/>
        <v>#N/A</v>
      </c>
      <c r="CN133" s="3" t="e">
        <f t="shared" ca="1" si="301"/>
        <v>#N/A</v>
      </c>
      <c r="CO133" s="3">
        <f t="shared" ca="1" si="302"/>
        <v>0</v>
      </c>
      <c r="CP133" s="3" t="e">
        <f t="shared" ca="1" si="303"/>
        <v>#N/A</v>
      </c>
      <c r="CR133" s="11" t="e">
        <v>#N/A</v>
      </c>
      <c r="CS133" s="11" t="e">
        <v>#N/A</v>
      </c>
      <c r="CT133" s="5">
        <v>4.01</v>
      </c>
      <c r="CU133" s="11" t="e">
        <v>#N/A</v>
      </c>
      <c r="CV133" s="21">
        <f t="shared" ca="1" si="183"/>
        <v>0.56596308710707222</v>
      </c>
      <c r="CW133" s="16">
        <f t="shared" ref="CW133:CW168" ca="1" si="304">INDIRECT("Graphique_interactif_Param"&amp;"!B"&amp;ROW())</f>
        <v>7.25</v>
      </c>
    </row>
    <row r="134" spans="1:101" s="5" customFormat="1" x14ac:dyDescent="0.35">
      <c r="A134" s="4" t="s">
        <v>126</v>
      </c>
      <c r="B134" s="4">
        <v>7.25</v>
      </c>
      <c r="C134" s="4" t="s">
        <v>168</v>
      </c>
      <c r="D134" s="4" t="s">
        <v>404</v>
      </c>
      <c r="E134" s="3"/>
      <c r="F134" s="5">
        <v>0.5</v>
      </c>
      <c r="G134" s="5">
        <v>4.016</v>
      </c>
      <c r="H134" s="5">
        <v>4.0259999999999998</v>
      </c>
      <c r="I134" s="5">
        <v>4.01</v>
      </c>
      <c r="K134" s="3" t="e">
        <f t="shared" ca="1" si="244"/>
        <v>#N/A</v>
      </c>
      <c r="L134" s="3">
        <f t="shared" ca="1" si="245"/>
        <v>0.85881474103585675</v>
      </c>
      <c r="M134" s="3">
        <f t="shared" ca="1" si="246"/>
        <v>0.99751614505712871</v>
      </c>
      <c r="N134" s="3">
        <f t="shared" ca="1" si="247"/>
        <v>0.89750623441396515</v>
      </c>
      <c r="P134" s="3" t="e">
        <f t="shared" ca="1" si="248"/>
        <v>#N/A</v>
      </c>
      <c r="Q134" s="3">
        <f t="shared" ca="1" si="249"/>
        <v>0.97061750165741534</v>
      </c>
      <c r="R134" s="3">
        <f t="shared" ca="1" si="250"/>
        <v>0.71584704617511208</v>
      </c>
      <c r="S134" s="3">
        <f t="shared" ca="1" si="251"/>
        <v>0.73541143439951684</v>
      </c>
      <c r="U134" s="3" t="e">
        <f t="shared" ca="1" si="252"/>
        <v>#N/A</v>
      </c>
      <c r="V134" s="3">
        <f t="shared" ca="1" si="253"/>
        <v>1.7430278884462151</v>
      </c>
      <c r="W134" s="3">
        <f t="shared" ca="1" si="254"/>
        <v>1.4903129657228018</v>
      </c>
      <c r="X134" s="3">
        <f t="shared" ca="1" si="255"/>
        <v>2.4937655860349128</v>
      </c>
      <c r="Z134" s="3" t="e">
        <f t="shared" ca="1" si="256"/>
        <v>#N/A</v>
      </c>
      <c r="AA134" s="3">
        <f t="shared" ca="1" si="257"/>
        <v>0.9957669322709165</v>
      </c>
      <c r="AB134" s="3">
        <f t="shared" ca="1" si="258"/>
        <v>0.81520119225037257</v>
      </c>
      <c r="AC134" s="3">
        <f t="shared" ca="1" si="259"/>
        <v>0.49027431421446388</v>
      </c>
      <c r="AE134" s="3" t="e">
        <f t="shared" ca="1" si="260"/>
        <v>#N/A</v>
      </c>
      <c r="AF134" s="3">
        <f t="shared" ca="1" si="261"/>
        <v>0.97061750165741534</v>
      </c>
      <c r="AG134" s="3">
        <f t="shared" ca="1" si="262"/>
        <v>0.71584704617511208</v>
      </c>
      <c r="AH134" s="3">
        <f t="shared" ca="1" si="263"/>
        <v>0.41970073284948262</v>
      </c>
      <c r="AJ134" s="3" t="e">
        <f t="shared" ca="1" si="264"/>
        <v>#N/A</v>
      </c>
      <c r="AK134" s="3">
        <f t="shared" ca="1" si="265"/>
        <v>1.7430278884462151</v>
      </c>
      <c r="AL134" s="3">
        <f t="shared" ca="1" si="266"/>
        <v>1.4903129657228018</v>
      </c>
      <c r="AM134" s="3">
        <f t="shared" ca="1" si="267"/>
        <v>1.745635910224439</v>
      </c>
      <c r="AO134" s="3" t="e">
        <f t="shared" ca="1" si="268"/>
        <v>#N/A</v>
      </c>
      <c r="AP134" s="3">
        <f t="shared" ca="1" si="269"/>
        <v>0.24900398406374502</v>
      </c>
      <c r="AQ134" s="3">
        <f t="shared" ca="1" si="270"/>
        <v>0.49677098857426727</v>
      </c>
      <c r="AR134" s="3">
        <f t="shared" ca="1" si="271"/>
        <v>1.4962593516209477</v>
      </c>
      <c r="AT134" s="11" t="e">
        <v>#N/A</v>
      </c>
      <c r="AU134" s="5">
        <v>2.0000000949949026E-3</v>
      </c>
      <c r="AV134" s="5">
        <v>0.27700001001358032</v>
      </c>
      <c r="AW134" s="5">
        <v>0.43200001120567322</v>
      </c>
      <c r="AY134" s="3" t="e">
        <f t="shared" ca="1" si="272"/>
        <v>#N/A</v>
      </c>
      <c r="AZ134" s="3">
        <f t="shared" ca="1" si="273"/>
        <v>0</v>
      </c>
      <c r="BA134" s="3">
        <f t="shared" ca="1" si="274"/>
        <v>4.9677098857426716E-2</v>
      </c>
      <c r="BB134" s="3">
        <f t="shared" ca="1" si="275"/>
        <v>8.2294264339151917E-3</v>
      </c>
      <c r="BD134" s="3" t="e">
        <f t="shared" ca="1" si="276"/>
        <v>#N/A</v>
      </c>
      <c r="BE134" s="3">
        <f t="shared" ca="1" si="277"/>
        <v>0</v>
      </c>
      <c r="BF134" s="3">
        <f t="shared" ca="1" si="278"/>
        <v>6.2096373571783409E-2</v>
      </c>
      <c r="BG134" s="3">
        <f t="shared" ca="1" si="279"/>
        <v>0</v>
      </c>
      <c r="BI134" s="3" t="e">
        <f t="shared" ca="1" si="280"/>
        <v>#N/A</v>
      </c>
      <c r="BJ134" s="3">
        <f t="shared" ca="1" si="281"/>
        <v>0</v>
      </c>
      <c r="BK134" s="3">
        <f t="shared" ca="1" si="282"/>
        <v>0.24838549428713363</v>
      </c>
      <c r="BL134" s="3">
        <f t="shared" ca="1" si="283"/>
        <v>0</v>
      </c>
      <c r="BN134" s="3" t="e">
        <f t="shared" ca="1" si="284"/>
        <v>#N/A</v>
      </c>
      <c r="BO134" s="3">
        <f t="shared" ca="1" si="285"/>
        <v>0</v>
      </c>
      <c r="BP134" s="3">
        <f t="shared" ca="1" si="286"/>
        <v>0.24838549428713363</v>
      </c>
      <c r="BQ134" s="3">
        <f t="shared" ca="1" si="287"/>
        <v>0.49875311720698257</v>
      </c>
      <c r="BS134" s="11" t="e">
        <v>#N/A</v>
      </c>
      <c r="BT134" s="5">
        <v>4.016</v>
      </c>
      <c r="BU134" s="5">
        <v>0.27700001001358032</v>
      </c>
      <c r="BV134" s="5">
        <v>4.01</v>
      </c>
      <c r="BX134" s="3" t="e">
        <f t="shared" ca="1" si="288"/>
        <v>#N/A</v>
      </c>
      <c r="BY134" s="3">
        <f t="shared" ca="1" si="289"/>
        <v>0.24875498007968133</v>
      </c>
      <c r="BZ134" s="3">
        <f t="shared" ca="1" si="290"/>
        <v>9.9602583209140561E-2</v>
      </c>
      <c r="CA134" s="3">
        <f t="shared" ca="1" si="291"/>
        <v>8.304239401496262E-2</v>
      </c>
      <c r="CC134" s="3" t="e">
        <f t="shared" ca="1" si="292"/>
        <v>#N/A</v>
      </c>
      <c r="CD134" s="3">
        <f t="shared" ca="1" si="293"/>
        <v>0.37300794485555699</v>
      </c>
      <c r="CE134" s="3">
        <f t="shared" ca="1" si="294"/>
        <v>8.2712385468499558E-2</v>
      </c>
      <c r="CF134" s="3">
        <f t="shared" ca="1" si="295"/>
        <v>0.12892770796939917</v>
      </c>
      <c r="CH134" s="3" t="e">
        <f t="shared" ca="1" si="296"/>
        <v>#N/A</v>
      </c>
      <c r="CI134" s="3">
        <f t="shared" ca="1" si="297"/>
        <v>0.99601593625498008</v>
      </c>
      <c r="CJ134" s="3">
        <f t="shared" ca="1" si="298"/>
        <v>0.24838549428713363</v>
      </c>
      <c r="CK134" s="3">
        <f t="shared" ca="1" si="299"/>
        <v>0.49875311720698257</v>
      </c>
      <c r="CM134" s="3" t="e">
        <f t="shared" ca="1" si="300"/>
        <v>#N/A</v>
      </c>
      <c r="CN134" s="3">
        <f t="shared" ca="1" si="301"/>
        <v>1.9920318725099602</v>
      </c>
      <c r="CO134" s="3">
        <f t="shared" ca="1" si="302"/>
        <v>0.99354197714853454</v>
      </c>
      <c r="CP134" s="3">
        <f t="shared" ca="1" si="303"/>
        <v>1.2468827930174564</v>
      </c>
      <c r="CR134" s="11" t="e">
        <v>#N/A</v>
      </c>
      <c r="CS134" s="5">
        <v>1.3190000057220459</v>
      </c>
      <c r="CT134" s="5">
        <v>1.9759999513626099</v>
      </c>
      <c r="CU134" s="5">
        <v>0.43200001120567322</v>
      </c>
      <c r="CV134" s="21">
        <f t="shared" ref="CV134:CV168" ca="1" si="305">INDIRECT("Graphique_interactif_Param!"&amp;$DG$12 &amp; ROW() )</f>
        <v>6.2096373571783409E-2</v>
      </c>
      <c r="CW134" s="16">
        <f t="shared" ca="1" si="304"/>
        <v>7.25</v>
      </c>
    </row>
    <row r="135" spans="1:101" s="5" customFormat="1" x14ac:dyDescent="0.35">
      <c r="A135" s="4" t="s">
        <v>163</v>
      </c>
      <c r="B135" s="4">
        <v>7.333333333333333</v>
      </c>
      <c r="C135" s="4" t="s">
        <v>168</v>
      </c>
      <c r="D135" s="4" t="s">
        <v>404</v>
      </c>
      <c r="E135" s="3"/>
      <c r="F135" s="5">
        <v>2.15</v>
      </c>
      <c r="G135" s="5">
        <v>2.4279999999999999</v>
      </c>
      <c r="H135" s="5">
        <v>3.1019999999999994</v>
      </c>
      <c r="I135" s="11" t="e">
        <v>#N/A</v>
      </c>
      <c r="K135" s="3">
        <f t="shared" ca="1" si="244"/>
        <v>1</v>
      </c>
      <c r="L135" s="3">
        <f t="shared" ca="1" si="245"/>
        <v>0.73434925864909384</v>
      </c>
      <c r="M135" s="3">
        <f t="shared" ca="1" si="246"/>
        <v>0.9078014184397164</v>
      </c>
      <c r="N135" s="3" t="e">
        <f t="shared" ca="1" si="247"/>
        <v>#N/A</v>
      </c>
      <c r="P135" s="3">
        <f t="shared" ca="1" si="248"/>
        <v>0.79860459926516514</v>
      </c>
      <c r="Q135" s="3">
        <f t="shared" ca="1" si="249"/>
        <v>0.58360788986528722</v>
      </c>
      <c r="R135" s="3">
        <f t="shared" ca="1" si="250"/>
        <v>0.8916827765378087</v>
      </c>
      <c r="S135" s="3" t="e">
        <f t="shared" ca="1" si="251"/>
        <v>#N/A</v>
      </c>
      <c r="U135" s="3">
        <f t="shared" ca="1" si="252"/>
        <v>2.3255813953488373</v>
      </c>
      <c r="V135" s="3">
        <f t="shared" ca="1" si="253"/>
        <v>1.6474464579901154</v>
      </c>
      <c r="W135" s="3">
        <f t="shared" ca="1" si="254"/>
        <v>0.64474532559638953</v>
      </c>
      <c r="X135" s="3" t="e">
        <f t="shared" ca="1" si="255"/>
        <v>#N/A</v>
      </c>
      <c r="Z135" s="3">
        <f t="shared" ca="1" si="256"/>
        <v>0.87627906976744185</v>
      </c>
      <c r="AA135" s="3">
        <f t="shared" ca="1" si="257"/>
        <v>0.73434925864909384</v>
      </c>
      <c r="AB135" s="3">
        <f t="shared" ca="1" si="258"/>
        <v>0.9078014184397164</v>
      </c>
      <c r="AC135" s="3" t="e">
        <f t="shared" ca="1" si="259"/>
        <v>#N/A</v>
      </c>
      <c r="AE135" s="3">
        <f t="shared" ca="1" si="260"/>
        <v>0.79860459926516514</v>
      </c>
      <c r="AF135" s="3">
        <f t="shared" ca="1" si="261"/>
        <v>0.58360788986528722</v>
      </c>
      <c r="AG135" s="3">
        <f t="shared" ca="1" si="262"/>
        <v>0.8916827765378087</v>
      </c>
      <c r="AH135" s="3" t="e">
        <f t="shared" ca="1" si="263"/>
        <v>#N/A</v>
      </c>
      <c r="AJ135" s="3">
        <f t="shared" ca="1" si="264"/>
        <v>2.3255813953488373</v>
      </c>
      <c r="AK135" s="3">
        <f t="shared" ca="1" si="265"/>
        <v>1.6474464579901154</v>
      </c>
      <c r="AL135" s="3">
        <f t="shared" ca="1" si="266"/>
        <v>0.64474532559638953</v>
      </c>
      <c r="AM135" s="3" t="e">
        <f t="shared" ca="1" si="267"/>
        <v>#N/A</v>
      </c>
      <c r="AO135" s="3">
        <f t="shared" ca="1" si="268"/>
        <v>0.93023255813953487</v>
      </c>
      <c r="AP135" s="3">
        <f t="shared" ca="1" si="269"/>
        <v>0.82372322899505768</v>
      </c>
      <c r="AQ135" s="3">
        <f t="shared" ca="1" si="270"/>
        <v>0.32237266279819476</v>
      </c>
      <c r="AR135" s="3" t="e">
        <f t="shared" ca="1" si="271"/>
        <v>#N/A</v>
      </c>
      <c r="AT135" s="5">
        <v>1.0950000286102295</v>
      </c>
      <c r="AU135" s="5">
        <v>9.9999997764825821E-3</v>
      </c>
      <c r="AV135" s="5">
        <v>0.93800002336502075</v>
      </c>
      <c r="AW135" s="11" t="e">
        <v>#N/A</v>
      </c>
      <c r="AY135" s="3">
        <f t="shared" ca="1" si="272"/>
        <v>0.31023255813953493</v>
      </c>
      <c r="AZ135" s="3">
        <f t="shared" ca="1" si="273"/>
        <v>0.58319604612850073</v>
      </c>
      <c r="BA135" s="3">
        <f t="shared" ca="1" si="274"/>
        <v>0.85396518375241792</v>
      </c>
      <c r="BB135" s="3" t="e">
        <f t="shared" ca="1" si="275"/>
        <v>#N/A</v>
      </c>
      <c r="BD135" s="3">
        <f t="shared" ca="1" si="276"/>
        <v>0.31023258386656299</v>
      </c>
      <c r="BE135" s="3">
        <f t="shared" ca="1" si="277"/>
        <v>0.4394563188073663</v>
      </c>
      <c r="BF135" s="3">
        <f t="shared" ca="1" si="278"/>
        <v>0.8916827765378087</v>
      </c>
      <c r="BG135" s="3" t="e">
        <f t="shared" ca="1" si="279"/>
        <v>#N/A</v>
      </c>
      <c r="BI135" s="3">
        <f t="shared" ca="1" si="280"/>
        <v>0.93023255813953487</v>
      </c>
      <c r="BJ135" s="3">
        <f t="shared" ca="1" si="281"/>
        <v>1.2355848434925865</v>
      </c>
      <c r="BK135" s="3">
        <f t="shared" ca="1" si="282"/>
        <v>0.64474532559638953</v>
      </c>
      <c r="BL135" s="3" t="e">
        <f t="shared" ca="1" si="283"/>
        <v>#N/A</v>
      </c>
      <c r="BN135" s="3">
        <f t="shared" ca="1" si="284"/>
        <v>0.93023255813953487</v>
      </c>
      <c r="BO135" s="3">
        <f t="shared" ca="1" si="285"/>
        <v>0.82372322899505768</v>
      </c>
      <c r="BP135" s="3">
        <f t="shared" ca="1" si="286"/>
        <v>0.64474532559638953</v>
      </c>
      <c r="BQ135" s="3" t="e">
        <f t="shared" ca="1" si="287"/>
        <v>#N/A</v>
      </c>
      <c r="BS135" s="5">
        <v>2.2119998931884766</v>
      </c>
      <c r="BT135" s="5">
        <v>0.37700000405311584</v>
      </c>
      <c r="BU135" s="5">
        <v>0.93800002336502075</v>
      </c>
      <c r="BV135" s="11" t="e">
        <v>#N/A</v>
      </c>
      <c r="BX135" s="3">
        <f t="shared" ca="1" si="288"/>
        <v>0.4111627906976742</v>
      </c>
      <c r="BY135" s="3">
        <f t="shared" ca="1" si="289"/>
        <v>0</v>
      </c>
      <c r="BZ135" s="3">
        <f t="shared" ca="1" si="290"/>
        <v>0</v>
      </c>
      <c r="CA135" s="3" t="e">
        <f t="shared" ca="1" si="291"/>
        <v>#N/A</v>
      </c>
      <c r="CC135" s="3">
        <f t="shared" ca="1" si="292"/>
        <v>0.4106976819592853</v>
      </c>
      <c r="CD135" s="3">
        <f t="shared" ca="1" si="293"/>
        <v>0</v>
      </c>
      <c r="CE135" s="3">
        <f t="shared" ca="1" si="294"/>
        <v>0</v>
      </c>
      <c r="CF135" s="3" t="e">
        <f t="shared" ca="1" si="295"/>
        <v>#N/A</v>
      </c>
      <c r="CH135" s="3">
        <f t="shared" ca="1" si="296"/>
        <v>0.93023255813953487</v>
      </c>
      <c r="CI135" s="3">
        <f t="shared" ca="1" si="297"/>
        <v>0</v>
      </c>
      <c r="CJ135" s="3">
        <f t="shared" ca="1" si="298"/>
        <v>0</v>
      </c>
      <c r="CK135" s="3" t="e">
        <f t="shared" ca="1" si="299"/>
        <v>#N/A</v>
      </c>
      <c r="CM135" s="3">
        <f t="shared" ca="1" si="300"/>
        <v>1.3953488372093024</v>
      </c>
      <c r="CN135" s="3">
        <f t="shared" ca="1" si="301"/>
        <v>0</v>
      </c>
      <c r="CO135" s="3">
        <f t="shared" ca="1" si="302"/>
        <v>0.32237266279819476</v>
      </c>
      <c r="CP135" s="3" t="e">
        <f t="shared" ca="1" si="303"/>
        <v>#N/A</v>
      </c>
      <c r="CR135" s="5">
        <v>1.0950000286102295</v>
      </c>
      <c r="CS135" s="5">
        <v>4.0110000000000001</v>
      </c>
      <c r="CT135" s="5">
        <v>4.0069999999999997</v>
      </c>
      <c r="CU135" s="11" t="e">
        <v>#N/A</v>
      </c>
      <c r="CV135" s="21">
        <f t="shared" ca="1" si="305"/>
        <v>0.8916827765378087</v>
      </c>
      <c r="CW135" s="16">
        <f t="shared" ca="1" si="304"/>
        <v>7.333333333333333</v>
      </c>
    </row>
    <row r="136" spans="1:101" s="5" customFormat="1" x14ac:dyDescent="0.35">
      <c r="A136" s="4" t="s">
        <v>141</v>
      </c>
      <c r="B136" s="4">
        <v>7.75</v>
      </c>
      <c r="C136" s="4" t="s">
        <v>168</v>
      </c>
      <c r="D136" s="4" t="s">
        <v>404</v>
      </c>
      <c r="E136" s="3"/>
      <c r="F136" s="5">
        <v>4.0110000000000001</v>
      </c>
      <c r="G136" s="5">
        <v>4.01</v>
      </c>
      <c r="H136" s="5">
        <v>4.016</v>
      </c>
      <c r="I136" s="5">
        <v>4.0460000000000003</v>
      </c>
      <c r="K136" s="3">
        <f t="shared" ca="1" si="244"/>
        <v>0.99650959860383947</v>
      </c>
      <c r="L136" s="3">
        <f t="shared" ca="1" si="245"/>
        <v>0.99276807980049886</v>
      </c>
      <c r="M136" s="3">
        <f t="shared" ca="1" si="246"/>
        <v>0.99576693227091639</v>
      </c>
      <c r="N136" s="3">
        <f t="shared" ca="1" si="247"/>
        <v>0.99555116164112711</v>
      </c>
      <c r="P136" s="3">
        <f t="shared" ca="1" si="248"/>
        <v>0.60259289553096851</v>
      </c>
      <c r="Q136" s="3">
        <f t="shared" ca="1" si="249"/>
        <v>0.44014959263979947</v>
      </c>
      <c r="R136" s="3">
        <f t="shared" ca="1" si="250"/>
        <v>0.84238043759923531</v>
      </c>
      <c r="S136" s="3">
        <f t="shared" ca="1" si="251"/>
        <v>0.85145824527146052</v>
      </c>
      <c r="U136" s="3">
        <f t="shared" ca="1" si="252"/>
        <v>3.4904013961605584</v>
      </c>
      <c r="V136" s="3">
        <f t="shared" ca="1" si="253"/>
        <v>2.4937655860349128</v>
      </c>
      <c r="W136" s="3">
        <f t="shared" ca="1" si="254"/>
        <v>1.9920318725099602</v>
      </c>
      <c r="X136" s="3">
        <f t="shared" ca="1" si="255"/>
        <v>2.4715768660405337</v>
      </c>
      <c r="Z136" s="3">
        <f t="shared" ca="1" si="256"/>
        <v>0.85140862627773617</v>
      </c>
      <c r="AA136" s="3">
        <f t="shared" ca="1" si="257"/>
        <v>0.90124688279301768</v>
      </c>
      <c r="AB136" s="3">
        <f t="shared" ca="1" si="258"/>
        <v>0.98754980079681276</v>
      </c>
      <c r="AC136" s="3">
        <f t="shared" ca="1" si="259"/>
        <v>0.99555116164112711</v>
      </c>
      <c r="AE136" s="3">
        <f t="shared" ca="1" si="260"/>
        <v>0.60259289553096851</v>
      </c>
      <c r="AF136" s="3">
        <f t="shared" ca="1" si="261"/>
        <v>0.44014959263979947</v>
      </c>
      <c r="AG136" s="3">
        <f t="shared" ca="1" si="262"/>
        <v>0.84238043759923531</v>
      </c>
      <c r="AH136" s="3">
        <f t="shared" ca="1" si="263"/>
        <v>0.85145824527146052</v>
      </c>
      <c r="AJ136" s="3">
        <f t="shared" ca="1" si="264"/>
        <v>3.4904013961605584</v>
      </c>
      <c r="AK136" s="3">
        <f t="shared" ca="1" si="265"/>
        <v>2.4937655860349128</v>
      </c>
      <c r="AL136" s="3">
        <f t="shared" ca="1" si="266"/>
        <v>1.9920318725099602</v>
      </c>
      <c r="AM136" s="3">
        <f t="shared" ca="1" si="267"/>
        <v>2.4715768660405337</v>
      </c>
      <c r="AO136" s="3">
        <f t="shared" ca="1" si="268"/>
        <v>2.9917726252804786</v>
      </c>
      <c r="AP136" s="3">
        <f t="shared" ca="1" si="269"/>
        <v>1.4962593516209477</v>
      </c>
      <c r="AQ136" s="3">
        <f t="shared" ca="1" si="270"/>
        <v>0.24900398406374502</v>
      </c>
      <c r="AR136" s="3">
        <f t="shared" ca="1" si="271"/>
        <v>0.24715768660405338</v>
      </c>
      <c r="AT136" s="5">
        <v>2.0000000949949026E-3</v>
      </c>
      <c r="AU136" s="5">
        <v>0.68000000715255737</v>
      </c>
      <c r="AV136" s="5">
        <v>0</v>
      </c>
      <c r="AW136" s="5">
        <v>4.0000001899898052E-3</v>
      </c>
      <c r="AY136" s="3">
        <f t="shared" ca="1" si="272"/>
        <v>0.35776614310645705</v>
      </c>
      <c r="AZ136" s="3">
        <f t="shared" ca="1" si="273"/>
        <v>0.18678304239401522</v>
      </c>
      <c r="BA136" s="3">
        <f t="shared" ca="1" si="274"/>
        <v>0.31972111553784854</v>
      </c>
      <c r="BB136" s="3">
        <f t="shared" ca="1" si="275"/>
        <v>0.12728620860108766</v>
      </c>
      <c r="BD136" s="3">
        <f t="shared" ca="1" si="276"/>
        <v>0.33258538803713067</v>
      </c>
      <c r="BE136" s="3">
        <f t="shared" ca="1" si="277"/>
        <v>0.10798007175512148</v>
      </c>
      <c r="BF136" s="3">
        <f t="shared" ca="1" si="278"/>
        <v>0.45642424449027774</v>
      </c>
      <c r="BG136" s="3">
        <f t="shared" ca="1" si="279"/>
        <v>0.27483941833394265</v>
      </c>
      <c r="BI136" s="3">
        <f t="shared" ca="1" si="280"/>
        <v>1.9945150835203191</v>
      </c>
      <c r="BJ136" s="3">
        <f t="shared" ca="1" si="281"/>
        <v>0.49875311720698257</v>
      </c>
      <c r="BK136" s="3">
        <f t="shared" ca="1" si="282"/>
        <v>0.74701195219123506</v>
      </c>
      <c r="BL136" s="3">
        <f t="shared" ca="1" si="283"/>
        <v>0.74147305981216016</v>
      </c>
      <c r="BN136" s="3">
        <f t="shared" ca="1" si="284"/>
        <v>4.2383445524806778</v>
      </c>
      <c r="BO136" s="3">
        <f t="shared" ca="1" si="285"/>
        <v>2.2443890274314215</v>
      </c>
      <c r="BP136" s="3">
        <f t="shared" ca="1" si="286"/>
        <v>2.4900398406374502</v>
      </c>
      <c r="BQ136" s="3">
        <f t="shared" ca="1" si="287"/>
        <v>2.4715768660405337</v>
      </c>
      <c r="BS136" s="5">
        <v>0.9179999828338623</v>
      </c>
      <c r="BT136" s="5">
        <v>2.9279999732971191</v>
      </c>
      <c r="BU136" s="5">
        <v>0.88400000333786011</v>
      </c>
      <c r="BV136" s="5">
        <v>0.2720000147819519</v>
      </c>
      <c r="BX136" s="3">
        <f t="shared" ca="1" si="288"/>
        <v>0</v>
      </c>
      <c r="BY136" s="3">
        <f t="shared" ca="1" si="289"/>
        <v>2.4937655860349149E-2</v>
      </c>
      <c r="BZ136" s="3">
        <f t="shared" ca="1" si="290"/>
        <v>9.9850597609561706E-2</v>
      </c>
      <c r="CA136" s="3">
        <f t="shared" ca="1" si="291"/>
        <v>0</v>
      </c>
      <c r="CC136" s="3">
        <f t="shared" ca="1" si="292"/>
        <v>0</v>
      </c>
      <c r="CD136" s="3">
        <f t="shared" ca="1" si="293"/>
        <v>2.4937632077947223E-2</v>
      </c>
      <c r="CE136" s="3">
        <f t="shared" ca="1" si="294"/>
        <v>4.1583679111830266E-2</v>
      </c>
      <c r="CF136" s="3">
        <f t="shared" ca="1" si="295"/>
        <v>0</v>
      </c>
      <c r="CH136" s="3">
        <f t="shared" ca="1" si="296"/>
        <v>0</v>
      </c>
      <c r="CI136" s="3">
        <f t="shared" ca="1" si="297"/>
        <v>0.24937655860349128</v>
      </c>
      <c r="CJ136" s="3">
        <f t="shared" ca="1" si="298"/>
        <v>0.24900398406374502</v>
      </c>
      <c r="CK136" s="3">
        <f t="shared" ca="1" si="299"/>
        <v>0</v>
      </c>
      <c r="CM136" s="3">
        <f t="shared" ca="1" si="300"/>
        <v>0</v>
      </c>
      <c r="CN136" s="3">
        <f t="shared" ca="1" si="301"/>
        <v>0.74812967581047385</v>
      </c>
      <c r="CO136" s="3">
        <f t="shared" ca="1" si="302"/>
        <v>0.74701195219123506</v>
      </c>
      <c r="CP136" s="3">
        <f t="shared" ca="1" si="303"/>
        <v>0</v>
      </c>
      <c r="CR136" s="5">
        <v>4.0110000000000001</v>
      </c>
      <c r="CS136" s="5">
        <v>3.8110001087188721</v>
      </c>
      <c r="CT136" s="5">
        <v>3.3829998970031738</v>
      </c>
      <c r="CU136" s="5">
        <v>4.0460000000000003</v>
      </c>
      <c r="CV136" s="21">
        <f t="shared" ca="1" si="305"/>
        <v>0.45642424449027774</v>
      </c>
      <c r="CW136" s="16">
        <f t="shared" ca="1" si="304"/>
        <v>7.75</v>
      </c>
    </row>
    <row r="137" spans="1:101" s="5" customFormat="1" x14ac:dyDescent="0.35">
      <c r="A137" s="4" t="s">
        <v>154</v>
      </c>
      <c r="B137" s="4">
        <v>7.916666666666667</v>
      </c>
      <c r="C137" s="4" t="s">
        <v>168</v>
      </c>
      <c r="D137" s="4" t="s">
        <v>404</v>
      </c>
      <c r="E137" s="3"/>
      <c r="F137" s="5">
        <v>4.016</v>
      </c>
      <c r="G137" s="5">
        <v>4.0270000000000001</v>
      </c>
      <c r="H137" s="5">
        <v>4.01</v>
      </c>
      <c r="I137" s="5">
        <v>2.2509999999999999</v>
      </c>
      <c r="K137" s="3">
        <f t="shared" ca="1" si="244"/>
        <v>0.99601593625498008</v>
      </c>
      <c r="L137" s="3">
        <f t="shared" ca="1" si="245"/>
        <v>0.99304693320089399</v>
      </c>
      <c r="M137" s="3">
        <f t="shared" ca="1" si="246"/>
        <v>0.99301745635910232</v>
      </c>
      <c r="N137" s="3">
        <f t="shared" ca="1" si="247"/>
        <v>0.99955575299866728</v>
      </c>
      <c r="P137" s="3">
        <f t="shared" ca="1" si="248"/>
        <v>0.78486048999572711</v>
      </c>
      <c r="Q137" s="3">
        <f t="shared" ca="1" si="249"/>
        <v>0.6828904878102966</v>
      </c>
      <c r="R137" s="3">
        <f t="shared" ca="1" si="250"/>
        <v>0.73541141256801512</v>
      </c>
      <c r="S137" s="3">
        <f t="shared" ca="1" si="251"/>
        <v>0.66637049625850708</v>
      </c>
      <c r="U137" s="3">
        <f t="shared" ca="1" si="252"/>
        <v>2.739043824701195</v>
      </c>
      <c r="V137" s="3">
        <f t="shared" ca="1" si="253"/>
        <v>2.9798857710454429</v>
      </c>
      <c r="W137" s="3">
        <f t="shared" ca="1" si="254"/>
        <v>2.4937655860349128</v>
      </c>
      <c r="X137" s="3">
        <f t="shared" ca="1" si="255"/>
        <v>2.2212350066637052</v>
      </c>
      <c r="Z137" s="3">
        <f t="shared" ca="1" si="256"/>
        <v>0.99601593625498008</v>
      </c>
      <c r="AA137" s="3">
        <f t="shared" ca="1" si="257"/>
        <v>0.95157685622051158</v>
      </c>
      <c r="AB137" s="3">
        <f t="shared" ca="1" si="258"/>
        <v>0.82668329177057376</v>
      </c>
      <c r="AC137" s="3">
        <f t="shared" ca="1" si="259"/>
        <v>0.91070635273211897</v>
      </c>
      <c r="AE137" s="3">
        <f t="shared" ca="1" si="260"/>
        <v>0.78486048999572711</v>
      </c>
      <c r="AF137" s="3">
        <f t="shared" ca="1" si="261"/>
        <v>0.6828904878102966</v>
      </c>
      <c r="AG137" s="3">
        <f t="shared" ca="1" si="262"/>
        <v>0.73541141256801512</v>
      </c>
      <c r="AH137" s="3">
        <f t="shared" ca="1" si="263"/>
        <v>0.66637049625850708</v>
      </c>
      <c r="AJ137" s="3">
        <f t="shared" ca="1" si="264"/>
        <v>2.739043824701195</v>
      </c>
      <c r="AK137" s="3">
        <f t="shared" ca="1" si="265"/>
        <v>2.9798857710454429</v>
      </c>
      <c r="AL137" s="3">
        <f t="shared" ca="1" si="266"/>
        <v>2.4937655860349128</v>
      </c>
      <c r="AM137" s="3">
        <f t="shared" ca="1" si="267"/>
        <v>2.2212350066637052</v>
      </c>
      <c r="AO137" s="3">
        <f t="shared" ca="1" si="268"/>
        <v>0.24900398406374502</v>
      </c>
      <c r="AP137" s="3">
        <f t="shared" ca="1" si="269"/>
        <v>0.49664762850757388</v>
      </c>
      <c r="AQ137" s="3">
        <f t="shared" ca="1" si="270"/>
        <v>0.74812967581047385</v>
      </c>
      <c r="AR137" s="3">
        <f t="shared" ca="1" si="271"/>
        <v>1.7769880053309641</v>
      </c>
      <c r="AT137" s="5">
        <v>8.0000003799796104E-3</v>
      </c>
      <c r="AU137" s="5">
        <v>1.2000000104308128E-2</v>
      </c>
      <c r="AV137" s="5">
        <v>1.6000000759959221E-2</v>
      </c>
      <c r="AW137" s="5">
        <v>1.0000000474974513E-3</v>
      </c>
      <c r="AY137" s="3">
        <f t="shared" ca="1" si="272"/>
        <v>0.3027888446215139</v>
      </c>
      <c r="AZ137" s="3">
        <f t="shared" ca="1" si="273"/>
        <v>0.21554507077228702</v>
      </c>
      <c r="BA137" s="3">
        <f t="shared" ca="1" si="274"/>
        <v>0.36533665835411472</v>
      </c>
      <c r="BB137" s="3">
        <f t="shared" ca="1" si="275"/>
        <v>0.15548645046645929</v>
      </c>
      <c r="BD137" s="3">
        <f t="shared" ca="1" si="276"/>
        <v>0.37350595035438106</v>
      </c>
      <c r="BE137" s="3">
        <f t="shared" ca="1" si="277"/>
        <v>0.16563192383657474</v>
      </c>
      <c r="BF137" s="3">
        <f t="shared" ca="1" si="278"/>
        <v>0.22867831803319461</v>
      </c>
      <c r="BG137" s="3">
        <f t="shared" ca="1" si="279"/>
        <v>5.1976891953592459E-2</v>
      </c>
      <c r="BI137" s="3">
        <f t="shared" ca="1" si="280"/>
        <v>1.2450199203187251</v>
      </c>
      <c r="BJ137" s="3">
        <f t="shared" ca="1" si="281"/>
        <v>0.99329525701514776</v>
      </c>
      <c r="BK137" s="3">
        <f t="shared" ca="1" si="282"/>
        <v>0.49875311720698257</v>
      </c>
      <c r="BL137" s="3">
        <f t="shared" ca="1" si="283"/>
        <v>0.44424700133274103</v>
      </c>
      <c r="BN137" s="3">
        <f t="shared" ca="1" si="284"/>
        <v>1.7430278884462151</v>
      </c>
      <c r="BO137" s="3">
        <f t="shared" ca="1" si="285"/>
        <v>2.4832381425378691</v>
      </c>
      <c r="BP137" s="3">
        <f t="shared" ca="1" si="286"/>
        <v>1.745635910224439</v>
      </c>
      <c r="BQ137" s="3">
        <f t="shared" ca="1" si="287"/>
        <v>2.6654820079964461</v>
      </c>
      <c r="BS137" s="5">
        <v>8.0000003799796104E-3</v>
      </c>
      <c r="BT137" s="5">
        <v>0.87900000810623169</v>
      </c>
      <c r="BU137" s="5">
        <v>0.44900000095367432</v>
      </c>
      <c r="BV137" s="5">
        <v>0.51800000667572021</v>
      </c>
      <c r="BX137" s="3">
        <f t="shared" ca="1" si="288"/>
        <v>4.2330677290837518E-3</v>
      </c>
      <c r="BY137" s="3">
        <f t="shared" ca="1" si="289"/>
        <v>1.2664514526943173E-2</v>
      </c>
      <c r="BZ137" s="3">
        <f t="shared" ca="1" si="290"/>
        <v>2.4688279301745632E-2</v>
      </c>
      <c r="CA137" s="3">
        <f t="shared" ca="1" si="291"/>
        <v>0</v>
      </c>
      <c r="CC137" s="3">
        <f t="shared" ca="1" si="292"/>
        <v>0</v>
      </c>
      <c r="CD137" s="3">
        <f t="shared" ca="1" si="293"/>
        <v>0</v>
      </c>
      <c r="CE137" s="3">
        <f t="shared" ca="1" si="294"/>
        <v>0</v>
      </c>
      <c r="CF137" s="3">
        <f t="shared" ca="1" si="295"/>
        <v>0</v>
      </c>
      <c r="CH137" s="3">
        <f t="shared" ca="1" si="296"/>
        <v>0</v>
      </c>
      <c r="CI137" s="3">
        <f t="shared" ca="1" si="297"/>
        <v>0</v>
      </c>
      <c r="CJ137" s="3">
        <f t="shared" ca="1" si="298"/>
        <v>0</v>
      </c>
      <c r="CK137" s="3">
        <f t="shared" ca="1" si="299"/>
        <v>0</v>
      </c>
      <c r="CM137" s="3">
        <f t="shared" ca="1" si="300"/>
        <v>0.49800796812749004</v>
      </c>
      <c r="CN137" s="3">
        <f t="shared" ca="1" si="301"/>
        <v>0.99329525701514776</v>
      </c>
      <c r="CO137" s="3">
        <f t="shared" ca="1" si="302"/>
        <v>0.49875311720698257</v>
      </c>
      <c r="CP137" s="3">
        <f t="shared" ca="1" si="303"/>
        <v>0</v>
      </c>
      <c r="CR137" s="5">
        <v>4.016</v>
      </c>
      <c r="CS137" s="5">
        <v>4.0270000000000001</v>
      </c>
      <c r="CT137" s="5">
        <v>4.01</v>
      </c>
      <c r="CU137" s="5">
        <v>4.0030000000000001</v>
      </c>
      <c r="CV137" s="21">
        <f t="shared" ca="1" si="305"/>
        <v>0.22867831803319461</v>
      </c>
      <c r="CW137" s="16">
        <f t="shared" ca="1" si="304"/>
        <v>7.916666666666667</v>
      </c>
    </row>
    <row r="138" spans="1:101" s="5" customFormat="1" x14ac:dyDescent="0.35">
      <c r="A138" s="4" t="s">
        <v>146</v>
      </c>
      <c r="B138" s="4">
        <v>8.25</v>
      </c>
      <c r="C138" s="4" t="s">
        <v>167</v>
      </c>
      <c r="D138" s="4" t="s">
        <v>404</v>
      </c>
      <c r="E138" s="3"/>
      <c r="F138" s="11" t="e">
        <v>#N/A</v>
      </c>
      <c r="G138" s="5">
        <v>4.0259999999999998</v>
      </c>
      <c r="H138" s="5">
        <v>1.3780000000000001</v>
      </c>
      <c r="I138" s="5">
        <v>2.0270000000000001</v>
      </c>
      <c r="K138" s="3" t="e">
        <f t="shared" ca="1" si="244"/>
        <v>#N/A</v>
      </c>
      <c r="L138" s="3">
        <f t="shared" ca="1" si="245"/>
        <v>0.93119721808246392</v>
      </c>
      <c r="M138" s="3" t="e">
        <f t="shared" ca="1" si="246"/>
        <v>#N/A</v>
      </c>
      <c r="N138" s="3">
        <f t="shared" ca="1" si="247"/>
        <v>0.99407992106561438</v>
      </c>
      <c r="P138" s="3" t="e">
        <f t="shared" ca="1" si="248"/>
        <v>#N/A</v>
      </c>
      <c r="Q138" s="3">
        <f t="shared" ca="1" si="249"/>
        <v>0.4056135087953654</v>
      </c>
      <c r="R138" s="3" t="e">
        <f t="shared" ca="1" si="250"/>
        <v>#N/A</v>
      </c>
      <c r="S138" s="3">
        <f t="shared" ca="1" si="251"/>
        <v>0.23877653238176563</v>
      </c>
      <c r="U138" s="3" t="e">
        <f t="shared" ca="1" si="252"/>
        <v>#N/A</v>
      </c>
      <c r="V138" s="3">
        <f t="shared" ca="1" si="253"/>
        <v>1.4903129657228018</v>
      </c>
      <c r="W138" s="3" t="e">
        <f t="shared" ca="1" si="254"/>
        <v>#N/A</v>
      </c>
      <c r="X138" s="3">
        <f t="shared" ca="1" si="255"/>
        <v>1.4800197335964478</v>
      </c>
      <c r="Z138" s="3" t="e">
        <f t="shared" ca="1" si="256"/>
        <v>#N/A</v>
      </c>
      <c r="AA138" s="3">
        <f t="shared" ca="1" si="257"/>
        <v>0.8775459513164432</v>
      </c>
      <c r="AB138" s="3" t="e">
        <f t="shared" ca="1" si="258"/>
        <v>#N/A</v>
      </c>
      <c r="AC138" s="3">
        <f t="shared" ca="1" si="259"/>
        <v>0.58312777503700064</v>
      </c>
      <c r="AE138" s="3" t="e">
        <f t="shared" ca="1" si="260"/>
        <v>#N/A</v>
      </c>
      <c r="AF138" s="3">
        <f t="shared" ca="1" si="261"/>
        <v>0.4056135087953654</v>
      </c>
      <c r="AG138" s="3" t="e">
        <f t="shared" ca="1" si="262"/>
        <v>#N/A</v>
      </c>
      <c r="AH138" s="3">
        <f t="shared" ca="1" si="263"/>
        <v>0.23877653238176563</v>
      </c>
      <c r="AJ138" s="3" t="e">
        <f t="shared" ca="1" si="264"/>
        <v>#N/A</v>
      </c>
      <c r="AK138" s="3">
        <f t="shared" ca="1" si="265"/>
        <v>1.4903129657228018</v>
      </c>
      <c r="AL138" s="3" t="e">
        <f t="shared" ca="1" si="266"/>
        <v>#N/A</v>
      </c>
      <c r="AM138" s="3">
        <f t="shared" ca="1" si="267"/>
        <v>1.4800197335964478</v>
      </c>
      <c r="AO138" s="3" t="e">
        <f t="shared" ca="1" si="268"/>
        <v>#N/A</v>
      </c>
      <c r="AP138" s="3">
        <f t="shared" ca="1" si="269"/>
        <v>0.99354197714853454</v>
      </c>
      <c r="AQ138" s="3" t="e">
        <f t="shared" ca="1" si="270"/>
        <v>#N/A</v>
      </c>
      <c r="AR138" s="3">
        <f t="shared" ca="1" si="271"/>
        <v>2.4666995559940799</v>
      </c>
      <c r="AT138" s="11" t="e">
        <v>#N/A</v>
      </c>
      <c r="AU138" s="5">
        <v>0.43200001120567322</v>
      </c>
      <c r="AV138" s="11" t="e">
        <v>#N/A</v>
      </c>
      <c r="AW138" s="5">
        <v>2.0000000949949026E-3</v>
      </c>
      <c r="AY138" s="3" t="e">
        <f t="shared" ca="1" si="272"/>
        <v>#N/A</v>
      </c>
      <c r="AZ138" s="3">
        <f t="shared" ca="1" si="273"/>
        <v>6.2096373571783464E-2</v>
      </c>
      <c r="BA138" s="3" t="e">
        <f t="shared" ca="1" si="274"/>
        <v>#N/A</v>
      </c>
      <c r="BB138" s="3">
        <f t="shared" ca="1" si="275"/>
        <v>0</v>
      </c>
      <c r="BD138" s="3" t="e">
        <f t="shared" ca="1" si="276"/>
        <v>#N/A</v>
      </c>
      <c r="BE138" s="3">
        <f t="shared" ca="1" si="277"/>
        <v>2.8812709105766894E-2</v>
      </c>
      <c r="BF138" s="3" t="e">
        <f t="shared" ca="1" si="278"/>
        <v>#N/A</v>
      </c>
      <c r="BG138" s="3">
        <f t="shared" ca="1" si="279"/>
        <v>0</v>
      </c>
      <c r="BI138" s="3" t="e">
        <f t="shared" ca="1" si="280"/>
        <v>#N/A</v>
      </c>
      <c r="BJ138" s="3">
        <f t="shared" ca="1" si="281"/>
        <v>0.24838549428713363</v>
      </c>
      <c r="BK138" s="3" t="e">
        <f t="shared" ca="1" si="282"/>
        <v>#N/A</v>
      </c>
      <c r="BL138" s="3">
        <f t="shared" ca="1" si="283"/>
        <v>0</v>
      </c>
      <c r="BN138" s="3" t="e">
        <f t="shared" ca="1" si="284"/>
        <v>#N/A</v>
      </c>
      <c r="BO138" s="3">
        <f t="shared" ca="1" si="285"/>
        <v>3.2290114257327374</v>
      </c>
      <c r="BP138" s="3" t="e">
        <f t="shared" ca="1" si="286"/>
        <v>#N/A</v>
      </c>
      <c r="BQ138" s="3">
        <f t="shared" ca="1" si="287"/>
        <v>0.49333991119881593</v>
      </c>
      <c r="BS138" s="11" t="e">
        <v>#N/A</v>
      </c>
      <c r="BT138" s="5">
        <v>0.43200001120567322</v>
      </c>
      <c r="BU138" s="11" t="e">
        <v>#N/A</v>
      </c>
      <c r="BV138" s="5">
        <v>4.0110000000000001</v>
      </c>
      <c r="BX138" s="3" t="e">
        <f t="shared" ca="1" si="288"/>
        <v>#N/A</v>
      </c>
      <c r="BY138" s="3">
        <f t="shared" ca="1" si="289"/>
        <v>0</v>
      </c>
      <c r="BZ138" s="3" t="e">
        <f t="shared" ca="1" si="290"/>
        <v>#N/A</v>
      </c>
      <c r="CA138" s="3">
        <f t="shared" ca="1" si="291"/>
        <v>0</v>
      </c>
      <c r="CC138" s="3" t="e">
        <f t="shared" ca="1" si="292"/>
        <v>#N/A</v>
      </c>
      <c r="CD138" s="3">
        <f t="shared" ca="1" si="293"/>
        <v>0</v>
      </c>
      <c r="CE138" s="3" t="e">
        <f t="shared" ca="1" si="294"/>
        <v>#N/A</v>
      </c>
      <c r="CF138" s="3">
        <f t="shared" ca="1" si="295"/>
        <v>0</v>
      </c>
      <c r="CH138" s="3" t="e">
        <f t="shared" ca="1" si="296"/>
        <v>#N/A</v>
      </c>
      <c r="CI138" s="3">
        <f t="shared" ca="1" si="297"/>
        <v>0</v>
      </c>
      <c r="CJ138" s="3" t="e">
        <f t="shared" ca="1" si="298"/>
        <v>#N/A</v>
      </c>
      <c r="CK138" s="3">
        <f t="shared" ca="1" si="299"/>
        <v>0</v>
      </c>
      <c r="CM138" s="3" t="e">
        <f t="shared" ca="1" si="300"/>
        <v>#N/A</v>
      </c>
      <c r="CN138" s="3">
        <f t="shared" ca="1" si="301"/>
        <v>0</v>
      </c>
      <c r="CO138" s="3" t="e">
        <f t="shared" ca="1" si="302"/>
        <v>#N/A</v>
      </c>
      <c r="CP138" s="3">
        <f t="shared" ca="1" si="303"/>
        <v>0.49333991119881593</v>
      </c>
      <c r="CR138" s="11" t="e">
        <v>#N/A</v>
      </c>
      <c r="CS138" s="5">
        <v>4.0259999999999998</v>
      </c>
      <c r="CT138" s="11" t="e">
        <v>#N/A</v>
      </c>
      <c r="CU138" s="5">
        <v>4.0110000000000001</v>
      </c>
      <c r="CV138" s="21" t="e">
        <f t="shared" ca="1" si="305"/>
        <v>#N/A</v>
      </c>
      <c r="CW138" s="16">
        <f t="shared" ca="1" si="304"/>
        <v>8.25</v>
      </c>
    </row>
    <row r="139" spans="1:101" s="5" customFormat="1" x14ac:dyDescent="0.35">
      <c r="A139" s="4" t="s">
        <v>109</v>
      </c>
      <c r="B139" s="4">
        <v>8.3333333333333339</v>
      </c>
      <c r="C139" s="4" t="s">
        <v>168</v>
      </c>
      <c r="D139" s="4" t="s">
        <v>404</v>
      </c>
      <c r="E139" s="3"/>
      <c r="F139" s="5">
        <v>4.0149999999999997</v>
      </c>
      <c r="G139" s="5">
        <v>2.9430000000000001</v>
      </c>
      <c r="H139" s="5">
        <v>3.0640000000000001</v>
      </c>
      <c r="I139" s="11" t="e">
        <v>#N/A</v>
      </c>
      <c r="K139" s="3">
        <f t="shared" ca="1" si="244"/>
        <v>0.66002490660024915</v>
      </c>
      <c r="L139" s="3">
        <f t="shared" ca="1" si="245"/>
        <v>0.99660210669384985</v>
      </c>
      <c r="M139" s="3">
        <f t="shared" ca="1" si="246"/>
        <v>0.95169712793733674</v>
      </c>
      <c r="N139" s="3" t="e">
        <f t="shared" ca="1" si="247"/>
        <v>#N/A</v>
      </c>
      <c r="P139" s="3">
        <f t="shared" ca="1" si="248"/>
        <v>0.29090910147908022</v>
      </c>
      <c r="Q139" s="3">
        <f t="shared" ca="1" si="249"/>
        <v>0.73054705272108122</v>
      </c>
      <c r="R139" s="3">
        <f t="shared" ca="1" si="250"/>
        <v>0.73433424807098924</v>
      </c>
      <c r="S139" s="3" t="e">
        <f t="shared" ca="1" si="251"/>
        <v>#N/A</v>
      </c>
      <c r="U139" s="3">
        <f t="shared" ca="1" si="252"/>
        <v>1.2453300124533002</v>
      </c>
      <c r="V139" s="3">
        <f t="shared" ca="1" si="253"/>
        <v>2.7183146449201496</v>
      </c>
      <c r="W139" s="3">
        <f t="shared" ca="1" si="254"/>
        <v>3.2637075718015667</v>
      </c>
      <c r="X139" s="3" t="e">
        <f t="shared" ca="1" si="255"/>
        <v>#N/A</v>
      </c>
      <c r="Z139" s="3">
        <f t="shared" ca="1" si="256"/>
        <v>0.43561643835616443</v>
      </c>
      <c r="AA139" s="3">
        <f t="shared" ca="1" si="257"/>
        <v>0.46415222562011554</v>
      </c>
      <c r="AB139" s="3">
        <f t="shared" ca="1" si="258"/>
        <v>0.63087467362924277</v>
      </c>
      <c r="AC139" s="3" t="e">
        <f t="shared" ca="1" si="259"/>
        <v>#N/A</v>
      </c>
      <c r="AE139" s="3">
        <f t="shared" ca="1" si="260"/>
        <v>0.29090910147908022</v>
      </c>
      <c r="AF139" s="3">
        <f t="shared" ca="1" si="261"/>
        <v>0.46415220423292392</v>
      </c>
      <c r="AG139" s="3">
        <f t="shared" ca="1" si="262"/>
        <v>0.57114886948091093</v>
      </c>
      <c r="AH139" s="3" t="e">
        <f t="shared" ca="1" si="263"/>
        <v>#N/A</v>
      </c>
      <c r="AJ139" s="3">
        <f t="shared" ca="1" si="264"/>
        <v>1.2453300124533002</v>
      </c>
      <c r="AK139" s="3">
        <f t="shared" ca="1" si="265"/>
        <v>2.038735983690112</v>
      </c>
      <c r="AL139" s="3">
        <f t="shared" ca="1" si="266"/>
        <v>2.2845953002610964</v>
      </c>
      <c r="AM139" s="3" t="e">
        <f t="shared" ca="1" si="267"/>
        <v>#N/A</v>
      </c>
      <c r="AO139" s="3">
        <f t="shared" ca="1" si="268"/>
        <v>0.24906600249066005</v>
      </c>
      <c r="AP139" s="3">
        <f t="shared" ca="1" si="269"/>
        <v>0.67957866123003741</v>
      </c>
      <c r="AQ139" s="3">
        <f t="shared" ca="1" si="270"/>
        <v>0.65274151436031336</v>
      </c>
      <c r="AR139" s="3" t="e">
        <f t="shared" ca="1" si="271"/>
        <v>#N/A</v>
      </c>
      <c r="AT139" s="5">
        <v>0.91200000047683716</v>
      </c>
      <c r="AU139" s="5">
        <v>2.5559999942779541</v>
      </c>
      <c r="AV139" s="5">
        <v>1.0000000474974513E-3</v>
      </c>
      <c r="AW139" s="11" t="e">
        <v>#N/A</v>
      </c>
      <c r="AY139" s="3">
        <f t="shared" ca="1" si="272"/>
        <v>3.3125778331257731E-2</v>
      </c>
      <c r="AZ139" s="3">
        <f t="shared" ca="1" si="273"/>
        <v>3.9755351681957332E-2</v>
      </c>
      <c r="BA139" s="3">
        <f t="shared" ca="1" si="274"/>
        <v>2.7088772845953062E-2</v>
      </c>
      <c r="BB139" s="3" t="e">
        <f t="shared" ca="1" si="275"/>
        <v>#N/A</v>
      </c>
      <c r="BD139" s="3">
        <f t="shared" ca="1" si="276"/>
        <v>2.9140747944414989E-2</v>
      </c>
      <c r="BE139" s="3">
        <f t="shared" ca="1" si="277"/>
        <v>5.6744837007512858E-2</v>
      </c>
      <c r="BF139" s="3">
        <f t="shared" ca="1" si="278"/>
        <v>0</v>
      </c>
      <c r="BG139" s="3" t="e">
        <f t="shared" ca="1" si="279"/>
        <v>#N/A</v>
      </c>
      <c r="BI139" s="3">
        <f t="shared" ca="1" si="280"/>
        <v>0.24906600249066005</v>
      </c>
      <c r="BJ139" s="3">
        <f t="shared" ca="1" si="281"/>
        <v>0.3397893306150187</v>
      </c>
      <c r="BK139" s="3">
        <f t="shared" ca="1" si="282"/>
        <v>0</v>
      </c>
      <c r="BL139" s="3" t="e">
        <f t="shared" ca="1" si="283"/>
        <v>#N/A</v>
      </c>
      <c r="BN139" s="3">
        <f t="shared" ca="1" si="284"/>
        <v>0.24906600249066005</v>
      </c>
      <c r="BO139" s="3">
        <f t="shared" ca="1" si="285"/>
        <v>0.3397893306150187</v>
      </c>
      <c r="BP139" s="3">
        <f t="shared" ca="1" si="286"/>
        <v>0.65274151436031336</v>
      </c>
      <c r="BQ139" s="3" t="e">
        <f t="shared" ca="1" si="287"/>
        <v>#N/A</v>
      </c>
      <c r="BS139" s="5">
        <v>1.8789999485015869</v>
      </c>
      <c r="BT139" s="5">
        <v>3.8389999866485596</v>
      </c>
      <c r="BU139" s="5">
        <v>4.0140000000000002</v>
      </c>
      <c r="BV139" s="11" t="e">
        <v>#N/A</v>
      </c>
      <c r="BX139" s="3">
        <f t="shared" ca="1" si="288"/>
        <v>0.10809464508094645</v>
      </c>
      <c r="BY139" s="3">
        <f t="shared" ca="1" si="289"/>
        <v>0.12436289500509687</v>
      </c>
      <c r="BZ139" s="3">
        <f t="shared" ca="1" si="290"/>
        <v>3.8185378590078325E-2</v>
      </c>
      <c r="CA139" s="3" t="e">
        <f t="shared" ca="1" si="291"/>
        <v>#N/A</v>
      </c>
      <c r="CC139" s="3">
        <f t="shared" ca="1" si="292"/>
        <v>0.16189292537171399</v>
      </c>
      <c r="CD139" s="3">
        <f t="shared" ca="1" si="293"/>
        <v>6.2181396302907921E-2</v>
      </c>
      <c r="CE139" s="3">
        <f t="shared" ca="1" si="294"/>
        <v>3.2637122405726977E-2</v>
      </c>
      <c r="CF139" s="3" t="e">
        <f t="shared" ca="1" si="295"/>
        <v>#N/A</v>
      </c>
      <c r="CH139" s="3">
        <f t="shared" ca="1" si="296"/>
        <v>0.4981320049813201</v>
      </c>
      <c r="CI139" s="3">
        <f t="shared" ca="1" si="297"/>
        <v>0.3397893306150187</v>
      </c>
      <c r="CJ139" s="3">
        <f t="shared" ca="1" si="298"/>
        <v>0.32637075718015668</v>
      </c>
      <c r="CK139" s="3" t="e">
        <f t="shared" ca="1" si="299"/>
        <v>#N/A</v>
      </c>
      <c r="CM139" s="3">
        <f t="shared" ca="1" si="300"/>
        <v>0.4981320049813201</v>
      </c>
      <c r="CN139" s="3">
        <f t="shared" ca="1" si="301"/>
        <v>0.67957866123003741</v>
      </c>
      <c r="CO139" s="3">
        <f t="shared" ca="1" si="302"/>
        <v>0.32637075718015668</v>
      </c>
      <c r="CP139" s="3" t="e">
        <f t="shared" ca="1" si="303"/>
        <v>#N/A</v>
      </c>
      <c r="CR139" s="5">
        <v>1.1619999408721924</v>
      </c>
      <c r="CS139" s="5">
        <v>3.4730000495910645</v>
      </c>
      <c r="CT139" s="5">
        <v>2.5499999523162842</v>
      </c>
      <c r="CU139" s="11" t="e">
        <v>#N/A</v>
      </c>
      <c r="CV139" s="21">
        <f t="shared" ca="1" si="305"/>
        <v>0</v>
      </c>
      <c r="CW139" s="16">
        <f t="shared" ca="1" si="304"/>
        <v>8.3333333333333339</v>
      </c>
    </row>
    <row r="140" spans="1:101" s="5" customFormat="1" x14ac:dyDescent="0.35">
      <c r="A140" s="4" t="s">
        <v>165</v>
      </c>
      <c r="B140" s="4">
        <v>8.3333333333333339</v>
      </c>
      <c r="C140" s="4" t="s">
        <v>168</v>
      </c>
      <c r="D140" s="4" t="s">
        <v>404</v>
      </c>
      <c r="E140" s="3"/>
      <c r="F140" s="5">
        <v>4.01</v>
      </c>
      <c r="G140" s="11" t="e">
        <v>#N/A</v>
      </c>
      <c r="H140" s="5">
        <v>0.78299999999999992</v>
      </c>
      <c r="I140" s="5">
        <v>2.1609999999999996</v>
      </c>
      <c r="K140" s="3">
        <f t="shared" ca="1" si="244"/>
        <v>0.88503740648379059</v>
      </c>
      <c r="L140" s="3" t="e">
        <f t="shared" ca="1" si="245"/>
        <v>#N/A</v>
      </c>
      <c r="M140" s="3" t="e">
        <f t="shared" ca="1" si="246"/>
        <v>#N/A</v>
      </c>
      <c r="N140" s="3">
        <f t="shared" ca="1" si="247"/>
        <v>0.78667283664969934</v>
      </c>
      <c r="P140" s="3">
        <f t="shared" ca="1" si="248"/>
        <v>0.81820449109033611</v>
      </c>
      <c r="Q140" s="3" t="e">
        <f t="shared" ca="1" si="249"/>
        <v>#N/A</v>
      </c>
      <c r="R140" s="3" t="e">
        <f t="shared" ca="1" si="250"/>
        <v>#N/A</v>
      </c>
      <c r="S140" s="3">
        <f t="shared" ca="1" si="251"/>
        <v>0.71726056063191768</v>
      </c>
      <c r="U140" s="3">
        <f t="shared" ca="1" si="252"/>
        <v>2.2443890274314215</v>
      </c>
      <c r="V140" s="3" t="e">
        <f t="shared" ca="1" si="253"/>
        <v>#N/A</v>
      </c>
      <c r="W140" s="3" t="e">
        <f t="shared" ca="1" si="254"/>
        <v>#N/A</v>
      </c>
      <c r="X140" s="3">
        <f t="shared" ca="1" si="255"/>
        <v>1.3882461823229988</v>
      </c>
      <c r="Z140" s="3">
        <f t="shared" ca="1" si="256"/>
        <v>0.78528678304239408</v>
      </c>
      <c r="AA140" s="3" t="e">
        <f t="shared" ca="1" si="257"/>
        <v>#N/A</v>
      </c>
      <c r="AB140" s="3" t="e">
        <f t="shared" ca="1" si="258"/>
        <v>#N/A</v>
      </c>
      <c r="AC140" s="3">
        <f t="shared" ca="1" si="259"/>
        <v>0.74826469227209647</v>
      </c>
      <c r="AE140" s="3">
        <f t="shared" ca="1" si="260"/>
        <v>0.74339152274286369</v>
      </c>
      <c r="AF140" s="3" t="e">
        <f t="shared" ca="1" si="261"/>
        <v>#N/A</v>
      </c>
      <c r="AG140" s="3" t="e">
        <f t="shared" ca="1" si="262"/>
        <v>#N/A</v>
      </c>
      <c r="AH140" s="3">
        <f t="shared" ca="1" si="263"/>
        <v>0.71726056063191768</v>
      </c>
      <c r="AJ140" s="3">
        <f t="shared" ca="1" si="264"/>
        <v>1.9950124688279303</v>
      </c>
      <c r="AK140" s="3" t="e">
        <f t="shared" ca="1" si="265"/>
        <v>#N/A</v>
      </c>
      <c r="AL140" s="3" t="e">
        <f t="shared" ca="1" si="266"/>
        <v>#N/A</v>
      </c>
      <c r="AM140" s="3">
        <f t="shared" ca="1" si="267"/>
        <v>1.3882461823229988</v>
      </c>
      <c r="AO140" s="3">
        <f t="shared" ca="1" si="268"/>
        <v>0.24937655860349128</v>
      </c>
      <c r="AP140" s="3" t="e">
        <f t="shared" ca="1" si="269"/>
        <v>#N/A</v>
      </c>
      <c r="AQ140" s="3" t="e">
        <f t="shared" ca="1" si="270"/>
        <v>#N/A</v>
      </c>
      <c r="AR140" s="3">
        <f t="shared" ca="1" si="271"/>
        <v>0.46274872744099965</v>
      </c>
      <c r="AT140" s="5">
        <v>0.43599998950958252</v>
      </c>
      <c r="AU140" s="11" t="e">
        <v>#N/A</v>
      </c>
      <c r="AV140" s="11" t="e">
        <v>#N/A</v>
      </c>
      <c r="AW140" s="5">
        <v>1.8830000162124634</v>
      </c>
      <c r="AY140" s="3">
        <f t="shared" ca="1" si="272"/>
        <v>0.15386533665835411</v>
      </c>
      <c r="AZ140" s="3" t="e">
        <f t="shared" ca="1" si="273"/>
        <v>#N/A</v>
      </c>
      <c r="BA140" s="3" t="e">
        <f t="shared" ca="1" si="274"/>
        <v>#N/A</v>
      </c>
      <c r="BB140" s="3">
        <f t="shared" ca="1" si="275"/>
        <v>0.23877834335955581</v>
      </c>
      <c r="BD140" s="3">
        <f t="shared" ca="1" si="276"/>
        <v>0.14114712836439175</v>
      </c>
      <c r="BE140" s="3" t="e">
        <f t="shared" ca="1" si="277"/>
        <v>#N/A</v>
      </c>
      <c r="BF140" s="3" t="e">
        <f t="shared" ca="1" si="278"/>
        <v>#N/A</v>
      </c>
      <c r="BG140" s="3">
        <f t="shared" ca="1" si="279"/>
        <v>0</v>
      </c>
      <c r="BI140" s="3">
        <f t="shared" ca="1" si="280"/>
        <v>0.74812967581047385</v>
      </c>
      <c r="BJ140" s="3" t="e">
        <f t="shared" ca="1" si="281"/>
        <v>#N/A</v>
      </c>
      <c r="BK140" s="3" t="e">
        <f t="shared" ca="1" si="282"/>
        <v>#N/A</v>
      </c>
      <c r="BL140" s="3">
        <f t="shared" ca="1" si="283"/>
        <v>0</v>
      </c>
      <c r="BN140" s="3">
        <f t="shared" ca="1" si="284"/>
        <v>0.99750623441396513</v>
      </c>
      <c r="BO140" s="3" t="e">
        <f t="shared" ca="1" si="285"/>
        <v>#N/A</v>
      </c>
      <c r="BP140" s="3" t="e">
        <f t="shared" ca="1" si="286"/>
        <v>#N/A</v>
      </c>
      <c r="BQ140" s="3">
        <f t="shared" ca="1" si="287"/>
        <v>0.46274872744099965</v>
      </c>
      <c r="BS140" s="5">
        <v>0.43599998950958252</v>
      </c>
      <c r="BT140" s="11" t="e">
        <v>#N/A</v>
      </c>
      <c r="BU140" s="11" t="e">
        <v>#N/A</v>
      </c>
      <c r="BV140" s="5">
        <v>4.01</v>
      </c>
      <c r="BX140" s="3">
        <f t="shared" ca="1" si="288"/>
        <v>0</v>
      </c>
      <c r="BY140" s="3" t="e">
        <f t="shared" ca="1" si="289"/>
        <v>#N/A</v>
      </c>
      <c r="BZ140" s="3" t="e">
        <f t="shared" ca="1" si="290"/>
        <v>#N/A</v>
      </c>
      <c r="CA140" s="3">
        <f t="shared" ca="1" si="291"/>
        <v>0.1776955113373439</v>
      </c>
      <c r="CC140" s="3">
        <f t="shared" ca="1" si="292"/>
        <v>0</v>
      </c>
      <c r="CD140" s="3" t="e">
        <f t="shared" ca="1" si="293"/>
        <v>#N/A</v>
      </c>
      <c r="CE140" s="3" t="e">
        <f t="shared" ca="1" si="294"/>
        <v>#N/A</v>
      </c>
      <c r="CF140" s="3">
        <f t="shared" ca="1" si="295"/>
        <v>0.13882470649461515</v>
      </c>
      <c r="CH140" s="3">
        <f t="shared" ca="1" si="296"/>
        <v>0</v>
      </c>
      <c r="CI140" s="3" t="e">
        <f t="shared" ca="1" si="297"/>
        <v>#N/A</v>
      </c>
      <c r="CJ140" s="3" t="e">
        <f t="shared" ca="1" si="298"/>
        <v>#N/A</v>
      </c>
      <c r="CK140" s="3">
        <f t="shared" ca="1" si="299"/>
        <v>0.46274872744099965</v>
      </c>
      <c r="CM140" s="3">
        <f t="shared" ca="1" si="300"/>
        <v>0.24937655860349128</v>
      </c>
      <c r="CN140" s="3" t="e">
        <f t="shared" ca="1" si="301"/>
        <v>#N/A</v>
      </c>
      <c r="CO140" s="3" t="e">
        <f t="shared" ca="1" si="302"/>
        <v>#N/A</v>
      </c>
      <c r="CP140" s="3">
        <f t="shared" ca="1" si="303"/>
        <v>0.9254974548819993</v>
      </c>
      <c r="CR140" s="5">
        <v>4.01</v>
      </c>
      <c r="CS140" s="11" t="e">
        <v>#N/A</v>
      </c>
      <c r="CT140" s="11" t="e">
        <v>#N/A</v>
      </c>
      <c r="CU140" s="5">
        <v>2.4159998893737793</v>
      </c>
      <c r="CV140" s="21" t="e">
        <f t="shared" ca="1" si="305"/>
        <v>#N/A</v>
      </c>
      <c r="CW140" s="16">
        <f t="shared" ca="1" si="304"/>
        <v>8.3333333333333339</v>
      </c>
    </row>
    <row r="141" spans="1:101" s="5" customFormat="1" x14ac:dyDescent="0.35">
      <c r="A141" s="4" t="s">
        <v>100</v>
      </c>
      <c r="B141" s="4">
        <v>8.5</v>
      </c>
      <c r="C141" s="4" t="s">
        <v>168</v>
      </c>
      <c r="D141" s="4" t="s">
        <v>404</v>
      </c>
      <c r="E141" s="3"/>
      <c r="F141" s="5">
        <v>4.01</v>
      </c>
      <c r="G141" s="5">
        <v>2.3140000000000001</v>
      </c>
      <c r="H141" s="5">
        <v>4.0039999999999996</v>
      </c>
      <c r="I141" s="5">
        <v>4.0090000000000003</v>
      </c>
      <c r="K141" s="3">
        <f t="shared" ca="1" si="244"/>
        <v>0.98054862842892776</v>
      </c>
      <c r="L141" s="3">
        <f t="shared" ca="1" si="245"/>
        <v>0.98660328435609324</v>
      </c>
      <c r="M141" s="3">
        <f t="shared" ca="1" si="246"/>
        <v>0.94880119880119884</v>
      </c>
      <c r="N141" s="3">
        <f t="shared" ca="1" si="247"/>
        <v>0.99351459216762283</v>
      </c>
      <c r="P141" s="3">
        <f t="shared" ca="1" si="248"/>
        <v>0.93117211376342401</v>
      </c>
      <c r="Q141" s="3">
        <f t="shared" ca="1" si="249"/>
        <v>0.56179768068582303</v>
      </c>
      <c r="R141" s="3">
        <f t="shared" ca="1" si="250"/>
        <v>0.84915079853751452</v>
      </c>
      <c r="S141" s="3">
        <f t="shared" ca="1" si="251"/>
        <v>0.99351461795566376</v>
      </c>
      <c r="U141" s="3">
        <f t="shared" ca="1" si="252"/>
        <v>1.9950124688279303</v>
      </c>
      <c r="V141" s="3">
        <f t="shared" ca="1" si="253"/>
        <v>2.5929127052722558</v>
      </c>
      <c r="W141" s="3">
        <f t="shared" ca="1" si="254"/>
        <v>2.9970029970029972</v>
      </c>
      <c r="X141" s="3">
        <f t="shared" ca="1" si="255"/>
        <v>0.24943876278373658</v>
      </c>
      <c r="Z141" s="3">
        <f t="shared" ca="1" si="256"/>
        <v>0.98054862842892776</v>
      </c>
      <c r="AA141" s="3">
        <f t="shared" ca="1" si="257"/>
        <v>0.98660328435609324</v>
      </c>
      <c r="AB141" s="3">
        <f t="shared" ca="1" si="258"/>
        <v>0.94880119880119884</v>
      </c>
      <c r="AC141" s="3">
        <f t="shared" ca="1" si="259"/>
        <v>0.99351459216762283</v>
      </c>
      <c r="AE141" s="3">
        <f t="shared" ca="1" si="260"/>
        <v>0.93117211376342401</v>
      </c>
      <c r="AF141" s="3">
        <f t="shared" ca="1" si="261"/>
        <v>0.56179768068582303</v>
      </c>
      <c r="AG141" s="3">
        <f t="shared" ca="1" si="262"/>
        <v>0.84915079853751452</v>
      </c>
      <c r="AH141" s="3">
        <f t="shared" ca="1" si="263"/>
        <v>0.99351461795566376</v>
      </c>
      <c r="AJ141" s="3">
        <f t="shared" ca="1" si="264"/>
        <v>1.9950124688279303</v>
      </c>
      <c r="AK141" s="3">
        <f t="shared" ca="1" si="265"/>
        <v>2.5929127052722558</v>
      </c>
      <c r="AL141" s="3">
        <f t="shared" ca="1" si="266"/>
        <v>2.9970029970029972</v>
      </c>
      <c r="AM141" s="3">
        <f t="shared" ca="1" si="267"/>
        <v>0.24943876278373658</v>
      </c>
      <c r="AO141" s="3">
        <f t="shared" ca="1" si="268"/>
        <v>0.24937655860349128</v>
      </c>
      <c r="AP141" s="3">
        <f t="shared" ca="1" si="269"/>
        <v>0.43215211754537597</v>
      </c>
      <c r="AQ141" s="3">
        <f t="shared" ca="1" si="270"/>
        <v>0.24975024975024979</v>
      </c>
      <c r="AR141" s="3">
        <f t="shared" ca="1" si="271"/>
        <v>0.24943876278373658</v>
      </c>
      <c r="AT141" s="5">
        <v>0.12999999523162842</v>
      </c>
      <c r="AU141" s="5">
        <v>1.8890000581741333</v>
      </c>
      <c r="AV141" s="5">
        <v>0.15999999642372131</v>
      </c>
      <c r="AW141" s="5">
        <v>8.999999612569809E-3</v>
      </c>
      <c r="AY141" s="3">
        <f t="shared" ca="1" si="272"/>
        <v>0.39875311720698259</v>
      </c>
      <c r="AZ141" s="3">
        <f t="shared" ca="1" si="273"/>
        <v>0.30250648228176324</v>
      </c>
      <c r="BA141" s="3">
        <f t="shared" ca="1" si="274"/>
        <v>0.56993006993007</v>
      </c>
      <c r="BB141" s="3">
        <f t="shared" ca="1" si="275"/>
        <v>0</v>
      </c>
      <c r="BD141" s="3">
        <f t="shared" ca="1" si="276"/>
        <v>0.40723194653851136</v>
      </c>
      <c r="BE141" s="3">
        <f t="shared" ca="1" si="277"/>
        <v>0.23768364404333803</v>
      </c>
      <c r="BF141" s="3">
        <f t="shared" ca="1" si="278"/>
        <v>0.53271728676634955</v>
      </c>
      <c r="BG141" s="3">
        <f t="shared" ca="1" si="279"/>
        <v>0</v>
      </c>
      <c r="BI141" s="3">
        <f t="shared" ca="1" si="280"/>
        <v>0.49875311720698257</v>
      </c>
      <c r="BJ141" s="3">
        <f t="shared" ca="1" si="281"/>
        <v>1.2964563526361279</v>
      </c>
      <c r="BK141" s="3">
        <f t="shared" ca="1" si="282"/>
        <v>1.4985014985014986</v>
      </c>
      <c r="BL141" s="3">
        <f t="shared" ca="1" si="283"/>
        <v>0</v>
      </c>
      <c r="BN141" s="3">
        <f t="shared" ca="1" si="284"/>
        <v>0.74812967581047385</v>
      </c>
      <c r="BO141" s="3">
        <f t="shared" ca="1" si="285"/>
        <v>1.2964563526361279</v>
      </c>
      <c r="BP141" s="3">
        <f t="shared" ca="1" si="286"/>
        <v>0.7492507492507493</v>
      </c>
      <c r="BQ141" s="3">
        <f t="shared" ca="1" si="287"/>
        <v>0</v>
      </c>
      <c r="BS141" s="5">
        <v>0.36399999260902405</v>
      </c>
      <c r="BT141" s="5">
        <v>3.1059999465942383</v>
      </c>
      <c r="BU141" s="5">
        <v>0.59399998188018799</v>
      </c>
      <c r="BV141" s="5">
        <v>4.0090000000000003</v>
      </c>
      <c r="BX141" s="3">
        <f t="shared" ca="1" si="288"/>
        <v>1.670822942643398E-2</v>
      </c>
      <c r="BY141" s="3">
        <f t="shared" ca="1" si="289"/>
        <v>0</v>
      </c>
      <c r="BZ141" s="3">
        <f t="shared" ca="1" si="290"/>
        <v>1.2487512487512486E-2</v>
      </c>
      <c r="CA141" s="3">
        <f t="shared" ca="1" si="291"/>
        <v>0.99351459216762283</v>
      </c>
      <c r="CC141" s="3">
        <f t="shared" ca="1" si="292"/>
        <v>0.12892767080939618</v>
      </c>
      <c r="CD141" s="3">
        <f t="shared" ca="1" si="293"/>
        <v>0</v>
      </c>
      <c r="CE141" s="3">
        <f t="shared" ca="1" si="294"/>
        <v>0</v>
      </c>
      <c r="CF141" s="3">
        <f t="shared" ca="1" si="295"/>
        <v>0.99351461795566376</v>
      </c>
      <c r="CH141" s="3">
        <f t="shared" ca="1" si="296"/>
        <v>0.24937655860349128</v>
      </c>
      <c r="CI141" s="3">
        <f t="shared" ca="1" si="297"/>
        <v>0</v>
      </c>
      <c r="CJ141" s="3">
        <f t="shared" ca="1" si="298"/>
        <v>0</v>
      </c>
      <c r="CK141" s="3">
        <f t="shared" ca="1" si="299"/>
        <v>0.24943876278373658</v>
      </c>
      <c r="CM141" s="3">
        <f t="shared" ca="1" si="300"/>
        <v>0.49875311720698257</v>
      </c>
      <c r="CN141" s="3">
        <f t="shared" ca="1" si="301"/>
        <v>0.43215211754537597</v>
      </c>
      <c r="CO141" s="3">
        <f t="shared" ca="1" si="302"/>
        <v>0.24975024975024979</v>
      </c>
      <c r="CP141" s="3">
        <f t="shared" ca="1" si="303"/>
        <v>0.24943876278373658</v>
      </c>
      <c r="CR141" s="5">
        <v>3.2130000591278076</v>
      </c>
      <c r="CS141" s="5">
        <v>4.0030000000000001</v>
      </c>
      <c r="CT141" s="5">
        <v>4.0039999999999996</v>
      </c>
      <c r="CU141" s="5">
        <v>8.999999612569809E-3</v>
      </c>
      <c r="CV141" s="21">
        <f t="shared" ca="1" si="305"/>
        <v>0.53271728676634955</v>
      </c>
      <c r="CW141" s="16">
        <f t="shared" ca="1" si="304"/>
        <v>8.5</v>
      </c>
    </row>
    <row r="142" spans="1:101" s="5" customFormat="1" x14ac:dyDescent="0.35">
      <c r="A142" s="4" t="s">
        <v>120</v>
      </c>
      <c r="B142" s="4">
        <v>8.5</v>
      </c>
      <c r="C142" s="4" t="s">
        <v>168</v>
      </c>
      <c r="D142" s="4" t="s">
        <v>404</v>
      </c>
      <c r="E142" s="3"/>
      <c r="F142" s="5">
        <v>1.0500000000000003</v>
      </c>
      <c r="G142" s="5">
        <v>0.41599999999999993</v>
      </c>
      <c r="H142" s="5">
        <v>0.37599999999999945</v>
      </c>
      <c r="I142" s="5">
        <v>1.0190000000000001</v>
      </c>
      <c r="K142" s="3" t="e">
        <f t="shared" ca="1" si="244"/>
        <v>#N/A</v>
      </c>
      <c r="L142" s="3" t="e">
        <f t="shared" ca="1" si="245"/>
        <v>#N/A</v>
      </c>
      <c r="M142" s="3" t="e">
        <f t="shared" ca="1" si="246"/>
        <v>#N/A</v>
      </c>
      <c r="N142" s="3" t="e">
        <f t="shared" ca="1" si="247"/>
        <v>#N/A</v>
      </c>
      <c r="P142" s="3" t="e">
        <f t="shared" ca="1" si="248"/>
        <v>#N/A</v>
      </c>
      <c r="Q142" s="3" t="e">
        <f t="shared" ca="1" si="249"/>
        <v>#N/A</v>
      </c>
      <c r="R142" s="3" t="e">
        <f t="shared" ca="1" si="250"/>
        <v>#N/A</v>
      </c>
      <c r="S142" s="3" t="e">
        <f t="shared" ca="1" si="251"/>
        <v>#N/A</v>
      </c>
      <c r="U142" s="3" t="e">
        <f t="shared" ca="1" si="252"/>
        <v>#N/A</v>
      </c>
      <c r="V142" s="3" t="e">
        <f t="shared" ca="1" si="253"/>
        <v>#N/A</v>
      </c>
      <c r="W142" s="3" t="e">
        <f t="shared" ca="1" si="254"/>
        <v>#N/A</v>
      </c>
      <c r="X142" s="3" t="e">
        <f t="shared" ca="1" si="255"/>
        <v>#N/A</v>
      </c>
      <c r="Z142" s="3" t="e">
        <f t="shared" ca="1" si="256"/>
        <v>#N/A</v>
      </c>
      <c r="AA142" s="3" t="e">
        <f t="shared" ca="1" si="257"/>
        <v>#N/A</v>
      </c>
      <c r="AB142" s="3" t="e">
        <f t="shared" ca="1" si="258"/>
        <v>#N/A</v>
      </c>
      <c r="AC142" s="3" t="e">
        <f t="shared" ca="1" si="259"/>
        <v>#N/A</v>
      </c>
      <c r="AE142" s="3" t="e">
        <f t="shared" ca="1" si="260"/>
        <v>#N/A</v>
      </c>
      <c r="AF142" s="3" t="e">
        <f t="shared" ca="1" si="261"/>
        <v>#N/A</v>
      </c>
      <c r="AG142" s="3" t="e">
        <f t="shared" ca="1" si="262"/>
        <v>#N/A</v>
      </c>
      <c r="AH142" s="3" t="e">
        <f t="shared" ca="1" si="263"/>
        <v>#N/A</v>
      </c>
      <c r="AJ142" s="3" t="e">
        <f t="shared" ca="1" si="264"/>
        <v>#N/A</v>
      </c>
      <c r="AK142" s="3" t="e">
        <f t="shared" ca="1" si="265"/>
        <v>#N/A</v>
      </c>
      <c r="AL142" s="3" t="e">
        <f t="shared" ca="1" si="266"/>
        <v>#N/A</v>
      </c>
      <c r="AM142" s="3" t="e">
        <f t="shared" ca="1" si="267"/>
        <v>#N/A</v>
      </c>
      <c r="AO142" s="3" t="e">
        <f t="shared" ca="1" si="268"/>
        <v>#N/A</v>
      </c>
      <c r="AP142" s="3" t="e">
        <f t="shared" ca="1" si="269"/>
        <v>#N/A</v>
      </c>
      <c r="AQ142" s="3" t="e">
        <f t="shared" ca="1" si="270"/>
        <v>#N/A</v>
      </c>
      <c r="AR142" s="3" t="e">
        <f t="shared" ca="1" si="271"/>
        <v>#N/A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Y142" s="3" t="e">
        <f t="shared" ca="1" si="272"/>
        <v>#N/A</v>
      </c>
      <c r="AZ142" s="3" t="e">
        <f t="shared" ca="1" si="273"/>
        <v>#N/A</v>
      </c>
      <c r="BA142" s="3" t="e">
        <f t="shared" ca="1" si="274"/>
        <v>#N/A</v>
      </c>
      <c r="BB142" s="3" t="e">
        <f t="shared" ca="1" si="275"/>
        <v>#N/A</v>
      </c>
      <c r="BD142" s="3" t="e">
        <f t="shared" ca="1" si="276"/>
        <v>#N/A</v>
      </c>
      <c r="BE142" s="3" t="e">
        <f t="shared" ca="1" si="277"/>
        <v>#N/A</v>
      </c>
      <c r="BF142" s="3" t="e">
        <f t="shared" ca="1" si="278"/>
        <v>#N/A</v>
      </c>
      <c r="BG142" s="3" t="e">
        <f t="shared" ca="1" si="279"/>
        <v>#N/A</v>
      </c>
      <c r="BI142" s="3" t="e">
        <f t="shared" ca="1" si="280"/>
        <v>#N/A</v>
      </c>
      <c r="BJ142" s="3" t="e">
        <f t="shared" ca="1" si="281"/>
        <v>#N/A</v>
      </c>
      <c r="BK142" s="3" t="e">
        <f t="shared" ca="1" si="282"/>
        <v>#N/A</v>
      </c>
      <c r="BL142" s="3" t="e">
        <f t="shared" ca="1" si="283"/>
        <v>#N/A</v>
      </c>
      <c r="BN142" s="3" t="e">
        <f t="shared" ca="1" si="284"/>
        <v>#N/A</v>
      </c>
      <c r="BO142" s="3" t="e">
        <f t="shared" ca="1" si="285"/>
        <v>#N/A</v>
      </c>
      <c r="BP142" s="3" t="e">
        <f t="shared" ca="1" si="286"/>
        <v>#N/A</v>
      </c>
      <c r="BQ142" s="3" t="e">
        <f t="shared" ca="1" si="287"/>
        <v>#N/A</v>
      </c>
      <c r="BS142" s="11" t="e">
        <v>#N/A</v>
      </c>
      <c r="BT142" s="11" t="e">
        <v>#N/A</v>
      </c>
      <c r="BU142" s="11" t="e">
        <v>#N/A</v>
      </c>
      <c r="BV142" s="11" t="e">
        <v>#N/A</v>
      </c>
      <c r="BX142" s="3" t="e">
        <f t="shared" ca="1" si="288"/>
        <v>#N/A</v>
      </c>
      <c r="BY142" s="3" t="e">
        <f t="shared" ca="1" si="289"/>
        <v>#N/A</v>
      </c>
      <c r="BZ142" s="3" t="e">
        <f t="shared" ca="1" si="290"/>
        <v>#N/A</v>
      </c>
      <c r="CA142" s="3" t="e">
        <f t="shared" ca="1" si="291"/>
        <v>#N/A</v>
      </c>
      <c r="CC142" s="3" t="e">
        <f t="shared" ca="1" si="292"/>
        <v>#N/A</v>
      </c>
      <c r="CD142" s="3" t="e">
        <f t="shared" ca="1" si="293"/>
        <v>#N/A</v>
      </c>
      <c r="CE142" s="3" t="e">
        <f t="shared" ca="1" si="294"/>
        <v>#N/A</v>
      </c>
      <c r="CF142" s="3" t="e">
        <f t="shared" ca="1" si="295"/>
        <v>#N/A</v>
      </c>
      <c r="CH142" s="3" t="e">
        <f t="shared" ca="1" si="296"/>
        <v>#N/A</v>
      </c>
      <c r="CI142" s="3" t="e">
        <f t="shared" ca="1" si="297"/>
        <v>#N/A</v>
      </c>
      <c r="CJ142" s="3" t="e">
        <f t="shared" ca="1" si="298"/>
        <v>#N/A</v>
      </c>
      <c r="CK142" s="3" t="e">
        <f t="shared" ca="1" si="299"/>
        <v>#N/A</v>
      </c>
      <c r="CM142" s="3" t="e">
        <f t="shared" ca="1" si="300"/>
        <v>#N/A</v>
      </c>
      <c r="CN142" s="3" t="e">
        <f t="shared" ca="1" si="301"/>
        <v>#N/A</v>
      </c>
      <c r="CO142" s="3" t="e">
        <f t="shared" ca="1" si="302"/>
        <v>#N/A</v>
      </c>
      <c r="CP142" s="3" t="e">
        <f t="shared" ca="1" si="303"/>
        <v>#N/A</v>
      </c>
      <c r="CR142" s="11" t="e">
        <v>#N/A</v>
      </c>
      <c r="CS142" s="11" t="e">
        <v>#N/A</v>
      </c>
      <c r="CT142" s="11" t="e">
        <v>#N/A</v>
      </c>
      <c r="CU142" s="11" t="e">
        <v>#N/A</v>
      </c>
      <c r="CV142" s="21" t="e">
        <f t="shared" ca="1" si="305"/>
        <v>#N/A</v>
      </c>
      <c r="CW142" s="16">
        <f t="shared" ca="1" si="304"/>
        <v>8.5</v>
      </c>
    </row>
    <row r="143" spans="1:101" s="5" customFormat="1" x14ac:dyDescent="0.35">
      <c r="A143" s="4" t="s">
        <v>130</v>
      </c>
      <c r="B143" s="4">
        <v>8.5</v>
      </c>
      <c r="C143" s="4" t="s">
        <v>168</v>
      </c>
      <c r="D143" s="4" t="s">
        <v>404</v>
      </c>
      <c r="E143" s="3"/>
      <c r="F143" s="5">
        <v>2.7979999999999996</v>
      </c>
      <c r="G143" s="5">
        <v>4.01</v>
      </c>
      <c r="H143" s="5">
        <v>4.032</v>
      </c>
      <c r="I143" s="5">
        <v>4.01</v>
      </c>
      <c r="K143" s="3">
        <f t="shared" ca="1" si="244"/>
        <v>0.74446032880629043</v>
      </c>
      <c r="L143" s="3">
        <f t="shared" ca="1" si="245"/>
        <v>0.94763092269326699</v>
      </c>
      <c r="M143" s="3">
        <f t="shared" ca="1" si="246"/>
        <v>0.82638888888888906</v>
      </c>
      <c r="N143" s="3">
        <f t="shared" ca="1" si="247"/>
        <v>0.78952618453865342</v>
      </c>
      <c r="P143" s="3">
        <f t="shared" ca="1" si="248"/>
        <v>0.66154402318051775</v>
      </c>
      <c r="Q143" s="3">
        <f t="shared" ca="1" si="249"/>
        <v>0.46982551156136759</v>
      </c>
      <c r="R143" s="3">
        <f t="shared" ca="1" si="250"/>
        <v>0.85987101100193009</v>
      </c>
      <c r="S143" s="3">
        <f t="shared" ca="1" si="251"/>
        <v>0.7351620564065372</v>
      </c>
      <c r="U143" s="3">
        <f t="shared" ca="1" si="252"/>
        <v>1.4295925661186564</v>
      </c>
      <c r="V143" s="3">
        <f t="shared" ca="1" si="253"/>
        <v>1.745635910224439</v>
      </c>
      <c r="W143" s="3">
        <f t="shared" ca="1" si="254"/>
        <v>2.2321428571428572</v>
      </c>
      <c r="X143" s="3">
        <f t="shared" ca="1" si="255"/>
        <v>1.745635910224439</v>
      </c>
      <c r="Z143" s="3">
        <f t="shared" ca="1" si="256"/>
        <v>0.73230879199428167</v>
      </c>
      <c r="AA143" s="3">
        <f t="shared" ca="1" si="257"/>
        <v>0.56508728179551138</v>
      </c>
      <c r="AB143" s="3">
        <f t="shared" ca="1" si="258"/>
        <v>0.60739087301587302</v>
      </c>
      <c r="AC143" s="3">
        <f t="shared" ca="1" si="259"/>
        <v>0.673067331670823</v>
      </c>
      <c r="AE143" s="3">
        <f t="shared" ca="1" si="260"/>
        <v>0.66154402318051775</v>
      </c>
      <c r="AF143" s="3">
        <f t="shared" ca="1" si="261"/>
        <v>0.43241901885244322</v>
      </c>
      <c r="AG143" s="3">
        <f t="shared" ca="1" si="262"/>
        <v>0.55431545756402467</v>
      </c>
      <c r="AH143" s="3">
        <f t="shared" ca="1" si="263"/>
        <v>0.6521196761853677</v>
      </c>
      <c r="AJ143" s="3">
        <f t="shared" ca="1" si="264"/>
        <v>1.4295925661186564</v>
      </c>
      <c r="AK143" s="3">
        <f t="shared" ca="1" si="265"/>
        <v>1.4962593516209477</v>
      </c>
      <c r="AL143" s="3">
        <f t="shared" ca="1" si="266"/>
        <v>1.4880952380952381</v>
      </c>
      <c r="AM143" s="3">
        <f t="shared" ca="1" si="267"/>
        <v>1.4962593516209477</v>
      </c>
      <c r="AO143" s="3">
        <f t="shared" ca="1" si="268"/>
        <v>0.71479628305932819</v>
      </c>
      <c r="AP143" s="3">
        <f t="shared" ca="1" si="269"/>
        <v>0.49875311720698257</v>
      </c>
      <c r="AQ143" s="3">
        <f t="shared" ca="1" si="270"/>
        <v>0.49603174603174605</v>
      </c>
      <c r="AR143" s="3">
        <f t="shared" ca="1" si="271"/>
        <v>0.49875311720698257</v>
      </c>
      <c r="AT143" s="5">
        <v>1.0000000474974513E-3</v>
      </c>
      <c r="AU143" s="5">
        <v>0.74400001764297485</v>
      </c>
      <c r="AV143" s="5">
        <v>0.47999998927116394</v>
      </c>
      <c r="AW143" s="5">
        <v>1.3000000268220901E-2</v>
      </c>
      <c r="AY143" s="3">
        <f t="shared" ca="1" si="272"/>
        <v>0.5</v>
      </c>
      <c r="AZ143" s="3">
        <f t="shared" ca="1" si="273"/>
        <v>0.32817955112219444</v>
      </c>
      <c r="BA143" s="3">
        <f t="shared" ca="1" si="274"/>
        <v>0.28124999999999994</v>
      </c>
      <c r="BB143" s="3">
        <f t="shared" ca="1" si="275"/>
        <v>0.24912718204488776</v>
      </c>
      <c r="BD143" s="3">
        <f t="shared" ca="1" si="276"/>
        <v>0.45889927030376582</v>
      </c>
      <c r="BE143" s="3">
        <f t="shared" ca="1" si="277"/>
        <v>0.32418958861334368</v>
      </c>
      <c r="BF143" s="3">
        <f t="shared" ca="1" si="278"/>
        <v>0.35987103298779516</v>
      </c>
      <c r="BG143" s="3">
        <f t="shared" ca="1" si="279"/>
        <v>0.27406483219746047</v>
      </c>
      <c r="BI143" s="3">
        <f t="shared" ca="1" si="280"/>
        <v>1.0721944245889923</v>
      </c>
      <c r="BJ143" s="3">
        <f t="shared" ca="1" si="281"/>
        <v>0.74812967581047385</v>
      </c>
      <c r="BK143" s="3">
        <f t="shared" ca="1" si="282"/>
        <v>0.74404761904761907</v>
      </c>
      <c r="BL143" s="3">
        <f t="shared" ca="1" si="283"/>
        <v>0.99750623441396513</v>
      </c>
      <c r="BN143" s="3">
        <f t="shared" ca="1" si="284"/>
        <v>1.4295925661186564</v>
      </c>
      <c r="BO143" s="3">
        <f t="shared" ca="1" si="285"/>
        <v>0.49875311720698257</v>
      </c>
      <c r="BP143" s="3">
        <f t="shared" ca="1" si="286"/>
        <v>0.99206349206349209</v>
      </c>
      <c r="BQ143" s="3">
        <f t="shared" ca="1" si="287"/>
        <v>0.49875311720698257</v>
      </c>
      <c r="BS143" s="5">
        <v>0.58399999141693115</v>
      </c>
      <c r="BT143" s="5">
        <v>0.74400001764297485</v>
      </c>
      <c r="BU143" s="5">
        <v>0.47999998927116394</v>
      </c>
      <c r="BV143" s="5">
        <v>0.66299998760223389</v>
      </c>
      <c r="BX143" s="3">
        <f t="shared" ca="1" si="288"/>
        <v>0</v>
      </c>
      <c r="BY143" s="3">
        <f t="shared" ca="1" si="289"/>
        <v>3.9900249376558644E-3</v>
      </c>
      <c r="BZ143" s="3">
        <f t="shared" ca="1" si="290"/>
        <v>0</v>
      </c>
      <c r="CA143" s="3">
        <f t="shared" ca="1" si="291"/>
        <v>0</v>
      </c>
      <c r="CC143" s="3">
        <f t="shared" ca="1" si="292"/>
        <v>0</v>
      </c>
      <c r="CD143" s="3">
        <f t="shared" ca="1" si="293"/>
        <v>0</v>
      </c>
      <c r="CE143" s="3">
        <f t="shared" ca="1" si="294"/>
        <v>0</v>
      </c>
      <c r="CF143" s="3">
        <f t="shared" ca="1" si="295"/>
        <v>0</v>
      </c>
      <c r="CH143" s="3">
        <f t="shared" ca="1" si="296"/>
        <v>0</v>
      </c>
      <c r="CI143" s="3">
        <f t="shared" ca="1" si="297"/>
        <v>0</v>
      </c>
      <c r="CJ143" s="3">
        <f t="shared" ca="1" si="298"/>
        <v>0</v>
      </c>
      <c r="CK143" s="3">
        <f t="shared" ca="1" si="299"/>
        <v>0</v>
      </c>
      <c r="CM143" s="3">
        <f t="shared" ca="1" si="300"/>
        <v>0</v>
      </c>
      <c r="CN143" s="3">
        <f t="shared" ca="1" si="301"/>
        <v>1.2468827930174564</v>
      </c>
      <c r="CO143" s="3">
        <f t="shared" ca="1" si="302"/>
        <v>0</v>
      </c>
      <c r="CP143" s="3">
        <f t="shared" ca="1" si="303"/>
        <v>0</v>
      </c>
      <c r="CR143" s="5">
        <v>4.0309999999999997</v>
      </c>
      <c r="CS143" s="5">
        <v>4.01</v>
      </c>
      <c r="CT143" s="5">
        <v>4.032</v>
      </c>
      <c r="CU143" s="5">
        <v>4.01</v>
      </c>
      <c r="CV143" s="21">
        <f t="shared" ca="1" si="305"/>
        <v>0.35987103298779516</v>
      </c>
      <c r="CW143" s="16">
        <f t="shared" ca="1" si="304"/>
        <v>8.5</v>
      </c>
    </row>
    <row r="144" spans="1:101" s="5" customFormat="1" x14ac:dyDescent="0.35">
      <c r="A144" s="4" t="s">
        <v>156</v>
      </c>
      <c r="B144" s="4">
        <v>8.5</v>
      </c>
      <c r="C144" s="4" t="s">
        <v>168</v>
      </c>
      <c r="D144" s="4" t="s">
        <v>404</v>
      </c>
      <c r="E144" s="3"/>
      <c r="F144" s="5">
        <v>2.1800000000000002</v>
      </c>
      <c r="G144" s="5">
        <v>2.8929999999999998</v>
      </c>
      <c r="H144" s="11" t="e">
        <v>#N/A</v>
      </c>
      <c r="I144" s="5">
        <v>0.1160000000000001</v>
      </c>
      <c r="K144" s="3">
        <f t="shared" ca="1" si="244"/>
        <v>0.93256880733944969</v>
      </c>
      <c r="L144" s="3">
        <f t="shared" ca="1" si="245"/>
        <v>0.81783615623919803</v>
      </c>
      <c r="M144" s="3" t="e">
        <f t="shared" ca="1" si="246"/>
        <v>#N/A</v>
      </c>
      <c r="N144" s="3" t="e">
        <f t="shared" ca="1" si="247"/>
        <v>#N/A</v>
      </c>
      <c r="P144" s="3">
        <f t="shared" ca="1" si="248"/>
        <v>0.75733943953426597</v>
      </c>
      <c r="Q144" s="3">
        <f t="shared" ca="1" si="249"/>
        <v>0.99066714699854297</v>
      </c>
      <c r="R144" s="3" t="e">
        <f t="shared" ca="1" si="250"/>
        <v>#N/A</v>
      </c>
      <c r="S144" s="3" t="e">
        <f t="shared" ca="1" si="251"/>
        <v>#N/A</v>
      </c>
      <c r="U144" s="3">
        <f t="shared" ca="1" si="252"/>
        <v>1.3761467889908257</v>
      </c>
      <c r="V144" s="3">
        <f t="shared" ca="1" si="253"/>
        <v>0.69132388524023514</v>
      </c>
      <c r="W144" s="3" t="e">
        <f t="shared" ca="1" si="254"/>
        <v>#N/A</v>
      </c>
      <c r="X144" s="3" t="e">
        <f t="shared" ca="1" si="255"/>
        <v>#N/A</v>
      </c>
      <c r="Z144" s="3">
        <f t="shared" ca="1" si="256"/>
        <v>0.27522935779816515</v>
      </c>
      <c r="AA144" s="3">
        <f t="shared" ca="1" si="257"/>
        <v>0.99654338057379888</v>
      </c>
      <c r="AB144" s="3" t="e">
        <f t="shared" ca="1" si="258"/>
        <v>#N/A</v>
      </c>
      <c r="AC144" s="3" t="e">
        <f t="shared" ca="1" si="259"/>
        <v>#N/A</v>
      </c>
      <c r="AE144" s="3">
        <f t="shared" ca="1" si="260"/>
        <v>0.26788990431969317</v>
      </c>
      <c r="AF144" s="3">
        <f t="shared" ca="1" si="261"/>
        <v>0.99066714699854297</v>
      </c>
      <c r="AG144" s="3" t="e">
        <f t="shared" ca="1" si="262"/>
        <v>#N/A</v>
      </c>
      <c r="AH144" s="3" t="e">
        <f t="shared" ca="1" si="263"/>
        <v>#N/A</v>
      </c>
      <c r="AJ144" s="3">
        <f t="shared" ca="1" si="264"/>
        <v>0.9174311926605504</v>
      </c>
      <c r="AK144" s="3">
        <f t="shared" ca="1" si="265"/>
        <v>0.69132388524023514</v>
      </c>
      <c r="AL144" s="3" t="e">
        <f t="shared" ca="1" si="266"/>
        <v>#N/A</v>
      </c>
      <c r="AM144" s="3" t="e">
        <f t="shared" ca="1" si="267"/>
        <v>#N/A</v>
      </c>
      <c r="AO144" s="3">
        <f t="shared" ca="1" si="268"/>
        <v>0.4587155963302752</v>
      </c>
      <c r="AP144" s="3">
        <f t="shared" ca="1" si="269"/>
        <v>0.34566194262011757</v>
      </c>
      <c r="AQ144" s="3" t="e">
        <f t="shared" ca="1" si="270"/>
        <v>#N/A</v>
      </c>
      <c r="AR144" s="3" t="e">
        <f t="shared" ca="1" si="271"/>
        <v>#N/A</v>
      </c>
      <c r="AT144" s="5">
        <v>1.5800000429153442</v>
      </c>
      <c r="AU144" s="5">
        <v>1.1230000257492065</v>
      </c>
      <c r="AV144" s="11" t="e">
        <v>#N/A</v>
      </c>
      <c r="AW144" s="11" t="e">
        <v>#N/A</v>
      </c>
      <c r="AY144" s="3">
        <f t="shared" ca="1" si="272"/>
        <v>0</v>
      </c>
      <c r="AZ144" s="3">
        <f t="shared" ca="1" si="273"/>
        <v>0</v>
      </c>
      <c r="BA144" s="3" t="e">
        <f t="shared" ca="1" si="274"/>
        <v>#N/A</v>
      </c>
      <c r="BB144" s="3" t="e">
        <f t="shared" ca="1" si="275"/>
        <v>#N/A</v>
      </c>
      <c r="BD144" s="3">
        <f t="shared" ca="1" si="276"/>
        <v>0</v>
      </c>
      <c r="BE144" s="3">
        <f t="shared" ca="1" si="277"/>
        <v>0</v>
      </c>
      <c r="BF144" s="3" t="e">
        <f t="shared" ca="1" si="278"/>
        <v>#N/A</v>
      </c>
      <c r="BG144" s="3" t="e">
        <f t="shared" ca="1" si="279"/>
        <v>#N/A</v>
      </c>
      <c r="BI144" s="3">
        <f t="shared" ca="1" si="280"/>
        <v>0</v>
      </c>
      <c r="BJ144" s="3">
        <f t="shared" ca="1" si="281"/>
        <v>0</v>
      </c>
      <c r="BK144" s="3" t="e">
        <f t="shared" ca="1" si="282"/>
        <v>#N/A</v>
      </c>
      <c r="BL144" s="3" t="e">
        <f t="shared" ca="1" si="283"/>
        <v>#N/A</v>
      </c>
      <c r="BN144" s="3">
        <f t="shared" ca="1" si="284"/>
        <v>0</v>
      </c>
      <c r="BO144" s="3">
        <f t="shared" ca="1" si="285"/>
        <v>0</v>
      </c>
      <c r="BP144" s="3" t="e">
        <f t="shared" ca="1" si="286"/>
        <v>#N/A</v>
      </c>
      <c r="BQ144" s="3" t="e">
        <f t="shared" ca="1" si="287"/>
        <v>#N/A</v>
      </c>
      <c r="BS144" s="5">
        <v>4.0129999999999999</v>
      </c>
      <c r="BT144" s="5">
        <v>4.016</v>
      </c>
      <c r="BU144" s="11" t="e">
        <v>#N/A</v>
      </c>
      <c r="BV144" s="11" t="e">
        <v>#N/A</v>
      </c>
      <c r="BX144" s="3">
        <f t="shared" ca="1" si="288"/>
        <v>0.2293577981651376</v>
      </c>
      <c r="BY144" s="3">
        <f t="shared" ca="1" si="289"/>
        <v>0</v>
      </c>
      <c r="BZ144" s="3" t="e">
        <f t="shared" ca="1" si="290"/>
        <v>#N/A</v>
      </c>
      <c r="CA144" s="3" t="e">
        <f t="shared" ca="1" si="291"/>
        <v>#N/A</v>
      </c>
      <c r="CC144" s="3">
        <f t="shared" ca="1" si="292"/>
        <v>0.26788990431969317</v>
      </c>
      <c r="CD144" s="3">
        <f t="shared" ca="1" si="293"/>
        <v>0</v>
      </c>
      <c r="CE144" s="3" t="e">
        <f t="shared" ca="1" si="294"/>
        <v>#N/A</v>
      </c>
      <c r="CF144" s="3" t="e">
        <f t="shared" ca="1" si="295"/>
        <v>#N/A</v>
      </c>
      <c r="CH144" s="3">
        <f t="shared" ca="1" si="296"/>
        <v>0.9174311926605504</v>
      </c>
      <c r="CI144" s="3">
        <f t="shared" ca="1" si="297"/>
        <v>0</v>
      </c>
      <c r="CJ144" s="3" t="e">
        <f t="shared" ca="1" si="298"/>
        <v>#N/A</v>
      </c>
      <c r="CK144" s="3" t="e">
        <f t="shared" ca="1" si="299"/>
        <v>#N/A</v>
      </c>
      <c r="CM144" s="3">
        <f t="shared" ca="1" si="300"/>
        <v>0.9174311926605504</v>
      </c>
      <c r="CN144" s="3">
        <f t="shared" ca="1" si="301"/>
        <v>0</v>
      </c>
      <c r="CO144" s="3" t="e">
        <f t="shared" ca="1" si="302"/>
        <v>#N/A</v>
      </c>
      <c r="CP144" s="3" t="e">
        <f t="shared" ca="1" si="303"/>
        <v>#N/A</v>
      </c>
      <c r="CR144" s="5">
        <v>1.5800000429153442</v>
      </c>
      <c r="CS144" s="5">
        <v>4.016</v>
      </c>
      <c r="CT144" s="11" t="e">
        <v>#N/A</v>
      </c>
      <c r="CU144" s="11" t="e">
        <v>#N/A</v>
      </c>
      <c r="CV144" s="21" t="e">
        <f t="shared" ca="1" si="305"/>
        <v>#N/A</v>
      </c>
      <c r="CW144" s="16">
        <f t="shared" ca="1" si="304"/>
        <v>8.5</v>
      </c>
    </row>
    <row r="145" spans="1:101" s="5" customFormat="1" x14ac:dyDescent="0.35">
      <c r="A145" s="4" t="s">
        <v>116</v>
      </c>
      <c r="B145" s="4">
        <v>8.5833333333333339</v>
      </c>
      <c r="C145" s="4" t="s">
        <v>168</v>
      </c>
      <c r="D145" s="4" t="s">
        <v>404</v>
      </c>
      <c r="E145" s="3"/>
      <c r="F145" s="5">
        <v>4.0060000000000002</v>
      </c>
      <c r="G145" s="5">
        <v>4.016</v>
      </c>
      <c r="H145" s="5">
        <v>4.016</v>
      </c>
      <c r="I145" s="5">
        <v>4.0129999999999999</v>
      </c>
      <c r="K145" s="3">
        <f t="shared" ca="1" si="244"/>
        <v>0.93185222166749859</v>
      </c>
      <c r="L145" s="3">
        <f t="shared" ca="1" si="245"/>
        <v>0.77166334661354585</v>
      </c>
      <c r="M145" s="3">
        <f t="shared" ca="1" si="246"/>
        <v>0.82569721115537842</v>
      </c>
      <c r="N145" s="3">
        <f t="shared" ca="1" si="247"/>
        <v>0.89683528532270118</v>
      </c>
      <c r="P145" s="3">
        <f t="shared" ca="1" si="248"/>
        <v>0.81902149463973517</v>
      </c>
      <c r="Q145" s="3">
        <f t="shared" ca="1" si="249"/>
        <v>0.7422808038286004</v>
      </c>
      <c r="R145" s="3">
        <f t="shared" ca="1" si="250"/>
        <v>0.68451197765975358</v>
      </c>
      <c r="S145" s="3">
        <f t="shared" ca="1" si="251"/>
        <v>0.5766259385200917</v>
      </c>
      <c r="U145" s="3">
        <f t="shared" ca="1" si="252"/>
        <v>2.4962556165751373</v>
      </c>
      <c r="V145" s="3">
        <f t="shared" ca="1" si="253"/>
        <v>2.9880478087649402</v>
      </c>
      <c r="W145" s="3">
        <f t="shared" ca="1" si="254"/>
        <v>1.7430278884462151</v>
      </c>
      <c r="X145" s="3">
        <f t="shared" ca="1" si="255"/>
        <v>1.74433092449539</v>
      </c>
      <c r="Z145" s="3">
        <f t="shared" ca="1" si="256"/>
        <v>0.93185222166749859</v>
      </c>
      <c r="AA145" s="3">
        <f t="shared" ca="1" si="257"/>
        <v>0.84238047808764949</v>
      </c>
      <c r="AB145" s="3">
        <f t="shared" ca="1" si="258"/>
        <v>0.82569721115537842</v>
      </c>
      <c r="AC145" s="3">
        <f t="shared" ca="1" si="259"/>
        <v>0.72663842511836529</v>
      </c>
      <c r="AE145" s="3">
        <f t="shared" ca="1" si="260"/>
        <v>0.81902149463973517</v>
      </c>
      <c r="AF145" s="3">
        <f t="shared" ca="1" si="261"/>
        <v>0.7422808038286004</v>
      </c>
      <c r="AG145" s="3">
        <f t="shared" ca="1" si="262"/>
        <v>0.68451197765975358</v>
      </c>
      <c r="AH145" s="3">
        <f t="shared" ca="1" si="263"/>
        <v>0.4438076000275411</v>
      </c>
      <c r="AJ145" s="3">
        <f t="shared" ca="1" si="264"/>
        <v>2.4962556165751373</v>
      </c>
      <c r="AK145" s="3">
        <f t="shared" ca="1" si="265"/>
        <v>2.9880478087649402</v>
      </c>
      <c r="AL145" s="3">
        <f t="shared" ca="1" si="266"/>
        <v>1.7430278884462151</v>
      </c>
      <c r="AM145" s="3">
        <f t="shared" ca="1" si="267"/>
        <v>1.4951407924246201</v>
      </c>
      <c r="AO145" s="3">
        <f t="shared" ca="1" si="268"/>
        <v>0.24962556165751371</v>
      </c>
      <c r="AP145" s="3">
        <f t="shared" ca="1" si="269"/>
        <v>0.24900398406374502</v>
      </c>
      <c r="AQ145" s="3">
        <f t="shared" ca="1" si="270"/>
        <v>0.24900398406374502</v>
      </c>
      <c r="AR145" s="3">
        <f t="shared" ca="1" si="271"/>
        <v>0.49838026414154002</v>
      </c>
      <c r="AT145" s="5">
        <v>0.28099998831748962</v>
      </c>
      <c r="AU145" s="5">
        <v>0.6679999828338623</v>
      </c>
      <c r="AV145" s="5">
        <v>0.38199999928474426</v>
      </c>
      <c r="AW145" s="5">
        <v>0.41100001335144043</v>
      </c>
      <c r="AY145" s="3">
        <f t="shared" ca="1" si="272"/>
        <v>0.32001997004493249</v>
      </c>
      <c r="AZ145" s="3">
        <f t="shared" ca="1" si="273"/>
        <v>0.26967131474103595</v>
      </c>
      <c r="BA145" s="3">
        <f t="shared" ca="1" si="274"/>
        <v>0.35682270916334663</v>
      </c>
      <c r="BB145" s="3">
        <f t="shared" ca="1" si="275"/>
        <v>0.33192125591826571</v>
      </c>
      <c r="BD145" s="3">
        <f t="shared" ca="1" si="276"/>
        <v>0.31577635424409695</v>
      </c>
      <c r="BE145" s="3">
        <f t="shared" ca="1" si="277"/>
        <v>0.25722108395451093</v>
      </c>
      <c r="BF145" s="3">
        <f t="shared" ca="1" si="278"/>
        <v>0.36080678798762927</v>
      </c>
      <c r="BG145" s="3">
        <f t="shared" ca="1" si="279"/>
        <v>0.33192123049011918</v>
      </c>
      <c r="BI145" s="3">
        <f t="shared" ca="1" si="280"/>
        <v>0.74887668497254112</v>
      </c>
      <c r="BJ145" s="3">
        <f t="shared" ca="1" si="281"/>
        <v>0.74701195219123506</v>
      </c>
      <c r="BK145" s="3">
        <f t="shared" ca="1" si="282"/>
        <v>0.74701195219123506</v>
      </c>
      <c r="BL145" s="3">
        <f t="shared" ca="1" si="283"/>
        <v>0.99676052828308004</v>
      </c>
      <c r="BN145" s="3">
        <f t="shared" ca="1" si="284"/>
        <v>0.49925112331502741</v>
      </c>
      <c r="BO145" s="3">
        <f t="shared" ca="1" si="285"/>
        <v>0.99601593625498008</v>
      </c>
      <c r="BP145" s="3">
        <f t="shared" ca="1" si="286"/>
        <v>0.74701195219123506</v>
      </c>
      <c r="BQ145" s="3">
        <f t="shared" ca="1" si="287"/>
        <v>0.99676052828308004</v>
      </c>
      <c r="BS145" s="5">
        <v>0.28099998831748962</v>
      </c>
      <c r="BT145" s="5">
        <v>0.6679999828338623</v>
      </c>
      <c r="BU145" s="5">
        <v>0.7149999737739563</v>
      </c>
      <c r="BV145" s="5">
        <v>0.59399998188018799</v>
      </c>
      <c r="BX145" s="3">
        <f t="shared" ca="1" si="288"/>
        <v>0.31228157763354963</v>
      </c>
      <c r="BY145" s="3">
        <f t="shared" ca="1" si="289"/>
        <v>5.378486055776889E-2</v>
      </c>
      <c r="BZ145" s="3">
        <f t="shared" ca="1" si="290"/>
        <v>0.1576195219123506</v>
      </c>
      <c r="CA145" s="3">
        <f t="shared" ca="1" si="291"/>
        <v>0</v>
      </c>
      <c r="CC145" s="3">
        <f t="shared" ca="1" si="292"/>
        <v>0.37443837224395643</v>
      </c>
      <c r="CD145" s="3">
        <f t="shared" ca="1" si="293"/>
        <v>4.9800808686184216E-2</v>
      </c>
      <c r="CE145" s="3">
        <f t="shared" ca="1" si="294"/>
        <v>0.21588645014629895</v>
      </c>
      <c r="CF145" s="3">
        <f t="shared" ca="1" si="295"/>
        <v>0</v>
      </c>
      <c r="CH145" s="3">
        <f t="shared" ca="1" si="296"/>
        <v>0.99850224663005482</v>
      </c>
      <c r="CI145" s="3">
        <f t="shared" ca="1" si="297"/>
        <v>0.24900398406374502</v>
      </c>
      <c r="CJ145" s="3">
        <f t="shared" ca="1" si="298"/>
        <v>0.24900398406374502</v>
      </c>
      <c r="CK145" s="3">
        <f t="shared" ca="1" si="299"/>
        <v>0</v>
      </c>
      <c r="CM145" s="3">
        <f t="shared" ca="1" si="300"/>
        <v>0.74887668497254112</v>
      </c>
      <c r="CN145" s="3">
        <f t="shared" ca="1" si="301"/>
        <v>0.99601593625498008</v>
      </c>
      <c r="CO145" s="3">
        <f t="shared" ca="1" si="302"/>
        <v>0.74701195219123506</v>
      </c>
      <c r="CP145" s="3">
        <f t="shared" ca="1" si="303"/>
        <v>0</v>
      </c>
      <c r="CR145" s="5">
        <v>1.4809999465942383</v>
      </c>
      <c r="CS145" s="5">
        <v>3.4839999675750732</v>
      </c>
      <c r="CT145" s="5">
        <v>1.4650000333786011</v>
      </c>
      <c r="CU145" s="5">
        <v>4.0129999999999999</v>
      </c>
      <c r="CV145" s="21">
        <f t="shared" ca="1" si="305"/>
        <v>0.36080678798762927</v>
      </c>
      <c r="CW145" s="16">
        <f t="shared" ca="1" si="304"/>
        <v>8.5833333333333339</v>
      </c>
    </row>
    <row r="146" spans="1:101" s="5" customFormat="1" x14ac:dyDescent="0.35">
      <c r="A146" s="4" t="s">
        <v>150</v>
      </c>
      <c r="B146" s="4">
        <v>8.5833333333333339</v>
      </c>
      <c r="C146" s="4" t="s">
        <v>168</v>
      </c>
      <c r="D146" s="4" t="s">
        <v>404</v>
      </c>
      <c r="E146" s="3"/>
      <c r="F146" s="5">
        <v>1.8519999999999999</v>
      </c>
      <c r="G146" s="5">
        <v>1.4849999999999999</v>
      </c>
      <c r="H146" s="5">
        <v>1.5170000000000003</v>
      </c>
      <c r="I146" s="11" t="e">
        <v>#N/A</v>
      </c>
      <c r="K146" s="3" t="e">
        <f t="shared" ca="1" si="244"/>
        <v>#N/A</v>
      </c>
      <c r="L146" s="3" t="e">
        <f t="shared" ca="1" si="245"/>
        <v>#N/A</v>
      </c>
      <c r="M146" s="3" t="e">
        <f t="shared" ca="1" si="246"/>
        <v>#N/A</v>
      </c>
      <c r="N146" s="3" t="e">
        <f t="shared" ca="1" si="247"/>
        <v>#N/A</v>
      </c>
      <c r="P146" s="3" t="e">
        <f t="shared" ca="1" si="248"/>
        <v>#N/A</v>
      </c>
      <c r="Q146" s="3" t="e">
        <f t="shared" ca="1" si="249"/>
        <v>#N/A</v>
      </c>
      <c r="R146" s="3" t="e">
        <f t="shared" ca="1" si="250"/>
        <v>#N/A</v>
      </c>
      <c r="S146" s="3" t="e">
        <f t="shared" ca="1" si="251"/>
        <v>#N/A</v>
      </c>
      <c r="U146" s="3" t="e">
        <f t="shared" ca="1" si="252"/>
        <v>#N/A</v>
      </c>
      <c r="V146" s="3" t="e">
        <f t="shared" ca="1" si="253"/>
        <v>#N/A</v>
      </c>
      <c r="W146" s="3" t="e">
        <f t="shared" ca="1" si="254"/>
        <v>#N/A</v>
      </c>
      <c r="X146" s="3" t="e">
        <f t="shared" ca="1" si="255"/>
        <v>#N/A</v>
      </c>
      <c r="Z146" s="3" t="e">
        <f t="shared" ca="1" si="256"/>
        <v>#N/A</v>
      </c>
      <c r="AA146" s="3" t="e">
        <f t="shared" ca="1" si="257"/>
        <v>#N/A</v>
      </c>
      <c r="AB146" s="3" t="e">
        <f t="shared" ca="1" si="258"/>
        <v>#N/A</v>
      </c>
      <c r="AC146" s="3" t="e">
        <f t="shared" ca="1" si="259"/>
        <v>#N/A</v>
      </c>
      <c r="AE146" s="3" t="e">
        <f t="shared" ca="1" si="260"/>
        <v>#N/A</v>
      </c>
      <c r="AF146" s="3" t="e">
        <f t="shared" ca="1" si="261"/>
        <v>#N/A</v>
      </c>
      <c r="AG146" s="3" t="e">
        <f t="shared" ca="1" si="262"/>
        <v>#N/A</v>
      </c>
      <c r="AH146" s="3" t="e">
        <f t="shared" ca="1" si="263"/>
        <v>#N/A</v>
      </c>
      <c r="AJ146" s="3" t="e">
        <f t="shared" ca="1" si="264"/>
        <v>#N/A</v>
      </c>
      <c r="AK146" s="3" t="e">
        <f t="shared" ca="1" si="265"/>
        <v>#N/A</v>
      </c>
      <c r="AL146" s="3" t="e">
        <f t="shared" ca="1" si="266"/>
        <v>#N/A</v>
      </c>
      <c r="AM146" s="3" t="e">
        <f t="shared" ca="1" si="267"/>
        <v>#N/A</v>
      </c>
      <c r="AO146" s="3" t="e">
        <f t="shared" ca="1" si="268"/>
        <v>#N/A</v>
      </c>
      <c r="AP146" s="3" t="e">
        <f t="shared" ca="1" si="269"/>
        <v>#N/A</v>
      </c>
      <c r="AQ146" s="3" t="e">
        <f t="shared" ca="1" si="270"/>
        <v>#N/A</v>
      </c>
      <c r="AR146" s="3" t="e">
        <f t="shared" ca="1" si="271"/>
        <v>#N/A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Y146" s="3" t="e">
        <f t="shared" ca="1" si="272"/>
        <v>#N/A</v>
      </c>
      <c r="AZ146" s="3" t="e">
        <f t="shared" ca="1" si="273"/>
        <v>#N/A</v>
      </c>
      <c r="BA146" s="3" t="e">
        <f t="shared" ca="1" si="274"/>
        <v>#N/A</v>
      </c>
      <c r="BB146" s="3" t="e">
        <f t="shared" ca="1" si="275"/>
        <v>#N/A</v>
      </c>
      <c r="BD146" s="3" t="e">
        <f t="shared" ca="1" si="276"/>
        <v>#N/A</v>
      </c>
      <c r="BE146" s="3" t="e">
        <f t="shared" ca="1" si="277"/>
        <v>#N/A</v>
      </c>
      <c r="BF146" s="3" t="e">
        <f t="shared" ca="1" si="278"/>
        <v>#N/A</v>
      </c>
      <c r="BG146" s="3" t="e">
        <f t="shared" ca="1" si="279"/>
        <v>#N/A</v>
      </c>
      <c r="BI146" s="3" t="e">
        <f t="shared" ca="1" si="280"/>
        <v>#N/A</v>
      </c>
      <c r="BJ146" s="3" t="e">
        <f t="shared" ca="1" si="281"/>
        <v>#N/A</v>
      </c>
      <c r="BK146" s="3" t="e">
        <f t="shared" ca="1" si="282"/>
        <v>#N/A</v>
      </c>
      <c r="BL146" s="3" t="e">
        <f t="shared" ca="1" si="283"/>
        <v>#N/A</v>
      </c>
      <c r="BN146" s="3" t="e">
        <f t="shared" ca="1" si="284"/>
        <v>#N/A</v>
      </c>
      <c r="BO146" s="3" t="e">
        <f t="shared" ca="1" si="285"/>
        <v>#N/A</v>
      </c>
      <c r="BP146" s="3" t="e">
        <f t="shared" ca="1" si="286"/>
        <v>#N/A</v>
      </c>
      <c r="BQ146" s="3" t="e">
        <f t="shared" ca="1" si="287"/>
        <v>#N/A</v>
      </c>
      <c r="BS146" s="11" t="e">
        <v>#N/A</v>
      </c>
      <c r="BT146" s="11" t="e">
        <v>#N/A</v>
      </c>
      <c r="BU146" s="11" t="e">
        <v>#N/A</v>
      </c>
      <c r="BV146" s="11" t="e">
        <v>#N/A</v>
      </c>
      <c r="BX146" s="3" t="e">
        <f t="shared" ca="1" si="288"/>
        <v>#N/A</v>
      </c>
      <c r="BY146" s="3" t="e">
        <f t="shared" ca="1" si="289"/>
        <v>#N/A</v>
      </c>
      <c r="BZ146" s="3" t="e">
        <f t="shared" ca="1" si="290"/>
        <v>#N/A</v>
      </c>
      <c r="CA146" s="3" t="e">
        <f t="shared" ca="1" si="291"/>
        <v>#N/A</v>
      </c>
      <c r="CC146" s="3" t="e">
        <f t="shared" ca="1" si="292"/>
        <v>#N/A</v>
      </c>
      <c r="CD146" s="3" t="e">
        <f t="shared" ca="1" si="293"/>
        <v>#N/A</v>
      </c>
      <c r="CE146" s="3" t="e">
        <f t="shared" ca="1" si="294"/>
        <v>#N/A</v>
      </c>
      <c r="CF146" s="3" t="e">
        <f t="shared" ca="1" si="295"/>
        <v>#N/A</v>
      </c>
      <c r="CH146" s="3" t="e">
        <f t="shared" ca="1" si="296"/>
        <v>#N/A</v>
      </c>
      <c r="CI146" s="3" t="e">
        <f t="shared" ca="1" si="297"/>
        <v>#N/A</v>
      </c>
      <c r="CJ146" s="3" t="e">
        <f t="shared" ca="1" si="298"/>
        <v>#N/A</v>
      </c>
      <c r="CK146" s="3" t="e">
        <f t="shared" ca="1" si="299"/>
        <v>#N/A</v>
      </c>
      <c r="CM146" s="3" t="e">
        <f t="shared" ca="1" si="300"/>
        <v>#N/A</v>
      </c>
      <c r="CN146" s="3" t="e">
        <f t="shared" ca="1" si="301"/>
        <v>#N/A</v>
      </c>
      <c r="CO146" s="3" t="e">
        <f t="shared" ca="1" si="302"/>
        <v>#N/A</v>
      </c>
      <c r="CP146" s="3" t="e">
        <f t="shared" ca="1" si="303"/>
        <v>#N/A</v>
      </c>
      <c r="CR146" s="11" t="e">
        <v>#N/A</v>
      </c>
      <c r="CS146" s="11" t="e">
        <v>#N/A</v>
      </c>
      <c r="CT146" s="11" t="e">
        <v>#N/A</v>
      </c>
      <c r="CU146" s="11" t="e">
        <v>#N/A</v>
      </c>
      <c r="CV146" s="21" t="e">
        <f t="shared" ca="1" si="305"/>
        <v>#N/A</v>
      </c>
      <c r="CW146" s="16">
        <f t="shared" ca="1" si="304"/>
        <v>8.5833333333333339</v>
      </c>
    </row>
    <row r="147" spans="1:101" s="5" customFormat="1" x14ac:dyDescent="0.35">
      <c r="A147" s="4" t="s">
        <v>121</v>
      </c>
      <c r="B147" s="4">
        <v>9.3333333333333339</v>
      </c>
      <c r="C147" s="4" t="s">
        <v>168</v>
      </c>
      <c r="D147" s="4" t="s">
        <v>404</v>
      </c>
      <c r="E147" s="3"/>
      <c r="F147" s="5">
        <v>4.0019999999999998</v>
      </c>
      <c r="G147" s="5">
        <v>4.016</v>
      </c>
      <c r="H147" s="5">
        <v>4.0250000000000004</v>
      </c>
      <c r="I147" s="5">
        <v>2.8380000000000001</v>
      </c>
      <c r="K147" s="3">
        <f t="shared" ca="1" si="244"/>
        <v>0.99925037481259382</v>
      </c>
      <c r="L147" s="3">
        <f t="shared" ca="1" si="245"/>
        <v>0.9957669322709165</v>
      </c>
      <c r="M147" s="3">
        <f t="shared" ca="1" si="246"/>
        <v>0.88596273291925465</v>
      </c>
      <c r="N147" s="3">
        <f t="shared" ca="1" si="247"/>
        <v>0.73960535588442566</v>
      </c>
      <c r="P147" s="3">
        <f t="shared" ca="1" si="248"/>
        <v>0.94077957360407172</v>
      </c>
      <c r="Q147" s="3">
        <f t="shared" ca="1" si="249"/>
        <v>0.91708170356037855</v>
      </c>
      <c r="R147" s="3">
        <f t="shared" ca="1" si="250"/>
        <v>0.8526707806202195</v>
      </c>
      <c r="S147" s="3">
        <f t="shared" ca="1" si="251"/>
        <v>0.66349534101264418</v>
      </c>
      <c r="U147" s="3">
        <f t="shared" ca="1" si="252"/>
        <v>1.2493753123438283</v>
      </c>
      <c r="V147" s="3">
        <f t="shared" ca="1" si="253"/>
        <v>1.7430278884462151</v>
      </c>
      <c r="W147" s="3">
        <f t="shared" ca="1" si="254"/>
        <v>1.7391304347826086</v>
      </c>
      <c r="X147" s="3">
        <f t="shared" ca="1" si="255"/>
        <v>1.0570824524312896</v>
      </c>
      <c r="Z147" s="3">
        <f t="shared" ca="1" si="256"/>
        <v>0.99925037481259382</v>
      </c>
      <c r="AA147" s="3">
        <f t="shared" ca="1" si="257"/>
        <v>0.9957669322709165</v>
      </c>
      <c r="AB147" s="3">
        <f t="shared" ca="1" si="258"/>
        <v>0.88596273291925465</v>
      </c>
      <c r="AC147" s="3">
        <f t="shared" ca="1" si="259"/>
        <v>0.4873150105708246</v>
      </c>
      <c r="AE147" s="3">
        <f t="shared" ca="1" si="260"/>
        <v>0.94077957360407172</v>
      </c>
      <c r="AF147" s="3">
        <f t="shared" ca="1" si="261"/>
        <v>0.91708170356037855</v>
      </c>
      <c r="AG147" s="3">
        <f t="shared" ca="1" si="262"/>
        <v>0.8526707806202195</v>
      </c>
      <c r="AH147" s="3">
        <f t="shared" ca="1" si="263"/>
        <v>0.45207884212544974</v>
      </c>
      <c r="AJ147" s="3">
        <f t="shared" ca="1" si="264"/>
        <v>1.2493753123438283</v>
      </c>
      <c r="AK147" s="3">
        <f t="shared" ca="1" si="265"/>
        <v>1.7430278884462151</v>
      </c>
      <c r="AL147" s="3">
        <f t="shared" ca="1" si="266"/>
        <v>1.7391304347826086</v>
      </c>
      <c r="AM147" s="3">
        <f t="shared" ca="1" si="267"/>
        <v>0.70472163495419304</v>
      </c>
      <c r="AO147" s="3">
        <f t="shared" ca="1" si="268"/>
        <v>0.24987506246876562</v>
      </c>
      <c r="AP147" s="3">
        <f t="shared" ca="1" si="269"/>
        <v>0.24900398406374502</v>
      </c>
      <c r="AQ147" s="3">
        <f t="shared" ca="1" si="270"/>
        <v>0.24844720496894407</v>
      </c>
      <c r="AR147" s="3">
        <f t="shared" ca="1" si="271"/>
        <v>0.35236081747709652</v>
      </c>
      <c r="AT147" s="5">
        <v>1.0000000474974513E-3</v>
      </c>
      <c r="AU147" s="5">
        <v>2.0000000949949026E-3</v>
      </c>
      <c r="AV147" s="5">
        <v>0.48399999737739563</v>
      </c>
      <c r="AW147" s="5">
        <v>1.8940000534057617</v>
      </c>
      <c r="AY147" s="3">
        <f t="shared" ca="1" si="272"/>
        <v>0.61619190404797597</v>
      </c>
      <c r="AZ147" s="3">
        <f t="shared" ca="1" si="273"/>
        <v>0.23655378486055781</v>
      </c>
      <c r="BA147" s="3">
        <f t="shared" ca="1" si="274"/>
        <v>0.27329192546583864</v>
      </c>
      <c r="BB147" s="3">
        <f t="shared" ca="1" si="275"/>
        <v>1.1627906976744314E-2</v>
      </c>
      <c r="BD147" s="3">
        <f t="shared" ca="1" si="276"/>
        <v>0.74512738993262007</v>
      </c>
      <c r="BE147" s="3">
        <f t="shared" ca="1" si="277"/>
        <v>0.35308770449512983</v>
      </c>
      <c r="BF147" s="3">
        <f t="shared" ca="1" si="278"/>
        <v>0.48869570589954064</v>
      </c>
      <c r="BG147" s="3">
        <f t="shared" ca="1" si="279"/>
        <v>0</v>
      </c>
      <c r="BI147" s="3">
        <f t="shared" ca="1" si="280"/>
        <v>0.74962518740629691</v>
      </c>
      <c r="BJ147" s="3">
        <f t="shared" ca="1" si="281"/>
        <v>0.49800796812749004</v>
      </c>
      <c r="BK147" s="3">
        <f t="shared" ca="1" si="282"/>
        <v>0.49689440993788814</v>
      </c>
      <c r="BL147" s="3">
        <f t="shared" ca="1" si="283"/>
        <v>0</v>
      </c>
      <c r="BN147" s="3">
        <f t="shared" ca="1" si="284"/>
        <v>0.74962518740629691</v>
      </c>
      <c r="BO147" s="3">
        <f t="shared" ca="1" si="285"/>
        <v>0.24900398406374502</v>
      </c>
      <c r="BP147" s="3">
        <f t="shared" ca="1" si="286"/>
        <v>0.49689440993788814</v>
      </c>
      <c r="BQ147" s="3">
        <f t="shared" ca="1" si="287"/>
        <v>0.35236081747709652</v>
      </c>
      <c r="BS147" s="5">
        <v>0.98400002717971802</v>
      </c>
      <c r="BT147" s="5">
        <v>1.1009999513626099</v>
      </c>
      <c r="BU147" s="5">
        <v>0.48399999737739563</v>
      </c>
      <c r="BV147" s="5">
        <v>4.016</v>
      </c>
      <c r="BX147" s="3">
        <f t="shared" ca="1" si="288"/>
        <v>0</v>
      </c>
      <c r="BY147" s="3">
        <f t="shared" ca="1" si="289"/>
        <v>0.30303784860557764</v>
      </c>
      <c r="BZ147" s="3">
        <f t="shared" ca="1" si="290"/>
        <v>0.18608695652173915</v>
      </c>
      <c r="CA147" s="3">
        <f t="shared" ca="1" si="291"/>
        <v>0</v>
      </c>
      <c r="CC147" s="3">
        <f t="shared" ca="1" si="292"/>
        <v>0</v>
      </c>
      <c r="CD147" s="3">
        <f t="shared" ca="1" si="293"/>
        <v>0.41484060346852036</v>
      </c>
      <c r="CE147" s="3">
        <f t="shared" ca="1" si="294"/>
        <v>0.26484471670589088</v>
      </c>
      <c r="CF147" s="3">
        <f t="shared" ca="1" si="295"/>
        <v>0</v>
      </c>
      <c r="CH147" s="3">
        <f t="shared" ca="1" si="296"/>
        <v>0</v>
      </c>
      <c r="CI147" s="3">
        <f t="shared" ca="1" si="297"/>
        <v>0.49800796812749004</v>
      </c>
      <c r="CJ147" s="3">
        <f t="shared" ca="1" si="298"/>
        <v>0.49689440993788814</v>
      </c>
      <c r="CK147" s="3">
        <f t="shared" ca="1" si="299"/>
        <v>0</v>
      </c>
      <c r="CM147" s="3">
        <f t="shared" ca="1" si="300"/>
        <v>0.49975012493753124</v>
      </c>
      <c r="CN147" s="3">
        <f t="shared" ca="1" si="301"/>
        <v>0.49800796812749004</v>
      </c>
      <c r="CO147" s="3">
        <f t="shared" ca="1" si="302"/>
        <v>0.49689440993788814</v>
      </c>
      <c r="CP147" s="3">
        <f t="shared" ca="1" si="303"/>
        <v>0</v>
      </c>
      <c r="CR147" s="5">
        <v>4.0019999999999998</v>
      </c>
      <c r="CS147" s="5">
        <v>2.0000000949949026E-3</v>
      </c>
      <c r="CT147" s="5">
        <v>2.5169999599456787</v>
      </c>
      <c r="CU147" s="5">
        <v>4.016</v>
      </c>
      <c r="CV147" s="21">
        <f t="shared" ca="1" si="305"/>
        <v>0.48869570589954064</v>
      </c>
      <c r="CW147" s="16">
        <f t="shared" ca="1" si="304"/>
        <v>9.3333333333333339</v>
      </c>
    </row>
    <row r="148" spans="1:101" s="5" customFormat="1" x14ac:dyDescent="0.35">
      <c r="A148" s="4" t="s">
        <v>133</v>
      </c>
      <c r="B148" s="4">
        <v>9.4166666666666661</v>
      </c>
      <c r="C148" s="4" t="s">
        <v>167</v>
      </c>
      <c r="D148" s="4" t="s">
        <v>404</v>
      </c>
      <c r="E148" s="3"/>
      <c r="F148" s="5">
        <v>3.0390000000000001</v>
      </c>
      <c r="G148" s="5">
        <v>4.0190000000000001</v>
      </c>
      <c r="H148" s="5">
        <v>4.016</v>
      </c>
      <c r="I148" s="5">
        <v>4.008</v>
      </c>
      <c r="K148" s="3">
        <f t="shared" ca="1" si="244"/>
        <v>0.99802566633761114</v>
      </c>
      <c r="L148" s="3">
        <f t="shared" ca="1" si="245"/>
        <v>0.99502363772082603</v>
      </c>
      <c r="M148" s="3">
        <f t="shared" ca="1" si="246"/>
        <v>0.98730079681274896</v>
      </c>
      <c r="N148" s="3">
        <f t="shared" ca="1" si="247"/>
        <v>0.9977544910179641</v>
      </c>
      <c r="P148" s="3">
        <f t="shared" ca="1" si="248"/>
        <v>0.66864100603896093</v>
      </c>
      <c r="Q148" s="3">
        <f t="shared" ca="1" si="249"/>
        <v>0.99079371421869256</v>
      </c>
      <c r="R148" s="3">
        <f t="shared" ca="1" si="250"/>
        <v>0.75074693696402695</v>
      </c>
      <c r="S148" s="3">
        <f t="shared" ca="1" si="251"/>
        <v>0.7771956258009145</v>
      </c>
      <c r="U148" s="3">
        <f t="shared" ca="1" si="252"/>
        <v>1.9743336623889436</v>
      </c>
      <c r="V148" s="3">
        <f t="shared" ca="1" si="253"/>
        <v>0.49763622791739237</v>
      </c>
      <c r="W148" s="3">
        <f t="shared" ca="1" si="254"/>
        <v>1.7430278884462151</v>
      </c>
      <c r="X148" s="3">
        <f t="shared" ca="1" si="255"/>
        <v>1.7465069860279441</v>
      </c>
      <c r="Z148" s="3">
        <f t="shared" ca="1" si="256"/>
        <v>0.91543270812767341</v>
      </c>
      <c r="AA148" s="3">
        <f t="shared" ca="1" si="257"/>
        <v>0.99502363772082603</v>
      </c>
      <c r="AB148" s="3">
        <f t="shared" ca="1" si="258"/>
        <v>0.79233067729083662</v>
      </c>
      <c r="AC148" s="3">
        <f t="shared" ca="1" si="259"/>
        <v>0.97679640718562888</v>
      </c>
      <c r="AE148" s="3">
        <f t="shared" ca="1" si="260"/>
        <v>0.66864100603896093</v>
      </c>
      <c r="AF148" s="3">
        <f t="shared" ca="1" si="261"/>
        <v>0.99079371421869256</v>
      </c>
      <c r="AG148" s="3">
        <f t="shared" ca="1" si="262"/>
        <v>0.75074693696402695</v>
      </c>
      <c r="AH148" s="3">
        <f t="shared" ca="1" si="263"/>
        <v>0.7771956258009145</v>
      </c>
      <c r="AJ148" s="3">
        <f t="shared" ca="1" si="264"/>
        <v>1.9743336623889436</v>
      </c>
      <c r="AK148" s="3">
        <f t="shared" ca="1" si="265"/>
        <v>0.49763622791739237</v>
      </c>
      <c r="AL148" s="3">
        <f t="shared" ca="1" si="266"/>
        <v>1.7430278884462151</v>
      </c>
      <c r="AM148" s="3">
        <f t="shared" ca="1" si="267"/>
        <v>1.7465069860279441</v>
      </c>
      <c r="AO148" s="3">
        <f t="shared" ca="1" si="268"/>
        <v>0.65811122079631457</v>
      </c>
      <c r="AP148" s="3">
        <f t="shared" ca="1" si="269"/>
        <v>0.24881811395869619</v>
      </c>
      <c r="AQ148" s="3">
        <f t="shared" ca="1" si="270"/>
        <v>0.99601593625498008</v>
      </c>
      <c r="AR148" s="3">
        <f t="shared" ca="1" si="271"/>
        <v>0.49900199600798401</v>
      </c>
      <c r="AT148" s="5">
        <v>6.0000000521540642E-3</v>
      </c>
      <c r="AU148" s="5">
        <v>8.999999612569809E-3</v>
      </c>
      <c r="AV148" s="5">
        <v>1.3000000268220901E-2</v>
      </c>
      <c r="AW148" s="5">
        <v>7.0000002160668373E-3</v>
      </c>
      <c r="AY148" s="3">
        <f t="shared" ca="1" si="272"/>
        <v>0.50444225074037496</v>
      </c>
      <c r="AZ148" s="3">
        <f t="shared" ca="1" si="273"/>
        <v>0.85817367504354314</v>
      </c>
      <c r="BA148" s="3">
        <f t="shared" ca="1" si="274"/>
        <v>0.29457171314741037</v>
      </c>
      <c r="BB148" s="3">
        <f t="shared" ca="1" si="275"/>
        <v>0.31162674650698607</v>
      </c>
      <c r="BD148" s="3">
        <f t="shared" ca="1" si="276"/>
        <v>0.50444223750388784</v>
      </c>
      <c r="BE148" s="3">
        <f t="shared" ca="1" si="277"/>
        <v>0.8539437476483468</v>
      </c>
      <c r="BF148" s="3">
        <f t="shared" ca="1" si="278"/>
        <v>0.24900393953836297</v>
      </c>
      <c r="BG148" s="3">
        <f t="shared" ca="1" si="279"/>
        <v>0.44885228649190739</v>
      </c>
      <c r="BI148" s="3">
        <f t="shared" ca="1" si="280"/>
        <v>0.98716683119447179</v>
      </c>
      <c r="BJ148" s="3">
        <f t="shared" ca="1" si="281"/>
        <v>0.24881811395869619</v>
      </c>
      <c r="BK148" s="3">
        <f t="shared" ca="1" si="282"/>
        <v>0.49800796812749004</v>
      </c>
      <c r="BL148" s="3">
        <f t="shared" ca="1" si="283"/>
        <v>0.99800399201596801</v>
      </c>
      <c r="BN148" s="3">
        <f t="shared" ca="1" si="284"/>
        <v>0.98716683119447179</v>
      </c>
      <c r="BO148" s="3">
        <f t="shared" ca="1" si="285"/>
        <v>0.24881811395869619</v>
      </c>
      <c r="BP148" s="3">
        <f t="shared" ca="1" si="286"/>
        <v>0.74701195219123506</v>
      </c>
      <c r="BQ148" s="3">
        <f t="shared" ca="1" si="287"/>
        <v>1.2475049900199602</v>
      </c>
      <c r="BS148" s="5">
        <v>6.0000000521540642E-3</v>
      </c>
      <c r="BT148" s="5">
        <v>0.57599997520446777</v>
      </c>
      <c r="BU148" s="5">
        <v>0.74599999189376831</v>
      </c>
      <c r="BV148" s="5">
        <v>7.0000002160668373E-3</v>
      </c>
      <c r="BX148" s="3">
        <f t="shared" ca="1" si="288"/>
        <v>0.20302731161566306</v>
      </c>
      <c r="BY148" s="3">
        <f t="shared" ca="1" si="289"/>
        <v>0</v>
      </c>
      <c r="BZ148" s="3">
        <f t="shared" ca="1" si="290"/>
        <v>0.23630478087649409</v>
      </c>
      <c r="CA148" s="3">
        <f t="shared" ca="1" si="291"/>
        <v>0.13323353293413173</v>
      </c>
      <c r="CC148" s="3">
        <f t="shared" ca="1" si="292"/>
        <v>3.817043009460188E-2</v>
      </c>
      <c r="CD148" s="3">
        <f t="shared" ca="1" si="293"/>
        <v>0</v>
      </c>
      <c r="CE148" s="3">
        <f t="shared" ca="1" si="294"/>
        <v>0.26120518545705484</v>
      </c>
      <c r="CF148" s="3">
        <f t="shared" ca="1" si="295"/>
        <v>0.1122754609989311</v>
      </c>
      <c r="CH148" s="3">
        <f t="shared" ca="1" si="296"/>
        <v>0.32905561039815728</v>
      </c>
      <c r="CI148" s="3">
        <f t="shared" ca="1" si="297"/>
        <v>0</v>
      </c>
      <c r="CJ148" s="3">
        <f t="shared" ca="1" si="298"/>
        <v>0.49800796812749004</v>
      </c>
      <c r="CK148" s="3">
        <f t="shared" ca="1" si="299"/>
        <v>0.249500998003992</v>
      </c>
      <c r="CM148" s="3">
        <f t="shared" ca="1" si="300"/>
        <v>0.98716683119447179</v>
      </c>
      <c r="CN148" s="3">
        <f t="shared" ca="1" si="301"/>
        <v>0</v>
      </c>
      <c r="CO148" s="3">
        <f t="shared" ca="1" si="302"/>
        <v>0.74701195219123506</v>
      </c>
      <c r="CP148" s="3">
        <f t="shared" ca="1" si="303"/>
        <v>1.2475049900199602</v>
      </c>
      <c r="CR148" s="5">
        <v>2.7390000820159912</v>
      </c>
      <c r="CS148" s="5">
        <v>4.0190000000000001</v>
      </c>
      <c r="CT148" s="5">
        <v>2.9289999008178711</v>
      </c>
      <c r="CU148" s="5">
        <v>2.2070000171661377</v>
      </c>
      <c r="CV148" s="21">
        <f t="shared" ca="1" si="305"/>
        <v>0.24900393953836297</v>
      </c>
      <c r="CW148" s="16">
        <f t="shared" ca="1" si="304"/>
        <v>9.4166666666666661</v>
      </c>
    </row>
    <row r="149" spans="1:101" s="5" customFormat="1" x14ac:dyDescent="0.35">
      <c r="A149" s="4" t="s">
        <v>155</v>
      </c>
      <c r="B149" s="4">
        <v>9.4166666666666661</v>
      </c>
      <c r="C149" s="4" t="s">
        <v>168</v>
      </c>
      <c r="D149" s="4" t="s">
        <v>404</v>
      </c>
      <c r="E149" s="3"/>
      <c r="F149" s="5">
        <v>2.8149999999999995</v>
      </c>
      <c r="G149" s="5">
        <v>4.0140000000000002</v>
      </c>
      <c r="H149" s="5">
        <v>4.0069999999999997</v>
      </c>
      <c r="I149" s="5">
        <v>4.0149999999999997</v>
      </c>
      <c r="K149" s="3">
        <f t="shared" ca="1" si="244"/>
        <v>0.99467140319715819</v>
      </c>
      <c r="L149" s="3">
        <f t="shared" ca="1" si="245"/>
        <v>0.99651220727453904</v>
      </c>
      <c r="M149" s="3">
        <f t="shared" ca="1" si="246"/>
        <v>0.99800349388570009</v>
      </c>
      <c r="N149" s="3">
        <f t="shared" ca="1" si="247"/>
        <v>0.91731008717310092</v>
      </c>
      <c r="P149" s="3">
        <f t="shared" ca="1" si="248"/>
        <v>0.94706914114698015</v>
      </c>
      <c r="Q149" s="3">
        <f t="shared" ca="1" si="249"/>
        <v>0.97135023696985656</v>
      </c>
      <c r="R149" s="3">
        <f t="shared" ca="1" si="250"/>
        <v>0.95208384499180676</v>
      </c>
      <c r="S149" s="3">
        <f t="shared" ca="1" si="251"/>
        <v>0.84657531746594727</v>
      </c>
      <c r="U149" s="3">
        <f t="shared" ca="1" si="252"/>
        <v>1.0657193605683839</v>
      </c>
      <c r="V149" s="3">
        <f t="shared" ca="1" si="253"/>
        <v>1.7438963627304434</v>
      </c>
      <c r="W149" s="3">
        <f t="shared" ca="1" si="254"/>
        <v>1.4973795857249814</v>
      </c>
      <c r="X149" s="3">
        <f t="shared" ca="1" si="255"/>
        <v>2.4906600249066004</v>
      </c>
      <c r="Z149" s="3">
        <f t="shared" ca="1" si="256"/>
        <v>0.99467140319715819</v>
      </c>
      <c r="AA149" s="3">
        <f t="shared" ca="1" si="257"/>
        <v>0.99651220727453904</v>
      </c>
      <c r="AB149" s="3">
        <f t="shared" ca="1" si="258"/>
        <v>0.99800349388570009</v>
      </c>
      <c r="AC149" s="3">
        <f t="shared" ca="1" si="259"/>
        <v>0.87173100871731013</v>
      </c>
      <c r="AE149" s="3">
        <f t="shared" ca="1" si="260"/>
        <v>0.94706914114698015</v>
      </c>
      <c r="AF149" s="3">
        <f t="shared" ca="1" si="261"/>
        <v>0.97135023696985656</v>
      </c>
      <c r="AG149" s="3">
        <f t="shared" ca="1" si="262"/>
        <v>0.95208384499180676</v>
      </c>
      <c r="AH149" s="3">
        <f t="shared" ca="1" si="263"/>
        <v>0.84657531746594727</v>
      </c>
      <c r="AJ149" s="3">
        <f t="shared" ca="1" si="264"/>
        <v>1.0657193605683839</v>
      </c>
      <c r="AK149" s="3">
        <f t="shared" ca="1" si="265"/>
        <v>1.7438963627304434</v>
      </c>
      <c r="AL149" s="3">
        <f t="shared" ca="1" si="266"/>
        <v>1.4973795857249814</v>
      </c>
      <c r="AM149" s="3">
        <f t="shared" ca="1" si="267"/>
        <v>2.4906600249066004</v>
      </c>
      <c r="AO149" s="3">
        <f t="shared" ca="1" si="268"/>
        <v>0.7104795737122559</v>
      </c>
      <c r="AP149" s="3">
        <f t="shared" ca="1" si="269"/>
        <v>0.24912805181863476</v>
      </c>
      <c r="AQ149" s="3">
        <f t="shared" ca="1" si="270"/>
        <v>0.24956326428749689</v>
      </c>
      <c r="AR149" s="3">
        <f t="shared" ca="1" si="271"/>
        <v>0.4981320049813201</v>
      </c>
      <c r="AT149" s="5">
        <v>1.3000000268220901E-2</v>
      </c>
      <c r="AU149" s="5">
        <v>1.3000000268220901E-2</v>
      </c>
      <c r="AV149" s="5">
        <v>7.0000002160668373E-3</v>
      </c>
      <c r="AW149" s="5">
        <v>0.32699999213218689</v>
      </c>
      <c r="AY149" s="3">
        <f t="shared" ca="1" si="272"/>
        <v>0</v>
      </c>
      <c r="AZ149" s="3">
        <f t="shared" ca="1" si="273"/>
        <v>4.5590433482810118E-2</v>
      </c>
      <c r="BA149" s="3">
        <f t="shared" ca="1" si="274"/>
        <v>0</v>
      </c>
      <c r="BB149" s="3">
        <f t="shared" ca="1" si="275"/>
        <v>1.6687422166874154E-2</v>
      </c>
      <c r="BD149" s="3">
        <f t="shared" ca="1" si="276"/>
        <v>0</v>
      </c>
      <c r="BE149" s="3">
        <f t="shared" ca="1" si="277"/>
        <v>0</v>
      </c>
      <c r="BF149" s="3">
        <f t="shared" ca="1" si="278"/>
        <v>0</v>
      </c>
      <c r="BG149" s="3">
        <f t="shared" ca="1" si="279"/>
        <v>0</v>
      </c>
      <c r="BI149" s="3">
        <f t="shared" ca="1" si="280"/>
        <v>0</v>
      </c>
      <c r="BJ149" s="3">
        <f t="shared" ca="1" si="281"/>
        <v>0</v>
      </c>
      <c r="BK149" s="3">
        <f t="shared" ca="1" si="282"/>
        <v>0</v>
      </c>
      <c r="BL149" s="3">
        <f t="shared" ca="1" si="283"/>
        <v>0</v>
      </c>
      <c r="BN149" s="3">
        <f t="shared" ca="1" si="284"/>
        <v>0</v>
      </c>
      <c r="BO149" s="3">
        <f t="shared" ca="1" si="285"/>
        <v>0.24912805181863476</v>
      </c>
      <c r="BP149" s="3">
        <f t="shared" ca="1" si="286"/>
        <v>0</v>
      </c>
      <c r="BQ149" s="3">
        <f t="shared" ca="1" si="287"/>
        <v>0.4981320049813201</v>
      </c>
      <c r="BS149" s="5">
        <v>4.0309999999999997</v>
      </c>
      <c r="BT149" s="5">
        <v>4.0140000000000002</v>
      </c>
      <c r="BU149" s="5">
        <v>4.0069999999999997</v>
      </c>
      <c r="BV149" s="5">
        <v>4.0149999999999997</v>
      </c>
      <c r="BX149" s="3">
        <f t="shared" ca="1" si="288"/>
        <v>0.15381882770870337</v>
      </c>
      <c r="BY149" s="3">
        <f t="shared" ca="1" si="289"/>
        <v>0.14125560538116591</v>
      </c>
      <c r="BZ149" s="3">
        <f t="shared" ca="1" si="290"/>
        <v>0.22435737459445973</v>
      </c>
      <c r="CA149" s="3">
        <f t="shared" ca="1" si="291"/>
        <v>7.0734744707347447E-2</v>
      </c>
      <c r="CC149" s="3">
        <f t="shared" ca="1" si="292"/>
        <v>0.15381883108594704</v>
      </c>
      <c r="CD149" s="3">
        <f t="shared" ca="1" si="293"/>
        <v>0.12855006054259083</v>
      </c>
      <c r="CE149" s="3">
        <f t="shared" ca="1" si="294"/>
        <v>0.2328425546815665</v>
      </c>
      <c r="CF149" s="3">
        <f t="shared" ca="1" si="295"/>
        <v>5.8281443929612861E-2</v>
      </c>
      <c r="CH149" s="3">
        <f t="shared" ca="1" si="296"/>
        <v>0.35523978685612795</v>
      </c>
      <c r="CI149" s="3">
        <f t="shared" ca="1" si="297"/>
        <v>0.49825610363726952</v>
      </c>
      <c r="CJ149" s="3">
        <f t="shared" ca="1" si="298"/>
        <v>0.49912652857499379</v>
      </c>
      <c r="CK149" s="3">
        <f t="shared" ca="1" si="299"/>
        <v>0.24906600249066005</v>
      </c>
      <c r="CM149" s="3">
        <f t="shared" ca="1" si="300"/>
        <v>0.7104795737122559</v>
      </c>
      <c r="CN149" s="3">
        <f t="shared" ca="1" si="301"/>
        <v>0.74738415545590431</v>
      </c>
      <c r="CO149" s="3">
        <f t="shared" ca="1" si="302"/>
        <v>0.74868979286249071</v>
      </c>
      <c r="CP149" s="3">
        <f t="shared" ca="1" si="303"/>
        <v>0.24906600249066005</v>
      </c>
      <c r="CR149" s="5">
        <v>1.3000000268220901E-2</v>
      </c>
      <c r="CS149" s="5">
        <v>0.47999998927116394</v>
      </c>
      <c r="CT149" s="5">
        <v>7.0000002160668373E-3</v>
      </c>
      <c r="CU149" s="5">
        <v>0.32699999213218689</v>
      </c>
      <c r="CV149" s="21">
        <f t="shared" ca="1" si="305"/>
        <v>0</v>
      </c>
      <c r="CW149" s="16">
        <f t="shared" ca="1" si="304"/>
        <v>9.4166666666666661</v>
      </c>
    </row>
    <row r="150" spans="1:101" s="5" customFormat="1" x14ac:dyDescent="0.35">
      <c r="A150" s="4" t="s">
        <v>158</v>
      </c>
      <c r="B150" s="4">
        <v>9.5</v>
      </c>
      <c r="C150" s="4" t="s">
        <v>168</v>
      </c>
      <c r="D150" s="4" t="s">
        <v>404</v>
      </c>
      <c r="E150" s="3"/>
      <c r="F150" s="5">
        <v>4.0069999999999997</v>
      </c>
      <c r="G150" s="5">
        <v>2.3890000000000002</v>
      </c>
      <c r="H150" s="5">
        <v>2.0110000000000001</v>
      </c>
      <c r="I150" s="5">
        <v>3.1980000000000004</v>
      </c>
      <c r="K150" s="3">
        <f t="shared" ca="1" si="244"/>
        <v>0.98153231844272537</v>
      </c>
      <c r="L150" s="3">
        <f t="shared" ca="1" si="245"/>
        <v>0.87902888237756382</v>
      </c>
      <c r="M150" s="3">
        <f t="shared" ca="1" si="246"/>
        <v>0.99403281949278943</v>
      </c>
      <c r="N150" s="3">
        <f t="shared" ca="1" si="247"/>
        <v>0.96904315196998114</v>
      </c>
      <c r="P150" s="3">
        <f t="shared" ca="1" si="248"/>
        <v>0.71924134981075905</v>
      </c>
      <c r="Q150" s="3">
        <f t="shared" ca="1" si="249"/>
        <v>0.45960655068692524</v>
      </c>
      <c r="R150" s="3">
        <f t="shared" ca="1" si="250"/>
        <v>0.35653892054242436</v>
      </c>
      <c r="S150" s="3">
        <f t="shared" ca="1" si="251"/>
        <v>0.28142592100294922</v>
      </c>
      <c r="U150" s="3">
        <f t="shared" ca="1" si="252"/>
        <v>1.9965061142999752</v>
      </c>
      <c r="V150" s="3">
        <f t="shared" ca="1" si="253"/>
        <v>2.511511092507325</v>
      </c>
      <c r="W150" s="3">
        <f t="shared" ca="1" si="254"/>
        <v>2.4863252113376428</v>
      </c>
      <c r="X150" s="3">
        <f t="shared" ca="1" si="255"/>
        <v>2.188868042526579</v>
      </c>
      <c r="Z150" s="3">
        <f t="shared" ca="1" si="256"/>
        <v>0.57000249563264282</v>
      </c>
      <c r="AA150" s="3">
        <f t="shared" ca="1" si="257"/>
        <v>0.7115948095437421</v>
      </c>
      <c r="AB150" s="3">
        <f t="shared" ca="1" si="258"/>
        <v>0.6623570363003477</v>
      </c>
      <c r="AC150" s="3">
        <f t="shared" ca="1" si="259"/>
        <v>0.27642276422764206</v>
      </c>
      <c r="AE150" s="3">
        <f t="shared" ca="1" si="260"/>
        <v>0.47816327601738162</v>
      </c>
      <c r="AF150" s="3">
        <f t="shared" ca="1" si="261"/>
        <v>0.37588949431031754</v>
      </c>
      <c r="AG150" s="3">
        <f t="shared" ca="1" si="262"/>
        <v>0.35653892054242436</v>
      </c>
      <c r="AH150" s="3">
        <f t="shared" ca="1" si="263"/>
        <v>0.13570978613180096</v>
      </c>
      <c r="AJ150" s="3">
        <f t="shared" ca="1" si="264"/>
        <v>1.2478163214374844</v>
      </c>
      <c r="AK150" s="3">
        <f t="shared" ca="1" si="265"/>
        <v>2.0929259104227707</v>
      </c>
      <c r="AL150" s="3">
        <f t="shared" ca="1" si="266"/>
        <v>2.4863252113376428</v>
      </c>
      <c r="AM150" s="3">
        <f t="shared" ca="1" si="267"/>
        <v>0.9380863039399624</v>
      </c>
      <c r="AO150" s="3">
        <f t="shared" ca="1" si="268"/>
        <v>0.49912652857499379</v>
      </c>
      <c r="AP150" s="3">
        <f t="shared" ca="1" si="269"/>
        <v>0.41858518208455414</v>
      </c>
      <c r="AQ150" s="3">
        <f t="shared" ca="1" si="270"/>
        <v>1.4917951268025857</v>
      </c>
      <c r="AR150" s="3">
        <f t="shared" ca="1" si="271"/>
        <v>4.6904315196998114</v>
      </c>
      <c r="AT150" s="5">
        <v>0.30000001192092896</v>
      </c>
      <c r="AU150" s="5">
        <v>0.32300001382827759</v>
      </c>
      <c r="AV150" s="5">
        <v>2.5380001068115234</v>
      </c>
      <c r="AW150" s="5">
        <v>0.5820000171661377</v>
      </c>
      <c r="AY150" s="3">
        <f t="shared" ca="1" si="272"/>
        <v>0.25779885200898428</v>
      </c>
      <c r="AZ150" s="3">
        <f t="shared" ca="1" si="273"/>
        <v>0.11134365843449145</v>
      </c>
      <c r="BA150" s="3">
        <f t="shared" ca="1" si="274"/>
        <v>5.8180009945300835E-2</v>
      </c>
      <c r="BB150" s="3">
        <f t="shared" ca="1" si="275"/>
        <v>0.14102564102564091</v>
      </c>
      <c r="BD150" s="3">
        <f t="shared" ca="1" si="276"/>
        <v>0.22036436641189505</v>
      </c>
      <c r="BE150" s="3">
        <f t="shared" ca="1" si="277"/>
        <v>9.0414432862554434E-2</v>
      </c>
      <c r="BF150" s="3">
        <f t="shared" ca="1" si="278"/>
        <v>4.9726575361087745E-2</v>
      </c>
      <c r="BG150" s="3">
        <f t="shared" ca="1" si="279"/>
        <v>9.9124462623906312E-2</v>
      </c>
      <c r="BI150" s="3">
        <f t="shared" ca="1" si="280"/>
        <v>0.49912652857499379</v>
      </c>
      <c r="BJ150" s="3">
        <f t="shared" ca="1" si="281"/>
        <v>0.41858518208455414</v>
      </c>
      <c r="BK150" s="3">
        <f t="shared" ca="1" si="282"/>
        <v>0.49726504226752855</v>
      </c>
      <c r="BL150" s="3">
        <f t="shared" ca="1" si="283"/>
        <v>0.62539086929330823</v>
      </c>
      <c r="BN150" s="3">
        <f t="shared" ca="1" si="284"/>
        <v>0.74868979286249071</v>
      </c>
      <c r="BO150" s="3">
        <f t="shared" ca="1" si="285"/>
        <v>2.9300962745918793</v>
      </c>
      <c r="BP150" s="3">
        <f t="shared" ca="1" si="286"/>
        <v>0.49726504226752855</v>
      </c>
      <c r="BQ150" s="3">
        <f t="shared" ca="1" si="287"/>
        <v>4.3777360850531579</v>
      </c>
      <c r="BS150" s="5">
        <v>0.30000001192092896</v>
      </c>
      <c r="BT150" s="5">
        <v>1.0729999542236328</v>
      </c>
      <c r="BU150" s="5">
        <v>3.7209999561309814</v>
      </c>
      <c r="BV150" s="5">
        <v>0.5820000171661377</v>
      </c>
      <c r="BX150" s="3">
        <f t="shared" ca="1" si="288"/>
        <v>5.8397803843274268E-2</v>
      </c>
      <c r="BY150" s="3">
        <f t="shared" ca="1" si="289"/>
        <v>1.3813311008790253E-2</v>
      </c>
      <c r="BZ150" s="3">
        <f t="shared" ca="1" si="290"/>
        <v>0.17454002983590253</v>
      </c>
      <c r="CA150" s="3">
        <f t="shared" ca="1" si="291"/>
        <v>5.00312695434647E-3</v>
      </c>
      <c r="CC150" s="3">
        <f t="shared" ca="1" si="292"/>
        <v>5.8148250575073945E-2</v>
      </c>
      <c r="CD150" s="3">
        <f t="shared" ca="1" si="293"/>
        <v>0</v>
      </c>
      <c r="CE150" s="3">
        <f t="shared" ca="1" si="294"/>
        <v>0.16608646057068205</v>
      </c>
      <c r="CF150" s="3">
        <f t="shared" ca="1" si="295"/>
        <v>0</v>
      </c>
      <c r="CH150" s="3">
        <f t="shared" ca="1" si="296"/>
        <v>0.49912652857499379</v>
      </c>
      <c r="CI150" s="3">
        <f t="shared" ca="1" si="297"/>
        <v>0</v>
      </c>
      <c r="CJ150" s="3">
        <f t="shared" ca="1" si="298"/>
        <v>0.99453008453505709</v>
      </c>
      <c r="CK150" s="3">
        <f t="shared" ca="1" si="299"/>
        <v>0</v>
      </c>
      <c r="CM150" s="3">
        <f t="shared" ca="1" si="300"/>
        <v>0.24956326428749689</v>
      </c>
      <c r="CN150" s="3">
        <f t="shared" ca="1" si="301"/>
        <v>0.41858518208455414</v>
      </c>
      <c r="CO150" s="3">
        <f t="shared" ca="1" si="302"/>
        <v>4.9726504226752857</v>
      </c>
      <c r="CP150" s="3">
        <f t="shared" ca="1" si="303"/>
        <v>0.31269543464665411</v>
      </c>
      <c r="CR150" s="5">
        <v>3.749000072479248</v>
      </c>
      <c r="CS150" s="5">
        <v>4.0069999999999997</v>
      </c>
      <c r="CT150" s="5">
        <v>2.7039999961853027</v>
      </c>
      <c r="CU150" s="5">
        <v>4.01</v>
      </c>
      <c r="CV150" s="21">
        <f t="shared" ca="1" si="305"/>
        <v>4.9726575361087745E-2</v>
      </c>
      <c r="CW150" s="16">
        <f t="shared" ca="1" si="304"/>
        <v>9.5</v>
      </c>
    </row>
    <row r="151" spans="1:101" s="5" customFormat="1" x14ac:dyDescent="0.35">
      <c r="A151" s="4" t="s">
        <v>128</v>
      </c>
      <c r="B151" s="4">
        <v>9.8333333333333339</v>
      </c>
      <c r="C151" s="4" t="s">
        <v>168</v>
      </c>
      <c r="D151" s="4" t="s">
        <v>404</v>
      </c>
      <c r="E151" s="3"/>
      <c r="F151" s="5">
        <v>3.0269999999999997</v>
      </c>
      <c r="G151" s="5">
        <v>1.1069999999999993</v>
      </c>
      <c r="H151" s="5">
        <v>3.1230000000000002</v>
      </c>
      <c r="I151" s="5">
        <v>2.82</v>
      </c>
      <c r="K151" s="3">
        <f t="shared" ca="1" si="244"/>
        <v>0.8863561281797161</v>
      </c>
      <c r="L151" s="3" t="e">
        <f t="shared" ca="1" si="245"/>
        <v>#N/A</v>
      </c>
      <c r="M151" s="3">
        <f t="shared" ca="1" si="246"/>
        <v>0.98751200768491842</v>
      </c>
      <c r="N151" s="3">
        <f t="shared" ca="1" si="247"/>
        <v>0.92163120567375878</v>
      </c>
      <c r="P151" s="3">
        <f t="shared" ca="1" si="248"/>
        <v>0.81466799488073938</v>
      </c>
      <c r="Q151" s="3" t="e">
        <f t="shared" ca="1" si="249"/>
        <v>#N/A</v>
      </c>
      <c r="R151" s="3">
        <f t="shared" ca="1" si="250"/>
        <v>0.73615119476712287</v>
      </c>
      <c r="S151" s="3">
        <f t="shared" ca="1" si="251"/>
        <v>0.89148926079695956</v>
      </c>
      <c r="U151" s="3">
        <f t="shared" ca="1" si="252"/>
        <v>1.6518004625041296</v>
      </c>
      <c r="V151" s="3" t="e">
        <f t="shared" ca="1" si="253"/>
        <v>#N/A</v>
      </c>
      <c r="W151" s="3">
        <f t="shared" ca="1" si="254"/>
        <v>2.2414345180915785</v>
      </c>
      <c r="X151" s="3">
        <f t="shared" ca="1" si="255"/>
        <v>2.1276595744680851</v>
      </c>
      <c r="Z151" s="3">
        <f t="shared" ca="1" si="256"/>
        <v>0.86983812355467482</v>
      </c>
      <c r="AA151" s="3" t="e">
        <f t="shared" ca="1" si="257"/>
        <v>#N/A</v>
      </c>
      <c r="AB151" s="3">
        <f t="shared" ca="1" si="258"/>
        <v>0.76336855587576058</v>
      </c>
      <c r="AC151" s="3">
        <f t="shared" ca="1" si="259"/>
        <v>0.83297872340425527</v>
      </c>
      <c r="AE151" s="3">
        <f t="shared" ca="1" si="260"/>
        <v>0.81466799488073938</v>
      </c>
      <c r="AF151" s="3" t="e">
        <f t="shared" ca="1" si="261"/>
        <v>#N/A</v>
      </c>
      <c r="AG151" s="3">
        <f t="shared" ca="1" si="262"/>
        <v>0.73615119476712287</v>
      </c>
      <c r="AH151" s="3">
        <f t="shared" ca="1" si="263"/>
        <v>0.79716300816400676</v>
      </c>
      <c r="AJ151" s="3">
        <f t="shared" ca="1" si="264"/>
        <v>1.6518004625041296</v>
      </c>
      <c r="AK151" s="3" t="e">
        <f t="shared" ca="1" si="265"/>
        <v>#N/A</v>
      </c>
      <c r="AL151" s="3">
        <f t="shared" ca="1" si="266"/>
        <v>2.2414345180915785</v>
      </c>
      <c r="AM151" s="3">
        <f t="shared" ca="1" si="267"/>
        <v>1.773049645390071</v>
      </c>
      <c r="AO151" s="3">
        <f t="shared" ca="1" si="268"/>
        <v>0.66072018500165186</v>
      </c>
      <c r="AP151" s="3" t="e">
        <f t="shared" ca="1" si="269"/>
        <v>#N/A</v>
      </c>
      <c r="AQ151" s="3">
        <f t="shared" ca="1" si="270"/>
        <v>0.96061479346781931</v>
      </c>
      <c r="AR151" s="3">
        <f t="shared" ca="1" si="271"/>
        <v>0.3546099290780142</v>
      </c>
      <c r="AT151" s="5">
        <v>0.32800000905990601</v>
      </c>
      <c r="AU151" s="11" t="e">
        <v>#N/A</v>
      </c>
      <c r="AV151" s="5">
        <v>1.0999999940395355E-2</v>
      </c>
      <c r="AW151" s="5">
        <v>0.22100000083446503</v>
      </c>
      <c r="AY151" s="3">
        <f t="shared" ca="1" si="272"/>
        <v>0.6498183019491246</v>
      </c>
      <c r="AZ151" s="3" t="e">
        <f t="shared" ca="1" si="273"/>
        <v>#N/A</v>
      </c>
      <c r="BA151" s="3">
        <f t="shared" ca="1" si="274"/>
        <v>0.170989433237272</v>
      </c>
      <c r="BB151" s="3">
        <f t="shared" ca="1" si="275"/>
        <v>0.36063829787234042</v>
      </c>
      <c r="BD151" s="3">
        <f t="shared" ca="1" si="276"/>
        <v>0.64420217643841138</v>
      </c>
      <c r="BE151" s="3" t="e">
        <f t="shared" ca="1" si="277"/>
        <v>#N/A</v>
      </c>
      <c r="BF151" s="3">
        <f t="shared" ca="1" si="278"/>
        <v>0.20268972661302059</v>
      </c>
      <c r="BG151" s="3">
        <f t="shared" ca="1" si="279"/>
        <v>0.36595736412291835</v>
      </c>
      <c r="BI151" s="3">
        <f t="shared" ca="1" si="280"/>
        <v>0.99108027750247785</v>
      </c>
      <c r="BJ151" s="3" t="e">
        <f t="shared" ca="1" si="281"/>
        <v>#N/A</v>
      </c>
      <c r="BK151" s="3">
        <f t="shared" ca="1" si="282"/>
        <v>0.64040986231187957</v>
      </c>
      <c r="BL151" s="3">
        <f t="shared" ca="1" si="283"/>
        <v>0.70921985815602839</v>
      </c>
      <c r="BN151" s="3">
        <f t="shared" ca="1" si="284"/>
        <v>0.99108027750247785</v>
      </c>
      <c r="BO151" s="3" t="e">
        <f t="shared" ca="1" si="285"/>
        <v>#N/A</v>
      </c>
      <c r="BP151" s="3">
        <f t="shared" ca="1" si="286"/>
        <v>0.64040986231187957</v>
      </c>
      <c r="BQ151" s="3">
        <f t="shared" ca="1" si="287"/>
        <v>1.0638297872340425</v>
      </c>
      <c r="BS151" s="5">
        <v>0.32800000905990601</v>
      </c>
      <c r="BT151" s="11" t="e">
        <v>#N/A</v>
      </c>
      <c r="BU151" s="5">
        <v>0.56099998950958252</v>
      </c>
      <c r="BV151" s="5">
        <v>0.68800002336502075</v>
      </c>
      <c r="BX151" s="3">
        <f t="shared" ca="1" si="288"/>
        <v>0</v>
      </c>
      <c r="BY151" s="3" t="e">
        <f t="shared" ca="1" si="289"/>
        <v>#N/A</v>
      </c>
      <c r="BZ151" s="3">
        <f t="shared" ca="1" si="290"/>
        <v>8.5174511687479984E-2</v>
      </c>
      <c r="CA151" s="3">
        <f t="shared" ca="1" si="291"/>
        <v>0</v>
      </c>
      <c r="CC151" s="3">
        <f t="shared" ca="1" si="292"/>
        <v>0</v>
      </c>
      <c r="CD151" s="3" t="e">
        <f t="shared" ca="1" si="293"/>
        <v>#N/A</v>
      </c>
      <c r="CE151" s="3">
        <f t="shared" ca="1" si="294"/>
        <v>0.10150501142508549</v>
      </c>
      <c r="CF151" s="3">
        <f t="shared" ca="1" si="295"/>
        <v>0</v>
      </c>
      <c r="CH151" s="3">
        <f t="shared" ca="1" si="296"/>
        <v>0</v>
      </c>
      <c r="CI151" s="3" t="e">
        <f t="shared" ca="1" si="297"/>
        <v>#N/A</v>
      </c>
      <c r="CJ151" s="3">
        <f t="shared" ca="1" si="298"/>
        <v>0.32020493115593979</v>
      </c>
      <c r="CK151" s="3">
        <f t="shared" ca="1" si="299"/>
        <v>0</v>
      </c>
      <c r="CM151" s="3">
        <f t="shared" ca="1" si="300"/>
        <v>0</v>
      </c>
      <c r="CN151" s="3" t="e">
        <f t="shared" ca="1" si="301"/>
        <v>#N/A</v>
      </c>
      <c r="CO151" s="3">
        <f t="shared" ca="1" si="302"/>
        <v>0.64040986231187957</v>
      </c>
      <c r="CP151" s="3">
        <f t="shared" ca="1" si="303"/>
        <v>0</v>
      </c>
      <c r="CR151" s="5">
        <v>4.01</v>
      </c>
      <c r="CS151" s="11" t="e">
        <v>#N/A</v>
      </c>
      <c r="CT151" s="5">
        <v>2.2769999504089355</v>
      </c>
      <c r="CU151" s="5">
        <v>4.0149999999999997</v>
      </c>
      <c r="CV151" s="21">
        <f t="shared" ca="1" si="305"/>
        <v>0.20268972661302059</v>
      </c>
      <c r="CW151" s="16">
        <f t="shared" ca="1" si="304"/>
        <v>9.8333333333333339</v>
      </c>
    </row>
    <row r="152" spans="1:101" s="5" customFormat="1" x14ac:dyDescent="0.35">
      <c r="A152" s="4" t="s">
        <v>129</v>
      </c>
      <c r="B152" s="4">
        <v>9.8333333333333339</v>
      </c>
      <c r="C152" s="4" t="s">
        <v>168</v>
      </c>
      <c r="D152" s="4" t="s">
        <v>404</v>
      </c>
      <c r="E152" s="3"/>
      <c r="F152" s="5">
        <v>4.01</v>
      </c>
      <c r="G152" s="5">
        <v>0.94199999999999973</v>
      </c>
      <c r="H152" s="5">
        <v>4.0149999999999997</v>
      </c>
      <c r="I152" s="5">
        <v>0.625</v>
      </c>
      <c r="K152" s="3">
        <f t="shared" ca="1" si="244"/>
        <v>0.94738154613466341</v>
      </c>
      <c r="L152" s="3" t="e">
        <f t="shared" ca="1" si="245"/>
        <v>#N/A</v>
      </c>
      <c r="M152" s="3">
        <f t="shared" ca="1" si="246"/>
        <v>0.8259028642590287</v>
      </c>
      <c r="N152" s="3" t="e">
        <f t="shared" ca="1" si="247"/>
        <v>#N/A</v>
      </c>
      <c r="P152" s="3">
        <f t="shared" ca="1" si="248"/>
        <v>0.84339139862287971</v>
      </c>
      <c r="Q152" s="3" t="e">
        <f t="shared" ca="1" si="249"/>
        <v>#N/A</v>
      </c>
      <c r="R152" s="3">
        <f t="shared" ca="1" si="250"/>
        <v>0.59701127103375617</v>
      </c>
      <c r="S152" s="3" t="e">
        <f t="shared" ca="1" si="251"/>
        <v>#N/A</v>
      </c>
      <c r="U152" s="3">
        <f t="shared" ca="1" si="252"/>
        <v>3.491271820448878</v>
      </c>
      <c r="V152" s="3" t="e">
        <f t="shared" ca="1" si="253"/>
        <v>#N/A</v>
      </c>
      <c r="W152" s="3">
        <f t="shared" ca="1" si="254"/>
        <v>2.4906600249066004</v>
      </c>
      <c r="X152" s="3" t="e">
        <f t="shared" ca="1" si="255"/>
        <v>#N/A</v>
      </c>
      <c r="Z152" s="3">
        <f t="shared" ca="1" si="256"/>
        <v>0.94738154613466341</v>
      </c>
      <c r="AA152" s="3" t="e">
        <f t="shared" ca="1" si="257"/>
        <v>#N/A</v>
      </c>
      <c r="AB152" s="3">
        <f t="shared" ca="1" si="258"/>
        <v>0.8094645080946451</v>
      </c>
      <c r="AC152" s="3" t="e">
        <f t="shared" ca="1" si="259"/>
        <v>#N/A</v>
      </c>
      <c r="AE152" s="3">
        <f t="shared" ca="1" si="260"/>
        <v>0.84339139862287971</v>
      </c>
      <c r="AF152" s="3" t="e">
        <f t="shared" ca="1" si="261"/>
        <v>#N/A</v>
      </c>
      <c r="AG152" s="3">
        <f t="shared" ca="1" si="262"/>
        <v>0.59701127103375617</v>
      </c>
      <c r="AH152" s="3" t="e">
        <f t="shared" ca="1" si="263"/>
        <v>#N/A</v>
      </c>
      <c r="AJ152" s="3">
        <f t="shared" ca="1" si="264"/>
        <v>3.491271820448878</v>
      </c>
      <c r="AK152" s="3" t="e">
        <f t="shared" ca="1" si="265"/>
        <v>#N/A</v>
      </c>
      <c r="AL152" s="3">
        <f t="shared" ca="1" si="266"/>
        <v>2.4906600249066004</v>
      </c>
      <c r="AM152" s="3" t="e">
        <f t="shared" ca="1" si="267"/>
        <v>#N/A</v>
      </c>
      <c r="AO152" s="3">
        <f t="shared" ca="1" si="268"/>
        <v>0.24937655860349128</v>
      </c>
      <c r="AP152" s="3" t="e">
        <f t="shared" ca="1" si="269"/>
        <v>#N/A</v>
      </c>
      <c r="AQ152" s="3">
        <f t="shared" ca="1" si="270"/>
        <v>0.4981320049813201</v>
      </c>
      <c r="AR152" s="3" t="e">
        <f t="shared" ca="1" si="271"/>
        <v>#N/A</v>
      </c>
      <c r="AT152" s="5">
        <v>1.4999999664723873E-2</v>
      </c>
      <c r="AU152" s="11" t="e">
        <v>#N/A</v>
      </c>
      <c r="AV152" s="5">
        <v>0.72000002861022949</v>
      </c>
      <c r="AW152" s="11" t="e">
        <v>#N/A</v>
      </c>
      <c r="AY152" s="3">
        <f t="shared" ca="1" si="272"/>
        <v>0.42394014962593524</v>
      </c>
      <c r="AZ152" s="3" t="e">
        <f t="shared" ca="1" si="273"/>
        <v>#N/A</v>
      </c>
      <c r="BA152" s="3">
        <f t="shared" ca="1" si="274"/>
        <v>0.53125778331257789</v>
      </c>
      <c r="BB152" s="3" t="e">
        <f t="shared" ca="1" si="275"/>
        <v>#N/A</v>
      </c>
      <c r="BD152" s="3">
        <f t="shared" ca="1" si="276"/>
        <v>0.36982538694158162</v>
      </c>
      <c r="BE152" s="3" t="e">
        <f t="shared" ca="1" si="277"/>
        <v>#N/A</v>
      </c>
      <c r="BF152" s="3">
        <f t="shared" ca="1" si="278"/>
        <v>0.39775851060860185</v>
      </c>
      <c r="BG152" s="3" t="e">
        <f t="shared" ca="1" si="279"/>
        <v>#N/A</v>
      </c>
      <c r="BI152" s="3">
        <f t="shared" ca="1" si="280"/>
        <v>1.4962593516209477</v>
      </c>
      <c r="BJ152" s="3" t="e">
        <f t="shared" ca="1" si="281"/>
        <v>#N/A</v>
      </c>
      <c r="BK152" s="3">
        <f t="shared" ca="1" si="282"/>
        <v>1.4943960149439603</v>
      </c>
      <c r="BL152" s="3" t="e">
        <f t="shared" ca="1" si="283"/>
        <v>#N/A</v>
      </c>
      <c r="BN152" s="3">
        <f t="shared" ca="1" si="284"/>
        <v>1.2468827930174564</v>
      </c>
      <c r="BO152" s="3" t="e">
        <f t="shared" ca="1" si="285"/>
        <v>#N/A</v>
      </c>
      <c r="BP152" s="3">
        <f t="shared" ca="1" si="286"/>
        <v>0.9962640099626402</v>
      </c>
      <c r="BQ152" s="3" t="e">
        <f t="shared" ca="1" si="287"/>
        <v>#N/A</v>
      </c>
      <c r="BS152" s="5">
        <v>0.39800000190734863</v>
      </c>
      <c r="BT152" s="11" t="e">
        <v>#N/A</v>
      </c>
      <c r="BU152" s="5">
        <v>0.72000002861022949</v>
      </c>
      <c r="BV152" s="11" t="e">
        <v>#N/A</v>
      </c>
      <c r="BX152" s="3">
        <f t="shared" ca="1" si="288"/>
        <v>7.4563591022443934E-2</v>
      </c>
      <c r="BY152" s="3" t="e">
        <f t="shared" ca="1" si="289"/>
        <v>#N/A</v>
      </c>
      <c r="BZ152" s="3">
        <f t="shared" ca="1" si="290"/>
        <v>2.0672478206724829E-2</v>
      </c>
      <c r="CA152" s="3" t="e">
        <f t="shared" ca="1" si="291"/>
        <v>#N/A</v>
      </c>
      <c r="CC152" s="3">
        <f t="shared" ca="1" si="292"/>
        <v>7.0573564182195875E-2</v>
      </c>
      <c r="CD152" s="3" t="e">
        <f t="shared" ca="1" si="293"/>
        <v>#N/A</v>
      </c>
      <c r="CE152" s="3">
        <f t="shared" ca="1" si="294"/>
        <v>0</v>
      </c>
      <c r="CF152" s="3" t="e">
        <f t="shared" ca="1" si="295"/>
        <v>#N/A</v>
      </c>
      <c r="CH152" s="3">
        <f t="shared" ca="1" si="296"/>
        <v>0.24937655860349128</v>
      </c>
      <c r="CI152" s="3" t="e">
        <f t="shared" ca="1" si="297"/>
        <v>#N/A</v>
      </c>
      <c r="CJ152" s="3">
        <f t="shared" ca="1" si="298"/>
        <v>0</v>
      </c>
      <c r="CK152" s="3" t="e">
        <f t="shared" ca="1" si="299"/>
        <v>#N/A</v>
      </c>
      <c r="CM152" s="3">
        <f t="shared" ca="1" si="300"/>
        <v>0.74812967581047385</v>
      </c>
      <c r="CN152" s="3" t="e">
        <f t="shared" ca="1" si="301"/>
        <v>#N/A</v>
      </c>
      <c r="CO152" s="3">
        <f t="shared" ca="1" si="302"/>
        <v>0.4981320049813201</v>
      </c>
      <c r="CP152" s="3" t="e">
        <f t="shared" ca="1" si="303"/>
        <v>#N/A</v>
      </c>
      <c r="CR152" s="5">
        <v>3.497999906539917</v>
      </c>
      <c r="CS152" s="11" t="e">
        <v>#N/A</v>
      </c>
      <c r="CT152" s="5">
        <v>4.0149999999999997</v>
      </c>
      <c r="CU152" s="11" t="e">
        <v>#N/A</v>
      </c>
      <c r="CV152" s="21">
        <f t="shared" ca="1" si="305"/>
        <v>0.39775851060860185</v>
      </c>
      <c r="CW152" s="16">
        <f t="shared" ca="1" si="304"/>
        <v>9.8333333333333339</v>
      </c>
    </row>
    <row r="153" spans="1:101" s="5" customFormat="1" x14ac:dyDescent="0.35">
      <c r="A153" s="4" t="s">
        <v>152</v>
      </c>
      <c r="B153" s="4">
        <v>10.083333333333334</v>
      </c>
      <c r="C153" s="4" t="s">
        <v>168</v>
      </c>
      <c r="D153" s="4" t="s">
        <v>404</v>
      </c>
      <c r="E153" s="3"/>
      <c r="F153" s="11" t="e">
        <v>#N/A</v>
      </c>
      <c r="G153" s="5">
        <v>4.008</v>
      </c>
      <c r="H153" s="5">
        <v>4.016</v>
      </c>
      <c r="I153" s="5">
        <v>2.5289999999999995</v>
      </c>
      <c r="K153" s="3" t="e">
        <f t="shared" ca="1" si="244"/>
        <v>#N/A</v>
      </c>
      <c r="L153" s="3">
        <f t="shared" ca="1" si="245"/>
        <v>0.99800399201596801</v>
      </c>
      <c r="M153" s="3">
        <f t="shared" ca="1" si="246"/>
        <v>0.99576693227091639</v>
      </c>
      <c r="N153" s="3">
        <f t="shared" ca="1" si="247"/>
        <v>0.99525504151838684</v>
      </c>
      <c r="P153" s="3" t="e">
        <f t="shared" ca="1" si="248"/>
        <v>#N/A</v>
      </c>
      <c r="Q153" s="3">
        <f t="shared" ca="1" si="249"/>
        <v>0.99376250618879136</v>
      </c>
      <c r="R153" s="3">
        <f t="shared" ca="1" si="250"/>
        <v>0.98730080164560818</v>
      </c>
      <c r="S153" s="3">
        <f t="shared" ca="1" si="251"/>
        <v>0.92328984744054354</v>
      </c>
      <c r="U153" s="3" t="e">
        <f t="shared" ca="1" si="252"/>
        <v>#N/A</v>
      </c>
      <c r="V153" s="3">
        <f t="shared" ca="1" si="253"/>
        <v>0.49900199600798401</v>
      </c>
      <c r="W153" s="3">
        <f t="shared" ca="1" si="254"/>
        <v>0.74701195219123506</v>
      </c>
      <c r="X153" s="3">
        <f t="shared" ca="1" si="255"/>
        <v>1.9770660340055362</v>
      </c>
      <c r="Z153" s="3" t="e">
        <f t="shared" ca="1" si="256"/>
        <v>#N/A</v>
      </c>
      <c r="AA153" s="3">
        <f t="shared" ca="1" si="257"/>
        <v>0.99800399201596801</v>
      </c>
      <c r="AB153" s="3">
        <f t="shared" ca="1" si="258"/>
        <v>0.99576693227091639</v>
      </c>
      <c r="AC153" s="3">
        <f t="shared" ca="1" si="259"/>
        <v>0.86990905496243587</v>
      </c>
      <c r="AE153" s="3" t="e">
        <f t="shared" ca="1" si="260"/>
        <v>#N/A</v>
      </c>
      <c r="AF153" s="3">
        <f t="shared" ca="1" si="261"/>
        <v>0.99376250618879136</v>
      </c>
      <c r="AG153" s="3">
        <f t="shared" ca="1" si="262"/>
        <v>0.98730080164560818</v>
      </c>
      <c r="AH153" s="3">
        <f t="shared" ca="1" si="263"/>
        <v>0.81138791293259349</v>
      </c>
      <c r="AJ153" s="3" t="e">
        <f t="shared" ca="1" si="264"/>
        <v>#N/A</v>
      </c>
      <c r="AK153" s="3">
        <f t="shared" ca="1" si="265"/>
        <v>0.49900199600798401</v>
      </c>
      <c r="AL153" s="3">
        <f t="shared" ca="1" si="266"/>
        <v>0.74701195219123506</v>
      </c>
      <c r="AM153" s="3">
        <f t="shared" ca="1" si="267"/>
        <v>1.581652827204429</v>
      </c>
      <c r="AO153" s="3" t="e">
        <f t="shared" ca="1" si="268"/>
        <v>#N/A</v>
      </c>
      <c r="AP153" s="3">
        <f t="shared" ca="1" si="269"/>
        <v>0.249500998003992</v>
      </c>
      <c r="AQ153" s="3">
        <f t="shared" ca="1" si="270"/>
        <v>0.24900398406374502</v>
      </c>
      <c r="AR153" s="3">
        <f t="shared" ca="1" si="271"/>
        <v>1.1862396204033216</v>
      </c>
      <c r="AT153" s="11" t="e">
        <v>#N/A</v>
      </c>
      <c r="AU153" s="5">
        <v>4.999999888241291E-3</v>
      </c>
      <c r="AV153" s="5">
        <v>1.4999999664723873E-2</v>
      </c>
      <c r="AW153" s="5">
        <v>8.0000003799796104E-3</v>
      </c>
      <c r="AY153" s="3" t="e">
        <f t="shared" ca="1" si="272"/>
        <v>#N/A</v>
      </c>
      <c r="AZ153" s="3">
        <f t="shared" ca="1" si="273"/>
        <v>0.89396207584830334</v>
      </c>
      <c r="BA153" s="3">
        <f t="shared" ca="1" si="274"/>
        <v>0.80901394422310757</v>
      </c>
      <c r="BB153" s="3">
        <f t="shared" ca="1" si="275"/>
        <v>0.64610517991300931</v>
      </c>
      <c r="BD153" s="3" t="e">
        <f t="shared" ca="1" si="276"/>
        <v>#N/A</v>
      </c>
      <c r="BE153" s="3">
        <f t="shared" ca="1" si="277"/>
        <v>0.881487053787399</v>
      </c>
      <c r="BF153" s="3">
        <f t="shared" ca="1" si="278"/>
        <v>0.80478087483174299</v>
      </c>
      <c r="BG153" s="3">
        <f t="shared" ca="1" si="279"/>
        <v>0.63977858067124493</v>
      </c>
      <c r="BI153" s="3" t="e">
        <f t="shared" ca="1" si="280"/>
        <v>#N/A</v>
      </c>
      <c r="BJ153" s="3">
        <f t="shared" ca="1" si="281"/>
        <v>0.249500998003992</v>
      </c>
      <c r="BK153" s="3">
        <f t="shared" ca="1" si="282"/>
        <v>0.49800796812749004</v>
      </c>
      <c r="BL153" s="3">
        <f t="shared" ca="1" si="283"/>
        <v>1.1862396204033216</v>
      </c>
      <c r="BN153" s="3" t="e">
        <f t="shared" ca="1" si="284"/>
        <v>#N/A</v>
      </c>
      <c r="BO153" s="3">
        <f t="shared" ca="1" si="285"/>
        <v>0.249500998003992</v>
      </c>
      <c r="BP153" s="3">
        <f t="shared" ca="1" si="286"/>
        <v>0.24900398406374502</v>
      </c>
      <c r="BQ153" s="3">
        <f t="shared" ca="1" si="287"/>
        <v>0.79082641360221451</v>
      </c>
      <c r="BS153" s="11" t="e">
        <v>#N/A</v>
      </c>
      <c r="BT153" s="5">
        <v>0.47200000286102295</v>
      </c>
      <c r="BU153" s="5">
        <v>0.76499998569488525</v>
      </c>
      <c r="BV153" s="5">
        <v>0.45800000429153442</v>
      </c>
      <c r="BX153" s="3" t="e">
        <f t="shared" ca="1" si="288"/>
        <v>#N/A</v>
      </c>
      <c r="BY153" s="3">
        <f t="shared" ca="1" si="289"/>
        <v>0</v>
      </c>
      <c r="BZ153" s="3">
        <f t="shared" ca="1" si="290"/>
        <v>0</v>
      </c>
      <c r="CA153" s="3">
        <f t="shared" ca="1" si="291"/>
        <v>1.9770660340055292E-2</v>
      </c>
      <c r="CC153" s="3" t="e">
        <f t="shared" ca="1" si="292"/>
        <v>#N/A</v>
      </c>
      <c r="CD153" s="3">
        <f t="shared" ca="1" si="293"/>
        <v>0</v>
      </c>
      <c r="CE153" s="3">
        <f t="shared" ca="1" si="294"/>
        <v>0</v>
      </c>
      <c r="CF153" s="3">
        <f t="shared" ca="1" si="295"/>
        <v>0</v>
      </c>
      <c r="CH153" s="3" t="e">
        <f t="shared" ca="1" si="296"/>
        <v>#N/A</v>
      </c>
      <c r="CI153" s="3">
        <f t="shared" ca="1" si="297"/>
        <v>0</v>
      </c>
      <c r="CJ153" s="3">
        <f t="shared" ca="1" si="298"/>
        <v>0</v>
      </c>
      <c r="CK153" s="3">
        <f t="shared" ca="1" si="299"/>
        <v>0</v>
      </c>
      <c r="CM153" s="3" t="e">
        <f t="shared" ca="1" si="300"/>
        <v>#N/A</v>
      </c>
      <c r="CN153" s="3">
        <f t="shared" ca="1" si="301"/>
        <v>0</v>
      </c>
      <c r="CO153" s="3">
        <f t="shared" ca="1" si="302"/>
        <v>0</v>
      </c>
      <c r="CP153" s="3">
        <f t="shared" ca="1" si="303"/>
        <v>0.39541320680110725</v>
      </c>
      <c r="CR153" s="11" t="e">
        <v>#N/A</v>
      </c>
      <c r="CS153" s="5">
        <v>4.008</v>
      </c>
      <c r="CT153" s="5">
        <v>4.016</v>
      </c>
      <c r="CU153" s="5">
        <v>4.0119999999999996</v>
      </c>
      <c r="CV153" s="21">
        <f t="shared" ca="1" si="305"/>
        <v>0.80478087483174299</v>
      </c>
      <c r="CW153" s="16">
        <f t="shared" ca="1" si="304"/>
        <v>10.083333333333334</v>
      </c>
    </row>
    <row r="154" spans="1:101" s="5" customFormat="1" x14ac:dyDescent="0.35">
      <c r="A154" s="4" t="s">
        <v>117</v>
      </c>
      <c r="B154" s="4">
        <v>10.25</v>
      </c>
      <c r="C154" s="4" t="s">
        <v>168</v>
      </c>
      <c r="D154" s="4" t="s">
        <v>404</v>
      </c>
      <c r="E154" s="3"/>
      <c r="F154" s="5">
        <v>4.0060000000000002</v>
      </c>
      <c r="G154" s="5">
        <v>4.0060000000000002</v>
      </c>
      <c r="H154" s="5">
        <v>4.0140000000000002</v>
      </c>
      <c r="I154" s="5">
        <v>4.016</v>
      </c>
      <c r="K154" s="3">
        <f t="shared" ca="1" si="244"/>
        <v>0.99825262106839729</v>
      </c>
      <c r="L154" s="3">
        <f t="shared" ca="1" si="245"/>
        <v>0.98577134298552171</v>
      </c>
      <c r="M154" s="3">
        <f t="shared" ca="1" si="246"/>
        <v>0.9962630792227205</v>
      </c>
      <c r="N154" s="3">
        <f t="shared" ca="1" si="247"/>
        <v>0.9711155378486056</v>
      </c>
      <c r="P154" s="3">
        <f t="shared" ca="1" si="248"/>
        <v>0.9236145516763582</v>
      </c>
      <c r="Q154" s="3">
        <f t="shared" ca="1" si="249"/>
        <v>0.92311538625703826</v>
      </c>
      <c r="R154" s="3">
        <f t="shared" ca="1" si="250"/>
        <v>0.95914292887528851</v>
      </c>
      <c r="S154" s="3">
        <f t="shared" ca="1" si="251"/>
        <v>0.90861558683209154</v>
      </c>
      <c r="U154" s="3">
        <f t="shared" ca="1" si="252"/>
        <v>3.2451323015476783</v>
      </c>
      <c r="V154" s="3">
        <f t="shared" ca="1" si="253"/>
        <v>2.9955067398901645</v>
      </c>
      <c r="W154" s="3">
        <f t="shared" ca="1" si="254"/>
        <v>2.4912805181863478</v>
      </c>
      <c r="X154" s="3">
        <f t="shared" ca="1" si="255"/>
        <v>3.237051792828685</v>
      </c>
      <c r="Z154" s="3">
        <f t="shared" ca="1" si="256"/>
        <v>0.99825262106839729</v>
      </c>
      <c r="AA154" s="3">
        <f t="shared" ca="1" si="257"/>
        <v>0.98577134298552171</v>
      </c>
      <c r="AB154" s="3">
        <f t="shared" ca="1" si="258"/>
        <v>0.9962630792227205</v>
      </c>
      <c r="AC154" s="3">
        <f t="shared" ca="1" si="259"/>
        <v>0.9711155378486056</v>
      </c>
      <c r="AE154" s="3">
        <f t="shared" ca="1" si="260"/>
        <v>0.9236145516763582</v>
      </c>
      <c r="AF154" s="3">
        <f t="shared" ca="1" si="261"/>
        <v>0.92311538625703826</v>
      </c>
      <c r="AG154" s="3">
        <f t="shared" ca="1" si="262"/>
        <v>0.95914292887528851</v>
      </c>
      <c r="AH154" s="3">
        <f t="shared" ca="1" si="263"/>
        <v>0.90861558683209154</v>
      </c>
      <c r="AJ154" s="3">
        <f t="shared" ca="1" si="264"/>
        <v>3.2451323015476783</v>
      </c>
      <c r="AK154" s="3">
        <f t="shared" ca="1" si="265"/>
        <v>2.9955067398901645</v>
      </c>
      <c r="AL154" s="3">
        <f t="shared" ca="1" si="266"/>
        <v>2.4912805181863478</v>
      </c>
      <c r="AM154" s="3">
        <f t="shared" ca="1" si="267"/>
        <v>3.237051792828685</v>
      </c>
      <c r="AO154" s="3">
        <f t="shared" ca="1" si="268"/>
        <v>0.24962556165751371</v>
      </c>
      <c r="AP154" s="3">
        <f t="shared" ca="1" si="269"/>
        <v>0.24962556165751371</v>
      </c>
      <c r="AQ154" s="3">
        <f t="shared" ca="1" si="270"/>
        <v>0.24912805181863476</v>
      </c>
      <c r="AR154" s="3">
        <f t="shared" ca="1" si="271"/>
        <v>0.24900398406374502</v>
      </c>
      <c r="AT154" s="5">
        <v>4.999999888241291E-3</v>
      </c>
      <c r="AU154" s="5">
        <v>5.9000000357627869E-2</v>
      </c>
      <c r="AV154" s="5">
        <v>9.9999997764825821E-3</v>
      </c>
      <c r="AW154" s="5">
        <v>7.0000002160668373E-3</v>
      </c>
      <c r="AY154" s="3">
        <f t="shared" ca="1" si="272"/>
        <v>0.191462805791313</v>
      </c>
      <c r="AZ154" s="3">
        <f t="shared" ca="1" si="273"/>
        <v>0.19545681477783317</v>
      </c>
      <c r="BA154" s="3">
        <f t="shared" ca="1" si="274"/>
        <v>0.21973094170403601</v>
      </c>
      <c r="BB154" s="3">
        <f t="shared" ca="1" si="275"/>
        <v>0.23232071713147404</v>
      </c>
      <c r="BD154" s="3">
        <f t="shared" ca="1" si="276"/>
        <v>0.15826261436350036</v>
      </c>
      <c r="BE154" s="3">
        <f t="shared" ca="1" si="277"/>
        <v>9.5856201630857535E-2</v>
      </c>
      <c r="BF154" s="3">
        <f t="shared" ca="1" si="278"/>
        <v>0.20328842708585745</v>
      </c>
      <c r="BG154" s="3">
        <f t="shared" ca="1" si="279"/>
        <v>0.2031872620383107</v>
      </c>
      <c r="BI154" s="3">
        <f t="shared" ca="1" si="280"/>
        <v>0.49925112331502741</v>
      </c>
      <c r="BJ154" s="3">
        <f t="shared" ca="1" si="281"/>
        <v>0.24962556165751371</v>
      </c>
      <c r="BK154" s="3">
        <f t="shared" ca="1" si="282"/>
        <v>0.49825610363726952</v>
      </c>
      <c r="BL154" s="3">
        <f t="shared" ca="1" si="283"/>
        <v>0.74701195219123506</v>
      </c>
      <c r="BN154" s="3">
        <f t="shared" ca="1" si="284"/>
        <v>0.99850224663005482</v>
      </c>
      <c r="BO154" s="3">
        <f t="shared" ca="1" si="285"/>
        <v>0.74887668497254112</v>
      </c>
      <c r="BP154" s="3">
        <f t="shared" ca="1" si="286"/>
        <v>0.74738415545590431</v>
      </c>
      <c r="BQ154" s="3">
        <f t="shared" ca="1" si="287"/>
        <v>0.74701195219123506</v>
      </c>
      <c r="BS154" s="5">
        <v>0.43799999356269836</v>
      </c>
      <c r="BT154" s="5">
        <v>1.6080000400543213</v>
      </c>
      <c r="BU154" s="5">
        <v>2.8090000152587891</v>
      </c>
      <c r="BV154" s="5">
        <v>0.75700002908706665</v>
      </c>
      <c r="BX154" s="3">
        <f t="shared" ca="1" si="288"/>
        <v>0.18696954568147789</v>
      </c>
      <c r="BY154" s="3">
        <f t="shared" ca="1" si="289"/>
        <v>0.10409385921118318</v>
      </c>
      <c r="BZ154" s="3">
        <f t="shared" ca="1" si="290"/>
        <v>9.9900348779272605E-2</v>
      </c>
      <c r="CA154" s="3">
        <f t="shared" ca="1" si="291"/>
        <v>0.24078685258964133</v>
      </c>
      <c r="CC154" s="3">
        <f t="shared" ca="1" si="292"/>
        <v>0.22466295490369639</v>
      </c>
      <c r="CD154" s="3">
        <f t="shared" ca="1" si="293"/>
        <v>0.12456317335977235</v>
      </c>
      <c r="CE154" s="3">
        <f t="shared" ca="1" si="294"/>
        <v>9.5416077583894601E-2</v>
      </c>
      <c r="CF154" s="3">
        <f t="shared" ca="1" si="295"/>
        <v>0.29880477025533519</v>
      </c>
      <c r="CH154" s="3">
        <f t="shared" ca="1" si="296"/>
        <v>0.49925112331502741</v>
      </c>
      <c r="CI154" s="3">
        <f t="shared" ca="1" si="297"/>
        <v>0.49925112331502741</v>
      </c>
      <c r="CJ154" s="3">
        <f t="shared" ca="1" si="298"/>
        <v>0.49825610363726952</v>
      </c>
      <c r="CK154" s="3">
        <f t="shared" ca="1" si="299"/>
        <v>0.74701195219123506</v>
      </c>
      <c r="CM154" s="3">
        <f t="shared" ca="1" si="300"/>
        <v>0.49925112331502741</v>
      </c>
      <c r="CN154" s="3">
        <f t="shared" ca="1" si="301"/>
        <v>0.49925112331502741</v>
      </c>
      <c r="CO154" s="3">
        <f t="shared" ca="1" si="302"/>
        <v>0.49825610363726952</v>
      </c>
      <c r="CP154" s="3">
        <f t="shared" ca="1" si="303"/>
        <v>0.74701195219123506</v>
      </c>
      <c r="CR154" s="5">
        <v>0.93800002336502075</v>
      </c>
      <c r="CS154" s="5">
        <v>2.2920000553131104</v>
      </c>
      <c r="CT154" s="5">
        <v>0.87699997425079346</v>
      </c>
      <c r="CU154" s="5">
        <v>7.0000002160668373E-3</v>
      </c>
      <c r="CV154" s="21">
        <f t="shared" ca="1" si="305"/>
        <v>0.20328842708585745</v>
      </c>
      <c r="CW154" s="16">
        <f t="shared" ca="1" si="304"/>
        <v>10.25</v>
      </c>
    </row>
    <row r="155" spans="1:101" s="5" customFormat="1" x14ac:dyDescent="0.35">
      <c r="A155" s="4" t="s">
        <v>123</v>
      </c>
      <c r="B155" s="4">
        <v>10.25</v>
      </c>
      <c r="C155" s="4" t="s">
        <v>167</v>
      </c>
      <c r="D155" s="4" t="s">
        <v>404</v>
      </c>
      <c r="E155" s="3"/>
      <c r="F155" s="5">
        <v>3.2450000000000001</v>
      </c>
      <c r="G155" s="5">
        <v>2.2319999999999993</v>
      </c>
      <c r="H155" s="5">
        <v>2.367</v>
      </c>
      <c r="I155" s="5">
        <v>4.0149999999999997</v>
      </c>
      <c r="K155" s="3">
        <f t="shared" ca="1" si="244"/>
        <v>0.92942989214175653</v>
      </c>
      <c r="L155" s="3">
        <f t="shared" ca="1" si="245"/>
        <v>0.90322580645161321</v>
      </c>
      <c r="M155" s="3">
        <f t="shared" ca="1" si="246"/>
        <v>0.8310097169412759</v>
      </c>
      <c r="N155" s="3">
        <f t="shared" ca="1" si="247"/>
        <v>0.91282689912826909</v>
      </c>
      <c r="P155" s="3">
        <f t="shared" ca="1" si="248"/>
        <v>0.82249616621455346</v>
      </c>
      <c r="Q155" s="3">
        <f t="shared" ca="1" si="249"/>
        <v>0.79121860578709635</v>
      </c>
      <c r="R155" s="3">
        <f t="shared" ca="1" si="250"/>
        <v>0.71102671599055722</v>
      </c>
      <c r="S155" s="3">
        <f t="shared" ca="1" si="251"/>
        <v>0.80996270791382752</v>
      </c>
      <c r="U155" s="3">
        <f t="shared" ca="1" si="252"/>
        <v>3.0816640986132509</v>
      </c>
      <c r="V155" s="3">
        <f t="shared" ca="1" si="253"/>
        <v>1.3440860215053767</v>
      </c>
      <c r="W155" s="3">
        <f t="shared" ca="1" si="254"/>
        <v>2.5348542458808621</v>
      </c>
      <c r="X155" s="3">
        <f t="shared" ca="1" si="255"/>
        <v>3.9850560398505608</v>
      </c>
      <c r="Z155" s="3">
        <f t="shared" ca="1" si="256"/>
        <v>0.92942989214175653</v>
      </c>
      <c r="AA155" s="3">
        <f t="shared" ca="1" si="257"/>
        <v>0.8655913978494626</v>
      </c>
      <c r="AB155" s="3">
        <f t="shared" ca="1" si="258"/>
        <v>0.60583016476552609</v>
      </c>
      <c r="AC155" s="3">
        <f t="shared" ca="1" si="259"/>
        <v>0.91282689912826909</v>
      </c>
      <c r="AE155" s="3">
        <f t="shared" ca="1" si="260"/>
        <v>0.82249616621455346</v>
      </c>
      <c r="AF155" s="3">
        <f t="shared" ca="1" si="261"/>
        <v>0.79121860578709635</v>
      </c>
      <c r="AG155" s="3">
        <f t="shared" ca="1" si="262"/>
        <v>0.52091262740428101</v>
      </c>
      <c r="AH155" s="3">
        <f t="shared" ca="1" si="263"/>
        <v>0.80996270791382752</v>
      </c>
      <c r="AJ155" s="3">
        <f t="shared" ca="1" si="264"/>
        <v>3.0816640986132509</v>
      </c>
      <c r="AK155" s="3">
        <f t="shared" ca="1" si="265"/>
        <v>1.3440860215053767</v>
      </c>
      <c r="AL155" s="3">
        <f t="shared" ca="1" si="266"/>
        <v>2.1123785382340516</v>
      </c>
      <c r="AM155" s="3">
        <f t="shared" ca="1" si="267"/>
        <v>3.9850560398505608</v>
      </c>
      <c r="AO155" s="3">
        <f t="shared" ca="1" si="268"/>
        <v>0.61633281972265019</v>
      </c>
      <c r="AP155" s="3">
        <f t="shared" ca="1" si="269"/>
        <v>0.89605734767025114</v>
      </c>
      <c r="AQ155" s="3">
        <f t="shared" ca="1" si="270"/>
        <v>1.267427122940431</v>
      </c>
      <c r="AR155" s="3">
        <f t="shared" ca="1" si="271"/>
        <v>0.24906600249066005</v>
      </c>
      <c r="AT155" s="5">
        <v>0.29600000381469727</v>
      </c>
      <c r="AU155" s="5">
        <v>0.22100000083446503</v>
      </c>
      <c r="AV155" s="5">
        <v>0.37700000405311584</v>
      </c>
      <c r="AW155" s="5">
        <v>0.35600000619888306</v>
      </c>
      <c r="AY155" s="3">
        <f t="shared" ca="1" si="272"/>
        <v>0.55963020030816635</v>
      </c>
      <c r="AZ155" s="3">
        <f t="shared" ca="1" si="273"/>
        <v>0.80600358422939089</v>
      </c>
      <c r="BA155" s="3">
        <f t="shared" ca="1" si="274"/>
        <v>0.46472327841149147</v>
      </c>
      <c r="BB155" s="3">
        <f t="shared" ca="1" si="275"/>
        <v>0.34819427148194265</v>
      </c>
      <c r="BD155" s="3">
        <f t="shared" ca="1" si="276"/>
        <v>0.48813559975940013</v>
      </c>
      <c r="BE155" s="3">
        <f t="shared" ca="1" si="277"/>
        <v>0.79121860578709635</v>
      </c>
      <c r="BF155" s="3">
        <f t="shared" ca="1" si="278"/>
        <v>0.45754123096683635</v>
      </c>
      <c r="BG155" s="3">
        <f t="shared" ca="1" si="279"/>
        <v>0.3070983613561723</v>
      </c>
      <c r="BI155" s="3">
        <f t="shared" ca="1" si="280"/>
        <v>0.92449922958397535</v>
      </c>
      <c r="BJ155" s="3">
        <f t="shared" ca="1" si="281"/>
        <v>1.3440860215053767</v>
      </c>
      <c r="BK155" s="3">
        <f t="shared" ca="1" si="282"/>
        <v>1.6899028305872412</v>
      </c>
      <c r="BL155" s="3">
        <f t="shared" ca="1" si="283"/>
        <v>1.2453300124533002</v>
      </c>
      <c r="BN155" s="3">
        <f t="shared" ca="1" si="284"/>
        <v>0.92449922958397535</v>
      </c>
      <c r="BO155" s="3">
        <f t="shared" ca="1" si="285"/>
        <v>0.44802867383512557</v>
      </c>
      <c r="BP155" s="3">
        <f t="shared" ca="1" si="286"/>
        <v>0.84495141529362061</v>
      </c>
      <c r="BQ155" s="3">
        <f t="shared" ca="1" si="287"/>
        <v>0.9962640099626402</v>
      </c>
      <c r="BS155" s="5">
        <v>0.42899999022483826</v>
      </c>
      <c r="BT155" s="5">
        <v>0.22100000083446503</v>
      </c>
      <c r="BU155" s="5">
        <v>0.37700000405311584</v>
      </c>
      <c r="BV155" s="5">
        <v>0.63999998569488525</v>
      </c>
      <c r="BX155" s="3">
        <f t="shared" ca="1" si="288"/>
        <v>0</v>
      </c>
      <c r="BY155" s="3">
        <f t="shared" ca="1" si="289"/>
        <v>0</v>
      </c>
      <c r="BZ155" s="3">
        <f t="shared" ca="1" si="290"/>
        <v>0</v>
      </c>
      <c r="CA155" s="3">
        <f t="shared" ca="1" si="291"/>
        <v>0</v>
      </c>
      <c r="CC155" s="3">
        <f t="shared" ca="1" si="292"/>
        <v>0</v>
      </c>
      <c r="CD155" s="3">
        <f t="shared" ca="1" si="293"/>
        <v>0</v>
      </c>
      <c r="CE155" s="3">
        <f t="shared" ca="1" si="294"/>
        <v>0</v>
      </c>
      <c r="CF155" s="3">
        <f t="shared" ca="1" si="295"/>
        <v>0</v>
      </c>
      <c r="CH155" s="3">
        <f t="shared" ca="1" si="296"/>
        <v>0</v>
      </c>
      <c r="CI155" s="3">
        <f t="shared" ca="1" si="297"/>
        <v>0</v>
      </c>
      <c r="CJ155" s="3">
        <f t="shared" ca="1" si="298"/>
        <v>0</v>
      </c>
      <c r="CK155" s="3">
        <f t="shared" ca="1" si="299"/>
        <v>0</v>
      </c>
      <c r="CM155" s="3">
        <f t="shared" ca="1" si="300"/>
        <v>0.92449922958397535</v>
      </c>
      <c r="CN155" s="3">
        <f t="shared" ca="1" si="301"/>
        <v>0</v>
      </c>
      <c r="CO155" s="3">
        <f t="shared" ca="1" si="302"/>
        <v>0.42247570764681031</v>
      </c>
      <c r="CP155" s="3">
        <f t="shared" ca="1" si="303"/>
        <v>0</v>
      </c>
      <c r="CR155" s="5">
        <v>4.0110000000000001</v>
      </c>
      <c r="CS155" s="5">
        <v>4.0149999999999997</v>
      </c>
      <c r="CT155" s="5">
        <v>4.016</v>
      </c>
      <c r="CU155" s="5">
        <v>4.0149999999999997</v>
      </c>
      <c r="CV155" s="21">
        <f t="shared" ca="1" si="305"/>
        <v>0.45754123096683635</v>
      </c>
      <c r="CW155" s="16">
        <f t="shared" ca="1" si="304"/>
        <v>10.25</v>
      </c>
    </row>
    <row r="156" spans="1:101" s="5" customFormat="1" x14ac:dyDescent="0.35">
      <c r="A156" s="4" t="s">
        <v>111</v>
      </c>
      <c r="B156" s="4">
        <v>10.416666666666666</v>
      </c>
      <c r="C156" s="4" t="s">
        <v>168</v>
      </c>
      <c r="D156" s="4" t="s">
        <v>404</v>
      </c>
      <c r="E156" s="3"/>
      <c r="F156" s="11" t="e">
        <v>#N/A</v>
      </c>
      <c r="G156" s="11" t="e">
        <v>#N/A</v>
      </c>
      <c r="H156" s="5">
        <v>1.3289999999999997</v>
      </c>
      <c r="I156" s="11" t="e">
        <v>#N/A</v>
      </c>
      <c r="K156" s="3" t="e">
        <f t="shared" ca="1" si="244"/>
        <v>#N/A</v>
      </c>
      <c r="L156" s="3" t="e">
        <f t="shared" ca="1" si="245"/>
        <v>#N/A</v>
      </c>
      <c r="M156" s="3" t="e">
        <f t="shared" ca="1" si="246"/>
        <v>#N/A</v>
      </c>
      <c r="N156" s="3" t="e">
        <f t="shared" ca="1" si="247"/>
        <v>#N/A</v>
      </c>
      <c r="P156" s="3" t="e">
        <f t="shared" ca="1" si="248"/>
        <v>#N/A</v>
      </c>
      <c r="Q156" s="3" t="e">
        <f t="shared" ca="1" si="249"/>
        <v>#N/A</v>
      </c>
      <c r="R156" s="3" t="e">
        <f t="shared" ca="1" si="250"/>
        <v>#N/A</v>
      </c>
      <c r="S156" s="3" t="e">
        <f t="shared" ca="1" si="251"/>
        <v>#N/A</v>
      </c>
      <c r="U156" s="3" t="e">
        <f t="shared" ca="1" si="252"/>
        <v>#N/A</v>
      </c>
      <c r="V156" s="3" t="e">
        <f t="shared" ca="1" si="253"/>
        <v>#N/A</v>
      </c>
      <c r="W156" s="3" t="e">
        <f t="shared" ca="1" si="254"/>
        <v>#N/A</v>
      </c>
      <c r="X156" s="3" t="e">
        <f t="shared" ca="1" si="255"/>
        <v>#N/A</v>
      </c>
      <c r="Z156" s="3" t="e">
        <f t="shared" ca="1" si="256"/>
        <v>#N/A</v>
      </c>
      <c r="AA156" s="3" t="e">
        <f t="shared" ca="1" si="257"/>
        <v>#N/A</v>
      </c>
      <c r="AB156" s="3" t="e">
        <f t="shared" ca="1" si="258"/>
        <v>#N/A</v>
      </c>
      <c r="AC156" s="3" t="e">
        <f t="shared" ca="1" si="259"/>
        <v>#N/A</v>
      </c>
      <c r="AE156" s="3" t="e">
        <f t="shared" ca="1" si="260"/>
        <v>#N/A</v>
      </c>
      <c r="AF156" s="3" t="e">
        <f t="shared" ca="1" si="261"/>
        <v>#N/A</v>
      </c>
      <c r="AG156" s="3" t="e">
        <f t="shared" ca="1" si="262"/>
        <v>#N/A</v>
      </c>
      <c r="AH156" s="3" t="e">
        <f t="shared" ca="1" si="263"/>
        <v>#N/A</v>
      </c>
      <c r="AJ156" s="3" t="e">
        <f t="shared" ca="1" si="264"/>
        <v>#N/A</v>
      </c>
      <c r="AK156" s="3" t="e">
        <f t="shared" ca="1" si="265"/>
        <v>#N/A</v>
      </c>
      <c r="AL156" s="3" t="e">
        <f t="shared" ca="1" si="266"/>
        <v>#N/A</v>
      </c>
      <c r="AM156" s="3" t="e">
        <f t="shared" ca="1" si="267"/>
        <v>#N/A</v>
      </c>
      <c r="AO156" s="3" t="e">
        <f t="shared" ca="1" si="268"/>
        <v>#N/A</v>
      </c>
      <c r="AP156" s="3" t="e">
        <f t="shared" ca="1" si="269"/>
        <v>#N/A</v>
      </c>
      <c r="AQ156" s="3" t="e">
        <f t="shared" ca="1" si="270"/>
        <v>#N/A</v>
      </c>
      <c r="AR156" s="3" t="e">
        <f t="shared" ca="1" si="271"/>
        <v>#N/A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Y156" s="3" t="e">
        <f t="shared" ca="1" si="272"/>
        <v>#N/A</v>
      </c>
      <c r="AZ156" s="3" t="e">
        <f t="shared" ca="1" si="273"/>
        <v>#N/A</v>
      </c>
      <c r="BA156" s="3" t="e">
        <f t="shared" ca="1" si="274"/>
        <v>#N/A</v>
      </c>
      <c r="BB156" s="3" t="e">
        <f t="shared" ca="1" si="275"/>
        <v>#N/A</v>
      </c>
      <c r="BD156" s="3" t="e">
        <f t="shared" ca="1" si="276"/>
        <v>#N/A</v>
      </c>
      <c r="BE156" s="3" t="e">
        <f t="shared" ca="1" si="277"/>
        <v>#N/A</v>
      </c>
      <c r="BF156" s="3" t="e">
        <f t="shared" ca="1" si="278"/>
        <v>#N/A</v>
      </c>
      <c r="BG156" s="3" t="e">
        <f t="shared" ca="1" si="279"/>
        <v>#N/A</v>
      </c>
      <c r="BI156" s="3" t="e">
        <f t="shared" ca="1" si="280"/>
        <v>#N/A</v>
      </c>
      <c r="BJ156" s="3" t="e">
        <f t="shared" ca="1" si="281"/>
        <v>#N/A</v>
      </c>
      <c r="BK156" s="3" t="e">
        <f t="shared" ca="1" si="282"/>
        <v>#N/A</v>
      </c>
      <c r="BL156" s="3" t="e">
        <f t="shared" ca="1" si="283"/>
        <v>#N/A</v>
      </c>
      <c r="BN156" s="3" t="e">
        <f t="shared" ca="1" si="284"/>
        <v>#N/A</v>
      </c>
      <c r="BO156" s="3" t="e">
        <f t="shared" ca="1" si="285"/>
        <v>#N/A</v>
      </c>
      <c r="BP156" s="3" t="e">
        <f t="shared" ca="1" si="286"/>
        <v>#N/A</v>
      </c>
      <c r="BQ156" s="3" t="e">
        <f t="shared" ca="1" si="287"/>
        <v>#N/A</v>
      </c>
      <c r="BS156" s="11" t="e">
        <v>#N/A</v>
      </c>
      <c r="BT156" s="11" t="e">
        <v>#N/A</v>
      </c>
      <c r="BU156" s="11" t="e">
        <v>#N/A</v>
      </c>
      <c r="BV156" s="11" t="e">
        <v>#N/A</v>
      </c>
      <c r="BX156" s="3" t="e">
        <f t="shared" ca="1" si="288"/>
        <v>#N/A</v>
      </c>
      <c r="BY156" s="3" t="e">
        <f t="shared" ca="1" si="289"/>
        <v>#N/A</v>
      </c>
      <c r="BZ156" s="3" t="e">
        <f t="shared" ca="1" si="290"/>
        <v>#N/A</v>
      </c>
      <c r="CA156" s="3" t="e">
        <f t="shared" ca="1" si="291"/>
        <v>#N/A</v>
      </c>
      <c r="CC156" s="3" t="e">
        <f t="shared" ca="1" si="292"/>
        <v>#N/A</v>
      </c>
      <c r="CD156" s="3" t="e">
        <f t="shared" ca="1" si="293"/>
        <v>#N/A</v>
      </c>
      <c r="CE156" s="3" t="e">
        <f t="shared" ca="1" si="294"/>
        <v>#N/A</v>
      </c>
      <c r="CF156" s="3" t="e">
        <f t="shared" ca="1" si="295"/>
        <v>#N/A</v>
      </c>
      <c r="CH156" s="3" t="e">
        <f t="shared" ca="1" si="296"/>
        <v>#N/A</v>
      </c>
      <c r="CI156" s="3" t="e">
        <f t="shared" ca="1" si="297"/>
        <v>#N/A</v>
      </c>
      <c r="CJ156" s="3" t="e">
        <f t="shared" ca="1" si="298"/>
        <v>#N/A</v>
      </c>
      <c r="CK156" s="3" t="e">
        <f t="shared" ca="1" si="299"/>
        <v>#N/A</v>
      </c>
      <c r="CM156" s="3" t="e">
        <f t="shared" ca="1" si="300"/>
        <v>#N/A</v>
      </c>
      <c r="CN156" s="3" t="e">
        <f t="shared" ca="1" si="301"/>
        <v>#N/A</v>
      </c>
      <c r="CO156" s="3" t="e">
        <f t="shared" ca="1" si="302"/>
        <v>#N/A</v>
      </c>
      <c r="CP156" s="3" t="e">
        <f t="shared" ca="1" si="303"/>
        <v>#N/A</v>
      </c>
      <c r="CR156" s="11" t="e">
        <v>#N/A</v>
      </c>
      <c r="CS156" s="11" t="e">
        <v>#N/A</v>
      </c>
      <c r="CT156" s="11" t="e">
        <v>#N/A</v>
      </c>
      <c r="CU156" s="11" t="e">
        <v>#N/A</v>
      </c>
      <c r="CV156" s="21" t="e">
        <f t="shared" ca="1" si="305"/>
        <v>#N/A</v>
      </c>
      <c r="CW156" s="16">
        <f t="shared" ca="1" si="304"/>
        <v>10.416666666666666</v>
      </c>
    </row>
    <row r="157" spans="1:101" s="5" customFormat="1" x14ac:dyDescent="0.35">
      <c r="A157" s="4" t="s">
        <v>132</v>
      </c>
      <c r="B157" s="4">
        <v>10.666666666666666</v>
      </c>
      <c r="C157" s="4" t="s">
        <v>168</v>
      </c>
      <c r="D157" s="4" t="s">
        <v>404</v>
      </c>
      <c r="E157" s="3"/>
      <c r="F157" s="5">
        <v>4.01</v>
      </c>
      <c r="G157" s="5">
        <v>3.0770000000000004</v>
      </c>
      <c r="H157" s="5">
        <v>4.0469999999999997</v>
      </c>
      <c r="I157" s="5">
        <v>0.33300000000000018</v>
      </c>
      <c r="K157" s="3">
        <f t="shared" ca="1" si="244"/>
        <v>0.93915211970074819</v>
      </c>
      <c r="L157" s="3">
        <f t="shared" ca="1" si="245"/>
        <v>0.80662983425414359</v>
      </c>
      <c r="M157" s="3">
        <f t="shared" ca="1" si="246"/>
        <v>0.99629355077835446</v>
      </c>
      <c r="N157" s="3" t="e">
        <f t="shared" ca="1" si="247"/>
        <v>#N/A</v>
      </c>
      <c r="P157" s="3">
        <f t="shared" ca="1" si="248"/>
        <v>0.80623442441819615</v>
      </c>
      <c r="Q157" s="3">
        <f t="shared" ca="1" si="249"/>
        <v>0.63340917476632974</v>
      </c>
      <c r="R157" s="3">
        <f t="shared" ca="1" si="250"/>
        <v>0.83963438032702642</v>
      </c>
      <c r="S157" s="3" t="e">
        <f t="shared" ca="1" si="251"/>
        <v>#N/A</v>
      </c>
      <c r="U157" s="3">
        <f t="shared" ca="1" si="252"/>
        <v>1.9950124688279303</v>
      </c>
      <c r="V157" s="3">
        <f t="shared" ca="1" si="253"/>
        <v>1.2999675008124796</v>
      </c>
      <c r="W157" s="3">
        <f t="shared" ca="1" si="254"/>
        <v>0.98838645910551037</v>
      </c>
      <c r="X157" s="3" t="e">
        <f t="shared" ca="1" si="255"/>
        <v>#N/A</v>
      </c>
      <c r="Z157" s="3">
        <f t="shared" ca="1" si="256"/>
        <v>0.19551122194513723</v>
      </c>
      <c r="AA157" s="3">
        <f t="shared" ca="1" si="257"/>
        <v>0.72018199545011374</v>
      </c>
      <c r="AB157" s="3">
        <f t="shared" ca="1" si="258"/>
        <v>0.83568075117370899</v>
      </c>
      <c r="AC157" s="3" t="e">
        <f t="shared" ca="1" si="259"/>
        <v>#N/A</v>
      </c>
      <c r="AE157" s="3">
        <f t="shared" ca="1" si="260"/>
        <v>0.23690774256451769</v>
      </c>
      <c r="AF157" s="3">
        <f t="shared" ca="1" si="261"/>
        <v>0.63340917476632974</v>
      </c>
      <c r="AG157" s="3">
        <f t="shared" ca="1" si="262"/>
        <v>0.83963438032702642</v>
      </c>
      <c r="AH157" s="3" t="e">
        <f t="shared" ca="1" si="263"/>
        <v>#N/A</v>
      </c>
      <c r="AJ157" s="3">
        <f t="shared" ca="1" si="264"/>
        <v>0.74812967581047385</v>
      </c>
      <c r="AK157" s="3">
        <f t="shared" ca="1" si="265"/>
        <v>1.2999675008124796</v>
      </c>
      <c r="AL157" s="3">
        <f t="shared" ca="1" si="266"/>
        <v>0.98838645910551037</v>
      </c>
      <c r="AM157" s="3" t="e">
        <f t="shared" ca="1" si="267"/>
        <v>#N/A</v>
      </c>
      <c r="AO157" s="3">
        <f t="shared" ca="1" si="268"/>
        <v>0.49875311720698257</v>
      </c>
      <c r="AP157" s="3">
        <f t="shared" ca="1" si="269"/>
        <v>1.2999675008124796</v>
      </c>
      <c r="AQ157" s="3">
        <f t="shared" ca="1" si="270"/>
        <v>0.98838645910551037</v>
      </c>
      <c r="AR157" s="3" t="e">
        <f t="shared" ca="1" si="271"/>
        <v>#N/A</v>
      </c>
      <c r="AT157" s="5">
        <v>2.0150001049041748</v>
      </c>
      <c r="AU157" s="5">
        <v>0.32699999213218689</v>
      </c>
      <c r="AV157" s="5">
        <v>1.0999999940395355E-2</v>
      </c>
      <c r="AW157" s="11" t="e">
        <v>#N/A</v>
      </c>
      <c r="AY157" s="3">
        <f t="shared" ca="1" si="272"/>
        <v>0</v>
      </c>
      <c r="AZ157" s="3">
        <f t="shared" ca="1" si="273"/>
        <v>0</v>
      </c>
      <c r="BA157" s="3">
        <f t="shared" ca="1" si="274"/>
        <v>0</v>
      </c>
      <c r="BB157" s="3" t="e">
        <f t="shared" ca="1" si="275"/>
        <v>#N/A</v>
      </c>
      <c r="BD157" s="3">
        <f t="shared" ca="1" si="276"/>
        <v>0</v>
      </c>
      <c r="BE157" s="3">
        <f t="shared" ca="1" si="277"/>
        <v>0</v>
      </c>
      <c r="BF157" s="3">
        <f t="shared" ca="1" si="278"/>
        <v>0</v>
      </c>
      <c r="BG157" s="3" t="e">
        <f t="shared" ca="1" si="279"/>
        <v>#N/A</v>
      </c>
      <c r="BI157" s="3">
        <f t="shared" ca="1" si="280"/>
        <v>0</v>
      </c>
      <c r="BJ157" s="3">
        <f t="shared" ca="1" si="281"/>
        <v>0</v>
      </c>
      <c r="BK157" s="3">
        <f t="shared" ca="1" si="282"/>
        <v>0</v>
      </c>
      <c r="BL157" s="3" t="e">
        <f t="shared" ca="1" si="283"/>
        <v>#N/A</v>
      </c>
      <c r="BN157" s="3">
        <f t="shared" ca="1" si="284"/>
        <v>0</v>
      </c>
      <c r="BO157" s="3">
        <f t="shared" ca="1" si="285"/>
        <v>0</v>
      </c>
      <c r="BP157" s="3">
        <f t="shared" ca="1" si="286"/>
        <v>0</v>
      </c>
      <c r="BQ157" s="3" t="e">
        <f t="shared" ca="1" si="287"/>
        <v>#N/A</v>
      </c>
      <c r="BS157" s="5">
        <v>4.01</v>
      </c>
      <c r="BT157" s="5">
        <v>4.0270000000000001</v>
      </c>
      <c r="BU157" s="5">
        <v>4.0469999999999997</v>
      </c>
      <c r="BV157" s="11" t="e">
        <v>#N/A</v>
      </c>
      <c r="BX157" s="3">
        <f t="shared" ca="1" si="288"/>
        <v>0</v>
      </c>
      <c r="BY157" s="3">
        <f t="shared" ca="1" si="289"/>
        <v>0</v>
      </c>
      <c r="BZ157" s="3">
        <f t="shared" ca="1" si="290"/>
        <v>0</v>
      </c>
      <c r="CA157" s="3" t="e">
        <f t="shared" ca="1" si="291"/>
        <v>#N/A</v>
      </c>
      <c r="CC157" s="3">
        <f t="shared" ca="1" si="292"/>
        <v>0</v>
      </c>
      <c r="CD157" s="3">
        <f t="shared" ca="1" si="293"/>
        <v>0</v>
      </c>
      <c r="CE157" s="3">
        <f t="shared" ca="1" si="294"/>
        <v>0</v>
      </c>
      <c r="CF157" s="3" t="e">
        <f t="shared" ca="1" si="295"/>
        <v>#N/A</v>
      </c>
      <c r="CH157" s="3">
        <f t="shared" ca="1" si="296"/>
        <v>0</v>
      </c>
      <c r="CI157" s="3">
        <f t="shared" ca="1" si="297"/>
        <v>0</v>
      </c>
      <c r="CJ157" s="3">
        <f t="shared" ca="1" si="298"/>
        <v>0</v>
      </c>
      <c r="CK157" s="3" t="e">
        <f t="shared" ca="1" si="299"/>
        <v>#N/A</v>
      </c>
      <c r="CM157" s="3">
        <f t="shared" ca="1" si="300"/>
        <v>0</v>
      </c>
      <c r="CN157" s="3">
        <f t="shared" ca="1" si="301"/>
        <v>0.64998375040623979</v>
      </c>
      <c r="CO157" s="3">
        <f t="shared" ca="1" si="302"/>
        <v>0</v>
      </c>
      <c r="CP157" s="3" t="e">
        <f t="shared" ca="1" si="303"/>
        <v>#N/A</v>
      </c>
      <c r="CR157" s="5">
        <v>4.01</v>
      </c>
      <c r="CS157" s="5">
        <v>4.0270000000000001</v>
      </c>
      <c r="CT157" s="5">
        <v>4.0469999999999997</v>
      </c>
      <c r="CU157" s="11" t="e">
        <v>#N/A</v>
      </c>
      <c r="CV157" s="21">
        <f t="shared" ca="1" si="305"/>
        <v>0</v>
      </c>
      <c r="CW157" s="16">
        <f t="shared" ca="1" si="304"/>
        <v>10.666666666666666</v>
      </c>
    </row>
    <row r="158" spans="1:101" s="5" customFormat="1" x14ac:dyDescent="0.35">
      <c r="A158" s="4" t="s">
        <v>137</v>
      </c>
      <c r="B158" s="4">
        <v>10.75</v>
      </c>
      <c r="C158" s="4" t="s">
        <v>168</v>
      </c>
      <c r="D158" s="4" t="s">
        <v>404</v>
      </c>
      <c r="E158" s="3"/>
      <c r="F158" s="5">
        <v>4.016</v>
      </c>
      <c r="G158" s="5">
        <v>4.01</v>
      </c>
      <c r="H158" s="5">
        <v>1.6219999999999999</v>
      </c>
      <c r="I158" s="5">
        <v>4.0149999999999997</v>
      </c>
      <c r="K158" s="3">
        <f t="shared" ca="1" si="244"/>
        <v>0.9952689243027889</v>
      </c>
      <c r="L158" s="3">
        <f t="shared" ca="1" si="245"/>
        <v>0.95162094763092275</v>
      </c>
      <c r="M158" s="3" t="e">
        <f t="shared" ca="1" si="246"/>
        <v>#N/A</v>
      </c>
      <c r="N158" s="3">
        <f t="shared" ca="1" si="247"/>
        <v>0.99601494396014945</v>
      </c>
      <c r="P158" s="3">
        <f t="shared" ca="1" si="248"/>
        <v>0.96240026279875779</v>
      </c>
      <c r="Q158" s="3">
        <f t="shared" ca="1" si="249"/>
        <v>0.63142141982206978</v>
      </c>
      <c r="R158" s="3" t="e">
        <f t="shared" ca="1" si="250"/>
        <v>#N/A</v>
      </c>
      <c r="S158" s="3">
        <f t="shared" ca="1" si="251"/>
        <v>0.75168117375146715</v>
      </c>
      <c r="U158" s="3">
        <f t="shared" ca="1" si="252"/>
        <v>1.9920318725099602</v>
      </c>
      <c r="V158" s="3">
        <f t="shared" ca="1" si="253"/>
        <v>1.9950124688279303</v>
      </c>
      <c r="W158" s="3" t="e">
        <f t="shared" ca="1" si="254"/>
        <v>#N/A</v>
      </c>
      <c r="X158" s="3">
        <f t="shared" ca="1" si="255"/>
        <v>2.4906600249066004</v>
      </c>
      <c r="Z158" s="3">
        <f t="shared" ca="1" si="256"/>
        <v>0.9952689243027889</v>
      </c>
      <c r="AA158" s="3">
        <f t="shared" ca="1" si="257"/>
        <v>0.88104738154613482</v>
      </c>
      <c r="AB158" s="3" t="e">
        <f t="shared" ca="1" si="258"/>
        <v>#N/A</v>
      </c>
      <c r="AC158" s="3">
        <f t="shared" ca="1" si="259"/>
        <v>0.9877957658779577</v>
      </c>
      <c r="AE158" s="3">
        <f t="shared" ca="1" si="260"/>
        <v>0.96240026279875779</v>
      </c>
      <c r="AF158" s="3">
        <f t="shared" ca="1" si="261"/>
        <v>0.63142141982206978</v>
      </c>
      <c r="AG158" s="3" t="e">
        <f t="shared" ca="1" si="262"/>
        <v>#N/A</v>
      </c>
      <c r="AH158" s="3">
        <f t="shared" ca="1" si="263"/>
        <v>0.75168117375146715</v>
      </c>
      <c r="AJ158" s="3">
        <f t="shared" ca="1" si="264"/>
        <v>1.9920318725099602</v>
      </c>
      <c r="AK158" s="3">
        <f t="shared" ca="1" si="265"/>
        <v>1.9950124688279303</v>
      </c>
      <c r="AL158" s="3" t="e">
        <f t="shared" ca="1" si="266"/>
        <v>#N/A</v>
      </c>
      <c r="AM158" s="3">
        <f t="shared" ca="1" si="267"/>
        <v>2.4906600249066004</v>
      </c>
      <c r="AO158" s="3">
        <f t="shared" ca="1" si="268"/>
        <v>0.24900398406374502</v>
      </c>
      <c r="AP158" s="3">
        <f t="shared" ca="1" si="269"/>
        <v>0.49875311720698257</v>
      </c>
      <c r="AQ158" s="3" t="e">
        <f t="shared" ca="1" si="270"/>
        <v>#N/A</v>
      </c>
      <c r="AR158" s="3">
        <f t="shared" ca="1" si="271"/>
        <v>0.4981320049813201</v>
      </c>
      <c r="AT158" s="5">
        <v>6.0000000521540642E-3</v>
      </c>
      <c r="AU158" s="5">
        <v>1.0999999940395355E-2</v>
      </c>
      <c r="AV158" s="11" t="e">
        <v>#N/A</v>
      </c>
      <c r="AW158" s="5">
        <v>4.999999888241291E-3</v>
      </c>
      <c r="AY158" s="3">
        <f t="shared" ca="1" si="272"/>
        <v>0.6927290836653387</v>
      </c>
      <c r="AZ158" s="3">
        <f t="shared" ca="1" si="273"/>
        <v>0.25336658354114716</v>
      </c>
      <c r="BA158" s="3" t="e">
        <f t="shared" ca="1" si="274"/>
        <v>#N/A</v>
      </c>
      <c r="BB158" s="3">
        <f t="shared" ca="1" si="275"/>
        <v>0.49414694894146932</v>
      </c>
      <c r="BD158" s="3">
        <f t="shared" ca="1" si="276"/>
        <v>0.73007952382016283</v>
      </c>
      <c r="BE158" s="3">
        <f t="shared" ca="1" si="277"/>
        <v>0.34912719282128868</v>
      </c>
      <c r="BF158" s="3" t="e">
        <f t="shared" ca="1" si="278"/>
        <v>#N/A</v>
      </c>
      <c r="BG158" s="3">
        <f t="shared" ca="1" si="279"/>
        <v>0.48592774983806303</v>
      </c>
      <c r="BI158" s="3">
        <f t="shared" ca="1" si="280"/>
        <v>1.2450199203187251</v>
      </c>
      <c r="BJ158" s="3">
        <f t="shared" ca="1" si="281"/>
        <v>0.49875311720698257</v>
      </c>
      <c r="BK158" s="3" t="e">
        <f t="shared" ca="1" si="282"/>
        <v>#N/A</v>
      </c>
      <c r="BL158" s="3">
        <f t="shared" ca="1" si="283"/>
        <v>1.7434620174346203</v>
      </c>
      <c r="BN158" s="3">
        <f t="shared" ca="1" si="284"/>
        <v>0.99601593625498008</v>
      </c>
      <c r="BO158" s="3">
        <f t="shared" ca="1" si="285"/>
        <v>0.49875311720698257</v>
      </c>
      <c r="BP158" s="3" t="e">
        <f t="shared" ca="1" si="286"/>
        <v>#N/A</v>
      </c>
      <c r="BQ158" s="3">
        <f t="shared" ca="1" si="287"/>
        <v>0.9962640099626402</v>
      </c>
      <c r="BS158" s="5">
        <v>6.0000000521540642E-3</v>
      </c>
      <c r="BT158" s="5">
        <v>1.0999999940395355E-2</v>
      </c>
      <c r="BU158" s="11" t="e">
        <v>#N/A</v>
      </c>
      <c r="BV158" s="5">
        <v>0.67100000381469727</v>
      </c>
      <c r="BX158" s="3">
        <f t="shared" ca="1" si="288"/>
        <v>2.9133466135458166E-2</v>
      </c>
      <c r="BY158" s="3">
        <f t="shared" ca="1" si="289"/>
        <v>0</v>
      </c>
      <c r="BZ158" s="3" t="e">
        <f t="shared" ca="1" si="290"/>
        <v>#N/A</v>
      </c>
      <c r="CA158" s="3">
        <f t="shared" ca="1" si="291"/>
        <v>0</v>
      </c>
      <c r="CC158" s="3">
        <f t="shared" ca="1" si="292"/>
        <v>0</v>
      </c>
      <c r="CD158" s="3">
        <f t="shared" ca="1" si="293"/>
        <v>0</v>
      </c>
      <c r="CE158" s="3" t="e">
        <f t="shared" ca="1" si="294"/>
        <v>#N/A</v>
      </c>
      <c r="CF158" s="3">
        <f t="shared" ca="1" si="295"/>
        <v>0</v>
      </c>
      <c r="CH158" s="3">
        <f t="shared" ca="1" si="296"/>
        <v>0</v>
      </c>
      <c r="CI158" s="3">
        <f t="shared" ca="1" si="297"/>
        <v>0</v>
      </c>
      <c r="CJ158" s="3" t="e">
        <f t="shared" ca="1" si="298"/>
        <v>#N/A</v>
      </c>
      <c r="CK158" s="3">
        <f t="shared" ca="1" si="299"/>
        <v>0</v>
      </c>
      <c r="CM158" s="3">
        <f t="shared" ca="1" si="300"/>
        <v>0.49800796812749004</v>
      </c>
      <c r="CN158" s="3">
        <f t="shared" ca="1" si="301"/>
        <v>0.24937655860349128</v>
      </c>
      <c r="CO158" s="3" t="e">
        <f t="shared" ca="1" si="302"/>
        <v>#N/A</v>
      </c>
      <c r="CP158" s="3">
        <f t="shared" ca="1" si="303"/>
        <v>0.24906600249066005</v>
      </c>
      <c r="CR158" s="5">
        <v>4.016</v>
      </c>
      <c r="CS158" s="5">
        <v>4.01</v>
      </c>
      <c r="CT158" s="11" t="e">
        <v>#N/A</v>
      </c>
      <c r="CU158" s="5">
        <v>4.0149999999999997</v>
      </c>
      <c r="CV158" s="21" t="e">
        <f t="shared" ca="1" si="305"/>
        <v>#N/A</v>
      </c>
      <c r="CW158" s="16">
        <f t="shared" ca="1" si="304"/>
        <v>10.75</v>
      </c>
    </row>
    <row r="159" spans="1:101" s="5" customFormat="1" x14ac:dyDescent="0.35">
      <c r="A159" s="4" t="s">
        <v>149</v>
      </c>
      <c r="B159" s="4">
        <v>11.166666666666666</v>
      </c>
      <c r="C159" s="4" t="s">
        <v>168</v>
      </c>
      <c r="D159" s="4" t="s">
        <v>404</v>
      </c>
      <c r="E159" s="3"/>
      <c r="F159" s="5">
        <v>4.016</v>
      </c>
      <c r="G159" s="5">
        <v>4.016</v>
      </c>
      <c r="H159" s="5">
        <v>4.016</v>
      </c>
      <c r="I159" s="5">
        <v>4.0149999999999997</v>
      </c>
      <c r="K159" s="3">
        <f t="shared" ca="1" si="244"/>
        <v>0.83814741035856577</v>
      </c>
      <c r="L159" s="3">
        <f t="shared" ca="1" si="245"/>
        <v>0.99576693227091628</v>
      </c>
      <c r="M159" s="3">
        <f t="shared" ca="1" si="246"/>
        <v>0.99576693227091639</v>
      </c>
      <c r="N159" s="3">
        <f t="shared" ca="1" si="247"/>
        <v>0.9962640099626402</v>
      </c>
      <c r="P159" s="3">
        <f t="shared" ca="1" si="248"/>
        <v>0.77564735336607671</v>
      </c>
      <c r="Q159" s="3">
        <f t="shared" ca="1" si="249"/>
        <v>0.99153384108066678</v>
      </c>
      <c r="R159" s="3">
        <f t="shared" ca="1" si="250"/>
        <v>0.92529891377901174</v>
      </c>
      <c r="S159" s="3">
        <f t="shared" ca="1" si="251"/>
        <v>0.92154427258713023</v>
      </c>
      <c r="U159" s="3">
        <f t="shared" ca="1" si="252"/>
        <v>1.4940239043824701</v>
      </c>
      <c r="V159" s="3">
        <f t="shared" ca="1" si="253"/>
        <v>0.49800796812749004</v>
      </c>
      <c r="W159" s="3">
        <f t="shared" ca="1" si="254"/>
        <v>2.9880478087649402</v>
      </c>
      <c r="X159" s="3">
        <f t="shared" ca="1" si="255"/>
        <v>1.7434620174346203</v>
      </c>
      <c r="Z159" s="3">
        <f t="shared" ca="1" si="256"/>
        <v>0.24477091633466136</v>
      </c>
      <c r="AA159" s="3">
        <f t="shared" ca="1" si="257"/>
        <v>0.99576693227091628</v>
      </c>
      <c r="AB159" s="3">
        <f t="shared" ca="1" si="258"/>
        <v>0.89616533864541836</v>
      </c>
      <c r="AC159" s="3">
        <f t="shared" ca="1" si="259"/>
        <v>0.7930261519302616</v>
      </c>
      <c r="AE159" s="3">
        <f t="shared" ca="1" si="260"/>
        <v>0.2198704922816668</v>
      </c>
      <c r="AF159" s="3">
        <f t="shared" ca="1" si="261"/>
        <v>0.99153384108066678</v>
      </c>
      <c r="AG159" s="3">
        <f t="shared" ca="1" si="262"/>
        <v>0.85059771559152941</v>
      </c>
      <c r="AH159" s="3">
        <f t="shared" ca="1" si="263"/>
        <v>0.71830641835519715</v>
      </c>
      <c r="AJ159" s="3">
        <f t="shared" ca="1" si="264"/>
        <v>0.49800796812749004</v>
      </c>
      <c r="AK159" s="3">
        <f t="shared" ca="1" si="265"/>
        <v>0.49800796812749004</v>
      </c>
      <c r="AL159" s="3">
        <f t="shared" ca="1" si="266"/>
        <v>2.739043824701195</v>
      </c>
      <c r="AM159" s="3">
        <f t="shared" ca="1" si="267"/>
        <v>1.2453300124533002</v>
      </c>
      <c r="AO159" s="3">
        <f t="shared" ca="1" si="268"/>
        <v>0.49800796812749004</v>
      </c>
      <c r="AP159" s="3">
        <f t="shared" ca="1" si="269"/>
        <v>0.24900398406374502</v>
      </c>
      <c r="AQ159" s="3">
        <f t="shared" ca="1" si="270"/>
        <v>0.24900398406374502</v>
      </c>
      <c r="AR159" s="3">
        <f t="shared" ca="1" si="271"/>
        <v>0.74719800747198017</v>
      </c>
      <c r="AT159" s="5">
        <v>0.38999998569488525</v>
      </c>
      <c r="AU159" s="5">
        <v>1.6000000759959221E-2</v>
      </c>
      <c r="AV159" s="5">
        <v>0.41699999570846558</v>
      </c>
      <c r="AW159" s="5">
        <v>1.4000000432133675E-2</v>
      </c>
      <c r="AY159" s="3">
        <f t="shared" ca="1" si="272"/>
        <v>4.1334661354581657E-2</v>
      </c>
      <c r="AZ159" s="3">
        <f t="shared" ca="1" si="273"/>
        <v>0.50597609561752988</v>
      </c>
      <c r="BA159" s="3">
        <f t="shared" ca="1" si="274"/>
        <v>0.19920318725099603</v>
      </c>
      <c r="BB159" s="3">
        <f t="shared" ca="1" si="275"/>
        <v>0.298879202988792</v>
      </c>
      <c r="BD159" s="3">
        <f t="shared" ca="1" si="276"/>
        <v>0</v>
      </c>
      <c r="BE159" s="3">
        <f t="shared" ca="1" si="277"/>
        <v>0.35682267164329134</v>
      </c>
      <c r="BF159" s="3">
        <f t="shared" ca="1" si="278"/>
        <v>0.24900398406374502</v>
      </c>
      <c r="BG159" s="3">
        <f t="shared" ca="1" si="279"/>
        <v>0.34470735523724472</v>
      </c>
      <c r="BI159" s="3">
        <f t="shared" ca="1" si="280"/>
        <v>0</v>
      </c>
      <c r="BJ159" s="3">
        <f t="shared" ca="1" si="281"/>
        <v>0.24900398406374502</v>
      </c>
      <c r="BK159" s="3">
        <f t="shared" ca="1" si="282"/>
        <v>0.49800796812749004</v>
      </c>
      <c r="BL159" s="3">
        <f t="shared" ca="1" si="283"/>
        <v>0.4981320049813201</v>
      </c>
      <c r="BN159" s="3">
        <f t="shared" ca="1" si="284"/>
        <v>0.24900398406374502</v>
      </c>
      <c r="BO159" s="3">
        <f t="shared" ca="1" si="285"/>
        <v>0.99601593625498008</v>
      </c>
      <c r="BP159" s="3">
        <f t="shared" ca="1" si="286"/>
        <v>0.49800796812749004</v>
      </c>
      <c r="BQ159" s="3">
        <f t="shared" ca="1" si="287"/>
        <v>0.4981320049813201</v>
      </c>
      <c r="BS159" s="5">
        <v>4.016</v>
      </c>
      <c r="BT159" s="5">
        <v>2.5820000171661377</v>
      </c>
      <c r="BU159" s="5">
        <v>1.3170000314712524</v>
      </c>
      <c r="BV159" s="5">
        <v>1.4000000432133675E-2</v>
      </c>
      <c r="BX159" s="3">
        <f t="shared" ca="1" si="288"/>
        <v>0</v>
      </c>
      <c r="BY159" s="3">
        <f t="shared" ca="1" si="289"/>
        <v>0</v>
      </c>
      <c r="BZ159" s="3">
        <f t="shared" ca="1" si="290"/>
        <v>0</v>
      </c>
      <c r="CA159" s="3">
        <f t="shared" ca="1" si="291"/>
        <v>0</v>
      </c>
      <c r="CC159" s="3">
        <f t="shared" ca="1" si="292"/>
        <v>0</v>
      </c>
      <c r="CD159" s="3">
        <f t="shared" ca="1" si="293"/>
        <v>0</v>
      </c>
      <c r="CE159" s="3">
        <f t="shared" ca="1" si="294"/>
        <v>0</v>
      </c>
      <c r="CF159" s="3">
        <f t="shared" ca="1" si="295"/>
        <v>0</v>
      </c>
      <c r="CH159" s="3">
        <f t="shared" ca="1" si="296"/>
        <v>0</v>
      </c>
      <c r="CI159" s="3">
        <f t="shared" ca="1" si="297"/>
        <v>0</v>
      </c>
      <c r="CJ159" s="3">
        <f t="shared" ca="1" si="298"/>
        <v>0</v>
      </c>
      <c r="CK159" s="3">
        <f t="shared" ca="1" si="299"/>
        <v>0</v>
      </c>
      <c r="CM159" s="3">
        <f t="shared" ca="1" si="300"/>
        <v>0</v>
      </c>
      <c r="CN159" s="3">
        <f t="shared" ca="1" si="301"/>
        <v>0</v>
      </c>
      <c r="CO159" s="3">
        <f t="shared" ca="1" si="302"/>
        <v>0</v>
      </c>
      <c r="CP159" s="3">
        <f t="shared" ca="1" si="303"/>
        <v>0</v>
      </c>
      <c r="CR159" s="5">
        <v>4.016</v>
      </c>
      <c r="CS159" s="5">
        <v>4.016</v>
      </c>
      <c r="CT159" s="5">
        <v>4.016</v>
      </c>
      <c r="CU159" s="5">
        <v>4.0149999999999997</v>
      </c>
      <c r="CV159" s="21">
        <f t="shared" ca="1" si="305"/>
        <v>0.24900398406374502</v>
      </c>
      <c r="CW159" s="16">
        <f t="shared" ca="1" si="304"/>
        <v>11.166666666666666</v>
      </c>
    </row>
    <row r="160" spans="1:101" s="5" customFormat="1" x14ac:dyDescent="0.35">
      <c r="A160" s="4" t="s">
        <v>125</v>
      </c>
      <c r="B160" s="4">
        <v>11.333333333333334</v>
      </c>
      <c r="C160" s="4" t="s">
        <v>168</v>
      </c>
      <c r="D160" s="4" t="s">
        <v>404</v>
      </c>
      <c r="E160" s="3"/>
      <c r="F160" s="5">
        <v>3.0969999999999995</v>
      </c>
      <c r="G160" s="5">
        <v>4.01</v>
      </c>
      <c r="H160" s="5">
        <v>2.468</v>
      </c>
      <c r="I160" s="11" t="e">
        <v>#N/A</v>
      </c>
      <c r="K160" s="3">
        <f t="shared" ca="1" si="244"/>
        <v>0.9899903132063288</v>
      </c>
      <c r="L160" s="3">
        <f t="shared" ca="1" si="245"/>
        <v>0.8476309226932669</v>
      </c>
      <c r="M160" s="3">
        <f t="shared" ca="1" si="246"/>
        <v>0.99918962722852522</v>
      </c>
      <c r="N160" s="3" t="e">
        <f t="shared" ca="1" si="247"/>
        <v>#N/A</v>
      </c>
      <c r="P160" s="3">
        <f t="shared" ca="1" si="248"/>
        <v>0.57022936562780502</v>
      </c>
      <c r="Q160" s="3">
        <f t="shared" ca="1" si="249"/>
        <v>0.34513715793961602</v>
      </c>
      <c r="R160" s="3">
        <f t="shared" ca="1" si="250"/>
        <v>0.57374390917249041</v>
      </c>
      <c r="S160" s="3" t="e">
        <f t="shared" ca="1" si="251"/>
        <v>#N/A</v>
      </c>
      <c r="U160" s="3">
        <f t="shared" ca="1" si="252"/>
        <v>3.2289312237649344</v>
      </c>
      <c r="V160" s="3">
        <f t="shared" ca="1" si="253"/>
        <v>1.745635910224439</v>
      </c>
      <c r="W160" s="3">
        <f t="shared" ca="1" si="254"/>
        <v>2.4311183144246353</v>
      </c>
      <c r="X160" s="3" t="e">
        <f t="shared" ca="1" si="255"/>
        <v>#N/A</v>
      </c>
      <c r="Z160" s="3">
        <f t="shared" ca="1" si="256"/>
        <v>0.6512754278333871</v>
      </c>
      <c r="AA160" s="3">
        <f t="shared" ca="1" si="257"/>
        <v>0.49451371571072322</v>
      </c>
      <c r="AB160" s="3">
        <f t="shared" ca="1" si="258"/>
        <v>0.99918962722852522</v>
      </c>
      <c r="AC160" s="3" t="e">
        <f t="shared" ca="1" si="259"/>
        <v>#N/A</v>
      </c>
      <c r="AE160" s="3">
        <f t="shared" ca="1" si="260"/>
        <v>0.43041662974322198</v>
      </c>
      <c r="AF160" s="3">
        <f t="shared" ca="1" si="261"/>
        <v>0.15411470596332502</v>
      </c>
      <c r="AG160" s="3">
        <f t="shared" ca="1" si="262"/>
        <v>0.57374390917249041</v>
      </c>
      <c r="AH160" s="3" t="e">
        <f t="shared" ca="1" si="263"/>
        <v>#N/A</v>
      </c>
      <c r="AJ160" s="3">
        <f t="shared" ca="1" si="264"/>
        <v>2.5831449790119474</v>
      </c>
      <c r="AK160" s="3">
        <f t="shared" ca="1" si="265"/>
        <v>0.99750623441396513</v>
      </c>
      <c r="AL160" s="3">
        <f t="shared" ca="1" si="266"/>
        <v>2.4311183144246353</v>
      </c>
      <c r="AM160" s="3" t="e">
        <f t="shared" ca="1" si="267"/>
        <v>#N/A</v>
      </c>
      <c r="AO160" s="3">
        <f t="shared" ca="1" si="268"/>
        <v>2.2602518566354539</v>
      </c>
      <c r="AP160" s="3">
        <f t="shared" ca="1" si="269"/>
        <v>0.74812967581047385</v>
      </c>
      <c r="AQ160" s="3">
        <f t="shared" ca="1" si="270"/>
        <v>0.4051863857374392</v>
      </c>
      <c r="AR160" s="3" t="e">
        <f t="shared" ca="1" si="271"/>
        <v>#N/A</v>
      </c>
      <c r="AT160" s="5">
        <v>0.4309999942779541</v>
      </c>
      <c r="AU160" s="5">
        <v>0.18299999833106995</v>
      </c>
      <c r="AV160" s="5">
        <v>2.0000000949949026E-3</v>
      </c>
      <c r="AW160" s="11" t="e">
        <v>#N/A</v>
      </c>
      <c r="AY160" s="3">
        <f t="shared" ca="1" si="272"/>
        <v>0.15628027123022281</v>
      </c>
      <c r="AZ160" s="3">
        <f t="shared" ca="1" si="273"/>
        <v>2.9177057356608471E-2</v>
      </c>
      <c r="BA160" s="3">
        <f t="shared" ca="1" si="274"/>
        <v>6.7260940032414868E-2</v>
      </c>
      <c r="BB160" s="3" t="e">
        <f t="shared" ca="1" si="275"/>
        <v>#N/A</v>
      </c>
      <c r="BD160" s="3">
        <f t="shared" ca="1" si="276"/>
        <v>0.12915726049815529</v>
      </c>
      <c r="BE160" s="3">
        <f t="shared" ca="1" si="277"/>
        <v>0</v>
      </c>
      <c r="BF160" s="3">
        <f t="shared" ca="1" si="278"/>
        <v>0</v>
      </c>
      <c r="BG160" s="3" t="e">
        <f t="shared" ca="1" si="279"/>
        <v>#N/A</v>
      </c>
      <c r="BI160" s="3">
        <f t="shared" ca="1" si="280"/>
        <v>0.64578624475298685</v>
      </c>
      <c r="BJ160" s="3">
        <f t="shared" ca="1" si="281"/>
        <v>0</v>
      </c>
      <c r="BK160" s="3">
        <f t="shared" ca="1" si="282"/>
        <v>0</v>
      </c>
      <c r="BL160" s="3" t="e">
        <f t="shared" ca="1" si="283"/>
        <v>#N/A</v>
      </c>
      <c r="BN160" s="3">
        <f t="shared" ca="1" si="284"/>
        <v>1.9373587342589607</v>
      </c>
      <c r="BO160" s="3">
        <f t="shared" ca="1" si="285"/>
        <v>1.2468827930174564</v>
      </c>
      <c r="BP160" s="3">
        <f t="shared" ca="1" si="286"/>
        <v>2.8363047001620747</v>
      </c>
      <c r="BQ160" s="3" t="e">
        <f t="shared" ca="1" si="287"/>
        <v>#N/A</v>
      </c>
      <c r="BS160" s="5">
        <v>0.6809999942779541</v>
      </c>
      <c r="BT160" s="5">
        <v>4.01</v>
      </c>
      <c r="BU160" s="5">
        <v>4.0110000000000001</v>
      </c>
      <c r="BV160" s="11" t="e">
        <v>#N/A</v>
      </c>
      <c r="BX160" s="3">
        <f t="shared" ca="1" si="288"/>
        <v>1.0655473038424257E-2</v>
      </c>
      <c r="BY160" s="3">
        <f t="shared" ca="1" si="289"/>
        <v>0</v>
      </c>
      <c r="BZ160" s="3">
        <f t="shared" ca="1" si="290"/>
        <v>0.23622366288492702</v>
      </c>
      <c r="CA160" s="3" t="e">
        <f t="shared" ca="1" si="291"/>
        <v>#N/A</v>
      </c>
      <c r="CC160" s="3">
        <f t="shared" ca="1" si="292"/>
        <v>0</v>
      </c>
      <c r="CD160" s="3">
        <f t="shared" ca="1" si="293"/>
        <v>0</v>
      </c>
      <c r="CE160" s="3">
        <f t="shared" ca="1" si="294"/>
        <v>0.23622368877478897</v>
      </c>
      <c r="CF160" s="3" t="e">
        <f t="shared" ca="1" si="295"/>
        <v>#N/A</v>
      </c>
      <c r="CH160" s="3">
        <f t="shared" ca="1" si="296"/>
        <v>0</v>
      </c>
      <c r="CI160" s="3">
        <f t="shared" ca="1" si="297"/>
        <v>0</v>
      </c>
      <c r="CJ160" s="3">
        <f t="shared" ca="1" si="298"/>
        <v>1.2155591572123177</v>
      </c>
      <c r="CK160" s="3" t="e">
        <f t="shared" ca="1" si="299"/>
        <v>#N/A</v>
      </c>
      <c r="CM160" s="3">
        <f t="shared" ca="1" si="300"/>
        <v>0.32289312237649342</v>
      </c>
      <c r="CN160" s="3">
        <f t="shared" ca="1" si="301"/>
        <v>0.24937655860349128</v>
      </c>
      <c r="CO160" s="3">
        <f t="shared" ca="1" si="302"/>
        <v>2.025931928687196</v>
      </c>
      <c r="CP160" s="3" t="e">
        <f t="shared" ca="1" si="303"/>
        <v>#N/A</v>
      </c>
      <c r="CR160" s="5">
        <v>4.0129999999999999</v>
      </c>
      <c r="CS160" s="5">
        <v>4.01</v>
      </c>
      <c r="CT160" s="5">
        <v>1.2680000066757202</v>
      </c>
      <c r="CU160" s="11" t="e">
        <v>#N/A</v>
      </c>
      <c r="CV160" s="21">
        <f t="shared" ca="1" si="305"/>
        <v>0</v>
      </c>
      <c r="CW160" s="16">
        <f t="shared" ca="1" si="304"/>
        <v>11.333333333333334</v>
      </c>
    </row>
    <row r="161" spans="1:101" s="5" customFormat="1" x14ac:dyDescent="0.35">
      <c r="A161" s="4" t="s">
        <v>102</v>
      </c>
      <c r="B161" s="4">
        <v>11.833333333333334</v>
      </c>
      <c r="C161" s="4" t="s">
        <v>168</v>
      </c>
      <c r="D161" s="4" t="s">
        <v>404</v>
      </c>
      <c r="E161" s="3"/>
      <c r="F161" s="5">
        <v>4.01</v>
      </c>
      <c r="G161" s="11" t="e">
        <v>#N/A</v>
      </c>
      <c r="H161" s="11" t="e">
        <v>#N/A</v>
      </c>
      <c r="I161" s="5">
        <v>1.9319999999999995</v>
      </c>
      <c r="K161" s="3">
        <f t="shared" ca="1" si="244"/>
        <v>0.90573566084788038</v>
      </c>
      <c r="L161" s="3" t="e">
        <f t="shared" ca="1" si="245"/>
        <v>#N/A</v>
      </c>
      <c r="M161" s="3" t="e">
        <f t="shared" ca="1" si="246"/>
        <v>#N/A</v>
      </c>
      <c r="N161" s="3" t="e">
        <f t="shared" ca="1" si="247"/>
        <v>#N/A</v>
      </c>
      <c r="P161" s="3">
        <f t="shared" ca="1" si="248"/>
        <v>0.59850371101327671</v>
      </c>
      <c r="Q161" s="3" t="e">
        <f t="shared" ca="1" si="249"/>
        <v>#N/A</v>
      </c>
      <c r="R161" s="3" t="e">
        <f t="shared" ca="1" si="250"/>
        <v>#N/A</v>
      </c>
      <c r="S161" s="3" t="e">
        <f t="shared" ca="1" si="251"/>
        <v>#N/A</v>
      </c>
      <c r="U161" s="3">
        <f t="shared" ca="1" si="252"/>
        <v>2.2443890274314215</v>
      </c>
      <c r="V161" s="3" t="e">
        <f t="shared" ca="1" si="253"/>
        <v>#N/A</v>
      </c>
      <c r="W161" s="3" t="e">
        <f t="shared" ca="1" si="254"/>
        <v>#N/A</v>
      </c>
      <c r="X161" s="3" t="e">
        <f t="shared" ca="1" si="255"/>
        <v>#N/A</v>
      </c>
      <c r="Z161" s="3">
        <f t="shared" ca="1" si="256"/>
        <v>0.69825436408977559</v>
      </c>
      <c r="AA161" s="3" t="e">
        <f t="shared" ca="1" si="257"/>
        <v>#N/A</v>
      </c>
      <c r="AB161" s="3" t="e">
        <f t="shared" ca="1" si="258"/>
        <v>#N/A</v>
      </c>
      <c r="AC161" s="3" t="e">
        <f t="shared" ca="1" si="259"/>
        <v>#N/A</v>
      </c>
      <c r="AE161" s="3">
        <f t="shared" ca="1" si="260"/>
        <v>0.59850371101327671</v>
      </c>
      <c r="AF161" s="3" t="e">
        <f t="shared" ca="1" si="261"/>
        <v>#N/A</v>
      </c>
      <c r="AG161" s="3" t="e">
        <f t="shared" ca="1" si="262"/>
        <v>#N/A</v>
      </c>
      <c r="AH161" s="3" t="e">
        <f t="shared" ca="1" si="263"/>
        <v>#N/A</v>
      </c>
      <c r="AJ161" s="3">
        <f t="shared" ca="1" si="264"/>
        <v>2.2443890274314215</v>
      </c>
      <c r="AK161" s="3" t="e">
        <f t="shared" ca="1" si="265"/>
        <v>#N/A</v>
      </c>
      <c r="AL161" s="3" t="e">
        <f t="shared" ca="1" si="266"/>
        <v>#N/A</v>
      </c>
      <c r="AM161" s="3" t="e">
        <f t="shared" ca="1" si="267"/>
        <v>#N/A</v>
      </c>
      <c r="AO161" s="3">
        <f t="shared" ca="1" si="268"/>
        <v>0.49875311720698257</v>
      </c>
      <c r="AP161" s="3" t="e">
        <f t="shared" ca="1" si="269"/>
        <v>#N/A</v>
      </c>
      <c r="AQ161" s="3" t="e">
        <f t="shared" ca="1" si="270"/>
        <v>#N/A</v>
      </c>
      <c r="AR161" s="3" t="e">
        <f t="shared" ca="1" si="271"/>
        <v>#N/A</v>
      </c>
      <c r="AT161" s="5">
        <v>1.2000000104308128E-2</v>
      </c>
      <c r="AU161" s="11" t="e">
        <v>#N/A</v>
      </c>
      <c r="AV161" s="11" t="e">
        <v>#N/A</v>
      </c>
      <c r="AW161" s="11" t="e">
        <v>#N/A</v>
      </c>
      <c r="AY161" s="3">
        <f t="shared" ca="1" si="272"/>
        <v>0.27830423940149623</v>
      </c>
      <c r="AZ161" s="3" t="e">
        <f t="shared" ca="1" si="273"/>
        <v>#N/A</v>
      </c>
      <c r="BA161" s="3" t="e">
        <f t="shared" ca="1" si="274"/>
        <v>#N/A</v>
      </c>
      <c r="BB161" s="3" t="e">
        <f t="shared" ca="1" si="275"/>
        <v>#N/A</v>
      </c>
      <c r="BD161" s="3">
        <f t="shared" ca="1" si="276"/>
        <v>0.28703239493239252</v>
      </c>
      <c r="BE161" s="3" t="e">
        <f t="shared" ca="1" si="277"/>
        <v>#N/A</v>
      </c>
      <c r="BF161" s="3" t="e">
        <f t="shared" ca="1" si="278"/>
        <v>#N/A</v>
      </c>
      <c r="BG161" s="3" t="e">
        <f t="shared" ca="1" si="279"/>
        <v>#N/A</v>
      </c>
      <c r="BI161" s="3">
        <f t="shared" ca="1" si="280"/>
        <v>0.74812967581047385</v>
      </c>
      <c r="BJ161" s="3" t="e">
        <f t="shared" ca="1" si="281"/>
        <v>#N/A</v>
      </c>
      <c r="BK161" s="3" t="e">
        <f t="shared" ca="1" si="282"/>
        <v>#N/A</v>
      </c>
      <c r="BL161" s="3" t="e">
        <f t="shared" ca="1" si="283"/>
        <v>#N/A</v>
      </c>
      <c r="BN161" s="3">
        <f t="shared" ca="1" si="284"/>
        <v>0.74812967581047385</v>
      </c>
      <c r="BO161" s="3" t="e">
        <f t="shared" ca="1" si="285"/>
        <v>#N/A</v>
      </c>
      <c r="BP161" s="3" t="e">
        <f t="shared" ca="1" si="286"/>
        <v>#N/A</v>
      </c>
      <c r="BQ161" s="3" t="e">
        <f t="shared" ca="1" si="287"/>
        <v>#N/A</v>
      </c>
      <c r="BS161" s="5">
        <v>1.1779999732971191</v>
      </c>
      <c r="BT161" s="11" t="e">
        <v>#N/A</v>
      </c>
      <c r="BU161" s="11" t="e">
        <v>#N/A</v>
      </c>
      <c r="BV161" s="11" t="e">
        <v>#N/A</v>
      </c>
      <c r="BX161" s="3">
        <f t="shared" ca="1" si="288"/>
        <v>0.15810473815461348</v>
      </c>
      <c r="BY161" s="3" t="e">
        <f t="shared" ca="1" si="289"/>
        <v>#N/A</v>
      </c>
      <c r="BZ161" s="3" t="e">
        <f t="shared" ca="1" si="290"/>
        <v>#N/A</v>
      </c>
      <c r="CA161" s="3" t="e">
        <f t="shared" ca="1" si="291"/>
        <v>#N/A</v>
      </c>
      <c r="CC161" s="3">
        <f t="shared" ca="1" si="292"/>
        <v>0.16608479620884184</v>
      </c>
      <c r="CD161" s="3" t="e">
        <f t="shared" ca="1" si="293"/>
        <v>#N/A</v>
      </c>
      <c r="CE161" s="3" t="e">
        <f t="shared" ca="1" si="294"/>
        <v>#N/A</v>
      </c>
      <c r="CF161" s="3" t="e">
        <f t="shared" ca="1" si="295"/>
        <v>#N/A</v>
      </c>
      <c r="CH161" s="3">
        <f t="shared" ca="1" si="296"/>
        <v>0.49875311720698257</v>
      </c>
      <c r="CI161" s="3" t="e">
        <f t="shared" ca="1" si="297"/>
        <v>#N/A</v>
      </c>
      <c r="CJ161" s="3" t="e">
        <f t="shared" ca="1" si="298"/>
        <v>#N/A</v>
      </c>
      <c r="CK161" s="3" t="e">
        <f t="shared" ca="1" si="299"/>
        <v>#N/A</v>
      </c>
      <c r="CM161" s="3">
        <f t="shared" ca="1" si="300"/>
        <v>0.49875311720698257</v>
      </c>
      <c r="CN161" s="3" t="e">
        <f t="shared" ca="1" si="301"/>
        <v>#N/A</v>
      </c>
      <c r="CO161" s="3" t="e">
        <f t="shared" ca="1" si="302"/>
        <v>#N/A</v>
      </c>
      <c r="CP161" s="3" t="e">
        <f t="shared" ca="1" si="303"/>
        <v>#N/A</v>
      </c>
      <c r="CR161" s="5">
        <v>1.2000000104308128E-2</v>
      </c>
      <c r="CS161" s="11" t="e">
        <v>#N/A</v>
      </c>
      <c r="CT161" s="11" t="e">
        <v>#N/A</v>
      </c>
      <c r="CU161" s="11" t="e">
        <v>#N/A</v>
      </c>
      <c r="CV161" s="21" t="e">
        <f t="shared" ca="1" si="305"/>
        <v>#N/A</v>
      </c>
      <c r="CW161" s="16">
        <f t="shared" ca="1" si="304"/>
        <v>11.833333333333334</v>
      </c>
    </row>
    <row r="162" spans="1:101" s="5" customFormat="1" x14ac:dyDescent="0.35">
      <c r="A162" s="4" t="s">
        <v>131</v>
      </c>
      <c r="B162" s="4">
        <v>12</v>
      </c>
      <c r="C162" s="4" t="s">
        <v>168</v>
      </c>
      <c r="D162" s="4" t="s">
        <v>404</v>
      </c>
      <c r="E162" s="3"/>
      <c r="F162" s="5">
        <v>4.0019999999999998</v>
      </c>
      <c r="G162" s="5">
        <v>4.0149999999999997</v>
      </c>
      <c r="H162" s="5">
        <v>4.016</v>
      </c>
      <c r="I162" s="5">
        <v>2.4670000000000001</v>
      </c>
      <c r="K162" s="3">
        <f t="shared" ca="1" si="244"/>
        <v>0.8868065967016493</v>
      </c>
      <c r="L162" s="3">
        <f t="shared" ca="1" si="245"/>
        <v>0.90460772104607723</v>
      </c>
      <c r="M162" s="3">
        <f t="shared" ca="1" si="246"/>
        <v>0.82171314741035861</v>
      </c>
      <c r="N162" s="3">
        <f t="shared" ca="1" si="247"/>
        <v>0.99959464937170661</v>
      </c>
      <c r="P162" s="3">
        <f t="shared" ca="1" si="248"/>
        <v>0.85307345695343095</v>
      </c>
      <c r="Q162" s="3">
        <f t="shared" ca="1" si="249"/>
        <v>0.63910332889960686</v>
      </c>
      <c r="R162" s="3">
        <f t="shared" ca="1" si="250"/>
        <v>0.68052800324007101</v>
      </c>
      <c r="S162" s="3">
        <f t="shared" ca="1" si="251"/>
        <v>0.62140255316489434</v>
      </c>
      <c r="U162" s="3">
        <f t="shared" ca="1" si="252"/>
        <v>1.2493753123438283</v>
      </c>
      <c r="V162" s="3">
        <f t="shared" ca="1" si="253"/>
        <v>1.4943960149439603</v>
      </c>
      <c r="W162" s="3">
        <f t="shared" ca="1" si="254"/>
        <v>1.4940239043824701</v>
      </c>
      <c r="X162" s="3">
        <f t="shared" ca="1" si="255"/>
        <v>1.6214025131738954</v>
      </c>
      <c r="Z162" s="3">
        <f t="shared" ca="1" si="256"/>
        <v>0</v>
      </c>
      <c r="AA162" s="3">
        <f t="shared" ca="1" si="257"/>
        <v>1.2453300124532957E-2</v>
      </c>
      <c r="AB162" s="3">
        <f t="shared" ca="1" si="258"/>
        <v>6.2250996015936255E-2</v>
      </c>
      <c r="AC162" s="3">
        <f t="shared" ca="1" si="259"/>
        <v>0.13538710985002028</v>
      </c>
      <c r="AE162" s="3">
        <f t="shared" ca="1" si="260"/>
        <v>0</v>
      </c>
      <c r="AF162" s="3">
        <f t="shared" ca="1" si="261"/>
        <v>0</v>
      </c>
      <c r="AG162" s="3">
        <f t="shared" ca="1" si="262"/>
        <v>6.2250996943548381E-2</v>
      </c>
      <c r="AH162" s="3">
        <f t="shared" ca="1" si="263"/>
        <v>0.12160518808221654</v>
      </c>
      <c r="AJ162" s="3">
        <f t="shared" ca="1" si="264"/>
        <v>0</v>
      </c>
      <c r="AK162" s="3">
        <f t="shared" ca="1" si="265"/>
        <v>0</v>
      </c>
      <c r="AL162" s="3">
        <f t="shared" ca="1" si="266"/>
        <v>0.24900398406374502</v>
      </c>
      <c r="AM162" s="3">
        <f t="shared" ca="1" si="267"/>
        <v>0.40535062829347385</v>
      </c>
      <c r="AO162" s="3">
        <f t="shared" ca="1" si="268"/>
        <v>0</v>
      </c>
      <c r="AP162" s="3">
        <f t="shared" ca="1" si="269"/>
        <v>0.24906600249066005</v>
      </c>
      <c r="AQ162" s="3">
        <f t="shared" ca="1" si="270"/>
        <v>0.24900398406374502</v>
      </c>
      <c r="AR162" s="3">
        <f t="shared" ca="1" si="271"/>
        <v>0.81070125658694769</v>
      </c>
      <c r="AT162" s="5">
        <v>4.0019999999999998</v>
      </c>
      <c r="AU162" s="5">
        <v>4.0149999999999997</v>
      </c>
      <c r="AV162" s="5">
        <v>8.999999612569809E-3</v>
      </c>
      <c r="AW162" s="5">
        <v>1.0000000474974513E-3</v>
      </c>
      <c r="AY162" s="3">
        <f t="shared" ca="1" si="272"/>
        <v>0</v>
      </c>
      <c r="AZ162" s="3">
        <f t="shared" ca="1" si="273"/>
        <v>0</v>
      </c>
      <c r="BA162" s="3">
        <f t="shared" ca="1" si="274"/>
        <v>0</v>
      </c>
      <c r="BB162" s="3">
        <f t="shared" ca="1" si="275"/>
        <v>0.12160518848804215</v>
      </c>
      <c r="BD162" s="3">
        <f t="shared" ca="1" si="276"/>
        <v>0</v>
      </c>
      <c r="BE162" s="3">
        <f t="shared" ca="1" si="277"/>
        <v>0</v>
      </c>
      <c r="BF162" s="3">
        <f t="shared" ca="1" si="278"/>
        <v>0</v>
      </c>
      <c r="BG162" s="3">
        <f t="shared" ca="1" si="279"/>
        <v>0.12160518808221654</v>
      </c>
      <c r="BI162" s="3">
        <f t="shared" ca="1" si="280"/>
        <v>0</v>
      </c>
      <c r="BJ162" s="3">
        <f t="shared" ca="1" si="281"/>
        <v>0</v>
      </c>
      <c r="BK162" s="3">
        <f t="shared" ca="1" si="282"/>
        <v>0</v>
      </c>
      <c r="BL162" s="3">
        <f t="shared" ca="1" si="283"/>
        <v>0.40535062829347385</v>
      </c>
      <c r="BN162" s="3">
        <f t="shared" ca="1" si="284"/>
        <v>0</v>
      </c>
      <c r="BO162" s="3">
        <f t="shared" ca="1" si="285"/>
        <v>0</v>
      </c>
      <c r="BP162" s="3">
        <f t="shared" ca="1" si="286"/>
        <v>0</v>
      </c>
      <c r="BQ162" s="3">
        <f t="shared" ca="1" si="287"/>
        <v>0.40535062829347385</v>
      </c>
      <c r="BS162" s="5">
        <v>4.0019999999999998</v>
      </c>
      <c r="BT162" s="5">
        <v>4.0149999999999997</v>
      </c>
      <c r="BU162" s="5">
        <v>4.016</v>
      </c>
      <c r="BV162" s="5">
        <v>1.0000000474974513E-3</v>
      </c>
      <c r="BX162" s="3">
        <f t="shared" ca="1" si="288"/>
        <v>0</v>
      </c>
      <c r="BY162" s="3">
        <f t="shared" ca="1" si="289"/>
        <v>0</v>
      </c>
      <c r="BZ162" s="3">
        <f t="shared" ca="1" si="290"/>
        <v>0</v>
      </c>
      <c r="CA162" s="3">
        <f t="shared" ca="1" si="291"/>
        <v>0</v>
      </c>
      <c r="CC162" s="3">
        <f t="shared" ca="1" si="292"/>
        <v>0</v>
      </c>
      <c r="CD162" s="3">
        <f t="shared" ca="1" si="293"/>
        <v>0</v>
      </c>
      <c r="CE162" s="3">
        <f t="shared" ca="1" si="294"/>
        <v>0</v>
      </c>
      <c r="CF162" s="3">
        <f t="shared" ca="1" si="295"/>
        <v>0</v>
      </c>
      <c r="CH162" s="3">
        <f t="shared" ca="1" si="296"/>
        <v>0</v>
      </c>
      <c r="CI162" s="3">
        <f t="shared" ca="1" si="297"/>
        <v>0</v>
      </c>
      <c r="CJ162" s="3">
        <f t="shared" ca="1" si="298"/>
        <v>0</v>
      </c>
      <c r="CK162" s="3">
        <f t="shared" ca="1" si="299"/>
        <v>0</v>
      </c>
      <c r="CM162" s="3">
        <f t="shared" ca="1" si="300"/>
        <v>0</v>
      </c>
      <c r="CN162" s="3">
        <f t="shared" ca="1" si="301"/>
        <v>0</v>
      </c>
      <c r="CO162" s="3">
        <f t="shared" ca="1" si="302"/>
        <v>0</v>
      </c>
      <c r="CP162" s="3">
        <f t="shared" ca="1" si="303"/>
        <v>0</v>
      </c>
      <c r="CR162" s="5">
        <v>4.0019999999999998</v>
      </c>
      <c r="CS162" s="5">
        <v>4.0149999999999997</v>
      </c>
      <c r="CT162" s="5">
        <v>4.016</v>
      </c>
      <c r="CU162" s="5">
        <v>4.0259999999999998</v>
      </c>
      <c r="CV162" s="21">
        <f t="shared" ca="1" si="305"/>
        <v>0</v>
      </c>
      <c r="CW162" s="16">
        <f t="shared" ca="1" si="304"/>
        <v>12</v>
      </c>
    </row>
    <row r="163" spans="1:101" s="5" customFormat="1" x14ac:dyDescent="0.35">
      <c r="A163" s="4" t="s">
        <v>164</v>
      </c>
      <c r="B163" s="4">
        <v>12</v>
      </c>
      <c r="C163" s="4" t="s">
        <v>168</v>
      </c>
      <c r="D163" s="4" t="s">
        <v>404</v>
      </c>
      <c r="E163" s="3"/>
      <c r="F163" s="5">
        <v>4.0049999999999999</v>
      </c>
      <c r="G163" s="11" t="e">
        <v>#N/A</v>
      </c>
      <c r="H163" s="5">
        <v>4.016</v>
      </c>
      <c r="I163" s="5">
        <v>4.0149999999999997</v>
      </c>
      <c r="K163" s="3">
        <f t="shared" ca="1" si="244"/>
        <v>0.94032459425717851</v>
      </c>
      <c r="L163" s="3" t="e">
        <f t="shared" ca="1" si="245"/>
        <v>#N/A</v>
      </c>
      <c r="M163" s="3">
        <f t="shared" ca="1" si="246"/>
        <v>0.95443227091633476</v>
      </c>
      <c r="N163" s="3">
        <f t="shared" ca="1" si="247"/>
        <v>0.99601494396014956</v>
      </c>
      <c r="P163" s="3">
        <f t="shared" ca="1" si="248"/>
        <v>0.34531838587309688</v>
      </c>
      <c r="Q163" s="3" t="e">
        <f t="shared" ca="1" si="249"/>
        <v>#N/A</v>
      </c>
      <c r="R163" s="3">
        <f t="shared" ca="1" si="250"/>
        <v>0.70991026308569327</v>
      </c>
      <c r="S163" s="3">
        <f t="shared" ca="1" si="251"/>
        <v>0.81320051614144084</v>
      </c>
      <c r="U163" s="3">
        <f t="shared" ca="1" si="252"/>
        <v>1.7478152309612984</v>
      </c>
      <c r="V163" s="3" t="e">
        <f t="shared" ca="1" si="253"/>
        <v>#N/A</v>
      </c>
      <c r="W163" s="3">
        <f t="shared" ca="1" si="254"/>
        <v>2.739043824701195</v>
      </c>
      <c r="X163" s="3">
        <f t="shared" ca="1" si="255"/>
        <v>3.4869240348692405</v>
      </c>
      <c r="Z163" s="3">
        <f t="shared" ca="1" si="256"/>
        <v>0.71985018726591765</v>
      </c>
      <c r="AA163" s="3" t="e">
        <f t="shared" ca="1" si="257"/>
        <v>#N/A</v>
      </c>
      <c r="AB163" s="3">
        <f t="shared" ca="1" si="258"/>
        <v>0.95443227091633476</v>
      </c>
      <c r="AC163" s="3">
        <f t="shared" ca="1" si="259"/>
        <v>0.99601494396014956</v>
      </c>
      <c r="AE163" s="3">
        <f t="shared" ca="1" si="260"/>
        <v>0.34531838587309688</v>
      </c>
      <c r="AF163" s="3" t="e">
        <f t="shared" ca="1" si="261"/>
        <v>#N/A</v>
      </c>
      <c r="AG163" s="3">
        <f t="shared" ca="1" si="262"/>
        <v>0.70991026308569327</v>
      </c>
      <c r="AH163" s="3">
        <f t="shared" ca="1" si="263"/>
        <v>0.81320051614144084</v>
      </c>
      <c r="AJ163" s="3">
        <f t="shared" ca="1" si="264"/>
        <v>1.7478152309612984</v>
      </c>
      <c r="AK163" s="3" t="e">
        <f t="shared" ca="1" si="265"/>
        <v>#N/A</v>
      </c>
      <c r="AL163" s="3">
        <f t="shared" ca="1" si="266"/>
        <v>2.739043824701195</v>
      </c>
      <c r="AM163" s="3">
        <f t="shared" ca="1" si="267"/>
        <v>3.4869240348692405</v>
      </c>
      <c r="AO163" s="3">
        <f t="shared" ca="1" si="268"/>
        <v>1.2484394506866416</v>
      </c>
      <c r="AP163" s="3" t="e">
        <f t="shared" ca="1" si="269"/>
        <v>#N/A</v>
      </c>
      <c r="AQ163" s="3">
        <f t="shared" ca="1" si="270"/>
        <v>0.24900398406374502</v>
      </c>
      <c r="AR163" s="3">
        <f t="shared" ca="1" si="271"/>
        <v>0.24906600249066005</v>
      </c>
      <c r="AT163" s="5">
        <v>1.3680000305175781</v>
      </c>
      <c r="AU163" s="11" t="e">
        <v>#N/A</v>
      </c>
      <c r="AV163" s="5">
        <v>4.0000001899898052E-3</v>
      </c>
      <c r="AW163" s="5">
        <v>6.0000000521540642E-3</v>
      </c>
      <c r="AY163" s="3">
        <f t="shared" ca="1" si="272"/>
        <v>0.25368289637952562</v>
      </c>
      <c r="AZ163" s="3" t="e">
        <f t="shared" ca="1" si="273"/>
        <v>#N/A</v>
      </c>
      <c r="BA163" s="3">
        <f t="shared" ca="1" si="274"/>
        <v>0.12450199203187262</v>
      </c>
      <c r="BB163" s="3">
        <f t="shared" ca="1" si="275"/>
        <v>1.2453300124532985E-2</v>
      </c>
      <c r="BD163" s="3">
        <f t="shared" ca="1" si="276"/>
        <v>0.19550567560279267</v>
      </c>
      <c r="BE163" s="3" t="e">
        <f t="shared" ca="1" si="277"/>
        <v>#N/A</v>
      </c>
      <c r="BF163" s="3">
        <f t="shared" ca="1" si="278"/>
        <v>9.1384463796050724E-2</v>
      </c>
      <c r="BG163" s="3">
        <f t="shared" ca="1" si="279"/>
        <v>0</v>
      </c>
      <c r="BI163" s="3">
        <f t="shared" ca="1" si="280"/>
        <v>0.99875156054931336</v>
      </c>
      <c r="BJ163" s="3" t="e">
        <f t="shared" ca="1" si="281"/>
        <v>#N/A</v>
      </c>
      <c r="BK163" s="3">
        <f t="shared" ca="1" si="282"/>
        <v>0.49800796812749004</v>
      </c>
      <c r="BL163" s="3">
        <f t="shared" ca="1" si="283"/>
        <v>0</v>
      </c>
      <c r="BN163" s="3">
        <f t="shared" ca="1" si="284"/>
        <v>2.9962546816479403</v>
      </c>
      <c r="BO163" s="3" t="e">
        <f t="shared" ca="1" si="285"/>
        <v>#N/A</v>
      </c>
      <c r="BP163" s="3">
        <f t="shared" ca="1" si="286"/>
        <v>1.2450199203187251</v>
      </c>
      <c r="BQ163" s="3">
        <f t="shared" ca="1" si="287"/>
        <v>1.2453300124533002</v>
      </c>
      <c r="BS163" s="5">
        <v>2.7339999675750732</v>
      </c>
      <c r="BT163" s="11" t="e">
        <v>#N/A</v>
      </c>
      <c r="BU163" s="5">
        <v>4.0000001899898052E-3</v>
      </c>
      <c r="BV163" s="5">
        <v>4.0149999999999997</v>
      </c>
      <c r="BX163" s="3">
        <f t="shared" ca="1" si="288"/>
        <v>8.4893882646691707E-3</v>
      </c>
      <c r="BY163" s="3" t="e">
        <f t="shared" ca="1" si="289"/>
        <v>#N/A</v>
      </c>
      <c r="BZ163" s="3">
        <f t="shared" ca="1" si="290"/>
        <v>0.23232071713147412</v>
      </c>
      <c r="CA163" s="3">
        <f t="shared" ca="1" si="291"/>
        <v>0.46052303860523036</v>
      </c>
      <c r="CC163" s="3">
        <f t="shared" ca="1" si="292"/>
        <v>0</v>
      </c>
      <c r="CD163" s="3" t="e">
        <f t="shared" ca="1" si="293"/>
        <v>#N/A</v>
      </c>
      <c r="CE163" s="3">
        <f t="shared" ca="1" si="294"/>
        <v>0.24477088178296488</v>
      </c>
      <c r="CF163" s="3">
        <f t="shared" ca="1" si="295"/>
        <v>0.46924037550335956</v>
      </c>
      <c r="CH163" s="3">
        <f t="shared" ca="1" si="296"/>
        <v>0</v>
      </c>
      <c r="CI163" s="3" t="e">
        <f t="shared" ca="1" si="297"/>
        <v>#N/A</v>
      </c>
      <c r="CJ163" s="3">
        <f t="shared" ca="1" si="298"/>
        <v>0.99601593625498008</v>
      </c>
      <c r="CK163" s="3">
        <f t="shared" ca="1" si="299"/>
        <v>1.7434620174346203</v>
      </c>
      <c r="CM163" s="3">
        <f t="shared" ca="1" si="300"/>
        <v>1.2484394506866416</v>
      </c>
      <c r="CN163" s="3" t="e">
        <f t="shared" ca="1" si="301"/>
        <v>#N/A</v>
      </c>
      <c r="CO163" s="3">
        <f t="shared" ca="1" si="302"/>
        <v>1.2450199203187251</v>
      </c>
      <c r="CP163" s="3">
        <f t="shared" ca="1" si="303"/>
        <v>4.2341220423412205</v>
      </c>
      <c r="CR163" s="5">
        <v>4.0049999999999999</v>
      </c>
      <c r="CS163" s="11" t="e">
        <v>#N/A</v>
      </c>
      <c r="CT163" s="5">
        <v>0.93800002336502075</v>
      </c>
      <c r="CU163" s="5">
        <v>0.17299999296665192</v>
      </c>
      <c r="CV163" s="21">
        <f t="shared" ca="1" si="305"/>
        <v>9.1384463796050724E-2</v>
      </c>
      <c r="CW163" s="16">
        <f t="shared" ca="1" si="304"/>
        <v>12</v>
      </c>
    </row>
    <row r="164" spans="1:101" s="5" customFormat="1" x14ac:dyDescent="0.35">
      <c r="A164" s="4" t="s">
        <v>98</v>
      </c>
      <c r="B164" s="4">
        <v>12.5</v>
      </c>
      <c r="C164" s="4" t="s">
        <v>168</v>
      </c>
      <c r="D164" s="4" t="s">
        <v>404</v>
      </c>
      <c r="E164" s="3"/>
      <c r="F164" s="5">
        <v>4.0090000000000003</v>
      </c>
      <c r="G164" s="5">
        <v>2.9420000000000002</v>
      </c>
      <c r="H164" s="5">
        <v>4.008</v>
      </c>
      <c r="I164" s="5">
        <v>4.008</v>
      </c>
      <c r="K164" s="3">
        <f t="shared" ca="1" si="244"/>
        <v>0.99750561237216273</v>
      </c>
      <c r="L164" s="3">
        <f t="shared" ca="1" si="245"/>
        <v>0.99116247450713812</v>
      </c>
      <c r="M164" s="3">
        <f t="shared" ca="1" si="246"/>
        <v>0.92714570858283429</v>
      </c>
      <c r="N164" s="3">
        <f t="shared" ca="1" si="247"/>
        <v>0.9935129740518962</v>
      </c>
      <c r="P164" s="3">
        <f t="shared" ca="1" si="248"/>
        <v>0.99750559426933316</v>
      </c>
      <c r="Q164" s="3">
        <f t="shared" ca="1" si="249"/>
        <v>0.95683209316958218</v>
      </c>
      <c r="R164" s="3">
        <f t="shared" ca="1" si="250"/>
        <v>0.86901197860578816</v>
      </c>
      <c r="S164" s="3">
        <f t="shared" ca="1" si="251"/>
        <v>0.99351296355639274</v>
      </c>
      <c r="U164" s="3">
        <f t="shared" ca="1" si="252"/>
        <v>0.24943876278373658</v>
      </c>
      <c r="V164" s="3">
        <f t="shared" ca="1" si="253"/>
        <v>1.699524133242692</v>
      </c>
      <c r="W164" s="3">
        <f t="shared" ca="1" si="254"/>
        <v>0.74850299401197606</v>
      </c>
      <c r="X164" s="3">
        <f t="shared" ca="1" si="255"/>
        <v>0.249500998003992</v>
      </c>
      <c r="Z164" s="3">
        <f t="shared" ca="1" si="256"/>
        <v>0.99750561237216273</v>
      </c>
      <c r="AA164" s="3">
        <f t="shared" ca="1" si="257"/>
        <v>0.99660095173351471</v>
      </c>
      <c r="AB164" s="3">
        <f t="shared" ca="1" si="258"/>
        <v>0.92714570858283429</v>
      </c>
      <c r="AC164" s="3">
        <f t="shared" ca="1" si="259"/>
        <v>0.9935129740518962</v>
      </c>
      <c r="AE164" s="3">
        <f t="shared" ca="1" si="260"/>
        <v>0.99750559426933316</v>
      </c>
      <c r="AF164" s="3">
        <f t="shared" ca="1" si="261"/>
        <v>0.95683209316958218</v>
      </c>
      <c r="AG164" s="3">
        <f t="shared" ca="1" si="262"/>
        <v>0.86901197860578816</v>
      </c>
      <c r="AH164" s="3">
        <f t="shared" ca="1" si="263"/>
        <v>0.99351296355639274</v>
      </c>
      <c r="AJ164" s="3">
        <f t="shared" ca="1" si="264"/>
        <v>0.24943876278373658</v>
      </c>
      <c r="AK164" s="3">
        <f t="shared" ca="1" si="265"/>
        <v>1.699524133242692</v>
      </c>
      <c r="AL164" s="3">
        <f t="shared" ca="1" si="266"/>
        <v>0.74850299401197606</v>
      </c>
      <c r="AM164" s="3">
        <f t="shared" ca="1" si="267"/>
        <v>0.249500998003992</v>
      </c>
      <c r="AO164" s="3">
        <f t="shared" ca="1" si="268"/>
        <v>0.24943876278373658</v>
      </c>
      <c r="AP164" s="3">
        <f t="shared" ca="1" si="269"/>
        <v>0.33990482664853838</v>
      </c>
      <c r="AQ164" s="3">
        <f t="shared" ca="1" si="270"/>
        <v>0.249500998003992</v>
      </c>
      <c r="AR164" s="3">
        <f t="shared" ca="1" si="271"/>
        <v>0.249500998003992</v>
      </c>
      <c r="AT164" s="5">
        <v>2.0000000949949026E-3</v>
      </c>
      <c r="AU164" s="5">
        <v>9.9999997764825821E-3</v>
      </c>
      <c r="AV164" s="5">
        <v>0.31000000238418579</v>
      </c>
      <c r="AW164" s="5">
        <v>1.2000000104308128E-2</v>
      </c>
      <c r="AY164" s="3">
        <f t="shared" ca="1" si="272"/>
        <v>1.6712397106510367E-2</v>
      </c>
      <c r="AZ164" s="3">
        <f t="shared" ca="1" si="273"/>
        <v>0.77566281441196461</v>
      </c>
      <c r="BA164" s="3">
        <f t="shared" ca="1" si="274"/>
        <v>0.66117764471057894</v>
      </c>
      <c r="BB164" s="3">
        <f t="shared" ca="1" si="275"/>
        <v>0.9935129740518962</v>
      </c>
      <c r="BD164" s="3">
        <f t="shared" ca="1" si="276"/>
        <v>0</v>
      </c>
      <c r="BE164" s="3">
        <f t="shared" ca="1" si="277"/>
        <v>0.90584641779607689</v>
      </c>
      <c r="BF164" s="3">
        <f t="shared" ca="1" si="278"/>
        <v>0.56137724550898205</v>
      </c>
      <c r="BG164" s="3">
        <f t="shared" ca="1" si="279"/>
        <v>0.99351296355639274</v>
      </c>
      <c r="BI164" s="3">
        <f t="shared" ca="1" si="280"/>
        <v>0</v>
      </c>
      <c r="BJ164" s="3">
        <f t="shared" ca="1" si="281"/>
        <v>1.3596193065941535</v>
      </c>
      <c r="BK164" s="3">
        <f t="shared" ca="1" si="282"/>
        <v>0.49900199600798401</v>
      </c>
      <c r="BL164" s="3">
        <f t="shared" ca="1" si="283"/>
        <v>0.249500998003992</v>
      </c>
      <c r="BN164" s="3">
        <f t="shared" ca="1" si="284"/>
        <v>0.24943876278373658</v>
      </c>
      <c r="BO164" s="3">
        <f t="shared" ca="1" si="285"/>
        <v>0.67980965329707677</v>
      </c>
      <c r="BP164" s="3">
        <f t="shared" ca="1" si="286"/>
        <v>0.74850299401197606</v>
      </c>
      <c r="BQ164" s="3">
        <f t="shared" ca="1" si="287"/>
        <v>0.249500998003992</v>
      </c>
      <c r="BS164" s="5">
        <v>4.0090000000000003</v>
      </c>
      <c r="BT164" s="5">
        <v>9.9999997764825821E-3</v>
      </c>
      <c r="BU164" s="5">
        <v>0.31000000238418579</v>
      </c>
      <c r="BV164" s="5">
        <v>1.2000000104308128E-2</v>
      </c>
      <c r="BX164" s="3">
        <f t="shared" ca="1" si="288"/>
        <v>0</v>
      </c>
      <c r="BY164" s="3">
        <f t="shared" ca="1" si="289"/>
        <v>0</v>
      </c>
      <c r="BZ164" s="3">
        <f t="shared" ca="1" si="290"/>
        <v>0</v>
      </c>
      <c r="CA164" s="3">
        <f t="shared" ca="1" si="291"/>
        <v>0</v>
      </c>
      <c r="CC164" s="3">
        <f t="shared" ca="1" si="292"/>
        <v>0</v>
      </c>
      <c r="CD164" s="3">
        <f t="shared" ca="1" si="293"/>
        <v>0</v>
      </c>
      <c r="CE164" s="3">
        <f t="shared" ca="1" si="294"/>
        <v>0</v>
      </c>
      <c r="CF164" s="3">
        <f t="shared" ca="1" si="295"/>
        <v>0</v>
      </c>
      <c r="CH164" s="3">
        <f t="shared" ca="1" si="296"/>
        <v>0</v>
      </c>
      <c r="CI164" s="3">
        <f t="shared" ca="1" si="297"/>
        <v>0</v>
      </c>
      <c r="CJ164" s="3">
        <f t="shared" ca="1" si="298"/>
        <v>0</v>
      </c>
      <c r="CK164" s="3">
        <f t="shared" ca="1" si="299"/>
        <v>0</v>
      </c>
      <c r="CM164" s="3">
        <f t="shared" ca="1" si="300"/>
        <v>0</v>
      </c>
      <c r="CN164" s="3">
        <f t="shared" ca="1" si="301"/>
        <v>0</v>
      </c>
      <c r="CO164" s="3">
        <f t="shared" ca="1" si="302"/>
        <v>0.249500998003992</v>
      </c>
      <c r="CP164" s="3">
        <f t="shared" ca="1" si="303"/>
        <v>0</v>
      </c>
      <c r="CR164" s="5">
        <v>4.0090000000000003</v>
      </c>
      <c r="CS164" s="5">
        <v>4.024</v>
      </c>
      <c r="CT164" s="5">
        <v>4.008</v>
      </c>
      <c r="CU164" s="5">
        <v>4.008</v>
      </c>
      <c r="CV164" s="21">
        <f t="shared" ca="1" si="305"/>
        <v>0.56137724550898205</v>
      </c>
      <c r="CW164" s="16">
        <f t="shared" ca="1" si="304"/>
        <v>12.5</v>
      </c>
    </row>
    <row r="165" spans="1:101" s="5" customFormat="1" x14ac:dyDescent="0.35">
      <c r="A165" s="4" t="s">
        <v>135</v>
      </c>
      <c r="B165" s="4">
        <v>12.583333333333334</v>
      </c>
      <c r="C165" s="4" t="s">
        <v>168</v>
      </c>
      <c r="D165" s="4" t="s">
        <v>404</v>
      </c>
      <c r="E165" s="3"/>
      <c r="F165" s="5">
        <v>3.1110000000000002</v>
      </c>
      <c r="G165" s="5">
        <v>4.016</v>
      </c>
      <c r="H165" s="11" t="e">
        <v>#N/A</v>
      </c>
      <c r="I165" s="5">
        <v>0.63499999999999979</v>
      </c>
      <c r="K165" s="3">
        <f t="shared" ca="1" si="244"/>
        <v>0.98007071681131475</v>
      </c>
      <c r="L165" s="3">
        <f t="shared" ca="1" si="245"/>
        <v>0.87126494023904377</v>
      </c>
      <c r="M165" s="3" t="e">
        <f t="shared" ca="1" si="246"/>
        <v>#N/A</v>
      </c>
      <c r="N165" s="3" t="e">
        <f t="shared" ca="1" si="247"/>
        <v>#N/A</v>
      </c>
      <c r="P165" s="3">
        <f t="shared" ca="1" si="248"/>
        <v>0.58887813662992183</v>
      </c>
      <c r="Q165" s="3">
        <f t="shared" ca="1" si="249"/>
        <v>0.80054786160172697</v>
      </c>
      <c r="R165" s="3" t="e">
        <f t="shared" ca="1" si="250"/>
        <v>#N/A</v>
      </c>
      <c r="S165" s="3" t="e">
        <f t="shared" ca="1" si="251"/>
        <v>#N/A</v>
      </c>
      <c r="U165" s="3">
        <f t="shared" ca="1" si="252"/>
        <v>2.2500803600128574</v>
      </c>
      <c r="V165" s="3">
        <f t="shared" ca="1" si="253"/>
        <v>2.4900398406374502</v>
      </c>
      <c r="W165" s="3" t="e">
        <f t="shared" ca="1" si="254"/>
        <v>#N/A</v>
      </c>
      <c r="X165" s="3" t="e">
        <f t="shared" ca="1" si="255"/>
        <v>#N/A</v>
      </c>
      <c r="Z165" s="3">
        <f t="shared" ca="1" si="256"/>
        <v>0.66409514625522359</v>
      </c>
      <c r="AA165" s="3">
        <f t="shared" ca="1" si="257"/>
        <v>0.86728087649402386</v>
      </c>
      <c r="AB165" s="3" t="e">
        <f t="shared" ca="1" si="258"/>
        <v>#N/A</v>
      </c>
      <c r="AC165" s="3" t="e">
        <f t="shared" ca="1" si="259"/>
        <v>#N/A</v>
      </c>
      <c r="AE165" s="3">
        <f t="shared" ca="1" si="260"/>
        <v>0.58887813662992183</v>
      </c>
      <c r="AF165" s="3">
        <f t="shared" ca="1" si="261"/>
        <v>0.80054786160172697</v>
      </c>
      <c r="AG165" s="3" t="e">
        <f t="shared" ca="1" si="262"/>
        <v>#N/A</v>
      </c>
      <c r="AH165" s="3" t="e">
        <f t="shared" ca="1" si="263"/>
        <v>#N/A</v>
      </c>
      <c r="AJ165" s="3">
        <f t="shared" ca="1" si="264"/>
        <v>2.2500803600128574</v>
      </c>
      <c r="AK165" s="3">
        <f t="shared" ca="1" si="265"/>
        <v>2.4900398406374502</v>
      </c>
      <c r="AL165" s="3" t="e">
        <f t="shared" ca="1" si="266"/>
        <v>#N/A</v>
      </c>
      <c r="AM165" s="3" t="e">
        <f t="shared" ca="1" si="267"/>
        <v>#N/A</v>
      </c>
      <c r="AO165" s="3">
        <f t="shared" ca="1" si="268"/>
        <v>0.96432015429122464</v>
      </c>
      <c r="AP165" s="3">
        <f t="shared" ca="1" si="269"/>
        <v>0.24900398406374502</v>
      </c>
      <c r="AQ165" s="3" t="e">
        <f t="shared" ca="1" si="270"/>
        <v>#N/A</v>
      </c>
      <c r="AR165" s="3" t="e">
        <f t="shared" ca="1" si="271"/>
        <v>#N/A</v>
      </c>
      <c r="AT165" s="5">
        <v>9.4999998807907104E-2</v>
      </c>
      <c r="AU165" s="5">
        <v>0.50199997425079346</v>
      </c>
      <c r="AV165" s="11" t="e">
        <v>#N/A</v>
      </c>
      <c r="AW165" s="11" t="e">
        <v>#N/A</v>
      </c>
      <c r="AY165" s="3">
        <f t="shared" ca="1" si="272"/>
        <v>0.14979106396657019</v>
      </c>
      <c r="AZ165" s="3">
        <f t="shared" ca="1" si="273"/>
        <v>0.3608067729083666</v>
      </c>
      <c r="BA165" s="3" t="e">
        <f t="shared" ca="1" si="274"/>
        <v>#N/A</v>
      </c>
      <c r="BB165" s="3" t="e">
        <f t="shared" ca="1" si="275"/>
        <v>#N/A</v>
      </c>
      <c r="BD165" s="3">
        <f t="shared" ca="1" si="276"/>
        <v>0.16586305780144067</v>
      </c>
      <c r="BE165" s="3">
        <f t="shared" ca="1" si="277"/>
        <v>0.34412357258606718</v>
      </c>
      <c r="BF165" s="3" t="e">
        <f t="shared" ca="1" si="278"/>
        <v>#N/A</v>
      </c>
      <c r="BG165" s="3" t="e">
        <f t="shared" ca="1" si="279"/>
        <v>#N/A</v>
      </c>
      <c r="BI165" s="3">
        <f t="shared" ca="1" si="280"/>
        <v>0.64288010286081643</v>
      </c>
      <c r="BJ165" s="3">
        <f t="shared" ca="1" si="281"/>
        <v>0.99601593625498008</v>
      </c>
      <c r="BK165" s="3" t="e">
        <f t="shared" ca="1" si="282"/>
        <v>#N/A</v>
      </c>
      <c r="BL165" s="3" t="e">
        <f t="shared" ca="1" si="283"/>
        <v>#N/A</v>
      </c>
      <c r="BN165" s="3">
        <f t="shared" ca="1" si="284"/>
        <v>1.2857602057216329</v>
      </c>
      <c r="BO165" s="3">
        <f t="shared" ca="1" si="285"/>
        <v>0.99601593625498008</v>
      </c>
      <c r="BP165" s="3" t="e">
        <f t="shared" ca="1" si="286"/>
        <v>#N/A</v>
      </c>
      <c r="BQ165" s="3" t="e">
        <f t="shared" ca="1" si="287"/>
        <v>#N/A</v>
      </c>
      <c r="BS165" s="5">
        <v>0.67900002002716064</v>
      </c>
      <c r="BT165" s="5">
        <v>0.73600000143051147</v>
      </c>
      <c r="BU165" s="11" t="e">
        <v>#N/A</v>
      </c>
      <c r="BV165" s="11" t="e">
        <v>#N/A</v>
      </c>
      <c r="BX165" s="3">
        <f t="shared" ca="1" si="288"/>
        <v>0</v>
      </c>
      <c r="BY165" s="3">
        <f t="shared" ca="1" si="289"/>
        <v>9.1384462151394424E-2</v>
      </c>
      <c r="BZ165" s="3" t="e">
        <f t="shared" ca="1" si="290"/>
        <v>#N/A</v>
      </c>
      <c r="CA165" s="3" t="e">
        <f t="shared" ca="1" si="291"/>
        <v>#N/A</v>
      </c>
      <c r="CC165" s="3">
        <f t="shared" ca="1" si="292"/>
        <v>0</v>
      </c>
      <c r="CD165" s="3">
        <f t="shared" ca="1" si="293"/>
        <v>7.8934241101086378E-2</v>
      </c>
      <c r="CE165" s="3" t="e">
        <f t="shared" ca="1" si="294"/>
        <v>#N/A</v>
      </c>
      <c r="CF165" s="3" t="e">
        <f t="shared" ca="1" si="295"/>
        <v>#N/A</v>
      </c>
      <c r="CH165" s="3">
        <f t="shared" ca="1" si="296"/>
        <v>0</v>
      </c>
      <c r="CI165" s="3">
        <f t="shared" ca="1" si="297"/>
        <v>0.24900398406374502</v>
      </c>
      <c r="CJ165" s="3" t="e">
        <f t="shared" ca="1" si="298"/>
        <v>#N/A</v>
      </c>
      <c r="CK165" s="3" t="e">
        <f t="shared" ca="1" si="299"/>
        <v>#N/A</v>
      </c>
      <c r="CM165" s="3">
        <f t="shared" ca="1" si="300"/>
        <v>0</v>
      </c>
      <c r="CN165" s="3">
        <f t="shared" ca="1" si="301"/>
        <v>0.24900398406374502</v>
      </c>
      <c r="CO165" s="3" t="e">
        <f t="shared" ca="1" si="302"/>
        <v>#N/A</v>
      </c>
      <c r="CP165" s="3" t="e">
        <f t="shared" ca="1" si="303"/>
        <v>#N/A</v>
      </c>
      <c r="CR165" s="5">
        <v>4.0049999999999999</v>
      </c>
      <c r="CS165" s="5">
        <v>3.6349999904632568</v>
      </c>
      <c r="CT165" s="11" t="e">
        <v>#N/A</v>
      </c>
      <c r="CU165" s="11" t="e">
        <v>#N/A</v>
      </c>
      <c r="CV165" s="21" t="e">
        <f t="shared" ca="1" si="305"/>
        <v>#N/A</v>
      </c>
      <c r="CW165" s="16">
        <f t="shared" ca="1" si="304"/>
        <v>12.583333333333334</v>
      </c>
    </row>
    <row r="166" spans="1:101" s="5" customFormat="1" x14ac:dyDescent="0.35">
      <c r="A166" s="4" t="s">
        <v>134</v>
      </c>
      <c r="B166" s="4">
        <v>12.666666666666666</v>
      </c>
      <c r="C166" s="4" t="s">
        <v>168</v>
      </c>
      <c r="D166" s="4" t="s">
        <v>404</v>
      </c>
      <c r="E166" s="3"/>
      <c r="F166" s="5">
        <v>4.0110000000000001</v>
      </c>
      <c r="G166" s="5">
        <v>4.016</v>
      </c>
      <c r="H166" s="5">
        <v>4.0069999999999997</v>
      </c>
      <c r="I166" s="5">
        <v>4.0129999999999999</v>
      </c>
      <c r="K166" s="3">
        <f t="shared" ca="1" si="244"/>
        <v>0.98479182248815755</v>
      </c>
      <c r="L166" s="3">
        <f t="shared" ca="1" si="245"/>
        <v>0.99576693227091639</v>
      </c>
      <c r="M166" s="3">
        <f t="shared" ca="1" si="246"/>
        <v>0.98552533067132531</v>
      </c>
      <c r="N166" s="3">
        <f t="shared" ca="1" si="247"/>
        <v>0.99651133815100923</v>
      </c>
      <c r="P166" s="3">
        <f t="shared" ca="1" si="248"/>
        <v>0.58987780539836709</v>
      </c>
      <c r="Q166" s="3">
        <f t="shared" ca="1" si="249"/>
        <v>0.5729581990958269</v>
      </c>
      <c r="R166" s="3">
        <f t="shared" ca="1" si="250"/>
        <v>0.53206886812609455</v>
      </c>
      <c r="S166" s="3">
        <f t="shared" ca="1" si="251"/>
        <v>0.51881382907904383</v>
      </c>
      <c r="U166" s="3">
        <f t="shared" ca="1" si="252"/>
        <v>1.7452006980802792</v>
      </c>
      <c r="V166" s="3">
        <f t="shared" ca="1" si="253"/>
        <v>2.241035856573705</v>
      </c>
      <c r="W166" s="3">
        <f t="shared" ca="1" si="254"/>
        <v>2.9947591714499628</v>
      </c>
      <c r="X166" s="3">
        <f t="shared" ca="1" si="255"/>
        <v>1.4951407924246201</v>
      </c>
      <c r="Z166" s="3">
        <f t="shared" ca="1" si="256"/>
        <v>0.63949139865370241</v>
      </c>
      <c r="AA166" s="3">
        <f t="shared" ca="1" si="257"/>
        <v>0.6347111553784861</v>
      </c>
      <c r="AB166" s="3">
        <f t="shared" ca="1" si="258"/>
        <v>0.81083104567007758</v>
      </c>
      <c r="AC166" s="3">
        <f t="shared" ca="1" si="259"/>
        <v>0.72663842511836541</v>
      </c>
      <c r="AE166" s="3">
        <f t="shared" ca="1" si="260"/>
        <v>0.54001491642212274</v>
      </c>
      <c r="AF166" s="3">
        <f t="shared" ca="1" si="261"/>
        <v>0.48580676905321052</v>
      </c>
      <c r="AG166" s="3">
        <f t="shared" ca="1" si="262"/>
        <v>0.53206886812609455</v>
      </c>
      <c r="AH166" s="3">
        <f t="shared" ca="1" si="263"/>
        <v>0.47719906323974398</v>
      </c>
      <c r="AJ166" s="3">
        <f t="shared" ca="1" si="264"/>
        <v>1.4958863126402393</v>
      </c>
      <c r="AK166" s="3">
        <f t="shared" ca="1" si="265"/>
        <v>1.7430278884462151</v>
      </c>
      <c r="AL166" s="3">
        <f t="shared" ca="1" si="266"/>
        <v>2.9947591714499628</v>
      </c>
      <c r="AM166" s="3">
        <f t="shared" ca="1" si="267"/>
        <v>1.2459506603538499</v>
      </c>
      <c r="AO166" s="3">
        <f t="shared" ca="1" si="268"/>
        <v>1.2465719272001994</v>
      </c>
      <c r="AP166" s="3">
        <f t="shared" ca="1" si="269"/>
        <v>1.7430278884462151</v>
      </c>
      <c r="AQ166" s="3">
        <f t="shared" ca="1" si="270"/>
        <v>1.7469428500124784</v>
      </c>
      <c r="AR166" s="3">
        <f t="shared" ca="1" si="271"/>
        <v>1.74433092449539</v>
      </c>
      <c r="AT166" s="5">
        <v>0.11800000071525574</v>
      </c>
      <c r="AU166" s="5">
        <v>1.2000000104308128E-2</v>
      </c>
      <c r="AV166" s="5">
        <v>0.24199999868869781</v>
      </c>
      <c r="AW166" s="5">
        <v>1.4000000432133675E-2</v>
      </c>
      <c r="AY166" s="3">
        <f t="shared" ca="1" si="272"/>
        <v>0</v>
      </c>
      <c r="AZ166" s="3">
        <f t="shared" ca="1" si="273"/>
        <v>0</v>
      </c>
      <c r="BA166" s="3">
        <f t="shared" ca="1" si="274"/>
        <v>3.7684052907412065E-2</v>
      </c>
      <c r="BB166" s="3">
        <f t="shared" ca="1" si="275"/>
        <v>0</v>
      </c>
      <c r="BD166" s="3">
        <f t="shared" ca="1" si="276"/>
        <v>0</v>
      </c>
      <c r="BE166" s="3">
        <f t="shared" ca="1" si="277"/>
        <v>0</v>
      </c>
      <c r="BF166" s="3">
        <f t="shared" ca="1" si="278"/>
        <v>2.9198897875601853E-2</v>
      </c>
      <c r="BG166" s="3">
        <f t="shared" ca="1" si="279"/>
        <v>0</v>
      </c>
      <c r="BI166" s="3">
        <f t="shared" ca="1" si="280"/>
        <v>0</v>
      </c>
      <c r="BJ166" s="3">
        <f t="shared" ca="1" si="281"/>
        <v>0</v>
      </c>
      <c r="BK166" s="3">
        <f t="shared" ca="1" si="282"/>
        <v>0.24956326428749689</v>
      </c>
      <c r="BL166" s="3">
        <f t="shared" ca="1" si="283"/>
        <v>0</v>
      </c>
      <c r="BN166" s="3">
        <f t="shared" ca="1" si="284"/>
        <v>0</v>
      </c>
      <c r="BO166" s="3">
        <f t="shared" ca="1" si="285"/>
        <v>0</v>
      </c>
      <c r="BP166" s="3">
        <f t="shared" ca="1" si="286"/>
        <v>1.9965061142999752</v>
      </c>
      <c r="BQ166" s="3">
        <f t="shared" ca="1" si="287"/>
        <v>0</v>
      </c>
      <c r="BS166" s="5">
        <v>4.0110000000000001</v>
      </c>
      <c r="BT166" s="5">
        <v>4.016</v>
      </c>
      <c r="BU166" s="5">
        <v>0.57499998807907104</v>
      </c>
      <c r="BV166" s="5">
        <v>4.0129999999999999</v>
      </c>
      <c r="BX166" s="3">
        <f t="shared" ca="1" si="288"/>
        <v>0.31962104213413117</v>
      </c>
      <c r="BY166" s="3">
        <f t="shared" ca="1" si="289"/>
        <v>9.9601593625498155E-2</v>
      </c>
      <c r="BZ166" s="3">
        <f t="shared" ca="1" si="290"/>
        <v>2.9198901921637162E-2</v>
      </c>
      <c r="CA166" s="3">
        <f t="shared" ca="1" si="291"/>
        <v>8.4724644904061869E-3</v>
      </c>
      <c r="CC166" s="3">
        <f t="shared" ca="1" si="292"/>
        <v>0.39042630150442376</v>
      </c>
      <c r="CD166" s="3">
        <f t="shared" ca="1" si="293"/>
        <v>0.14541829487242072</v>
      </c>
      <c r="CE166" s="3">
        <f t="shared" ca="1" si="294"/>
        <v>4.5670099260802878E-2</v>
      </c>
      <c r="CF166" s="3">
        <f t="shared" ca="1" si="295"/>
        <v>0</v>
      </c>
      <c r="CH166" s="3">
        <f t="shared" ca="1" si="296"/>
        <v>0.49862877088007979</v>
      </c>
      <c r="CI166" s="3">
        <f t="shared" ca="1" si="297"/>
        <v>0.74701195219123506</v>
      </c>
      <c r="CJ166" s="3">
        <f t="shared" ca="1" si="298"/>
        <v>0.24956326428749689</v>
      </c>
      <c r="CK166" s="3">
        <f t="shared" ca="1" si="299"/>
        <v>0</v>
      </c>
      <c r="CM166" s="3">
        <f t="shared" ca="1" si="300"/>
        <v>0.99725754176015957</v>
      </c>
      <c r="CN166" s="3">
        <f t="shared" ca="1" si="301"/>
        <v>0.99601593625498008</v>
      </c>
      <c r="CO166" s="3">
        <f t="shared" ca="1" si="302"/>
        <v>1.4973795857249814</v>
      </c>
      <c r="CP166" s="3">
        <f t="shared" ca="1" si="303"/>
        <v>0.74757039621231003</v>
      </c>
      <c r="CR166" s="5">
        <v>0.40099999308586121</v>
      </c>
      <c r="CS166" s="5">
        <v>1.6950000524520874</v>
      </c>
      <c r="CT166" s="5">
        <v>2.1749999523162842</v>
      </c>
      <c r="CU166" s="5">
        <v>4.0129999999999999</v>
      </c>
      <c r="CV166" s="21">
        <f t="shared" ca="1" si="305"/>
        <v>2.9198897875601853E-2</v>
      </c>
      <c r="CW166" s="16">
        <f t="shared" ca="1" si="304"/>
        <v>12.666666666666666</v>
      </c>
    </row>
    <row r="167" spans="1:101" s="5" customFormat="1" x14ac:dyDescent="0.35">
      <c r="A167" s="4" t="s">
        <v>143</v>
      </c>
      <c r="B167" s="4">
        <v>13.083333333333334</v>
      </c>
      <c r="C167" s="4" t="s">
        <v>168</v>
      </c>
      <c r="D167" s="4" t="s">
        <v>404</v>
      </c>
      <c r="E167" s="3"/>
      <c r="F167" s="11" t="e">
        <v>#N/A</v>
      </c>
      <c r="G167" s="5">
        <v>4.016</v>
      </c>
      <c r="H167" s="5">
        <v>4.016</v>
      </c>
      <c r="I167" s="5">
        <v>4.0620000000000003</v>
      </c>
      <c r="K167" s="3" t="e">
        <f t="shared" ca="1" si="244"/>
        <v>#N/A</v>
      </c>
      <c r="L167" s="3">
        <f t="shared" ca="1" si="245"/>
        <v>0.99576693227091628</v>
      </c>
      <c r="M167" s="3">
        <f t="shared" ca="1" si="246"/>
        <v>0.91683266932270913</v>
      </c>
      <c r="N167" s="3">
        <f t="shared" ca="1" si="247"/>
        <v>0.99679960610536689</v>
      </c>
      <c r="P167" s="3" t="e">
        <f t="shared" ca="1" si="248"/>
        <v>#N/A</v>
      </c>
      <c r="Q167" s="3">
        <f t="shared" ca="1" si="249"/>
        <v>0.83341640401705808</v>
      </c>
      <c r="R167" s="3">
        <f t="shared" ca="1" si="250"/>
        <v>0.66782868854201538</v>
      </c>
      <c r="S167" s="3">
        <f t="shared" ca="1" si="251"/>
        <v>0.75873965695537049</v>
      </c>
      <c r="U167" s="3" t="e">
        <f t="shared" ca="1" si="252"/>
        <v>#N/A</v>
      </c>
      <c r="V167" s="3">
        <f t="shared" ca="1" si="253"/>
        <v>1.7430278884462151</v>
      </c>
      <c r="W167" s="3">
        <f t="shared" ca="1" si="254"/>
        <v>1.7430278884462151</v>
      </c>
      <c r="X167" s="3">
        <f t="shared" ca="1" si="255"/>
        <v>3.4465780403741997</v>
      </c>
      <c r="Z167" s="3" t="e">
        <f t="shared" ca="1" si="256"/>
        <v>#N/A</v>
      </c>
      <c r="AA167" s="3">
        <f t="shared" ca="1" si="257"/>
        <v>0.69272908366533859</v>
      </c>
      <c r="AB167" s="3">
        <f t="shared" ca="1" si="258"/>
        <v>0.70891434262948194</v>
      </c>
      <c r="AC167" s="3">
        <f t="shared" ca="1" si="259"/>
        <v>0.9679960610536682</v>
      </c>
      <c r="AE167" s="3" t="e">
        <f t="shared" ca="1" si="260"/>
        <v>#N/A</v>
      </c>
      <c r="AF167" s="3">
        <f t="shared" ca="1" si="261"/>
        <v>0.7338148070521564</v>
      </c>
      <c r="AG167" s="3">
        <f t="shared" ca="1" si="262"/>
        <v>0.66782868854201538</v>
      </c>
      <c r="AH167" s="3">
        <f t="shared" ca="1" si="263"/>
        <v>0.75873965695537049</v>
      </c>
      <c r="AJ167" s="3" t="e">
        <f t="shared" ca="1" si="264"/>
        <v>#N/A</v>
      </c>
      <c r="AK167" s="3">
        <f t="shared" ca="1" si="265"/>
        <v>1.4940239043824701</v>
      </c>
      <c r="AL167" s="3">
        <f t="shared" ca="1" si="266"/>
        <v>1.7430278884462151</v>
      </c>
      <c r="AM167" s="3">
        <f t="shared" ca="1" si="267"/>
        <v>3.4465780403741997</v>
      </c>
      <c r="AO167" s="3" t="e">
        <f t="shared" ca="1" si="268"/>
        <v>#N/A</v>
      </c>
      <c r="AP167" s="3">
        <f t="shared" ca="1" si="269"/>
        <v>1.2450199203187251</v>
      </c>
      <c r="AQ167" s="3">
        <f t="shared" ca="1" si="270"/>
        <v>1.2450199203187251</v>
      </c>
      <c r="AR167" s="3">
        <f t="shared" ca="1" si="271"/>
        <v>0.49236829148202854</v>
      </c>
      <c r="AT167" s="11" t="e">
        <v>#N/A</v>
      </c>
      <c r="AU167" s="5">
        <v>0.59500002861022949</v>
      </c>
      <c r="AV167" s="5">
        <v>1.0000000474974513E-3</v>
      </c>
      <c r="AW167" s="5">
        <v>2.6000000536441803E-2</v>
      </c>
      <c r="AY167" s="3" t="e">
        <f t="shared" ca="1" si="272"/>
        <v>#N/A</v>
      </c>
      <c r="AZ167" s="3">
        <f t="shared" ca="1" si="273"/>
        <v>2.0418326693227053E-2</v>
      </c>
      <c r="BA167" s="3">
        <f t="shared" ca="1" si="274"/>
        <v>0</v>
      </c>
      <c r="BB167" s="3">
        <f t="shared" ca="1" si="275"/>
        <v>7.3855243722304231E-2</v>
      </c>
      <c r="BD167" s="3" t="e">
        <f t="shared" ca="1" si="276"/>
        <v>#N/A</v>
      </c>
      <c r="BE167" s="3">
        <f t="shared" ca="1" si="277"/>
        <v>0</v>
      </c>
      <c r="BF167" s="3">
        <f t="shared" ca="1" si="278"/>
        <v>0</v>
      </c>
      <c r="BG167" s="3">
        <f t="shared" ca="1" si="279"/>
        <v>6.9670082019033949E-2</v>
      </c>
      <c r="BI167" s="3" t="e">
        <f t="shared" ca="1" si="280"/>
        <v>#N/A</v>
      </c>
      <c r="BJ167" s="3">
        <f t="shared" ca="1" si="281"/>
        <v>0</v>
      </c>
      <c r="BK167" s="3">
        <f t="shared" ca="1" si="282"/>
        <v>0</v>
      </c>
      <c r="BL167" s="3">
        <f t="shared" ca="1" si="283"/>
        <v>0.49236829148202854</v>
      </c>
      <c r="BN167" s="3" t="e">
        <f t="shared" ca="1" si="284"/>
        <v>#N/A</v>
      </c>
      <c r="BO167" s="3">
        <f t="shared" ca="1" si="285"/>
        <v>0.49800796812749004</v>
      </c>
      <c r="BP167" s="3">
        <f t="shared" ca="1" si="286"/>
        <v>0</v>
      </c>
      <c r="BQ167" s="3">
        <f t="shared" ca="1" si="287"/>
        <v>0.73855243722304276</v>
      </c>
      <c r="BS167" s="11" t="e">
        <v>#N/A</v>
      </c>
      <c r="BT167" s="5">
        <v>4.016</v>
      </c>
      <c r="BU167" s="5">
        <v>4.016</v>
      </c>
      <c r="BV167" s="5">
        <v>1.7929999828338623</v>
      </c>
      <c r="BX167" s="3" t="e">
        <f t="shared" ca="1" si="288"/>
        <v>#N/A</v>
      </c>
      <c r="BY167" s="3">
        <f t="shared" ca="1" si="289"/>
        <v>0</v>
      </c>
      <c r="BZ167" s="3">
        <f t="shared" ca="1" si="290"/>
        <v>0</v>
      </c>
      <c r="CA167" s="3">
        <f t="shared" ca="1" si="291"/>
        <v>0.30773018217626785</v>
      </c>
      <c r="CC167" s="3" t="e">
        <f t="shared" ca="1" si="292"/>
        <v>#N/A</v>
      </c>
      <c r="CD167" s="3">
        <f t="shared" ca="1" si="293"/>
        <v>0</v>
      </c>
      <c r="CE167" s="3">
        <f t="shared" ca="1" si="294"/>
        <v>0</v>
      </c>
      <c r="CF167" s="3">
        <f t="shared" ca="1" si="295"/>
        <v>0.34465786236545121</v>
      </c>
      <c r="CH167" s="3" t="e">
        <f t="shared" ca="1" si="296"/>
        <v>#N/A</v>
      </c>
      <c r="CI167" s="3">
        <f t="shared" ca="1" si="297"/>
        <v>0</v>
      </c>
      <c r="CJ167" s="3">
        <f t="shared" ca="1" si="298"/>
        <v>0</v>
      </c>
      <c r="CK167" s="3">
        <f t="shared" ca="1" si="299"/>
        <v>1.2309207287050714</v>
      </c>
      <c r="CM167" s="3" t="e">
        <f t="shared" ca="1" si="300"/>
        <v>#N/A</v>
      </c>
      <c r="CN167" s="3">
        <f t="shared" ca="1" si="301"/>
        <v>0</v>
      </c>
      <c r="CO167" s="3">
        <f t="shared" ca="1" si="302"/>
        <v>0</v>
      </c>
      <c r="CP167" s="3">
        <f t="shared" ca="1" si="303"/>
        <v>0.98473658296405708</v>
      </c>
      <c r="CR167" s="11" t="e">
        <v>#N/A</v>
      </c>
      <c r="CS167" s="5">
        <v>4.016</v>
      </c>
      <c r="CT167" s="5">
        <v>4.016</v>
      </c>
      <c r="CU167" s="5">
        <v>2.6000000536441803E-2</v>
      </c>
      <c r="CV167" s="21">
        <f t="shared" ca="1" si="305"/>
        <v>0</v>
      </c>
      <c r="CW167" s="16">
        <f t="shared" ca="1" si="304"/>
        <v>13.083333333333334</v>
      </c>
    </row>
    <row r="168" spans="1:101" s="5" customFormat="1" x14ac:dyDescent="0.35">
      <c r="A168" s="4" t="s">
        <v>160</v>
      </c>
      <c r="B168" s="4">
        <v>13.083333333333334</v>
      </c>
      <c r="C168" s="4" t="s">
        <v>167</v>
      </c>
      <c r="D168" s="4" t="s">
        <v>404</v>
      </c>
      <c r="E168" s="3"/>
      <c r="F168" s="5">
        <v>4.0110000000000001</v>
      </c>
      <c r="G168" s="5">
        <v>4.0149999999999997</v>
      </c>
      <c r="H168" s="5">
        <v>4.0110000000000001</v>
      </c>
      <c r="I168" s="5">
        <v>4.016</v>
      </c>
      <c r="K168" s="3">
        <f t="shared" ca="1" si="244"/>
        <v>0.9970082273747195</v>
      </c>
      <c r="L168" s="3">
        <f t="shared" ca="1" si="245"/>
        <v>0.91731008717310103</v>
      </c>
      <c r="M168" s="3">
        <f t="shared" ca="1" si="246"/>
        <v>0.9970082273747195</v>
      </c>
      <c r="N168" s="3">
        <f t="shared" ca="1" si="247"/>
        <v>0.99576693227091628</v>
      </c>
      <c r="P168" s="3">
        <f t="shared" ca="1" si="248"/>
        <v>0.86387433993997664</v>
      </c>
      <c r="Q168" s="3">
        <f t="shared" ca="1" si="249"/>
        <v>0.81320046487810604</v>
      </c>
      <c r="R168" s="3">
        <f t="shared" ca="1" si="250"/>
        <v>0.91398653594140311</v>
      </c>
      <c r="S168" s="3">
        <f t="shared" ca="1" si="251"/>
        <v>0.77216133876032089</v>
      </c>
      <c r="U168" s="3">
        <f t="shared" ca="1" si="252"/>
        <v>1.4958863126402393</v>
      </c>
      <c r="V168" s="3">
        <f t="shared" ca="1" si="253"/>
        <v>1.7434620174346203</v>
      </c>
      <c r="W168" s="3">
        <f t="shared" ca="1" si="254"/>
        <v>1.7452006980802792</v>
      </c>
      <c r="X168" s="3">
        <f t="shared" ca="1" si="255"/>
        <v>1.9920318725099602</v>
      </c>
      <c r="Z168" s="3">
        <f t="shared" ca="1" si="256"/>
        <v>0.93891797556719025</v>
      </c>
      <c r="AA168" s="3">
        <f t="shared" ca="1" si="257"/>
        <v>0.9006226650062269</v>
      </c>
      <c r="AB168" s="3">
        <f t="shared" ca="1" si="258"/>
        <v>0.98878085265519811</v>
      </c>
      <c r="AC168" s="3">
        <f t="shared" ca="1" si="259"/>
        <v>0.81748007968127501</v>
      </c>
      <c r="AE168" s="3">
        <f t="shared" ca="1" si="260"/>
        <v>0.86387433993997664</v>
      </c>
      <c r="AF168" s="3">
        <f t="shared" ca="1" si="261"/>
        <v>0.81320046487810604</v>
      </c>
      <c r="AG168" s="3">
        <f t="shared" ca="1" si="262"/>
        <v>0.91398653594140311</v>
      </c>
      <c r="AH168" s="3">
        <f t="shared" ca="1" si="263"/>
        <v>0.62250995644891405</v>
      </c>
      <c r="AJ168" s="3">
        <f t="shared" ca="1" si="264"/>
        <v>1.4958863126402393</v>
      </c>
      <c r="AK168" s="3">
        <f t="shared" ca="1" si="265"/>
        <v>1.7434620174346203</v>
      </c>
      <c r="AL168" s="3">
        <f t="shared" ca="1" si="266"/>
        <v>1.7452006980802792</v>
      </c>
      <c r="AM168" s="3">
        <f t="shared" ca="1" si="267"/>
        <v>1.2450199203187251</v>
      </c>
      <c r="AO168" s="3">
        <f t="shared" ca="1" si="268"/>
        <v>0.74794315632011965</v>
      </c>
      <c r="AP168" s="3">
        <f t="shared" ca="1" si="269"/>
        <v>0.24906600249066005</v>
      </c>
      <c r="AQ168" s="3">
        <f t="shared" ca="1" si="270"/>
        <v>0.49862877088007979</v>
      </c>
      <c r="AR168" s="3">
        <f t="shared" ca="1" si="271"/>
        <v>0.49800796812749004</v>
      </c>
      <c r="AT168" s="5">
        <v>8.999999612569809E-3</v>
      </c>
      <c r="AU168" s="5">
        <v>0.38499999046325684</v>
      </c>
      <c r="AV168" s="5">
        <v>1.0000000474974513E-3</v>
      </c>
      <c r="AW168" s="5">
        <v>2.8999999165534973E-2</v>
      </c>
      <c r="AY168" s="3">
        <f t="shared" ca="1" si="272"/>
        <v>0.72276240339067566</v>
      </c>
      <c r="AZ168" s="3">
        <f t="shared" ca="1" si="273"/>
        <v>0.5148194271481944</v>
      </c>
      <c r="BA168" s="3">
        <f t="shared" ca="1" si="274"/>
        <v>0.60658189977561705</v>
      </c>
      <c r="BB168" s="3">
        <f t="shared" ca="1" si="275"/>
        <v>0.12873505976095612</v>
      </c>
      <c r="BD168" s="3">
        <f t="shared" ca="1" si="276"/>
        <v>0.77262529056139406</v>
      </c>
      <c r="BE168" s="3">
        <f t="shared" ca="1" si="277"/>
        <v>0.5561643341558512</v>
      </c>
      <c r="BF168" s="3">
        <f t="shared" ca="1" si="278"/>
        <v>0.62303663434252243</v>
      </c>
      <c r="BG168" s="3">
        <f t="shared" ca="1" si="279"/>
        <v>0.11603587652107634</v>
      </c>
      <c r="BI168" s="3">
        <f t="shared" ca="1" si="280"/>
        <v>0.74794315632011965</v>
      </c>
      <c r="BJ168" s="3">
        <f t="shared" ca="1" si="281"/>
        <v>1.2453300124533002</v>
      </c>
      <c r="BK168" s="3">
        <f t="shared" ca="1" si="282"/>
        <v>0.99725754176015957</v>
      </c>
      <c r="BL168" s="3">
        <f t="shared" ca="1" si="283"/>
        <v>0.24900398406374502</v>
      </c>
      <c r="BN168" s="3">
        <f t="shared" ca="1" si="284"/>
        <v>0.99725754176015957</v>
      </c>
      <c r="BO168" s="3">
        <f t="shared" ca="1" si="285"/>
        <v>0.9962640099626402</v>
      </c>
      <c r="BP168" s="3">
        <f t="shared" ca="1" si="286"/>
        <v>0.99725754176015957</v>
      </c>
      <c r="BQ168" s="3">
        <f t="shared" ca="1" si="287"/>
        <v>0.74701195219123506</v>
      </c>
      <c r="BS168" s="5">
        <v>8.999999612569809E-3</v>
      </c>
      <c r="BT168" s="5">
        <v>0.38499999046325684</v>
      </c>
      <c r="BU168" s="5">
        <v>1.0000000474974513E-3</v>
      </c>
      <c r="BV168" s="5">
        <v>2.8789999485015869</v>
      </c>
      <c r="BX168" s="3">
        <f t="shared" ca="1" si="288"/>
        <v>3.3158813263525308E-2</v>
      </c>
      <c r="BY168" s="3">
        <f t="shared" ca="1" si="289"/>
        <v>4.2341220423411973E-3</v>
      </c>
      <c r="BZ168" s="3">
        <f t="shared" ca="1" si="290"/>
        <v>0</v>
      </c>
      <c r="CA168" s="3">
        <f t="shared" ca="1" si="291"/>
        <v>1.2450199203187207E-2</v>
      </c>
      <c r="CC168" s="3">
        <f t="shared" ca="1" si="292"/>
        <v>2.4931474208712903E-2</v>
      </c>
      <c r="CD168" s="3">
        <f t="shared" ca="1" si="293"/>
        <v>0</v>
      </c>
      <c r="CE168" s="3">
        <f t="shared" ca="1" si="294"/>
        <v>0</v>
      </c>
      <c r="CF168" s="3">
        <f t="shared" ca="1" si="295"/>
        <v>0</v>
      </c>
      <c r="CH168" s="3">
        <f t="shared" ca="1" si="296"/>
        <v>0.24931438544003989</v>
      </c>
      <c r="CI168" s="3">
        <f t="shared" ca="1" si="297"/>
        <v>0</v>
      </c>
      <c r="CJ168" s="3">
        <f t="shared" ca="1" si="298"/>
        <v>0</v>
      </c>
      <c r="CK168" s="3">
        <f t="shared" ca="1" si="299"/>
        <v>0</v>
      </c>
      <c r="CM168" s="3">
        <f t="shared" ca="1" si="300"/>
        <v>0.74794315632011965</v>
      </c>
      <c r="CN168" s="3">
        <f t="shared" ca="1" si="301"/>
        <v>0.24906600249066005</v>
      </c>
      <c r="CO168" s="3">
        <f t="shared" ca="1" si="302"/>
        <v>0</v>
      </c>
      <c r="CP168" s="3">
        <f t="shared" ca="1" si="303"/>
        <v>0.99601593625498008</v>
      </c>
      <c r="CR168" s="5">
        <v>3.7249999046325684</v>
      </c>
      <c r="CS168" s="5">
        <v>4.0149999999999997</v>
      </c>
      <c r="CT168" s="5">
        <v>4.0110000000000001</v>
      </c>
      <c r="CU168" s="5">
        <v>4.016</v>
      </c>
      <c r="CV168" s="21">
        <f t="shared" ca="1" si="305"/>
        <v>0.62303663434252243</v>
      </c>
      <c r="CW168" s="16">
        <f t="shared" ca="1" si="304"/>
        <v>13.083333333333334</v>
      </c>
    </row>
  </sheetData>
  <autoFilter ref="A3:CU168">
    <sortState ref="A4:CV168">
      <sortCondition ref="D3:D168"/>
    </sortState>
  </autoFilter>
  <mergeCells count="27">
    <mergeCell ref="CY11:CY16"/>
    <mergeCell ref="CY17:CY22"/>
    <mergeCell ref="CY23:CY28"/>
    <mergeCell ref="CY5:CY10"/>
    <mergeCell ref="CX3:CY3"/>
    <mergeCell ref="CH2:CK2"/>
    <mergeCell ref="CM2:CP2"/>
    <mergeCell ref="CR2:CU2"/>
    <mergeCell ref="CZ2:DC2"/>
    <mergeCell ref="BD2:BG2"/>
    <mergeCell ref="BI2:BL2"/>
    <mergeCell ref="BN2:BQ2"/>
    <mergeCell ref="BS2:BV2"/>
    <mergeCell ref="BX2:CA2"/>
    <mergeCell ref="CC2:CF2"/>
    <mergeCell ref="AY2:BB2"/>
    <mergeCell ref="A1:M1"/>
    <mergeCell ref="A2:D2"/>
    <mergeCell ref="F2:I2"/>
    <mergeCell ref="K2:N2"/>
    <mergeCell ref="P2:S2"/>
    <mergeCell ref="U2:X2"/>
    <mergeCell ref="Z2:AC2"/>
    <mergeCell ref="AE2:AH2"/>
    <mergeCell ref="AJ2:AM2"/>
    <mergeCell ref="AO2:AR2"/>
    <mergeCell ref="AT2:AW2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0" r:id="rId4" name="Drop Down 10">
              <controlPr defaultSize="0" autoLine="0" autoPict="0" altText="Visages Stims">
                <anchor moveWithCells="1">
                  <from>
                    <xdr:col>108</xdr:col>
                    <xdr:colOff>838200</xdr:colOff>
                    <xdr:row>3</xdr:row>
                    <xdr:rowOff>184150</xdr:rowOff>
                  </from>
                  <to>
                    <xdr:col>110</xdr:col>
                    <xdr:colOff>12700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5" name="Drop Down 13">
              <controlPr defaultSize="0" autoLine="0" autoPict="0">
                <anchor moveWithCells="1">
                  <from>
                    <xdr:col>108</xdr:col>
                    <xdr:colOff>850900</xdr:colOff>
                    <xdr:row>7</xdr:row>
                    <xdr:rowOff>0</xdr:rowOff>
                  </from>
                  <to>
                    <xdr:col>110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6" name="Drop Down 14">
              <controlPr defaultSize="0" autoLine="0" autoPict="0">
                <anchor moveWithCells="1">
                  <from>
                    <xdr:col>108</xdr:col>
                    <xdr:colOff>869950</xdr:colOff>
                    <xdr:row>10</xdr:row>
                    <xdr:rowOff>0</xdr:rowOff>
                  </from>
                  <to>
                    <xdr:col>110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239"/>
  <sheetViews>
    <sheetView tabSelected="1" workbookViewId="0">
      <pane ySplit="3" topLeftCell="A202" activePane="bottomLeft" state="frozen"/>
      <selection pane="bottomLeft" activeCell="K219" sqref="K219"/>
    </sheetView>
  </sheetViews>
  <sheetFormatPr baseColWidth="10" defaultColWidth="15.7265625" defaultRowHeight="14.5" x14ac:dyDescent="0.35"/>
  <cols>
    <col min="1" max="1" width="25.54296875" style="6" customWidth="1"/>
    <col min="2" max="4" width="15.7265625" style="6"/>
    <col min="5" max="98" width="15.7265625" style="7"/>
    <col min="99" max="99" width="24" style="7" customWidth="1"/>
    <col min="100" max="100" width="15.7265625" style="21"/>
    <col min="101" max="101" width="15.7265625" style="16"/>
    <col min="102" max="103" width="15.7265625" style="7"/>
    <col min="104" max="104" width="24.54296875" style="7" customWidth="1"/>
    <col min="105" max="105" width="22.453125" style="7" customWidth="1"/>
    <col min="106" max="106" width="21.1796875" style="7" customWidth="1"/>
    <col min="107" max="107" width="22.453125" style="7" customWidth="1"/>
    <col min="108" max="108" width="28.81640625" style="7" customWidth="1"/>
    <col min="109" max="16384" width="15.7265625" style="7"/>
  </cols>
  <sheetData>
    <row r="1" spans="1:120" ht="15" thickBot="1" x14ac:dyDescent="0.4">
      <c r="A1" s="67" t="s">
        <v>268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10"/>
      <c r="P1" s="8"/>
      <c r="Q1" s="9"/>
      <c r="R1" s="9"/>
      <c r="S1" s="10"/>
      <c r="U1" s="8"/>
      <c r="V1" s="9"/>
      <c r="W1" s="9"/>
      <c r="X1" s="10"/>
      <c r="Z1" s="8"/>
      <c r="AA1" s="9"/>
      <c r="AB1" s="9"/>
      <c r="AC1" s="10"/>
      <c r="AE1" s="8"/>
      <c r="AF1" s="9"/>
      <c r="AG1" s="9"/>
      <c r="AH1" s="10"/>
      <c r="AJ1" s="8"/>
      <c r="AK1" s="9"/>
      <c r="AL1" s="9"/>
      <c r="AM1" s="10"/>
      <c r="AO1" s="8"/>
      <c r="AP1" s="9"/>
      <c r="AQ1" s="9"/>
      <c r="AR1" s="10"/>
      <c r="AT1" s="8"/>
      <c r="AU1" s="9"/>
      <c r="AV1" s="9"/>
      <c r="AW1" s="10"/>
      <c r="AY1" s="8"/>
      <c r="AZ1" s="9"/>
      <c r="BA1" s="9"/>
      <c r="BB1" s="10"/>
      <c r="BD1" s="8"/>
      <c r="BE1" s="9"/>
      <c r="BF1" s="9"/>
      <c r="BG1" s="10"/>
      <c r="BI1" s="8"/>
      <c r="BJ1" s="9"/>
      <c r="BK1" s="9"/>
      <c r="BL1" s="10"/>
      <c r="BN1" s="8"/>
      <c r="BO1" s="9"/>
      <c r="BP1" s="9"/>
      <c r="BQ1" s="10"/>
      <c r="BS1" s="8"/>
      <c r="BT1" s="9"/>
      <c r="BU1" s="9"/>
      <c r="BV1" s="10"/>
      <c r="BX1" s="8"/>
      <c r="BY1" s="9"/>
      <c r="BZ1" s="9"/>
      <c r="CA1" s="10"/>
      <c r="CC1" s="8"/>
      <c r="CD1" s="9"/>
      <c r="CE1" s="9"/>
      <c r="CF1" s="10"/>
      <c r="CH1" s="8"/>
      <c r="CI1" s="9"/>
      <c r="CJ1" s="9"/>
      <c r="CK1" s="10"/>
      <c r="CM1" s="8"/>
      <c r="CN1" s="9"/>
      <c r="CO1" s="9"/>
      <c r="CP1" s="10"/>
      <c r="CR1" s="8"/>
      <c r="CS1" s="9"/>
      <c r="CT1" s="9"/>
      <c r="CU1" s="10"/>
    </row>
    <row r="2" spans="1:120" ht="17.25" customHeight="1" thickTop="1" thickBot="1" x14ac:dyDescent="0.4">
      <c r="A2" s="56" t="s">
        <v>246</v>
      </c>
      <c r="B2" s="56"/>
      <c r="C2" s="56"/>
      <c r="D2" s="56"/>
      <c r="F2" s="57" t="s">
        <v>408</v>
      </c>
      <c r="G2" s="57"/>
      <c r="H2" s="57"/>
      <c r="I2" s="57"/>
      <c r="K2" s="58" t="s">
        <v>247</v>
      </c>
      <c r="L2" s="59"/>
      <c r="M2" s="59"/>
      <c r="N2" s="60"/>
      <c r="P2" s="58" t="s">
        <v>248</v>
      </c>
      <c r="Q2" s="59"/>
      <c r="R2" s="59"/>
      <c r="S2" s="60"/>
      <c r="U2" s="58" t="s">
        <v>249</v>
      </c>
      <c r="V2" s="59"/>
      <c r="W2" s="59"/>
      <c r="X2" s="60"/>
      <c r="Z2" s="53" t="s">
        <v>250</v>
      </c>
      <c r="AA2" s="54"/>
      <c r="AB2" s="54"/>
      <c r="AC2" s="55"/>
      <c r="AE2" s="53" t="s">
        <v>251</v>
      </c>
      <c r="AF2" s="54"/>
      <c r="AG2" s="54"/>
      <c r="AH2" s="55"/>
      <c r="AJ2" s="53" t="s">
        <v>252</v>
      </c>
      <c r="AK2" s="54"/>
      <c r="AL2" s="54"/>
      <c r="AM2" s="55"/>
      <c r="AO2" s="53" t="s">
        <v>253</v>
      </c>
      <c r="AP2" s="54"/>
      <c r="AQ2" s="54"/>
      <c r="AR2" s="55"/>
      <c r="AT2" s="53" t="s">
        <v>254</v>
      </c>
      <c r="AU2" s="54"/>
      <c r="AV2" s="54"/>
      <c r="AW2" s="55"/>
      <c r="AY2" s="61" t="s">
        <v>255</v>
      </c>
      <c r="AZ2" s="62"/>
      <c r="BA2" s="62"/>
      <c r="BB2" s="63"/>
      <c r="BD2" s="61" t="s">
        <v>256</v>
      </c>
      <c r="BE2" s="62"/>
      <c r="BF2" s="62"/>
      <c r="BG2" s="63"/>
      <c r="BI2" s="61" t="s">
        <v>257</v>
      </c>
      <c r="BJ2" s="62"/>
      <c r="BK2" s="62"/>
      <c r="BL2" s="63"/>
      <c r="BN2" s="61" t="s">
        <v>258</v>
      </c>
      <c r="BO2" s="62"/>
      <c r="BP2" s="62"/>
      <c r="BQ2" s="63"/>
      <c r="BS2" s="61" t="s">
        <v>259</v>
      </c>
      <c r="BT2" s="62"/>
      <c r="BU2" s="62"/>
      <c r="BV2" s="63"/>
      <c r="BX2" s="64" t="s">
        <v>260</v>
      </c>
      <c r="BY2" s="65"/>
      <c r="BZ2" s="65"/>
      <c r="CA2" s="66"/>
      <c r="CC2" s="64" t="s">
        <v>261</v>
      </c>
      <c r="CD2" s="65"/>
      <c r="CE2" s="65"/>
      <c r="CF2" s="66"/>
      <c r="CH2" s="64" t="s">
        <v>262</v>
      </c>
      <c r="CI2" s="65"/>
      <c r="CJ2" s="65"/>
      <c r="CK2" s="66"/>
      <c r="CM2" s="64" t="s">
        <v>263</v>
      </c>
      <c r="CN2" s="65"/>
      <c r="CO2" s="65"/>
      <c r="CP2" s="66"/>
      <c r="CR2" s="64" t="s">
        <v>264</v>
      </c>
      <c r="CS2" s="65"/>
      <c r="CT2" s="65"/>
      <c r="CU2" s="66"/>
      <c r="CY2" s="8"/>
      <c r="CZ2" s="68" t="s">
        <v>277</v>
      </c>
      <c r="DA2" s="69"/>
      <c r="DB2" s="69"/>
      <c r="DC2" s="69"/>
    </row>
    <row r="3" spans="1:120" s="1" customFormat="1" ht="15.75" customHeight="1" thickTop="1" x14ac:dyDescent="0.35">
      <c r="A3" s="1" t="s">
        <v>0</v>
      </c>
      <c r="B3" s="1" t="s">
        <v>265</v>
      </c>
      <c r="C3" s="1" t="s">
        <v>166</v>
      </c>
      <c r="D3" s="1" t="s">
        <v>169</v>
      </c>
      <c r="F3" s="1" t="s">
        <v>170</v>
      </c>
      <c r="G3" s="1" t="s">
        <v>171</v>
      </c>
      <c r="H3" s="1" t="s">
        <v>172</v>
      </c>
      <c r="I3" s="1" t="s">
        <v>173</v>
      </c>
      <c r="K3" s="1" t="s">
        <v>174</v>
      </c>
      <c r="L3" s="1" t="s">
        <v>175</v>
      </c>
      <c r="M3" s="1" t="s">
        <v>176</v>
      </c>
      <c r="N3" s="1" t="s">
        <v>177</v>
      </c>
      <c r="P3" s="1" t="s">
        <v>178</v>
      </c>
      <c r="Q3" s="1" t="s">
        <v>179</v>
      </c>
      <c r="R3" s="1" t="s">
        <v>180</v>
      </c>
      <c r="S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Z3" s="1" t="s">
        <v>186</v>
      </c>
      <c r="AA3" s="1" t="s">
        <v>187</v>
      </c>
      <c r="AB3" s="1" t="s">
        <v>188</v>
      </c>
      <c r="AC3" s="1" t="s">
        <v>189</v>
      </c>
      <c r="AE3" s="1" t="s">
        <v>190</v>
      </c>
      <c r="AF3" s="1" t="s">
        <v>191</v>
      </c>
      <c r="AG3" s="1" t="s">
        <v>192</v>
      </c>
      <c r="AH3" s="1" t="s">
        <v>193</v>
      </c>
      <c r="AJ3" s="1" t="s">
        <v>194</v>
      </c>
      <c r="AK3" s="1" t="s">
        <v>195</v>
      </c>
      <c r="AL3" s="1" t="s">
        <v>196</v>
      </c>
      <c r="AM3" s="1" t="s">
        <v>197</v>
      </c>
      <c r="AO3" s="1" t="s">
        <v>198</v>
      </c>
      <c r="AP3" s="1" t="s">
        <v>199</v>
      </c>
      <c r="AQ3" s="1" t="s">
        <v>200</v>
      </c>
      <c r="AR3" s="1" t="s">
        <v>201</v>
      </c>
      <c r="AT3" s="1" t="s">
        <v>202</v>
      </c>
      <c r="AU3" s="1" t="s">
        <v>203</v>
      </c>
      <c r="AV3" s="1" t="s">
        <v>204</v>
      </c>
      <c r="AW3" s="1" t="s">
        <v>205</v>
      </c>
      <c r="AY3" s="1" t="s">
        <v>206</v>
      </c>
      <c r="AZ3" s="1" t="s">
        <v>207</v>
      </c>
      <c r="BA3" s="1" t="s">
        <v>208</v>
      </c>
      <c r="BB3" s="1" t="s">
        <v>209</v>
      </c>
      <c r="BD3" s="1" t="s">
        <v>210</v>
      </c>
      <c r="BE3" s="1" t="s">
        <v>211</v>
      </c>
      <c r="BF3" s="1" t="s">
        <v>212</v>
      </c>
      <c r="BG3" s="1" t="s">
        <v>213</v>
      </c>
      <c r="BI3" s="1" t="s">
        <v>214</v>
      </c>
      <c r="BJ3" s="1" t="s">
        <v>215</v>
      </c>
      <c r="BK3" s="1" t="s">
        <v>216</v>
      </c>
      <c r="BL3" s="1" t="s">
        <v>217</v>
      </c>
      <c r="BN3" s="1" t="s">
        <v>218</v>
      </c>
      <c r="BO3" s="1" t="s">
        <v>219</v>
      </c>
      <c r="BP3" s="1" t="s">
        <v>220</v>
      </c>
      <c r="BQ3" s="1" t="s">
        <v>221</v>
      </c>
      <c r="BS3" s="1" t="s">
        <v>222</v>
      </c>
      <c r="BT3" s="1" t="s">
        <v>223</v>
      </c>
      <c r="BU3" s="1" t="s">
        <v>224</v>
      </c>
      <c r="BV3" s="1" t="s">
        <v>225</v>
      </c>
      <c r="BX3" s="1" t="s">
        <v>226</v>
      </c>
      <c r="BY3" s="1" t="s">
        <v>227</v>
      </c>
      <c r="BZ3" s="1" t="s">
        <v>228</v>
      </c>
      <c r="CA3" s="1" t="s">
        <v>229</v>
      </c>
      <c r="CC3" s="1" t="s">
        <v>230</v>
      </c>
      <c r="CD3" s="1" t="s">
        <v>231</v>
      </c>
      <c r="CE3" s="1" t="s">
        <v>232</v>
      </c>
      <c r="CF3" s="1" t="s">
        <v>233</v>
      </c>
      <c r="CH3" s="1" t="s">
        <v>234</v>
      </c>
      <c r="CI3" s="1" t="s">
        <v>235</v>
      </c>
      <c r="CJ3" s="1" t="s">
        <v>236</v>
      </c>
      <c r="CK3" s="1" t="s">
        <v>237</v>
      </c>
      <c r="CM3" s="1" t="s">
        <v>238</v>
      </c>
      <c r="CN3" s="1" t="s">
        <v>239</v>
      </c>
      <c r="CO3" s="1" t="s">
        <v>240</v>
      </c>
      <c r="CP3" s="1" t="s">
        <v>241</v>
      </c>
      <c r="CR3" s="1" t="s">
        <v>242</v>
      </c>
      <c r="CS3" s="1" t="s">
        <v>243</v>
      </c>
      <c r="CT3" s="1" t="s">
        <v>244</v>
      </c>
      <c r="CU3" s="1" t="s">
        <v>245</v>
      </c>
      <c r="CV3" s="22" t="s">
        <v>353</v>
      </c>
      <c r="CW3" s="23" t="s">
        <v>354</v>
      </c>
      <c r="CX3" s="82" t="s">
        <v>279</v>
      </c>
      <c r="CY3" s="83"/>
      <c r="CZ3" s="1" t="s">
        <v>274</v>
      </c>
      <c r="DA3" s="1" t="s">
        <v>275</v>
      </c>
      <c r="DB3" s="1" t="s">
        <v>276</v>
      </c>
      <c r="DC3" s="1" t="s">
        <v>278</v>
      </c>
      <c r="DD3" s="12" t="s">
        <v>285</v>
      </c>
      <c r="DN3" s="7"/>
      <c r="DO3" s="7"/>
      <c r="DP3" s="7"/>
    </row>
    <row r="4" spans="1:120" s="3" customFormat="1" x14ac:dyDescent="0.35">
      <c r="A4" s="2" t="s">
        <v>17</v>
      </c>
      <c r="B4" s="2">
        <v>2.6666666666666665</v>
      </c>
      <c r="C4" s="2" t="s">
        <v>168</v>
      </c>
      <c r="D4" s="2" t="s">
        <v>403</v>
      </c>
      <c r="F4" s="3">
        <v>4.0229999999999997</v>
      </c>
      <c r="G4" s="3">
        <v>4.0250000000000004</v>
      </c>
      <c r="H4" s="3">
        <v>4.0119999999999996</v>
      </c>
      <c r="I4" s="3">
        <v>4.01</v>
      </c>
      <c r="K4" s="3">
        <f t="shared" ref="K4:N35" ca="1" si="0">INDIRECT("'Data_Netteyage'!" &amp; LEFT(ADDRESS(1,COLUMN(),4),LEN(ADDRESS(1,COLUMN(),4))-1) &amp; ROW())/F4</f>
        <v>0.87397464578672635</v>
      </c>
      <c r="L4" s="3">
        <f t="shared" ca="1" si="0"/>
        <v>0.9935403726708073</v>
      </c>
      <c r="M4" s="3">
        <f t="shared" ca="1" si="0"/>
        <v>0.99700897308075787</v>
      </c>
      <c r="N4" s="3">
        <f t="shared" ca="1" si="0"/>
        <v>0.82693266832917722</v>
      </c>
      <c r="P4" s="3">
        <f t="shared" ref="P4:S35" ca="1" si="1">INDIRECT("'Data_Netteyage'!" &amp; LEFT(ADDRESS(1,COLUMN(),4),LEN(ADDRESS(1,COLUMN(),4))-1) &amp; ROW())/F4</f>
        <v>0.37733034473611682</v>
      </c>
      <c r="Q4" s="3">
        <f t="shared" ca="1" si="1"/>
        <v>0.23950313003907289</v>
      </c>
      <c r="R4" s="3">
        <f t="shared" ca="1" si="1"/>
        <v>0.62263196896936224</v>
      </c>
      <c r="S4" s="3">
        <f t="shared" ca="1" si="1"/>
        <v>3.3167086337272667E-2</v>
      </c>
      <c r="U4" s="3">
        <f t="shared" ref="U4:X35" ca="1" si="2">INDIRECT("'Data_Netteyage'!" &amp; LEFT(ADDRESS(1,COLUMN(),4),LEN(ADDRESS(1,COLUMN(),4))-1) &amp; ROW())/F4</f>
        <v>2.2371364653243848</v>
      </c>
      <c r="V4" s="3">
        <f t="shared" ca="1" si="2"/>
        <v>1.7391304347826086</v>
      </c>
      <c r="W4" s="3">
        <f t="shared" ca="1" si="2"/>
        <v>3.9880358923230315</v>
      </c>
      <c r="X4" s="3">
        <f t="shared" ca="1" si="2"/>
        <v>0.24937655860349128</v>
      </c>
      <c r="Z4" s="3">
        <f t="shared" ref="Z4:AC35" ca="1" si="3">INDIRECT("'Data_Netteyage'!" &amp; LEFT(ADDRESS(1,COLUMN(),4),LEN(ADDRESS(1,COLUMN(),4))-1) &amp; ROW())/F4</f>
        <v>0.80760626398210289</v>
      </c>
      <c r="AA4" s="3">
        <f t="shared" ca="1" si="3"/>
        <v>0.95204968944099366</v>
      </c>
      <c r="AB4" s="3">
        <f t="shared" ca="1" si="3"/>
        <v>0.99700897308075787</v>
      </c>
      <c r="AC4" s="3">
        <f t="shared" ca="1" si="3"/>
        <v>0.76882793017456363</v>
      </c>
      <c r="AE4" s="3">
        <f t="shared" ref="AE4:AH35" ca="1" si="4">INDIRECT("'Data_Netteyage'!" &amp; LEFT(ADDRESS(1,COLUMN(),4),LEN(ADDRESS(1,COLUMN(),4))-1) &amp; ROW())/F4</f>
        <v>0.3233905043615028</v>
      </c>
      <c r="AF4" s="3">
        <f t="shared" ca="1" si="4"/>
        <v>0.23950313003907289</v>
      </c>
      <c r="AG4" s="3">
        <f t="shared" ca="1" si="4"/>
        <v>0.62263196896936224</v>
      </c>
      <c r="AH4" s="3">
        <f t="shared" ca="1" si="4"/>
        <v>3.3167086337272667E-2</v>
      </c>
      <c r="AJ4" s="3">
        <f t="shared" ref="AJ4:AM35" ca="1" si="5">INDIRECT("'Data_Netteyage'!" &amp; LEFT(ADDRESS(1,COLUMN(),4),LEN(ADDRESS(1,COLUMN(),4))-1) &amp; ROW())/F4</f>
        <v>1.9885657469550089</v>
      </c>
      <c r="AK4" s="3">
        <f t="shared" ca="1" si="5"/>
        <v>1.7391304347826086</v>
      </c>
      <c r="AL4" s="3">
        <f t="shared" ca="1" si="5"/>
        <v>3.9880358923230315</v>
      </c>
      <c r="AM4" s="3">
        <f t="shared" ca="1" si="5"/>
        <v>0.24937655860349128</v>
      </c>
      <c r="AO4" s="3">
        <f t="shared" ref="AO4:AR35" ca="1" si="6">INDIRECT("'Data_Netteyage'!" &amp; LEFT(ADDRESS(1,COLUMN(),4),LEN(ADDRESS(1,COLUMN(),4))-1) &amp; ROW())/F4</f>
        <v>0.49714143673875222</v>
      </c>
      <c r="AP4" s="3">
        <f t="shared" ca="1" si="6"/>
        <v>0.74534161490683226</v>
      </c>
      <c r="AQ4" s="3">
        <f t="shared" ca="1" si="6"/>
        <v>0.24925224327018947</v>
      </c>
      <c r="AR4" s="3">
        <f t="shared" ca="1" si="6"/>
        <v>1.4962593516209477</v>
      </c>
      <c r="AT4" s="3">
        <v>1.281000018119812</v>
      </c>
      <c r="AU4" s="3">
        <v>5.4999999701976776E-2</v>
      </c>
      <c r="AV4" s="3">
        <v>0.27300000190734863</v>
      </c>
      <c r="AW4" s="3">
        <v>1.3070000410079956</v>
      </c>
      <c r="AY4" s="3">
        <f t="shared" ref="AY4:AY35" ca="1" si="7">INDIRECT("'Data_Netteyage'!" &amp; LEFT(ADDRESS(1,COLUMN(),4),LEN(ADDRESS(1,COLUMN(),4))-1) &amp; ROW())/F4</f>
        <v>0.16579666915237354</v>
      </c>
      <c r="AZ4" s="3">
        <f t="shared" ref="AZ4:AZ35" ca="1" si="8">INDIRECT("'Data_Netteyage'!" &amp; LEFT(ADDRESS(1,COLUMN(),4),LEN(ADDRESS(1,COLUMN(),4))-1) &amp; ROW())/G4</f>
        <v>0.11503105590062118</v>
      </c>
      <c r="BA4" s="3">
        <f t="shared" ref="BA4:BA35" ca="1" si="9">INDIRECT("'Data_Netteyage'!" &amp; LEFT(ADDRESS(1,COLUMN(),4),LEN(ADDRESS(1,COLUMN(),4))-1) &amp; ROW())/H4</f>
        <v>0.14107676969092714</v>
      </c>
      <c r="BB4" s="3">
        <f t="shared" ref="BB4:BB35" ca="1" si="10">INDIRECT("'Data_Netteyage'!" &amp; LEFT(ADDRESS(1,COLUMN(),4),LEN(ADDRESS(1,COLUMN(),4))-1) &amp; ROW())/I4</f>
        <v>5.3865336658353996E-2</v>
      </c>
      <c r="BD4" s="3">
        <f t="shared" ref="BD4:BD35" ca="1" si="11">INDIRECT("'Data_Netteyage'!" &amp; LEFT(ADDRESS(1,COLUMN(),4),LEN(ADDRESS(1,COLUMN(),4))-1) &amp; ROW())/F4</f>
        <v>0.14491668542818795</v>
      </c>
      <c r="BE4" s="3">
        <f t="shared" ref="BE4:BE35" ca="1" si="12">INDIRECT("'Data_Netteyage'!" &amp; LEFT(ADDRESS(1,COLUMN(),4),LEN(ADDRESS(1,COLUMN(),4))-1) &amp; ROW())/G4</f>
        <v>5.7639735085623603E-2</v>
      </c>
      <c r="BF4" s="3">
        <f t="shared" ref="BF4:BF35" ca="1" si="13">INDIRECT("'Data_Netteyage'!" &amp; LEFT(ADDRESS(1,COLUMN(),4),LEN(ADDRESS(1,COLUMN(),4))-1) &amp; ROW())/H4</f>
        <v>0.16600197387240823</v>
      </c>
      <c r="BG4" s="3">
        <f t="shared" ref="BG4:BG35" ca="1" si="14">INDIRECT("'Data_Netteyage'!" &amp; LEFT(ADDRESS(1,COLUMN(),4),LEN(ADDRESS(1,COLUMN(),4))-1) &amp; ROW())/I4</f>
        <v>0</v>
      </c>
      <c r="BI4" s="3">
        <f t="shared" ref="BI4:BI35" ca="1" si="15">INDIRECT("'Data_Netteyage'!" &amp; LEFT(ADDRESS(1,COLUMN(),4),LEN(ADDRESS(1,COLUMN(),4))-1) &amp; ROW())/F4</f>
        <v>0.99428287347750444</v>
      </c>
      <c r="BJ4" s="3">
        <f t="shared" ref="BJ4:BJ35" ca="1" si="16">INDIRECT("'Data_Netteyage'!" &amp; LEFT(ADDRESS(1,COLUMN(),4),LEN(ADDRESS(1,COLUMN(),4))-1) &amp; ROW())/G4</f>
        <v>0.49689440993788814</v>
      </c>
      <c r="BK4" s="3">
        <f t="shared" ref="BK4:BK35" ca="1" si="17">INDIRECT("'Data_Netteyage'!" &amp; LEFT(ADDRESS(1,COLUMN(),4),LEN(ADDRESS(1,COLUMN(),4))-1) &amp; ROW())/H4</f>
        <v>0.99700897308075787</v>
      </c>
      <c r="BL4" s="3">
        <f t="shared" ref="BL4:BL35" ca="1" si="18">INDIRECT("'Data_Netteyage'!" &amp; LEFT(ADDRESS(1,COLUMN(),4),LEN(ADDRESS(1,COLUMN(),4))-1) &amp; ROW())/I4</f>
        <v>0</v>
      </c>
      <c r="BN4" s="3">
        <f t="shared" ref="BN4:BN35" ca="1" si="19">INDIRECT("'Data_Netteyage'!" &amp; LEFT(ADDRESS(1,COLUMN(),4),LEN(ADDRESS(1,COLUMN(),4))-1) &amp; ROW())/F4</f>
        <v>5.2199850857568979</v>
      </c>
      <c r="BO4" s="3">
        <f t="shared" ref="BO4:BO35" ca="1" si="20">INDIRECT("'Data_Netteyage'!" &amp; LEFT(ADDRESS(1,COLUMN(),4),LEN(ADDRESS(1,COLUMN(),4))-1) &amp; ROW())/G4</f>
        <v>5.9627329192546581</v>
      </c>
      <c r="BP4" s="3">
        <f t="shared" ref="BP4:BP35" ca="1" si="21">INDIRECT("'Data_Netteyage'!" &amp; LEFT(ADDRESS(1,COLUMN(),4),LEN(ADDRESS(1,COLUMN(),4))-1) &amp; ROW())/H4</f>
        <v>1.7447657028913262</v>
      </c>
      <c r="BQ4" s="3">
        <f t="shared" ref="BQ4:BQ35" ca="1" si="22">INDIRECT("'Data_Netteyage'!" &amp; LEFT(ADDRESS(1,COLUMN(),4),LEN(ADDRESS(1,COLUMN(),4))-1) &amp; ROW())/I4</f>
        <v>2.2443890274314215</v>
      </c>
      <c r="BS4" s="3">
        <v>1.281000018119812</v>
      </c>
      <c r="BT4" s="3">
        <v>0.33799999952316284</v>
      </c>
      <c r="BU4" s="3">
        <v>0.27300000190734863</v>
      </c>
      <c r="BV4" s="3">
        <v>4.01</v>
      </c>
      <c r="BX4" s="3">
        <f t="shared" ref="BX4:BX35" ca="1" si="23">INDIRECT("'Data_Netteyage'!" &amp; LEFT(ADDRESS(1,COLUMN(),4),LEN(ADDRESS(1,COLUMN(),4))-1) &amp; ROW())/F4</f>
        <v>0</v>
      </c>
      <c r="BY4" s="3">
        <f t="shared" ref="BY4:BY35" ca="1" si="24">INDIRECT("'Data_Netteyage'!" &amp; LEFT(ADDRESS(1,COLUMN(),4),LEN(ADDRESS(1,COLUMN(),4))-1) &amp; ROW())/G4</f>
        <v>4.1242236024844697E-2</v>
      </c>
      <c r="BZ4" s="3">
        <f t="shared" ref="BZ4:BZ35" ca="1" si="25">INDIRECT("'Data_Netteyage'!" &amp; LEFT(ADDRESS(1,COLUMN(),4),LEN(ADDRESS(1,COLUMN(),4))-1) &amp; ROW())/H4</f>
        <v>4.2372881355931969E-3</v>
      </c>
      <c r="CA4" s="3">
        <f t="shared" ref="CA4:CA35" ca="1" si="26">INDIRECT("'Data_Netteyage'!" &amp; LEFT(ADDRESS(1,COLUMN(),4),LEN(ADDRESS(1,COLUMN(),4))-1) &amp; ROW())/I4</f>
        <v>3.9900249376558644E-3</v>
      </c>
      <c r="CC4" s="3">
        <f t="shared" ref="CC4:CC35" ca="1" si="27">INDIRECT("'Data_Netteyage'!" &amp; LEFT(ADDRESS(1,COLUMN(),4),LEN(ADDRESS(1,COLUMN(),4))-1) &amp; ROW())/F4</f>
        <v>0</v>
      </c>
      <c r="CD4" s="3">
        <f t="shared" ref="CD4:CD35" ca="1" si="28">INDIRECT("'Data_Netteyage'!" &amp; LEFT(ADDRESS(1,COLUMN(),4),LEN(ADDRESS(1,COLUMN(),4))-1) &amp; ROW())/G4</f>
        <v>4.1242236306208255E-2</v>
      </c>
      <c r="CE4" s="3">
        <f t="shared" ref="CE4:CE35" ca="1" si="29">INDIRECT("'Data_Netteyage'!" &amp; LEFT(ADDRESS(1,COLUMN(),4),LEN(ADDRESS(1,COLUMN(),4))-1) &amp; ROW())/H4</f>
        <v>0</v>
      </c>
      <c r="CF4" s="3">
        <f t="shared" ref="CF4:CF35" ca="1" si="30">INDIRECT("'Data_Netteyage'!" &amp; LEFT(ADDRESS(1,COLUMN(),4),LEN(ADDRESS(1,COLUMN(),4))-1) &amp; ROW())/I4</f>
        <v>0</v>
      </c>
      <c r="CH4" s="3">
        <f t="shared" ref="CH4:CH35" ca="1" si="31">INDIRECT("'Data_Netteyage'!" &amp; LEFT(ADDRESS(1,COLUMN(),4),LEN(ADDRESS(1,COLUMN(),4))-1) &amp; ROW())/F4</f>
        <v>0</v>
      </c>
      <c r="CI4" s="3">
        <f t="shared" ref="CI4:CI35" ca="1" si="32">INDIRECT("'Data_Netteyage'!" &amp; LEFT(ADDRESS(1,COLUMN(),4),LEN(ADDRESS(1,COLUMN(),4))-1) &amp; ROW())/G4</f>
        <v>0.24844720496894407</v>
      </c>
      <c r="CJ4" s="3">
        <f t="shared" ref="CJ4:CJ35" ca="1" si="33">INDIRECT("'Data_Netteyage'!" &amp; LEFT(ADDRESS(1,COLUMN(),4),LEN(ADDRESS(1,COLUMN(),4))-1) &amp; ROW())/H4</f>
        <v>0</v>
      </c>
      <c r="CK4" s="3">
        <f t="shared" ref="CK4:CK35" ca="1" si="34">INDIRECT("'Data_Netteyage'!" &amp; LEFT(ADDRESS(1,COLUMN(),4),LEN(ADDRESS(1,COLUMN(),4))-1) &amp; ROW())/I4</f>
        <v>0</v>
      </c>
      <c r="CM4" s="3">
        <f t="shared" ref="CM4:CM35" ca="1" si="35">INDIRECT("'Data_Netteyage'!" &amp; LEFT(ADDRESS(1,COLUMN(),4),LEN(ADDRESS(1,COLUMN(),4))-1) &amp; ROW())/F4</f>
        <v>0.24857071836937611</v>
      </c>
      <c r="CN4" s="3">
        <f t="shared" ref="CN4:CN35" ca="1" si="36">INDIRECT("'Data_Netteyage'!" &amp; LEFT(ADDRESS(1,COLUMN(),4),LEN(ADDRESS(1,COLUMN(),4))-1) &amp; ROW())/G4</f>
        <v>0.49689440993788814</v>
      </c>
      <c r="CO4" s="3">
        <f t="shared" ref="CO4:CO35" ca="1" si="37">INDIRECT("'Data_Netteyage'!" &amp; LEFT(ADDRESS(1,COLUMN(),4),LEN(ADDRESS(1,COLUMN(),4))-1) &amp; ROW())/H4</f>
        <v>0.24925224327018947</v>
      </c>
      <c r="CP4" s="3">
        <f t="shared" ref="CP4:CP35" ca="1" si="38">INDIRECT("'Data_Netteyage'!" &amp; LEFT(ADDRESS(1,COLUMN(),4),LEN(ADDRESS(1,COLUMN(),4))-1) &amp; ROW())/I4</f>
        <v>0.99750623441396513</v>
      </c>
      <c r="CR4" s="3">
        <v>4.0229999999999997</v>
      </c>
      <c r="CS4" s="3">
        <v>5.4999999701976776E-2</v>
      </c>
      <c r="CT4" s="3">
        <v>4.0119999999999996</v>
      </c>
      <c r="CU4" s="3">
        <v>4.01</v>
      </c>
      <c r="CV4" s="21">
        <f ca="1">INDIRECT("Graphique_interactif_Param!"&amp;$DG$12 &amp; ROW() )</f>
        <v>4.01</v>
      </c>
      <c r="CW4" s="16">
        <f ca="1">INDIRECT("Graphique_interactif_Param"&amp;"!B"&amp;ROW())</f>
        <v>2.6666666666666665</v>
      </c>
      <c r="DF4" s="24" t="s">
        <v>351</v>
      </c>
      <c r="DI4" s="20"/>
    </row>
    <row r="5" spans="1:120" s="3" customFormat="1" x14ac:dyDescent="0.35">
      <c r="A5" s="2" t="s">
        <v>75</v>
      </c>
      <c r="B5" s="2">
        <v>2.8333333333333335</v>
      </c>
      <c r="C5" s="2" t="s">
        <v>167</v>
      </c>
      <c r="D5" s="2" t="s">
        <v>403</v>
      </c>
      <c r="F5" s="3">
        <v>4.0110000000000001</v>
      </c>
      <c r="G5" s="11" t="e">
        <v>#N/A</v>
      </c>
      <c r="H5" s="11" t="e">
        <v>#N/A</v>
      </c>
      <c r="I5" s="3" t="e">
        <v>#N/A</v>
      </c>
      <c r="K5" s="3">
        <f t="shared" ca="1" si="0"/>
        <v>0.98454250810271748</v>
      </c>
      <c r="L5" s="3" t="e">
        <f t="shared" ca="1" si="0"/>
        <v>#N/A</v>
      </c>
      <c r="M5" s="3" t="e">
        <f t="shared" ca="1" si="0"/>
        <v>#N/A</v>
      </c>
      <c r="N5" s="3" t="e">
        <f t="shared" ca="1" si="0"/>
        <v>#N/A</v>
      </c>
      <c r="P5" s="3">
        <f t="shared" ca="1" si="1"/>
        <v>0.61904763460634826</v>
      </c>
      <c r="Q5" s="3" t="e">
        <f t="shared" ca="1" si="1"/>
        <v>#N/A</v>
      </c>
      <c r="R5" s="3" t="e">
        <f t="shared" ca="1" si="1"/>
        <v>#N/A</v>
      </c>
      <c r="S5" s="3" t="e">
        <f t="shared" ca="1" si="1"/>
        <v>#N/A</v>
      </c>
      <c r="U5" s="3">
        <f t="shared" ca="1" si="2"/>
        <v>2.9917726252804786</v>
      </c>
      <c r="V5" s="3" t="e">
        <f t="shared" ca="1" si="2"/>
        <v>#N/A</v>
      </c>
      <c r="W5" s="3" t="e">
        <f t="shared" ca="1" si="2"/>
        <v>#N/A</v>
      </c>
      <c r="X5" s="3" t="e">
        <f t="shared" ca="1" si="2"/>
        <v>#N/A</v>
      </c>
      <c r="Z5" s="3">
        <f t="shared" ca="1" si="3"/>
        <v>0.95986038394415352</v>
      </c>
      <c r="AA5" s="3" t="e">
        <f t="shared" ca="1" si="3"/>
        <v>#N/A</v>
      </c>
      <c r="AB5" s="3" t="e">
        <f t="shared" ca="1" si="3"/>
        <v>#N/A</v>
      </c>
      <c r="AC5" s="3" t="e">
        <f t="shared" ca="1" si="3"/>
        <v>#N/A</v>
      </c>
      <c r="AE5" s="3">
        <f t="shared" ca="1" si="4"/>
        <v>0.61904763460634826</v>
      </c>
      <c r="AF5" s="3" t="e">
        <f t="shared" ca="1" si="4"/>
        <v>#N/A</v>
      </c>
      <c r="AG5" s="3" t="e">
        <f t="shared" ca="1" si="4"/>
        <v>#N/A</v>
      </c>
      <c r="AH5" s="3" t="e">
        <f t="shared" ca="1" si="4"/>
        <v>#N/A</v>
      </c>
      <c r="AJ5" s="3">
        <f t="shared" ca="1" si="5"/>
        <v>2.9917726252804786</v>
      </c>
      <c r="AK5" s="3" t="e">
        <f t="shared" ca="1" si="5"/>
        <v>#N/A</v>
      </c>
      <c r="AL5" s="3" t="e">
        <f t="shared" ca="1" si="5"/>
        <v>#N/A</v>
      </c>
      <c r="AM5" s="3" t="e">
        <f t="shared" ca="1" si="5"/>
        <v>#N/A</v>
      </c>
      <c r="AO5" s="3">
        <f t="shared" ca="1" si="6"/>
        <v>0.99725754176015957</v>
      </c>
      <c r="AP5" s="3" t="e">
        <f t="shared" ca="1" si="6"/>
        <v>#N/A</v>
      </c>
      <c r="AQ5" s="3" t="e">
        <f t="shared" ca="1" si="6"/>
        <v>#N/A</v>
      </c>
      <c r="AR5" s="3" t="e">
        <f t="shared" ca="1" si="6"/>
        <v>#N/A</v>
      </c>
      <c r="AT5" s="3">
        <v>1.0999999940395355E-2</v>
      </c>
      <c r="AU5" s="11" t="e">
        <v>#N/A</v>
      </c>
      <c r="AV5" s="11" t="e">
        <v>#N/A</v>
      </c>
      <c r="AW5" s="3">
        <v>1.4000000432133675E-2</v>
      </c>
      <c r="AY5" s="3">
        <f t="shared" ca="1" si="7"/>
        <v>6.6317626527050616E-2</v>
      </c>
      <c r="AZ5" s="3" t="e">
        <f t="shared" ca="1" si="8"/>
        <v>#N/A</v>
      </c>
      <c r="BA5" s="3" t="e">
        <f t="shared" ca="1" si="9"/>
        <v>#N/A</v>
      </c>
      <c r="BB5" s="3" t="e">
        <f t="shared" ca="1" si="10"/>
        <v>#N/A</v>
      </c>
      <c r="BD5" s="3">
        <f t="shared" ca="1" si="11"/>
        <v>8.3271032317681543E-2</v>
      </c>
      <c r="BE5" s="3" t="e">
        <f t="shared" ca="1" si="12"/>
        <v>#N/A</v>
      </c>
      <c r="BF5" s="3" t="e">
        <f t="shared" ca="1" si="13"/>
        <v>#N/A</v>
      </c>
      <c r="BG5" s="3" t="e">
        <f t="shared" ca="1" si="14"/>
        <v>#N/A</v>
      </c>
      <c r="BI5" s="3">
        <f t="shared" ca="1" si="15"/>
        <v>0.49862877088007979</v>
      </c>
      <c r="BJ5" s="3" t="e">
        <f t="shared" ca="1" si="16"/>
        <v>#N/A</v>
      </c>
      <c r="BK5" s="3" t="e">
        <f t="shared" ca="1" si="17"/>
        <v>#N/A</v>
      </c>
      <c r="BL5" s="3" t="e">
        <f t="shared" ca="1" si="18"/>
        <v>#N/A</v>
      </c>
      <c r="BN5" s="3">
        <f t="shared" ca="1" si="19"/>
        <v>0.74794315632011965</v>
      </c>
      <c r="BO5" s="3" t="e">
        <f t="shared" ca="1" si="20"/>
        <v>#N/A</v>
      </c>
      <c r="BP5" s="3" t="e">
        <f t="shared" ca="1" si="21"/>
        <v>#N/A</v>
      </c>
      <c r="BQ5" s="3" t="e">
        <f t="shared" ca="1" si="22"/>
        <v>#N/A</v>
      </c>
      <c r="BS5" s="3">
        <v>1.343999981880188</v>
      </c>
      <c r="BT5" s="11" t="e">
        <v>#N/A</v>
      </c>
      <c r="BU5" s="11" t="e">
        <v>#N/A</v>
      </c>
      <c r="BV5" s="3">
        <v>4.0410000000000004</v>
      </c>
      <c r="BX5" s="3">
        <f t="shared" ca="1" si="23"/>
        <v>0</v>
      </c>
      <c r="BY5" s="3" t="e">
        <f t="shared" ca="1" si="24"/>
        <v>#N/A</v>
      </c>
      <c r="BZ5" s="3" t="e">
        <f t="shared" ca="1" si="25"/>
        <v>#N/A</v>
      </c>
      <c r="CA5" s="3" t="e">
        <f t="shared" ca="1" si="26"/>
        <v>#N/A</v>
      </c>
      <c r="CC5" s="3">
        <f t="shared" ca="1" si="27"/>
        <v>0</v>
      </c>
      <c r="CD5" s="3" t="e">
        <f t="shared" ca="1" si="28"/>
        <v>#N/A</v>
      </c>
      <c r="CE5" s="3" t="e">
        <f t="shared" ca="1" si="29"/>
        <v>#N/A</v>
      </c>
      <c r="CF5" s="3" t="e">
        <f t="shared" ca="1" si="30"/>
        <v>#N/A</v>
      </c>
      <c r="CH5" s="3">
        <f t="shared" ca="1" si="31"/>
        <v>0</v>
      </c>
      <c r="CI5" s="3" t="e">
        <f t="shared" ca="1" si="32"/>
        <v>#N/A</v>
      </c>
      <c r="CJ5" s="3" t="e">
        <f t="shared" ca="1" si="33"/>
        <v>#N/A</v>
      </c>
      <c r="CK5" s="3" t="e">
        <f t="shared" ca="1" si="34"/>
        <v>#N/A</v>
      </c>
      <c r="CM5" s="3">
        <f t="shared" ca="1" si="35"/>
        <v>0.24931438544003989</v>
      </c>
      <c r="CN5" s="3" t="e">
        <f t="shared" ca="1" si="36"/>
        <v>#N/A</v>
      </c>
      <c r="CO5" s="3" t="e">
        <f t="shared" ca="1" si="37"/>
        <v>#N/A</v>
      </c>
      <c r="CP5" s="3" t="e">
        <f t="shared" ca="1" si="38"/>
        <v>#N/A</v>
      </c>
      <c r="CR5" s="3">
        <v>4.0110000000000001</v>
      </c>
      <c r="CS5" s="11" t="e">
        <v>#N/A</v>
      </c>
      <c r="CT5" s="11" t="e">
        <v>#N/A</v>
      </c>
      <c r="CU5" s="3">
        <v>4.0410000000000004</v>
      </c>
      <c r="CV5" s="21">
        <f ca="1">INDIRECT("Graphique_interactif_Param!"&amp;$DG$12 &amp; ROW() )</f>
        <v>4.0410000000000004</v>
      </c>
      <c r="CW5" s="16">
        <f t="shared" ref="CW5:CW68" ca="1" si="39">INDIRECT("Graphique_interactif_Param"&amp;"!B"&amp;ROW())</f>
        <v>2.8333333333333335</v>
      </c>
      <c r="CY5" s="79" t="s">
        <v>269</v>
      </c>
      <c r="CZ5" s="17" t="s">
        <v>167</v>
      </c>
      <c r="DA5" s="17" t="s">
        <v>167</v>
      </c>
      <c r="DB5" s="17" t="s">
        <v>167</v>
      </c>
      <c r="DC5" s="17" t="s">
        <v>167</v>
      </c>
      <c r="DD5" s="17" t="s">
        <v>273</v>
      </c>
    </row>
    <row r="6" spans="1:120" s="3" customFormat="1" x14ac:dyDescent="0.35">
      <c r="A6" s="2" t="s">
        <v>78</v>
      </c>
      <c r="B6" s="2">
        <v>3</v>
      </c>
      <c r="C6" s="2" t="s">
        <v>168</v>
      </c>
      <c r="D6" s="2" t="s">
        <v>403</v>
      </c>
      <c r="F6" s="11" t="e">
        <v>#N/A</v>
      </c>
      <c r="G6" s="11" t="e">
        <v>#N/A</v>
      </c>
      <c r="H6" s="3" t="e">
        <v>#N/A</v>
      </c>
      <c r="I6" s="11" t="e">
        <v>#N/A</v>
      </c>
      <c r="K6" s="3" t="e">
        <f t="shared" ca="1" si="0"/>
        <v>#N/A</v>
      </c>
      <c r="L6" s="3" t="e">
        <f t="shared" ca="1" si="0"/>
        <v>#N/A</v>
      </c>
      <c r="M6" s="3" t="e">
        <f t="shared" ca="1" si="0"/>
        <v>#N/A</v>
      </c>
      <c r="N6" s="3" t="e">
        <f t="shared" ca="1" si="0"/>
        <v>#N/A</v>
      </c>
      <c r="P6" s="3" t="e">
        <f t="shared" ca="1" si="1"/>
        <v>#N/A</v>
      </c>
      <c r="Q6" s="3" t="e">
        <f t="shared" ca="1" si="1"/>
        <v>#N/A</v>
      </c>
      <c r="R6" s="3" t="e">
        <f t="shared" ca="1" si="1"/>
        <v>#N/A</v>
      </c>
      <c r="S6" s="3" t="e">
        <f t="shared" ca="1" si="1"/>
        <v>#N/A</v>
      </c>
      <c r="U6" s="3" t="e">
        <f t="shared" ca="1" si="2"/>
        <v>#N/A</v>
      </c>
      <c r="V6" s="3" t="e">
        <f t="shared" ca="1" si="2"/>
        <v>#N/A</v>
      </c>
      <c r="W6" s="3" t="e">
        <f t="shared" ca="1" si="2"/>
        <v>#N/A</v>
      </c>
      <c r="X6" s="3" t="e">
        <f t="shared" ca="1" si="2"/>
        <v>#N/A</v>
      </c>
      <c r="Z6" s="3" t="e">
        <f t="shared" ca="1" si="3"/>
        <v>#N/A</v>
      </c>
      <c r="AA6" s="3" t="e">
        <f t="shared" ca="1" si="3"/>
        <v>#N/A</v>
      </c>
      <c r="AB6" s="3" t="e">
        <f t="shared" ca="1" si="3"/>
        <v>#N/A</v>
      </c>
      <c r="AC6" s="3" t="e">
        <f t="shared" ca="1" si="3"/>
        <v>#N/A</v>
      </c>
      <c r="AE6" s="3" t="e">
        <f t="shared" ca="1" si="4"/>
        <v>#N/A</v>
      </c>
      <c r="AF6" s="3" t="e">
        <f t="shared" ca="1" si="4"/>
        <v>#N/A</v>
      </c>
      <c r="AG6" s="3" t="e">
        <f t="shared" ca="1" si="4"/>
        <v>#N/A</v>
      </c>
      <c r="AH6" s="3" t="e">
        <f t="shared" ca="1" si="4"/>
        <v>#N/A</v>
      </c>
      <c r="AJ6" s="3" t="e">
        <f t="shared" ca="1" si="5"/>
        <v>#N/A</v>
      </c>
      <c r="AK6" s="3" t="e">
        <f t="shared" ca="1" si="5"/>
        <v>#N/A</v>
      </c>
      <c r="AL6" s="3" t="e">
        <f t="shared" ca="1" si="5"/>
        <v>#N/A</v>
      </c>
      <c r="AM6" s="3" t="e">
        <f t="shared" ca="1" si="5"/>
        <v>#N/A</v>
      </c>
      <c r="AO6" s="3" t="e">
        <f t="shared" ca="1" si="6"/>
        <v>#N/A</v>
      </c>
      <c r="AP6" s="3" t="e">
        <f t="shared" ca="1" si="6"/>
        <v>#N/A</v>
      </c>
      <c r="AQ6" s="3" t="e">
        <f t="shared" ca="1" si="6"/>
        <v>#N/A</v>
      </c>
      <c r="AR6" s="3" t="e">
        <f t="shared" ca="1" si="6"/>
        <v>#N/A</v>
      </c>
      <c r="AT6" s="11" t="e">
        <v>#N/A</v>
      </c>
      <c r="AU6" s="11" t="e">
        <v>#N/A</v>
      </c>
      <c r="AV6" s="11" t="e">
        <v>#N/A</v>
      </c>
      <c r="AW6" s="11" t="e">
        <v>#N/A</v>
      </c>
      <c r="AY6" s="3" t="e">
        <f t="shared" ca="1" si="7"/>
        <v>#N/A</v>
      </c>
      <c r="AZ6" s="3" t="e">
        <f t="shared" ca="1" si="8"/>
        <v>#N/A</v>
      </c>
      <c r="BA6" s="3" t="e">
        <f t="shared" ca="1" si="9"/>
        <v>#N/A</v>
      </c>
      <c r="BB6" s="3" t="e">
        <f t="shared" ca="1" si="10"/>
        <v>#N/A</v>
      </c>
      <c r="BD6" s="3" t="e">
        <f t="shared" ca="1" si="11"/>
        <v>#N/A</v>
      </c>
      <c r="BE6" s="3" t="e">
        <f t="shared" ca="1" si="12"/>
        <v>#N/A</v>
      </c>
      <c r="BF6" s="3" t="e">
        <f t="shared" ca="1" si="13"/>
        <v>#N/A</v>
      </c>
      <c r="BG6" s="3" t="e">
        <f t="shared" ca="1" si="14"/>
        <v>#N/A</v>
      </c>
      <c r="BI6" s="3" t="e">
        <f t="shared" ca="1" si="15"/>
        <v>#N/A</v>
      </c>
      <c r="BJ6" s="3" t="e">
        <f t="shared" ca="1" si="16"/>
        <v>#N/A</v>
      </c>
      <c r="BK6" s="3" t="e">
        <f t="shared" ca="1" si="17"/>
        <v>#N/A</v>
      </c>
      <c r="BL6" s="3" t="e">
        <f t="shared" ca="1" si="18"/>
        <v>#N/A</v>
      </c>
      <c r="BN6" s="3" t="e">
        <f t="shared" ca="1" si="19"/>
        <v>#N/A</v>
      </c>
      <c r="BO6" s="3" t="e">
        <f t="shared" ca="1" si="20"/>
        <v>#N/A</v>
      </c>
      <c r="BP6" s="3" t="e">
        <f t="shared" ca="1" si="21"/>
        <v>#N/A</v>
      </c>
      <c r="BQ6" s="3" t="e">
        <f t="shared" ca="1" si="22"/>
        <v>#N/A</v>
      </c>
      <c r="BS6" s="11" t="e">
        <v>#N/A</v>
      </c>
      <c r="BT6" s="11" t="e">
        <v>#N/A</v>
      </c>
      <c r="BU6" s="11" t="e">
        <v>#N/A</v>
      </c>
      <c r="BV6" s="11" t="e">
        <v>#N/A</v>
      </c>
      <c r="BX6" s="3" t="e">
        <f t="shared" ca="1" si="23"/>
        <v>#N/A</v>
      </c>
      <c r="BY6" s="3" t="e">
        <f t="shared" ca="1" si="24"/>
        <v>#N/A</v>
      </c>
      <c r="BZ6" s="3" t="e">
        <f t="shared" ca="1" si="25"/>
        <v>#N/A</v>
      </c>
      <c r="CA6" s="3" t="e">
        <f t="shared" ca="1" si="26"/>
        <v>#N/A</v>
      </c>
      <c r="CC6" s="3" t="e">
        <f t="shared" ca="1" si="27"/>
        <v>#N/A</v>
      </c>
      <c r="CD6" s="3" t="e">
        <f t="shared" ca="1" si="28"/>
        <v>#N/A</v>
      </c>
      <c r="CE6" s="3" t="e">
        <f t="shared" ca="1" si="29"/>
        <v>#N/A</v>
      </c>
      <c r="CF6" s="3" t="e">
        <f t="shared" ca="1" si="30"/>
        <v>#N/A</v>
      </c>
      <c r="CH6" s="3" t="e">
        <f t="shared" ca="1" si="31"/>
        <v>#N/A</v>
      </c>
      <c r="CI6" s="3" t="e">
        <f t="shared" ca="1" si="32"/>
        <v>#N/A</v>
      </c>
      <c r="CJ6" s="3" t="e">
        <f t="shared" ca="1" si="33"/>
        <v>#N/A</v>
      </c>
      <c r="CK6" s="3" t="e">
        <f t="shared" ca="1" si="34"/>
        <v>#N/A</v>
      </c>
      <c r="CM6" s="3" t="e">
        <f t="shared" ca="1" si="35"/>
        <v>#N/A</v>
      </c>
      <c r="CN6" s="3" t="e">
        <f t="shared" ca="1" si="36"/>
        <v>#N/A</v>
      </c>
      <c r="CO6" s="3" t="e">
        <f t="shared" ca="1" si="37"/>
        <v>#N/A</v>
      </c>
      <c r="CP6" s="3" t="e">
        <f t="shared" ca="1" si="38"/>
        <v>#N/A</v>
      </c>
      <c r="CR6" s="11" t="e">
        <v>#N/A</v>
      </c>
      <c r="CS6" s="11" t="e">
        <v>#N/A</v>
      </c>
      <c r="CT6" s="11" t="e">
        <v>#N/A</v>
      </c>
      <c r="CU6" s="11" t="e">
        <v>#N/A</v>
      </c>
      <c r="CV6" s="21" t="e">
        <f t="shared" ref="CV6:CV69" ca="1" si="40">INDIRECT("Graphique_interactif_Param!"&amp;$DG$12 &amp; ROW() )</f>
        <v>#N/A</v>
      </c>
      <c r="CW6" s="16">
        <f t="shared" ca="1" si="39"/>
        <v>3</v>
      </c>
      <c r="CX6" s="3" t="s">
        <v>269</v>
      </c>
      <c r="CY6" s="80"/>
      <c r="CZ6" s="17" t="s">
        <v>289</v>
      </c>
      <c r="DA6" s="17" t="s">
        <v>301</v>
      </c>
      <c r="DB6" s="17" t="s">
        <v>371</v>
      </c>
      <c r="DC6" s="17" t="s">
        <v>376</v>
      </c>
      <c r="DD6" s="17" t="s">
        <v>280</v>
      </c>
      <c r="DF6" s="3">
        <v>4</v>
      </c>
      <c r="DG6" s="3" t="str">
        <f>INDEX(CZ5:DC28, 6*$DF$6-5,1)</f>
        <v>I</v>
      </c>
    </row>
    <row r="7" spans="1:120" s="3" customFormat="1" x14ac:dyDescent="0.35">
      <c r="A7" s="2" t="s">
        <v>40</v>
      </c>
      <c r="B7" s="2">
        <v>3.1666666666666665</v>
      </c>
      <c r="C7" s="2" t="s">
        <v>168</v>
      </c>
      <c r="D7" s="2" t="s">
        <v>403</v>
      </c>
      <c r="F7" s="3" t="e">
        <v>#N/A</v>
      </c>
      <c r="G7" s="3">
        <v>4.016</v>
      </c>
      <c r="H7" s="3">
        <v>4.016</v>
      </c>
      <c r="I7" s="3">
        <v>4.016</v>
      </c>
      <c r="K7" s="3" t="e">
        <f t="shared" ca="1" si="0"/>
        <v>#N/A</v>
      </c>
      <c r="L7" s="3">
        <f t="shared" ca="1" si="0"/>
        <v>0.99601593625498008</v>
      </c>
      <c r="M7" s="3">
        <f t="shared" ca="1" si="0"/>
        <v>0.99576693227091628</v>
      </c>
      <c r="N7" s="3">
        <f t="shared" ca="1" si="0"/>
        <v>0.99601593625498008</v>
      </c>
      <c r="P7" s="3" t="e">
        <f t="shared" ca="1" si="1"/>
        <v>#N/A</v>
      </c>
      <c r="Q7" s="3">
        <f t="shared" ca="1" si="1"/>
        <v>0.89243035194180176</v>
      </c>
      <c r="R7" s="3">
        <f t="shared" ca="1" si="1"/>
        <v>0.93750005023947269</v>
      </c>
      <c r="S7" s="3">
        <f t="shared" ca="1" si="1"/>
        <v>0.84238052618619341</v>
      </c>
      <c r="U7" s="3" t="e">
        <f t="shared" ca="1" si="2"/>
        <v>#N/A</v>
      </c>
      <c r="V7" s="3">
        <f t="shared" ca="1" si="2"/>
        <v>2.4900398406374502</v>
      </c>
      <c r="W7" s="3">
        <f t="shared" ca="1" si="2"/>
        <v>2.241035856573705</v>
      </c>
      <c r="X7" s="3">
        <f t="shared" ca="1" si="2"/>
        <v>2.739043824701195</v>
      </c>
      <c r="Z7" s="3" t="e">
        <f t="shared" ca="1" si="3"/>
        <v>#N/A</v>
      </c>
      <c r="AA7" s="3">
        <f t="shared" ca="1" si="3"/>
        <v>0.99601593625498008</v>
      </c>
      <c r="AB7" s="3">
        <f t="shared" ca="1" si="3"/>
        <v>0.99576693227091628</v>
      </c>
      <c r="AC7" s="3">
        <f t="shared" ca="1" si="3"/>
        <v>0.8177290836653387</v>
      </c>
      <c r="AE7" s="3" t="e">
        <f t="shared" ca="1" si="4"/>
        <v>#N/A</v>
      </c>
      <c r="AF7" s="3">
        <f t="shared" ca="1" si="4"/>
        <v>0.89243035194180176</v>
      </c>
      <c r="AG7" s="3">
        <f t="shared" ca="1" si="4"/>
        <v>0.93750005023947269</v>
      </c>
      <c r="AH7" s="3">
        <f t="shared" ca="1" si="4"/>
        <v>0.74701199625281101</v>
      </c>
      <c r="AJ7" s="3" t="e">
        <f t="shared" ca="1" si="5"/>
        <v>#N/A</v>
      </c>
      <c r="AK7" s="3">
        <f t="shared" ca="1" si="5"/>
        <v>2.4900398406374502</v>
      </c>
      <c r="AL7" s="3">
        <f t="shared" ca="1" si="5"/>
        <v>2.241035856573705</v>
      </c>
      <c r="AM7" s="3">
        <f t="shared" ca="1" si="5"/>
        <v>2.4900398406374502</v>
      </c>
      <c r="AO7" s="3" t="e">
        <f t="shared" ca="1" si="6"/>
        <v>#N/A</v>
      </c>
      <c r="AP7" s="3">
        <f t="shared" ca="1" si="6"/>
        <v>0.24900398406374502</v>
      </c>
      <c r="AQ7" s="3">
        <f t="shared" ca="1" si="6"/>
        <v>0.24900398406374502</v>
      </c>
      <c r="AR7" s="3">
        <f t="shared" ca="1" si="6"/>
        <v>0.74701195219123506</v>
      </c>
      <c r="AT7" s="3">
        <v>1.6829999685287476</v>
      </c>
      <c r="AU7" s="3">
        <v>2.0000000949949026E-3</v>
      </c>
      <c r="AV7" s="3">
        <v>1.0999999940395355E-2</v>
      </c>
      <c r="AW7" s="3">
        <v>1.4000000432133675E-2</v>
      </c>
      <c r="AY7" s="3" t="e">
        <f t="shared" ca="1" si="7"/>
        <v>#N/A</v>
      </c>
      <c r="AZ7" s="3">
        <f t="shared" ca="1" si="8"/>
        <v>0.49800796812749015</v>
      </c>
      <c r="BA7" s="3">
        <f t="shared" ca="1" si="9"/>
        <v>0.29457171314741043</v>
      </c>
      <c r="BB7" s="3">
        <f t="shared" ca="1" si="10"/>
        <v>0.30702191235059756</v>
      </c>
      <c r="BD7" s="3" t="e">
        <f t="shared" ca="1" si="11"/>
        <v>#N/A</v>
      </c>
      <c r="BE7" s="3">
        <f t="shared" ca="1" si="12"/>
        <v>0.54332671828003998</v>
      </c>
      <c r="BF7" s="3">
        <f t="shared" ca="1" si="13"/>
        <v>0.34013945624172925</v>
      </c>
      <c r="BG7" s="3">
        <f t="shared" ca="1" si="14"/>
        <v>0.3486056311197015</v>
      </c>
      <c r="BI7" s="3" t="e">
        <f t="shared" ca="1" si="15"/>
        <v>#N/A</v>
      </c>
      <c r="BJ7" s="3">
        <f t="shared" ca="1" si="16"/>
        <v>1.2450199203187251</v>
      </c>
      <c r="BK7" s="3">
        <f t="shared" ca="1" si="17"/>
        <v>0.74701195219123506</v>
      </c>
      <c r="BL7" s="3">
        <f t="shared" ca="1" si="18"/>
        <v>0.99601593625498008</v>
      </c>
      <c r="BN7" s="3" t="e">
        <f t="shared" ca="1" si="19"/>
        <v>#N/A</v>
      </c>
      <c r="BO7" s="3">
        <f t="shared" ca="1" si="20"/>
        <v>1.2450199203187251</v>
      </c>
      <c r="BP7" s="3">
        <f t="shared" ca="1" si="21"/>
        <v>0.74701195219123506</v>
      </c>
      <c r="BQ7" s="3">
        <f t="shared" ca="1" si="22"/>
        <v>0.99601593625498008</v>
      </c>
      <c r="BS7" s="3">
        <v>1.6829999685287476</v>
      </c>
      <c r="BT7" s="3">
        <v>0.58600002527236938</v>
      </c>
      <c r="BU7" s="3">
        <v>1.5770000219345093</v>
      </c>
      <c r="BV7" s="3">
        <v>0.51399999856948853</v>
      </c>
      <c r="BX7" s="3" t="e">
        <f t="shared" ca="1" si="23"/>
        <v>#N/A</v>
      </c>
      <c r="BY7" s="3">
        <f t="shared" ca="1" si="24"/>
        <v>9.5617529880478086E-2</v>
      </c>
      <c r="BZ7" s="3">
        <f t="shared" ca="1" si="25"/>
        <v>0.12450199203187243</v>
      </c>
      <c r="CA7" s="3">
        <f t="shared" ca="1" si="26"/>
        <v>2.0916334661354584E-2</v>
      </c>
      <c r="CC7" s="3" t="e">
        <f t="shared" ca="1" si="27"/>
        <v>#N/A</v>
      </c>
      <c r="CD7" s="3">
        <f t="shared" ca="1" si="28"/>
        <v>9.5617531697206437E-2</v>
      </c>
      <c r="CE7" s="3">
        <f t="shared" ca="1" si="29"/>
        <v>0.15338644778645372</v>
      </c>
      <c r="CF7" s="3">
        <f t="shared" ca="1" si="30"/>
        <v>3.3366534231876237E-2</v>
      </c>
      <c r="CH7" s="3" t="e">
        <f t="shared" ca="1" si="31"/>
        <v>#N/A</v>
      </c>
      <c r="CI7" s="3">
        <f t="shared" ca="1" si="32"/>
        <v>0.24900398406374502</v>
      </c>
      <c r="CJ7" s="3">
        <f t="shared" ca="1" si="33"/>
        <v>0.24900398406374502</v>
      </c>
      <c r="CK7" s="3">
        <f t="shared" ca="1" si="34"/>
        <v>0.24900398406374502</v>
      </c>
      <c r="CM7" s="3" t="e">
        <f t="shared" ca="1" si="35"/>
        <v>#N/A</v>
      </c>
      <c r="CN7" s="3">
        <f t="shared" ca="1" si="36"/>
        <v>0.24900398406374502</v>
      </c>
      <c r="CO7" s="3">
        <f t="shared" ca="1" si="37"/>
        <v>0.49800796812749004</v>
      </c>
      <c r="CP7" s="3">
        <f t="shared" ca="1" si="38"/>
        <v>0.24900398406374502</v>
      </c>
      <c r="CR7" s="3">
        <v>2.3320000171661377</v>
      </c>
      <c r="CS7" s="3">
        <v>2.0000000949949026E-3</v>
      </c>
      <c r="CT7" s="3">
        <v>1.0999999940395355E-2</v>
      </c>
      <c r="CU7" s="3">
        <v>1.4000000432133675E-2</v>
      </c>
      <c r="CV7" s="21">
        <f t="shared" ca="1" si="40"/>
        <v>1.4000000432133675E-2</v>
      </c>
      <c r="CW7" s="16">
        <f t="shared" ca="1" si="39"/>
        <v>3.1666666666666665</v>
      </c>
      <c r="CX7" s="3" t="s">
        <v>270</v>
      </c>
      <c r="CY7" s="80"/>
      <c r="CZ7" s="17" t="s">
        <v>404</v>
      </c>
      <c r="DA7" s="17" t="s">
        <v>305</v>
      </c>
      <c r="DB7" s="17" t="s">
        <v>372</v>
      </c>
      <c r="DC7" s="17" t="s">
        <v>377</v>
      </c>
      <c r="DD7" s="17" t="s">
        <v>281</v>
      </c>
      <c r="DF7" s="25" t="s">
        <v>355</v>
      </c>
    </row>
    <row r="8" spans="1:120" s="3" customFormat="1" x14ac:dyDescent="0.35">
      <c r="A8" s="2" t="s">
        <v>47</v>
      </c>
      <c r="B8" s="2">
        <v>3.6666666666666665</v>
      </c>
      <c r="C8" s="2" t="s">
        <v>167</v>
      </c>
      <c r="D8" s="2" t="s">
        <v>403</v>
      </c>
      <c r="F8" s="3" t="e">
        <v>#N/A</v>
      </c>
      <c r="G8" s="3">
        <v>4.0110000000000001</v>
      </c>
      <c r="H8" s="3">
        <v>3.2359999999999998</v>
      </c>
      <c r="I8" s="3">
        <v>4.0060000000000002</v>
      </c>
      <c r="K8" s="3" t="e">
        <f t="shared" ca="1" si="0"/>
        <v>#N/A</v>
      </c>
      <c r="L8" s="3">
        <f t="shared" ca="1" si="0"/>
        <v>0.9970082273747195</v>
      </c>
      <c r="M8" s="3">
        <f t="shared" ca="1" si="0"/>
        <v>0.99907292954264526</v>
      </c>
      <c r="N8" s="3">
        <f t="shared" ca="1" si="0"/>
        <v>0.8277583624563154</v>
      </c>
      <c r="P8" s="3" t="e">
        <f t="shared" ca="1" si="1"/>
        <v>#N/A</v>
      </c>
      <c r="Q8" s="3">
        <f t="shared" ca="1" si="1"/>
        <v>0.94714531386134126</v>
      </c>
      <c r="R8" s="3">
        <f t="shared" ca="1" si="1"/>
        <v>0.78800991085462724</v>
      </c>
      <c r="S8" s="3">
        <f t="shared" ca="1" si="1"/>
        <v>0.74438339343858961</v>
      </c>
      <c r="U8" s="3" t="e">
        <f t="shared" ca="1" si="2"/>
        <v>#N/A</v>
      </c>
      <c r="V8" s="3">
        <f t="shared" ca="1" si="2"/>
        <v>2.2438294689603588</v>
      </c>
      <c r="W8" s="3">
        <f t="shared" ca="1" si="2"/>
        <v>2.781211372064277</v>
      </c>
      <c r="X8" s="3">
        <f t="shared" ca="1" si="2"/>
        <v>2.4962556165751373</v>
      </c>
      <c r="Z8" s="3" t="e">
        <f t="shared" ca="1" si="3"/>
        <v>#N/A</v>
      </c>
      <c r="AA8" s="3">
        <f t="shared" ca="1" si="3"/>
        <v>0.9970082273747195</v>
      </c>
      <c r="AB8" s="3">
        <f t="shared" ca="1" si="3"/>
        <v>0.76761433868974049</v>
      </c>
      <c r="AC8" s="3">
        <f t="shared" ca="1" si="3"/>
        <v>0.80279580629056402</v>
      </c>
      <c r="AE8" s="3" t="e">
        <f t="shared" ca="1" si="4"/>
        <v>#N/A</v>
      </c>
      <c r="AF8" s="3">
        <f t="shared" ca="1" si="4"/>
        <v>0.94714531386134126</v>
      </c>
      <c r="AG8" s="3">
        <f t="shared" ca="1" si="4"/>
        <v>0.71569840678178487</v>
      </c>
      <c r="AH8" s="3">
        <f t="shared" ca="1" si="4"/>
        <v>0.74438339343858961</v>
      </c>
      <c r="AJ8" s="3" t="e">
        <f t="shared" ca="1" si="5"/>
        <v>#N/A</v>
      </c>
      <c r="AK8" s="3">
        <f t="shared" ca="1" si="5"/>
        <v>2.2438294689603588</v>
      </c>
      <c r="AL8" s="3">
        <f t="shared" ca="1" si="5"/>
        <v>2.1631644004944377</v>
      </c>
      <c r="AM8" s="3">
        <f t="shared" ca="1" si="5"/>
        <v>2.4962556165751373</v>
      </c>
      <c r="AO8" s="3" t="e">
        <f t="shared" ca="1" si="6"/>
        <v>#N/A</v>
      </c>
      <c r="AP8" s="3">
        <f t="shared" ca="1" si="6"/>
        <v>0.24931438544003989</v>
      </c>
      <c r="AQ8" s="3">
        <f t="shared" ca="1" si="6"/>
        <v>0.92707045735475901</v>
      </c>
      <c r="AR8" s="3">
        <f t="shared" ca="1" si="6"/>
        <v>0.49925112331502741</v>
      </c>
      <c r="AT8" s="11" t="e">
        <v>#N/A</v>
      </c>
      <c r="AU8" s="3">
        <v>4.0000001899898052E-3</v>
      </c>
      <c r="AV8" s="3">
        <v>0.58600002527236938</v>
      </c>
      <c r="AW8" s="3">
        <v>0.70899999141693115</v>
      </c>
      <c r="AY8" s="3" t="e">
        <f t="shared" ca="1" si="7"/>
        <v>#N/A</v>
      </c>
      <c r="AZ8" s="3">
        <f t="shared" ca="1" si="8"/>
        <v>0.17028172525554736</v>
      </c>
      <c r="BA8" s="3">
        <f t="shared" ca="1" si="9"/>
        <v>0.31427688504326329</v>
      </c>
      <c r="BB8" s="3">
        <f t="shared" ca="1" si="10"/>
        <v>0.47453819271093362</v>
      </c>
      <c r="BD8" s="3" t="e">
        <f t="shared" ca="1" si="11"/>
        <v>#N/A</v>
      </c>
      <c r="BE8" s="3">
        <f t="shared" ca="1" si="12"/>
        <v>0.15382691233332274</v>
      </c>
      <c r="BF8" s="3">
        <f t="shared" ca="1" si="13"/>
        <v>0.34517926545019351</v>
      </c>
      <c r="BG8" s="3">
        <f t="shared" ca="1" si="14"/>
        <v>0.50349471810693691</v>
      </c>
      <c r="BI8" s="3" t="e">
        <f t="shared" ca="1" si="15"/>
        <v>#N/A</v>
      </c>
      <c r="BJ8" s="3">
        <f t="shared" ca="1" si="16"/>
        <v>0.49862877088007979</v>
      </c>
      <c r="BK8" s="3">
        <f t="shared" ca="1" si="17"/>
        <v>0.92707045735475901</v>
      </c>
      <c r="BL8" s="3">
        <f t="shared" ca="1" si="18"/>
        <v>1.4977533699450822</v>
      </c>
      <c r="BN8" s="3" t="e">
        <f t="shared" ca="1" si="19"/>
        <v>#N/A</v>
      </c>
      <c r="BO8" s="3">
        <f t="shared" ca="1" si="20"/>
        <v>0.99725754176015957</v>
      </c>
      <c r="BP8" s="3">
        <f t="shared" ca="1" si="21"/>
        <v>0.61804697156983934</v>
      </c>
      <c r="BQ8" s="3">
        <f t="shared" ca="1" si="22"/>
        <v>1.4977533699450822</v>
      </c>
      <c r="BS8" s="11" t="e">
        <v>#N/A</v>
      </c>
      <c r="BT8" s="3">
        <v>1.0870000123977661</v>
      </c>
      <c r="BU8" s="3">
        <v>0.78600001335144043</v>
      </c>
      <c r="BV8" s="3">
        <v>0.70899999141693115</v>
      </c>
      <c r="BX8" s="3" t="e">
        <f t="shared" ca="1" si="23"/>
        <v>#N/A</v>
      </c>
      <c r="BY8" s="3">
        <f t="shared" ca="1" si="24"/>
        <v>0.35302916978309645</v>
      </c>
      <c r="BZ8" s="3">
        <f t="shared" ca="1" si="25"/>
        <v>8.2200247218788589E-2</v>
      </c>
      <c r="CA8" s="3">
        <f t="shared" ca="1" si="26"/>
        <v>0</v>
      </c>
      <c r="CC8" s="3" t="e">
        <f t="shared" ca="1" si="27"/>
        <v>#N/A</v>
      </c>
      <c r="CD8" s="3">
        <f t="shared" ca="1" si="28"/>
        <v>0.35701821214765334</v>
      </c>
      <c r="CE8" s="3">
        <f t="shared" ca="1" si="29"/>
        <v>5.6551325011754361E-2</v>
      </c>
      <c r="CF8" s="3">
        <f t="shared" ca="1" si="30"/>
        <v>0</v>
      </c>
      <c r="CH8" s="3" t="e">
        <f t="shared" ca="1" si="31"/>
        <v>#N/A</v>
      </c>
      <c r="CI8" s="3">
        <f t="shared" ca="1" si="32"/>
        <v>0.49862877088007979</v>
      </c>
      <c r="CJ8" s="3">
        <f t="shared" ca="1" si="33"/>
        <v>0.30902348578491967</v>
      </c>
      <c r="CK8" s="3">
        <f t="shared" ca="1" si="34"/>
        <v>0</v>
      </c>
      <c r="CM8" s="3" t="e">
        <f t="shared" ca="1" si="35"/>
        <v>#N/A</v>
      </c>
      <c r="CN8" s="3">
        <f t="shared" ca="1" si="36"/>
        <v>0.49862877088007979</v>
      </c>
      <c r="CO8" s="3">
        <f t="shared" ca="1" si="37"/>
        <v>1.2360939431396787</v>
      </c>
      <c r="CP8" s="3">
        <f t="shared" ca="1" si="38"/>
        <v>0</v>
      </c>
      <c r="CR8" s="11" t="e">
        <v>#N/A</v>
      </c>
      <c r="CS8" s="3">
        <v>4.0000001899898052E-3</v>
      </c>
      <c r="CT8" s="3">
        <v>2.0529999732971191</v>
      </c>
      <c r="CU8" s="3">
        <v>4.0060000000000002</v>
      </c>
      <c r="CV8" s="21">
        <f t="shared" ca="1" si="40"/>
        <v>4.0060000000000002</v>
      </c>
      <c r="CW8" s="16">
        <f t="shared" ca="1" si="39"/>
        <v>3.6666666666666665</v>
      </c>
      <c r="CX8" s="3" t="s">
        <v>271</v>
      </c>
      <c r="CY8" s="80"/>
      <c r="CZ8" s="17" t="s">
        <v>295</v>
      </c>
      <c r="DA8" s="17" t="s">
        <v>309</v>
      </c>
      <c r="DB8" s="17" t="s">
        <v>373</v>
      </c>
      <c r="DC8" s="17" t="s">
        <v>379</v>
      </c>
      <c r="DD8" s="17" t="s">
        <v>282</v>
      </c>
    </row>
    <row r="9" spans="1:120" s="3" customFormat="1" x14ac:dyDescent="0.35">
      <c r="A9" s="2" t="s">
        <v>53</v>
      </c>
      <c r="B9" s="2">
        <v>3.6666666666666665</v>
      </c>
      <c r="C9" s="2" t="s">
        <v>167</v>
      </c>
      <c r="D9" s="2" t="s">
        <v>403</v>
      </c>
      <c r="F9" s="3">
        <v>4.0039999999999996</v>
      </c>
      <c r="G9" s="3">
        <v>4.0010000000000003</v>
      </c>
      <c r="H9" s="3" t="e">
        <v>#N/A</v>
      </c>
      <c r="I9" s="3">
        <v>4.01</v>
      </c>
      <c r="K9" s="3">
        <f t="shared" ca="1" si="0"/>
        <v>0.99450549450549464</v>
      </c>
      <c r="L9" s="3">
        <f t="shared" ca="1" si="0"/>
        <v>0.99550112471882024</v>
      </c>
      <c r="M9" s="3" t="e">
        <f t="shared" ca="1" si="0"/>
        <v>#N/A</v>
      </c>
      <c r="N9" s="3">
        <f t="shared" ca="1" si="0"/>
        <v>0.99750623441396513</v>
      </c>
      <c r="P9" s="3">
        <f t="shared" ca="1" si="1"/>
        <v>0.88686312127348554</v>
      </c>
      <c r="Q9" s="3">
        <f t="shared" ca="1" si="1"/>
        <v>0.95401151011255902</v>
      </c>
      <c r="R9" s="3" t="e">
        <f t="shared" ca="1" si="1"/>
        <v>#N/A</v>
      </c>
      <c r="S9" s="3">
        <f t="shared" ca="1" si="1"/>
        <v>0.93092276782094696</v>
      </c>
      <c r="U9" s="3">
        <f t="shared" ca="1" si="2"/>
        <v>1.7482517482517483</v>
      </c>
      <c r="V9" s="3">
        <f t="shared" ca="1" si="2"/>
        <v>1.9995001249687576</v>
      </c>
      <c r="W9" s="3" t="e">
        <f t="shared" ca="1" si="2"/>
        <v>#N/A</v>
      </c>
      <c r="X9" s="3">
        <f t="shared" ca="1" si="2"/>
        <v>2.9925187032418954</v>
      </c>
      <c r="Z9" s="3">
        <f t="shared" ca="1" si="3"/>
        <v>0.99450549450549464</v>
      </c>
      <c r="AA9" s="3">
        <f t="shared" ca="1" si="3"/>
        <v>0.99550112471882024</v>
      </c>
      <c r="AB9" s="3" t="e">
        <f t="shared" ca="1" si="3"/>
        <v>#N/A</v>
      </c>
      <c r="AC9" s="3">
        <f t="shared" ca="1" si="3"/>
        <v>0.99750623441396513</v>
      </c>
      <c r="AE9" s="3">
        <f t="shared" ca="1" si="4"/>
        <v>0.88686312127348554</v>
      </c>
      <c r="AF9" s="3">
        <f t="shared" ca="1" si="4"/>
        <v>0.95401151011255902</v>
      </c>
      <c r="AG9" s="3" t="e">
        <f t="shared" ca="1" si="4"/>
        <v>#N/A</v>
      </c>
      <c r="AH9" s="3">
        <f t="shared" ca="1" si="4"/>
        <v>0.93092276782094696</v>
      </c>
      <c r="AJ9" s="3">
        <f t="shared" ca="1" si="5"/>
        <v>1.7482517482517483</v>
      </c>
      <c r="AK9" s="3">
        <f t="shared" ca="1" si="5"/>
        <v>1.9995001249687576</v>
      </c>
      <c r="AL9" s="3" t="e">
        <f t="shared" ca="1" si="5"/>
        <v>#N/A</v>
      </c>
      <c r="AM9" s="3">
        <f t="shared" ca="1" si="5"/>
        <v>2.9925187032418954</v>
      </c>
      <c r="AO9" s="3">
        <f t="shared" ca="1" si="6"/>
        <v>0.24975024975024979</v>
      </c>
      <c r="AP9" s="3">
        <f t="shared" ca="1" si="6"/>
        <v>0.2499375156210947</v>
      </c>
      <c r="AQ9" s="3" t="e">
        <f t="shared" ca="1" si="6"/>
        <v>#N/A</v>
      </c>
      <c r="AR9" s="3">
        <f t="shared" ca="1" si="6"/>
        <v>0.24937655860349128</v>
      </c>
      <c r="AT9" s="3">
        <v>1.4000000432133675E-2</v>
      </c>
      <c r="AU9" s="3">
        <v>9.9999997764825821E-3</v>
      </c>
      <c r="AV9" s="11" t="e">
        <v>#N/A</v>
      </c>
      <c r="AW9" s="3">
        <v>9.9999997764825821E-3</v>
      </c>
      <c r="AY9" s="3">
        <f t="shared" ca="1" si="7"/>
        <v>0.71603396603396618</v>
      </c>
      <c r="AZ9" s="3">
        <f t="shared" ca="1" si="8"/>
        <v>0.53311672081979511</v>
      </c>
      <c r="BA9" s="3" t="e">
        <f t="shared" ca="1" si="9"/>
        <v>#N/A</v>
      </c>
      <c r="BB9" s="3">
        <f t="shared" ca="1" si="10"/>
        <v>0.41571072319201996</v>
      </c>
      <c r="BD9" s="3">
        <f t="shared" ca="1" si="11"/>
        <v>0.60389608472258183</v>
      </c>
      <c r="BE9" s="3">
        <f t="shared" ca="1" si="12"/>
        <v>0.57060734625608733</v>
      </c>
      <c r="BF9" s="3" t="e">
        <f t="shared" ca="1" si="13"/>
        <v>#N/A</v>
      </c>
      <c r="BG9" s="3">
        <f t="shared" ca="1" si="14"/>
        <v>0.42394016151713615</v>
      </c>
      <c r="BI9" s="3">
        <f t="shared" ca="1" si="15"/>
        <v>0.99900099900099915</v>
      </c>
      <c r="BJ9" s="3">
        <f t="shared" ca="1" si="16"/>
        <v>0.99975006248437881</v>
      </c>
      <c r="BK9" s="3" t="e">
        <f t="shared" ca="1" si="17"/>
        <v>#N/A</v>
      </c>
      <c r="BL9" s="3">
        <f t="shared" ca="1" si="18"/>
        <v>1.2468827930174564</v>
      </c>
      <c r="BN9" s="3">
        <f t="shared" ca="1" si="19"/>
        <v>0.99900099900099915</v>
      </c>
      <c r="BO9" s="3">
        <f t="shared" ca="1" si="20"/>
        <v>0.74981254686328414</v>
      </c>
      <c r="BP9" s="3" t="e">
        <f t="shared" ca="1" si="21"/>
        <v>#N/A</v>
      </c>
      <c r="BQ9" s="3">
        <f t="shared" ca="1" si="22"/>
        <v>0.99750623441396513</v>
      </c>
      <c r="BS9" s="3">
        <v>0.6470000147819519</v>
      </c>
      <c r="BT9" s="3">
        <v>0.47699999809265137</v>
      </c>
      <c r="BU9" s="11" t="e">
        <v>#N/A</v>
      </c>
      <c r="BV9" s="3">
        <v>0.50999999046325684</v>
      </c>
      <c r="BX9" s="3">
        <f t="shared" ca="1" si="23"/>
        <v>0</v>
      </c>
      <c r="BY9" s="3">
        <f t="shared" ca="1" si="24"/>
        <v>9.9975006248437887E-2</v>
      </c>
      <c r="BZ9" s="3" t="e">
        <f t="shared" ca="1" si="25"/>
        <v>#N/A</v>
      </c>
      <c r="CA9" s="3">
        <f t="shared" ca="1" si="26"/>
        <v>0.10374064837905235</v>
      </c>
      <c r="CC9" s="3">
        <f t="shared" ca="1" si="27"/>
        <v>0</v>
      </c>
      <c r="CD9" s="3">
        <f t="shared" ca="1" si="28"/>
        <v>9.9975005410457063E-2</v>
      </c>
      <c r="CE9" s="3" t="e">
        <f t="shared" ca="1" si="29"/>
        <v>#N/A</v>
      </c>
      <c r="CF9" s="3">
        <f t="shared" ca="1" si="30"/>
        <v>9.5511255716147866E-2</v>
      </c>
      <c r="CH9" s="3">
        <f t="shared" ca="1" si="31"/>
        <v>0</v>
      </c>
      <c r="CI9" s="3">
        <f t="shared" ca="1" si="32"/>
        <v>0.2499375156210947</v>
      </c>
      <c r="CJ9" s="3" t="e">
        <f t="shared" ca="1" si="33"/>
        <v>#N/A</v>
      </c>
      <c r="CK9" s="3">
        <f t="shared" ca="1" si="34"/>
        <v>0.24937655860349128</v>
      </c>
      <c r="CM9" s="3">
        <f t="shared" ca="1" si="35"/>
        <v>0</v>
      </c>
      <c r="CN9" s="3">
        <f t="shared" ca="1" si="36"/>
        <v>0.2499375156210947</v>
      </c>
      <c r="CO9" s="3" t="e">
        <f t="shared" ca="1" si="37"/>
        <v>#N/A</v>
      </c>
      <c r="CP9" s="3">
        <f t="shared" ca="1" si="38"/>
        <v>0.24937655860349128</v>
      </c>
      <c r="CR9" s="3">
        <v>4.0039999999999996</v>
      </c>
      <c r="CS9" s="3">
        <v>9.9999997764825821E-3</v>
      </c>
      <c r="CT9" s="11" t="e">
        <v>#N/A</v>
      </c>
      <c r="CU9" s="3">
        <v>3.3599998950958252</v>
      </c>
      <c r="CV9" s="21">
        <f t="shared" ca="1" si="40"/>
        <v>3.3599998950958252</v>
      </c>
      <c r="CW9" s="16">
        <f t="shared" ca="1" si="39"/>
        <v>3.6666666666666665</v>
      </c>
      <c r="CX9" s="3" t="s">
        <v>272</v>
      </c>
      <c r="CY9" s="80"/>
      <c r="CZ9" s="18" t="s">
        <v>299</v>
      </c>
      <c r="DA9" s="17" t="s">
        <v>313</v>
      </c>
      <c r="DB9" s="17" t="s">
        <v>374</v>
      </c>
      <c r="DC9" s="17" t="s">
        <v>378</v>
      </c>
      <c r="DD9" s="17" t="s">
        <v>283</v>
      </c>
      <c r="DF9" s="3">
        <v>4</v>
      </c>
      <c r="DG9" s="3" t="str">
        <f>INDEX(CZ5:DC28, 6*$DF$6-5,$DF$9)</f>
        <v>I</v>
      </c>
    </row>
    <row r="10" spans="1:120" s="3" customFormat="1" x14ac:dyDescent="0.35">
      <c r="A10" s="2" t="s">
        <v>14</v>
      </c>
      <c r="B10" s="2">
        <v>3.75</v>
      </c>
      <c r="C10" s="2" t="s">
        <v>168</v>
      </c>
      <c r="D10" s="2" t="s">
        <v>403</v>
      </c>
      <c r="F10" s="3" t="e">
        <v>#N/A</v>
      </c>
      <c r="G10" s="3" t="e">
        <v>#N/A</v>
      </c>
      <c r="H10" s="3" t="e">
        <v>#N/A</v>
      </c>
      <c r="I10" s="3">
        <v>4.0209999999999999</v>
      </c>
      <c r="K10" s="3" t="e">
        <f t="shared" ca="1" si="0"/>
        <v>#N/A</v>
      </c>
      <c r="L10" s="3" t="e">
        <f t="shared" ca="1" si="0"/>
        <v>#N/A</v>
      </c>
      <c r="M10" s="3" t="e">
        <f t="shared" ca="1" si="0"/>
        <v>#N/A</v>
      </c>
      <c r="N10" s="3">
        <f t="shared" ca="1" si="0"/>
        <v>0.99875652822680927</v>
      </c>
      <c r="P10" s="3" t="e">
        <f t="shared" ca="1" si="1"/>
        <v>#N/A</v>
      </c>
      <c r="Q10" s="3" t="e">
        <f t="shared" ca="1" si="1"/>
        <v>#N/A</v>
      </c>
      <c r="R10" s="3" t="e">
        <f t="shared" ca="1" si="1"/>
        <v>#N/A</v>
      </c>
      <c r="S10" s="3">
        <f t="shared" ca="1" si="1"/>
        <v>0.79109676812725171</v>
      </c>
      <c r="U10" s="3" t="e">
        <f t="shared" ca="1" si="2"/>
        <v>#N/A</v>
      </c>
      <c r="V10" s="3" t="e">
        <f t="shared" ca="1" si="2"/>
        <v>#N/A</v>
      </c>
      <c r="W10" s="3" t="e">
        <f t="shared" ca="1" si="2"/>
        <v>#N/A</v>
      </c>
      <c r="X10" s="3">
        <f t="shared" ca="1" si="2"/>
        <v>2.9843322556577965</v>
      </c>
      <c r="Z10" s="3" t="e">
        <f t="shared" ca="1" si="3"/>
        <v>#N/A</v>
      </c>
      <c r="AA10" s="3" t="e">
        <f t="shared" ca="1" si="3"/>
        <v>#N/A</v>
      </c>
      <c r="AB10" s="3" t="e">
        <f t="shared" ca="1" si="3"/>
        <v>#N/A</v>
      </c>
      <c r="AC10" s="3">
        <f t="shared" ca="1" si="3"/>
        <v>0.73339965182790356</v>
      </c>
      <c r="AE10" s="3" t="e">
        <f t="shared" ca="1" si="4"/>
        <v>#N/A</v>
      </c>
      <c r="AF10" s="3" t="e">
        <f t="shared" ca="1" si="4"/>
        <v>#N/A</v>
      </c>
      <c r="AG10" s="3" t="e">
        <f t="shared" ca="1" si="4"/>
        <v>#N/A</v>
      </c>
      <c r="AH10" s="3">
        <f t="shared" ca="1" si="4"/>
        <v>0.62521761982754764</v>
      </c>
      <c r="AJ10" s="3" t="e">
        <f t="shared" ca="1" si="5"/>
        <v>#N/A</v>
      </c>
      <c r="AK10" s="3" t="e">
        <f t="shared" ca="1" si="5"/>
        <v>#N/A</v>
      </c>
      <c r="AL10" s="3" t="e">
        <f t="shared" ca="1" si="5"/>
        <v>#N/A</v>
      </c>
      <c r="AM10" s="3">
        <f t="shared" ca="1" si="5"/>
        <v>2.4869435463814971</v>
      </c>
      <c r="AO10" s="3" t="e">
        <f t="shared" ca="1" si="6"/>
        <v>#N/A</v>
      </c>
      <c r="AP10" s="3" t="e">
        <f t="shared" ca="1" si="6"/>
        <v>#N/A</v>
      </c>
      <c r="AQ10" s="3" t="e">
        <f t="shared" ca="1" si="6"/>
        <v>#N/A</v>
      </c>
      <c r="AR10" s="3">
        <f t="shared" ca="1" si="6"/>
        <v>1.2434717731907485</v>
      </c>
      <c r="AT10" s="11" t="e">
        <v>#N/A</v>
      </c>
      <c r="AU10" s="11" t="e">
        <v>#N/A</v>
      </c>
      <c r="AV10" s="3">
        <v>1.0999999940395355E-2</v>
      </c>
      <c r="AW10" s="3">
        <v>3.0000000260770321E-3</v>
      </c>
      <c r="AY10" s="3" t="e">
        <f t="shared" ca="1" si="7"/>
        <v>#N/A</v>
      </c>
      <c r="AZ10" s="3" t="e">
        <f t="shared" ca="1" si="8"/>
        <v>#N/A</v>
      </c>
      <c r="BA10" s="3" t="e">
        <f t="shared" ca="1" si="9"/>
        <v>#N/A</v>
      </c>
      <c r="BB10" s="3">
        <f t="shared" ca="1" si="10"/>
        <v>0.18279035065904006</v>
      </c>
      <c r="BD10" s="3" t="e">
        <f t="shared" ca="1" si="11"/>
        <v>#N/A</v>
      </c>
      <c r="BE10" s="3" t="e">
        <f t="shared" ca="1" si="12"/>
        <v>#N/A</v>
      </c>
      <c r="BF10" s="3" t="e">
        <f t="shared" ca="1" si="13"/>
        <v>#N/A</v>
      </c>
      <c r="BG10" s="3">
        <f t="shared" ca="1" si="14"/>
        <v>0.24446656057058475</v>
      </c>
      <c r="BI10" s="3" t="e">
        <f t="shared" ca="1" si="15"/>
        <v>#N/A</v>
      </c>
      <c r="BJ10" s="3" t="e">
        <f t="shared" ca="1" si="16"/>
        <v>#N/A</v>
      </c>
      <c r="BK10" s="3" t="e">
        <f t="shared" ca="1" si="17"/>
        <v>#N/A</v>
      </c>
      <c r="BL10" s="3">
        <f t="shared" ca="1" si="18"/>
        <v>0.74608306391444912</v>
      </c>
      <c r="BN10" s="3" t="e">
        <f t="shared" ca="1" si="19"/>
        <v>#N/A</v>
      </c>
      <c r="BO10" s="3" t="e">
        <f t="shared" ca="1" si="20"/>
        <v>#N/A</v>
      </c>
      <c r="BP10" s="3" t="e">
        <f t="shared" ca="1" si="21"/>
        <v>#N/A</v>
      </c>
      <c r="BQ10" s="3">
        <f t="shared" ca="1" si="22"/>
        <v>1.4921661278288982</v>
      </c>
      <c r="BS10" s="11" t="e">
        <v>#N/A</v>
      </c>
      <c r="BT10" s="11" t="e">
        <v>#N/A</v>
      </c>
      <c r="BU10" s="3">
        <v>4.0259999999999998</v>
      </c>
      <c r="BV10" s="3">
        <v>0.43599998950958252</v>
      </c>
      <c r="BX10" s="3" t="e">
        <f t="shared" ca="1" si="23"/>
        <v>#N/A</v>
      </c>
      <c r="BY10" s="3" t="e">
        <f t="shared" ca="1" si="24"/>
        <v>#N/A</v>
      </c>
      <c r="BZ10" s="3" t="e">
        <f t="shared" ca="1" si="25"/>
        <v>#N/A</v>
      </c>
      <c r="CA10" s="3">
        <f t="shared" ca="1" si="26"/>
        <v>6.6152698333747831E-2</v>
      </c>
      <c r="CC10" s="3" t="e">
        <f t="shared" ca="1" si="27"/>
        <v>#N/A</v>
      </c>
      <c r="CD10" s="3" t="e">
        <f t="shared" ca="1" si="28"/>
        <v>#N/A</v>
      </c>
      <c r="CE10" s="3" t="e">
        <f t="shared" ca="1" si="29"/>
        <v>#N/A</v>
      </c>
      <c r="CF10" s="3">
        <f t="shared" ca="1" si="30"/>
        <v>0</v>
      </c>
      <c r="CH10" s="3" t="e">
        <f t="shared" ca="1" si="31"/>
        <v>#N/A</v>
      </c>
      <c r="CI10" s="3" t="e">
        <f t="shared" ca="1" si="32"/>
        <v>#N/A</v>
      </c>
      <c r="CJ10" s="3" t="e">
        <f t="shared" ca="1" si="33"/>
        <v>#N/A</v>
      </c>
      <c r="CK10" s="3">
        <f t="shared" ca="1" si="34"/>
        <v>0</v>
      </c>
      <c r="CM10" s="3" t="e">
        <f t="shared" ca="1" si="35"/>
        <v>#N/A</v>
      </c>
      <c r="CN10" s="3" t="e">
        <f t="shared" ca="1" si="36"/>
        <v>#N/A</v>
      </c>
      <c r="CO10" s="3" t="e">
        <f t="shared" ca="1" si="37"/>
        <v>#N/A</v>
      </c>
      <c r="CP10" s="3">
        <f t="shared" ca="1" si="38"/>
        <v>0.74608306391444912</v>
      </c>
      <c r="CR10" s="11" t="e">
        <v>#N/A</v>
      </c>
      <c r="CS10" s="11" t="e">
        <v>#N/A</v>
      </c>
      <c r="CT10" s="3">
        <v>4.0259999999999998</v>
      </c>
      <c r="CU10" s="3">
        <v>4.0209999999999999</v>
      </c>
      <c r="CV10" s="21">
        <f t="shared" ca="1" si="40"/>
        <v>4.0209999999999999</v>
      </c>
      <c r="CW10" s="16">
        <f t="shared" ca="1" si="39"/>
        <v>3.75</v>
      </c>
      <c r="CY10" s="81"/>
      <c r="CZ10" s="18" t="s">
        <v>299</v>
      </c>
      <c r="DA10" s="17" t="s">
        <v>317</v>
      </c>
      <c r="DB10" s="17" t="s">
        <v>375</v>
      </c>
      <c r="DC10" s="17" t="s">
        <v>380</v>
      </c>
      <c r="DD10" s="17" t="s">
        <v>284</v>
      </c>
      <c r="DF10" s="26" t="s">
        <v>356</v>
      </c>
    </row>
    <row r="11" spans="1:120" s="3" customFormat="1" x14ac:dyDescent="0.35">
      <c r="A11" s="2" t="s">
        <v>38</v>
      </c>
      <c r="B11" s="2">
        <v>3.8333333333333335</v>
      </c>
      <c r="C11" s="2" t="s">
        <v>167</v>
      </c>
      <c r="D11" s="2" t="s">
        <v>403</v>
      </c>
      <c r="F11" s="3">
        <v>3.1909999999999998</v>
      </c>
      <c r="G11" s="3">
        <v>3.1659999999999999</v>
      </c>
      <c r="H11" s="3">
        <v>4.0069999999999997</v>
      </c>
      <c r="I11" s="3">
        <v>4.016</v>
      </c>
      <c r="K11" s="3">
        <f t="shared" ca="1" si="0"/>
        <v>0.90347853337511752</v>
      </c>
      <c r="L11" s="3">
        <f t="shared" ca="1" si="0"/>
        <v>0.97883765003158552</v>
      </c>
      <c r="M11" s="3">
        <f t="shared" ca="1" si="0"/>
        <v>0.93137010232093842</v>
      </c>
      <c r="N11" s="3">
        <f t="shared" ca="1" si="0"/>
        <v>0.63894422310756971</v>
      </c>
      <c r="P11" s="3">
        <f t="shared" ca="1" si="1"/>
        <v>0.89251020043593376</v>
      </c>
      <c r="Q11" s="3">
        <f t="shared" ca="1" si="1"/>
        <v>0.60012640251495086</v>
      </c>
      <c r="R11" s="3">
        <f t="shared" ca="1" si="1"/>
        <v>0.81033194667722697</v>
      </c>
      <c r="S11" s="3">
        <f t="shared" ca="1" si="1"/>
        <v>0.58491017476495988</v>
      </c>
      <c r="U11" s="3">
        <f t="shared" ca="1" si="2"/>
        <v>1.8802883108743342</v>
      </c>
      <c r="V11" s="3">
        <f t="shared" ca="1" si="2"/>
        <v>2.2109917877447884</v>
      </c>
      <c r="W11" s="3">
        <f t="shared" ca="1" si="2"/>
        <v>2.9947591714499628</v>
      </c>
      <c r="X11" s="3">
        <f t="shared" ca="1" si="2"/>
        <v>2.241035856573705</v>
      </c>
      <c r="Z11" s="3">
        <f t="shared" ca="1" si="3"/>
        <v>0.99717956753368853</v>
      </c>
      <c r="AA11" s="3">
        <f t="shared" ca="1" si="3"/>
        <v>0.88408085912823753</v>
      </c>
      <c r="AB11" s="3">
        <f t="shared" ca="1" si="3"/>
        <v>0.9146493636136761</v>
      </c>
      <c r="AC11" s="3">
        <f t="shared" ca="1" si="3"/>
        <v>0.37350597609561742</v>
      </c>
      <c r="AE11" s="3">
        <f t="shared" ca="1" si="4"/>
        <v>0.89251020043593376</v>
      </c>
      <c r="AF11" s="3">
        <f t="shared" ca="1" si="4"/>
        <v>0.60012640251495086</v>
      </c>
      <c r="AG11" s="3">
        <f t="shared" ca="1" si="4"/>
        <v>0.81033194667722697</v>
      </c>
      <c r="AH11" s="3">
        <f t="shared" ca="1" si="4"/>
        <v>0.34013936719096516</v>
      </c>
      <c r="AJ11" s="3">
        <f t="shared" ca="1" si="5"/>
        <v>1.8802883108743342</v>
      </c>
      <c r="AK11" s="3">
        <f t="shared" ca="1" si="5"/>
        <v>2.2109917877447884</v>
      </c>
      <c r="AL11" s="3">
        <f t="shared" ca="1" si="5"/>
        <v>2.9947591714499628</v>
      </c>
      <c r="AM11" s="3">
        <f t="shared" ca="1" si="5"/>
        <v>1.4940239043824701</v>
      </c>
      <c r="AO11" s="3">
        <f t="shared" ca="1" si="6"/>
        <v>0.31338138514572234</v>
      </c>
      <c r="AP11" s="3">
        <f t="shared" ca="1" si="6"/>
        <v>0.94756790903348076</v>
      </c>
      <c r="AQ11" s="3">
        <f t="shared" ca="1" si="6"/>
        <v>0.24956326428749689</v>
      </c>
      <c r="AR11" s="3">
        <f t="shared" ca="1" si="6"/>
        <v>0.49800796812749004</v>
      </c>
      <c r="AT11" s="3">
        <v>0.81099998950958252</v>
      </c>
      <c r="AU11" s="3">
        <v>2.500000037252903E-2</v>
      </c>
      <c r="AV11" s="3">
        <v>6.0000000521540642E-3</v>
      </c>
      <c r="AW11" s="3">
        <v>0.74900001287460327</v>
      </c>
      <c r="AY11" s="3">
        <f t="shared" ca="1" si="7"/>
        <v>0</v>
      </c>
      <c r="AZ11" s="3">
        <f t="shared" ca="1" si="8"/>
        <v>0</v>
      </c>
      <c r="BA11" s="3">
        <f t="shared" ca="1" si="9"/>
        <v>0</v>
      </c>
      <c r="BB11" s="3">
        <f t="shared" ca="1" si="10"/>
        <v>3.7350597609561734E-2</v>
      </c>
      <c r="BD11" s="3">
        <f t="shared" ca="1" si="11"/>
        <v>0</v>
      </c>
      <c r="BE11" s="3">
        <f t="shared" ca="1" si="12"/>
        <v>0</v>
      </c>
      <c r="BF11" s="3">
        <f t="shared" ca="1" si="13"/>
        <v>0</v>
      </c>
      <c r="BG11" s="3">
        <f t="shared" ca="1" si="14"/>
        <v>0</v>
      </c>
      <c r="BI11" s="3">
        <f t="shared" ca="1" si="15"/>
        <v>0</v>
      </c>
      <c r="BJ11" s="3">
        <f t="shared" ca="1" si="16"/>
        <v>0</v>
      </c>
      <c r="BK11" s="3">
        <f t="shared" ca="1" si="17"/>
        <v>0</v>
      </c>
      <c r="BL11" s="3">
        <f t="shared" ca="1" si="18"/>
        <v>0</v>
      </c>
      <c r="BN11" s="3">
        <f t="shared" ca="1" si="19"/>
        <v>0</v>
      </c>
      <c r="BO11" s="3">
        <f t="shared" ca="1" si="20"/>
        <v>0</v>
      </c>
      <c r="BP11" s="3">
        <f t="shared" ca="1" si="21"/>
        <v>0</v>
      </c>
      <c r="BQ11" s="3">
        <f t="shared" ca="1" si="22"/>
        <v>0.24900398406374502</v>
      </c>
      <c r="BS11" s="3">
        <v>4.0019999999999998</v>
      </c>
      <c r="BT11" s="3">
        <v>4.016</v>
      </c>
      <c r="BU11" s="3">
        <v>4.0069999999999997</v>
      </c>
      <c r="BV11" s="3">
        <v>4.016</v>
      </c>
      <c r="BX11" s="3">
        <f t="shared" ca="1" si="23"/>
        <v>0.1356941397680978</v>
      </c>
      <c r="BY11" s="3">
        <f t="shared" ca="1" si="24"/>
        <v>0.23152242577384699</v>
      </c>
      <c r="BZ11" s="3">
        <f t="shared" ca="1" si="25"/>
        <v>0.24956326428749676</v>
      </c>
      <c r="CA11" s="3">
        <f t="shared" ca="1" si="26"/>
        <v>0.18675298804780877</v>
      </c>
      <c r="CC11" s="3">
        <f t="shared" ca="1" si="27"/>
        <v>0</v>
      </c>
      <c r="CD11" s="3">
        <f t="shared" ca="1" si="28"/>
        <v>0.28427036517945109</v>
      </c>
      <c r="CE11" s="3">
        <f t="shared" ca="1" si="29"/>
        <v>0.22435737185743584</v>
      </c>
      <c r="CF11" s="3">
        <f t="shared" ca="1" si="30"/>
        <v>0.2114042877201065</v>
      </c>
      <c r="CH11" s="3">
        <f t="shared" ca="1" si="31"/>
        <v>0</v>
      </c>
      <c r="CI11" s="3">
        <f t="shared" ca="1" si="32"/>
        <v>0.94756790903348076</v>
      </c>
      <c r="CJ11" s="3">
        <f t="shared" ca="1" si="33"/>
        <v>1.2478163214374844</v>
      </c>
      <c r="CK11" s="3">
        <f t="shared" ca="1" si="34"/>
        <v>0.99601593625498008</v>
      </c>
      <c r="CM11" s="3">
        <f t="shared" ca="1" si="35"/>
        <v>0.62676277029144467</v>
      </c>
      <c r="CN11" s="3">
        <f t="shared" ca="1" si="36"/>
        <v>1.5792798483891346</v>
      </c>
      <c r="CO11" s="3">
        <f t="shared" ca="1" si="37"/>
        <v>1.7469428500124784</v>
      </c>
      <c r="CP11" s="3">
        <f t="shared" ca="1" si="38"/>
        <v>0.49800796812749004</v>
      </c>
      <c r="CR11" s="3">
        <v>4.0019999999999998</v>
      </c>
      <c r="CS11" s="3">
        <v>0.54100000858306885</v>
      </c>
      <c r="CT11" s="3">
        <v>0.50599998235702515</v>
      </c>
      <c r="CU11" s="3">
        <v>0.91600000858306885</v>
      </c>
      <c r="CV11" s="21">
        <f t="shared" ca="1" si="40"/>
        <v>0.91600000858306885</v>
      </c>
      <c r="CW11" s="16">
        <f t="shared" ca="1" si="39"/>
        <v>3.8333333333333335</v>
      </c>
      <c r="CY11" s="70" t="s">
        <v>270</v>
      </c>
      <c r="CZ11" s="4" t="s">
        <v>286</v>
      </c>
      <c r="DA11" s="4" t="s">
        <v>286</v>
      </c>
      <c r="DB11" s="4" t="s">
        <v>286</v>
      </c>
      <c r="DC11" s="4" t="s">
        <v>286</v>
      </c>
      <c r="DD11" s="4" t="s">
        <v>273</v>
      </c>
      <c r="DG11" s="2" t="s">
        <v>357</v>
      </c>
    </row>
    <row r="12" spans="1:120" s="3" customFormat="1" ht="15.5" x14ac:dyDescent="0.35">
      <c r="A12" s="2" t="s">
        <v>81</v>
      </c>
      <c r="B12" s="2">
        <v>3.8333333333333335</v>
      </c>
      <c r="C12" s="2" t="s">
        <v>167</v>
      </c>
      <c r="D12" s="2" t="s">
        <v>403</v>
      </c>
      <c r="F12" s="3">
        <v>4.01</v>
      </c>
      <c r="G12" s="3">
        <v>4.016</v>
      </c>
      <c r="H12" s="3">
        <v>4.032</v>
      </c>
      <c r="I12" s="3">
        <v>4.0110000000000001</v>
      </c>
      <c r="K12" s="3">
        <f t="shared" ca="1" si="0"/>
        <v>0.99725685785536167</v>
      </c>
      <c r="L12" s="3">
        <f t="shared" ca="1" si="0"/>
        <v>0.99576693227091639</v>
      </c>
      <c r="M12" s="3">
        <f t="shared" ca="1" si="0"/>
        <v>0.99603174603174605</v>
      </c>
      <c r="N12" s="3">
        <f t="shared" ca="1" si="0"/>
        <v>0.90974819247070549</v>
      </c>
      <c r="P12" s="3">
        <f t="shared" ca="1" si="1"/>
        <v>0.92618448631907646</v>
      </c>
      <c r="Q12" s="3">
        <f t="shared" ca="1" si="1"/>
        <v>0.912848582234562</v>
      </c>
      <c r="R12" s="3">
        <f t="shared" ca="1" si="1"/>
        <v>0.93774798733647913</v>
      </c>
      <c r="S12" s="3">
        <f t="shared" ca="1" si="1"/>
        <v>0.89753179445703024</v>
      </c>
      <c r="U12" s="3">
        <f t="shared" ca="1" si="2"/>
        <v>1.4962593516209477</v>
      </c>
      <c r="V12" s="3">
        <f t="shared" ca="1" si="2"/>
        <v>1.9920318725099602</v>
      </c>
      <c r="W12" s="3">
        <f t="shared" ca="1" si="2"/>
        <v>2.4801587301587302</v>
      </c>
      <c r="X12" s="3">
        <f t="shared" ca="1" si="2"/>
        <v>0.74794315632011965</v>
      </c>
      <c r="Z12" s="3">
        <f t="shared" ca="1" si="3"/>
        <v>0.99725685785536167</v>
      </c>
      <c r="AA12" s="3">
        <f t="shared" ca="1" si="3"/>
        <v>0.98331673306772904</v>
      </c>
      <c r="AB12" s="3">
        <f t="shared" ca="1" si="3"/>
        <v>0.99603174603174605</v>
      </c>
      <c r="AC12" s="3">
        <f t="shared" ca="1" si="3"/>
        <v>0.90974819247070549</v>
      </c>
      <c r="AE12" s="3">
        <f t="shared" ca="1" si="4"/>
        <v>0.92618448631907646</v>
      </c>
      <c r="AF12" s="3">
        <f t="shared" ca="1" si="4"/>
        <v>0.912848582234562</v>
      </c>
      <c r="AG12" s="3">
        <f t="shared" ca="1" si="4"/>
        <v>0.93774798733647913</v>
      </c>
      <c r="AH12" s="3">
        <f t="shared" ca="1" si="4"/>
        <v>0.89753179445703024</v>
      </c>
      <c r="AJ12" s="3">
        <f t="shared" ca="1" si="5"/>
        <v>1.4962593516209477</v>
      </c>
      <c r="AK12" s="3">
        <f t="shared" ca="1" si="5"/>
        <v>1.9920318725099602</v>
      </c>
      <c r="AL12" s="3">
        <f t="shared" ca="1" si="5"/>
        <v>2.4801587301587302</v>
      </c>
      <c r="AM12" s="3">
        <f t="shared" ca="1" si="5"/>
        <v>0.74794315632011965</v>
      </c>
      <c r="AO12" s="3">
        <f t="shared" ca="1" si="6"/>
        <v>0.24937655860349128</v>
      </c>
      <c r="AP12" s="3">
        <f t="shared" ca="1" si="6"/>
        <v>0.49800796812749004</v>
      </c>
      <c r="AQ12" s="3">
        <f t="shared" ca="1" si="6"/>
        <v>0.24801587301587302</v>
      </c>
      <c r="AR12" s="3">
        <f t="shared" ca="1" si="6"/>
        <v>0.24931438544003989</v>
      </c>
      <c r="AT12" s="3">
        <v>6.0000000521540642E-3</v>
      </c>
      <c r="AU12" s="3">
        <v>1.0000000474974513E-3</v>
      </c>
      <c r="AV12" s="3">
        <v>8.0000003799796104E-3</v>
      </c>
      <c r="AW12" s="3">
        <v>8.999999612569809E-3</v>
      </c>
      <c r="AY12" s="3">
        <f t="shared" ca="1" si="7"/>
        <v>0.29900249376558602</v>
      </c>
      <c r="AZ12" s="3">
        <f t="shared" ca="1" si="8"/>
        <v>0.41907370517928288</v>
      </c>
      <c r="BA12" s="3">
        <f t="shared" ca="1" si="9"/>
        <v>0.140625</v>
      </c>
      <c r="BB12" s="3">
        <f t="shared" ca="1" si="10"/>
        <v>0.1286462228870606</v>
      </c>
      <c r="BD12" s="3">
        <f t="shared" ca="1" si="11"/>
        <v>0.31970070484570434</v>
      </c>
      <c r="BE12" s="3">
        <f t="shared" ca="1" si="12"/>
        <v>0.48157369413698814</v>
      </c>
      <c r="BF12" s="3">
        <f t="shared" ca="1" si="13"/>
        <v>4.5386926522330631E-2</v>
      </c>
      <c r="BG12" s="3">
        <f t="shared" ca="1" si="14"/>
        <v>0</v>
      </c>
      <c r="BI12" s="3">
        <f t="shared" ca="1" si="15"/>
        <v>0.74812967581047385</v>
      </c>
      <c r="BJ12" s="3">
        <f t="shared" ca="1" si="16"/>
        <v>0.99601593625498008</v>
      </c>
      <c r="BK12" s="3">
        <f t="shared" ca="1" si="17"/>
        <v>0.24801587301587302</v>
      </c>
      <c r="BL12" s="3">
        <f t="shared" ca="1" si="18"/>
        <v>0</v>
      </c>
      <c r="BN12" s="3">
        <f t="shared" ca="1" si="19"/>
        <v>0.99750623441396513</v>
      </c>
      <c r="BO12" s="3">
        <f t="shared" ca="1" si="20"/>
        <v>0.74701195219123506</v>
      </c>
      <c r="BP12" s="3">
        <f t="shared" ca="1" si="21"/>
        <v>0.99206349206349209</v>
      </c>
      <c r="BQ12" s="3">
        <f t="shared" ca="1" si="22"/>
        <v>0.24931438544003989</v>
      </c>
      <c r="BS12" s="3">
        <v>2.4890000820159912</v>
      </c>
      <c r="BT12" s="3">
        <v>0.50099998712539673</v>
      </c>
      <c r="BU12" s="3">
        <v>3.8410000801086426</v>
      </c>
      <c r="BV12" s="3">
        <v>4.0110000000000001</v>
      </c>
      <c r="BX12" s="3">
        <f t="shared" ca="1" si="23"/>
        <v>8.7281795511221921E-2</v>
      </c>
      <c r="BY12" s="3">
        <f t="shared" ca="1" si="24"/>
        <v>8.3167330677290777E-2</v>
      </c>
      <c r="BZ12" s="3">
        <f t="shared" ca="1" si="25"/>
        <v>5.7787698412698436E-2</v>
      </c>
      <c r="CA12" s="3">
        <f t="shared" ca="1" si="26"/>
        <v>0</v>
      </c>
      <c r="CC12" s="3">
        <f t="shared" ca="1" si="27"/>
        <v>0.14114715809239414</v>
      </c>
      <c r="CD12" s="3">
        <f t="shared" ca="1" si="28"/>
        <v>0.11180275939850218</v>
      </c>
      <c r="CE12" s="3">
        <f t="shared" ca="1" si="29"/>
        <v>5.7787708346805876E-2</v>
      </c>
      <c r="CF12" s="3">
        <f t="shared" ca="1" si="30"/>
        <v>0</v>
      </c>
      <c r="CH12" s="3">
        <f t="shared" ca="1" si="31"/>
        <v>0.24937655860349128</v>
      </c>
      <c r="CI12" s="3">
        <f t="shared" ca="1" si="32"/>
        <v>0.24900398406374502</v>
      </c>
      <c r="CJ12" s="3">
        <f t="shared" ca="1" si="33"/>
        <v>0.24801587301587302</v>
      </c>
      <c r="CK12" s="3">
        <f t="shared" ca="1" si="34"/>
        <v>0</v>
      </c>
      <c r="CM12" s="3">
        <f t="shared" ca="1" si="35"/>
        <v>0.24937655860349128</v>
      </c>
      <c r="CN12" s="3">
        <f t="shared" ca="1" si="36"/>
        <v>0.99601593625498008</v>
      </c>
      <c r="CO12" s="3">
        <f t="shared" ca="1" si="37"/>
        <v>0.24801587301587302</v>
      </c>
      <c r="CP12" s="3">
        <f t="shared" ca="1" si="38"/>
        <v>0</v>
      </c>
      <c r="CR12" s="3">
        <v>1.6729999780654907</v>
      </c>
      <c r="CS12" s="3">
        <v>3.4670000076293945</v>
      </c>
      <c r="CT12" s="3">
        <v>2.6749999523162842</v>
      </c>
      <c r="CU12" s="3">
        <v>4.0110000000000001</v>
      </c>
      <c r="CV12" s="21">
        <f t="shared" ca="1" si="40"/>
        <v>4.0110000000000001</v>
      </c>
      <c r="CW12" s="16">
        <f t="shared" ca="1" si="39"/>
        <v>3.8333333333333335</v>
      </c>
      <c r="CX12" s="3" t="s">
        <v>274</v>
      </c>
      <c r="CY12" s="71"/>
      <c r="CZ12" s="4" t="s">
        <v>290</v>
      </c>
      <c r="DA12" s="4" t="s">
        <v>302</v>
      </c>
      <c r="DB12" s="4" t="s">
        <v>321</v>
      </c>
      <c r="DC12" s="4" t="s">
        <v>336</v>
      </c>
      <c r="DD12" s="4" t="s">
        <v>280</v>
      </c>
      <c r="DF12" s="3">
        <v>6</v>
      </c>
      <c r="DG12" s="19" t="str">
        <f>INDEX(CZ5:DC28, 6*$DF$6-5+$DF$12-1,$DF$9)</f>
        <v>CU</v>
      </c>
    </row>
    <row r="13" spans="1:120" s="3" customFormat="1" x14ac:dyDescent="0.35">
      <c r="A13" s="2" t="s">
        <v>27</v>
      </c>
      <c r="B13" s="2">
        <v>3.9166666666666665</v>
      </c>
      <c r="C13" s="2" t="s">
        <v>168</v>
      </c>
      <c r="D13" s="2" t="s">
        <v>403</v>
      </c>
      <c r="F13" s="11" t="e">
        <v>#N/A</v>
      </c>
      <c r="G13" s="11" t="e">
        <v>#N/A</v>
      </c>
      <c r="H13" s="3" t="e">
        <v>#N/A</v>
      </c>
      <c r="I13" s="11" t="e">
        <v>#N/A</v>
      </c>
      <c r="K13" s="3" t="e">
        <f t="shared" ca="1" si="0"/>
        <v>#N/A</v>
      </c>
      <c r="L13" s="3" t="e">
        <f t="shared" ca="1" si="0"/>
        <v>#N/A</v>
      </c>
      <c r="M13" s="3" t="e">
        <f t="shared" ca="1" si="0"/>
        <v>#N/A</v>
      </c>
      <c r="N13" s="3" t="e">
        <f t="shared" ca="1" si="0"/>
        <v>#N/A</v>
      </c>
      <c r="P13" s="3" t="e">
        <f t="shared" ca="1" si="1"/>
        <v>#N/A</v>
      </c>
      <c r="Q13" s="3" t="e">
        <f t="shared" ca="1" si="1"/>
        <v>#N/A</v>
      </c>
      <c r="R13" s="3" t="e">
        <f t="shared" ca="1" si="1"/>
        <v>#N/A</v>
      </c>
      <c r="S13" s="3" t="e">
        <f t="shared" ca="1" si="1"/>
        <v>#N/A</v>
      </c>
      <c r="U13" s="3" t="e">
        <f t="shared" ca="1" si="2"/>
        <v>#N/A</v>
      </c>
      <c r="V13" s="3" t="e">
        <f t="shared" ca="1" si="2"/>
        <v>#N/A</v>
      </c>
      <c r="W13" s="3" t="e">
        <f t="shared" ca="1" si="2"/>
        <v>#N/A</v>
      </c>
      <c r="X13" s="3" t="e">
        <f t="shared" ca="1" si="2"/>
        <v>#N/A</v>
      </c>
      <c r="Z13" s="3" t="e">
        <f t="shared" ca="1" si="3"/>
        <v>#N/A</v>
      </c>
      <c r="AA13" s="3" t="e">
        <f t="shared" ca="1" si="3"/>
        <v>#N/A</v>
      </c>
      <c r="AB13" s="3" t="e">
        <f t="shared" ca="1" si="3"/>
        <v>#N/A</v>
      </c>
      <c r="AC13" s="3" t="e">
        <f t="shared" ca="1" si="3"/>
        <v>#N/A</v>
      </c>
      <c r="AE13" s="3" t="e">
        <f t="shared" ca="1" si="4"/>
        <v>#N/A</v>
      </c>
      <c r="AF13" s="3" t="e">
        <f t="shared" ca="1" si="4"/>
        <v>#N/A</v>
      </c>
      <c r="AG13" s="3" t="e">
        <f t="shared" ca="1" si="4"/>
        <v>#N/A</v>
      </c>
      <c r="AH13" s="3" t="e">
        <f t="shared" ca="1" si="4"/>
        <v>#N/A</v>
      </c>
      <c r="AJ13" s="3" t="e">
        <f t="shared" ca="1" si="5"/>
        <v>#N/A</v>
      </c>
      <c r="AK13" s="3" t="e">
        <f t="shared" ca="1" si="5"/>
        <v>#N/A</v>
      </c>
      <c r="AL13" s="3" t="e">
        <f t="shared" ca="1" si="5"/>
        <v>#N/A</v>
      </c>
      <c r="AM13" s="3" t="e">
        <f t="shared" ca="1" si="5"/>
        <v>#N/A</v>
      </c>
      <c r="AO13" s="3" t="e">
        <f t="shared" ca="1" si="6"/>
        <v>#N/A</v>
      </c>
      <c r="AP13" s="3" t="e">
        <f t="shared" ca="1" si="6"/>
        <v>#N/A</v>
      </c>
      <c r="AQ13" s="3" t="e">
        <f t="shared" ca="1" si="6"/>
        <v>#N/A</v>
      </c>
      <c r="AR13" s="3" t="e">
        <f t="shared" ca="1" si="6"/>
        <v>#N/A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Y13" s="3" t="e">
        <f t="shared" ca="1" si="7"/>
        <v>#N/A</v>
      </c>
      <c r="AZ13" s="3" t="e">
        <f t="shared" ca="1" si="8"/>
        <v>#N/A</v>
      </c>
      <c r="BA13" s="3" t="e">
        <f t="shared" ca="1" si="9"/>
        <v>#N/A</v>
      </c>
      <c r="BB13" s="3" t="e">
        <f t="shared" ca="1" si="10"/>
        <v>#N/A</v>
      </c>
      <c r="BD13" s="3" t="e">
        <f t="shared" ca="1" si="11"/>
        <v>#N/A</v>
      </c>
      <c r="BE13" s="3" t="e">
        <f t="shared" ca="1" si="12"/>
        <v>#N/A</v>
      </c>
      <c r="BF13" s="3" t="e">
        <f t="shared" ca="1" si="13"/>
        <v>#N/A</v>
      </c>
      <c r="BG13" s="3" t="e">
        <f t="shared" ca="1" si="14"/>
        <v>#N/A</v>
      </c>
      <c r="BI13" s="3" t="e">
        <f t="shared" ca="1" si="15"/>
        <v>#N/A</v>
      </c>
      <c r="BJ13" s="3" t="e">
        <f t="shared" ca="1" si="16"/>
        <v>#N/A</v>
      </c>
      <c r="BK13" s="3" t="e">
        <f t="shared" ca="1" si="17"/>
        <v>#N/A</v>
      </c>
      <c r="BL13" s="3" t="e">
        <f t="shared" ca="1" si="18"/>
        <v>#N/A</v>
      </c>
      <c r="BN13" s="3" t="e">
        <f t="shared" ca="1" si="19"/>
        <v>#N/A</v>
      </c>
      <c r="BO13" s="3" t="e">
        <f t="shared" ca="1" si="20"/>
        <v>#N/A</v>
      </c>
      <c r="BP13" s="3" t="e">
        <f t="shared" ca="1" si="21"/>
        <v>#N/A</v>
      </c>
      <c r="BQ13" s="3" t="e">
        <f t="shared" ca="1" si="22"/>
        <v>#N/A</v>
      </c>
      <c r="BS13" s="11" t="e">
        <v>#N/A</v>
      </c>
      <c r="BT13" s="11" t="e">
        <v>#N/A</v>
      </c>
      <c r="BU13" s="11" t="e">
        <v>#N/A</v>
      </c>
      <c r="BV13" s="11" t="e">
        <v>#N/A</v>
      </c>
      <c r="BX13" s="3" t="e">
        <f t="shared" ca="1" si="23"/>
        <v>#N/A</v>
      </c>
      <c r="BY13" s="3" t="e">
        <f t="shared" ca="1" si="24"/>
        <v>#N/A</v>
      </c>
      <c r="BZ13" s="3" t="e">
        <f t="shared" ca="1" si="25"/>
        <v>#N/A</v>
      </c>
      <c r="CA13" s="3" t="e">
        <f t="shared" ca="1" si="26"/>
        <v>#N/A</v>
      </c>
      <c r="CC13" s="3" t="e">
        <f t="shared" ca="1" si="27"/>
        <v>#N/A</v>
      </c>
      <c r="CD13" s="3" t="e">
        <f t="shared" ca="1" si="28"/>
        <v>#N/A</v>
      </c>
      <c r="CE13" s="3" t="e">
        <f t="shared" ca="1" si="29"/>
        <v>#N/A</v>
      </c>
      <c r="CF13" s="3" t="e">
        <f t="shared" ca="1" si="30"/>
        <v>#N/A</v>
      </c>
      <c r="CH13" s="3" t="e">
        <f t="shared" ca="1" si="31"/>
        <v>#N/A</v>
      </c>
      <c r="CI13" s="3" t="e">
        <f t="shared" ca="1" si="32"/>
        <v>#N/A</v>
      </c>
      <c r="CJ13" s="3" t="e">
        <f t="shared" ca="1" si="33"/>
        <v>#N/A</v>
      </c>
      <c r="CK13" s="3" t="e">
        <f t="shared" ca="1" si="34"/>
        <v>#N/A</v>
      </c>
      <c r="CM13" s="3" t="e">
        <f t="shared" ca="1" si="35"/>
        <v>#N/A</v>
      </c>
      <c r="CN13" s="3" t="e">
        <f t="shared" ca="1" si="36"/>
        <v>#N/A</v>
      </c>
      <c r="CO13" s="3" t="e">
        <f t="shared" ca="1" si="37"/>
        <v>#N/A</v>
      </c>
      <c r="CP13" s="3" t="e">
        <f t="shared" ca="1" si="38"/>
        <v>#N/A</v>
      </c>
      <c r="CR13" s="11" t="e">
        <v>#N/A</v>
      </c>
      <c r="CS13" s="11" t="e">
        <v>#N/A</v>
      </c>
      <c r="CT13" s="11" t="e">
        <v>#N/A</v>
      </c>
      <c r="CU13" s="11" t="e">
        <v>#N/A</v>
      </c>
      <c r="CV13" s="21" t="e">
        <f t="shared" ca="1" si="40"/>
        <v>#N/A</v>
      </c>
      <c r="CW13" s="16">
        <f t="shared" ca="1" si="39"/>
        <v>3.9166666666666665</v>
      </c>
      <c r="CX13" s="3" t="s">
        <v>352</v>
      </c>
      <c r="CY13" s="71"/>
      <c r="CZ13" s="4" t="s">
        <v>292</v>
      </c>
      <c r="DA13" s="4" t="s">
        <v>306</v>
      </c>
      <c r="DB13" s="4" t="s">
        <v>324</v>
      </c>
      <c r="DC13" s="4" t="s">
        <v>339</v>
      </c>
      <c r="DD13" s="4" t="s">
        <v>281</v>
      </c>
    </row>
    <row r="14" spans="1:120" s="3" customFormat="1" x14ac:dyDescent="0.35">
      <c r="A14" s="2" t="s">
        <v>42</v>
      </c>
      <c r="B14" s="2">
        <v>4.083333333333333</v>
      </c>
      <c r="C14" s="2" t="s">
        <v>168</v>
      </c>
      <c r="D14" s="2" t="s">
        <v>403</v>
      </c>
      <c r="F14" s="3">
        <v>4.0129999999999999</v>
      </c>
      <c r="G14" s="3">
        <v>4.0069999999999997</v>
      </c>
      <c r="H14" s="3">
        <v>4.01</v>
      </c>
      <c r="I14" s="3">
        <v>4.016</v>
      </c>
      <c r="K14" s="3">
        <f t="shared" ca="1" si="0"/>
        <v>0.99651133815100923</v>
      </c>
      <c r="L14" s="3">
        <f t="shared" ca="1" si="0"/>
        <v>0.88145744946343907</v>
      </c>
      <c r="M14" s="3">
        <f t="shared" ca="1" si="0"/>
        <v>0.9306733167082295</v>
      </c>
      <c r="N14" s="3">
        <f t="shared" ca="1" si="0"/>
        <v>0.99576693227091639</v>
      </c>
      <c r="P14" s="3">
        <f t="shared" ca="1" si="1"/>
        <v>0.78918516205160982</v>
      </c>
      <c r="Q14" s="3">
        <f t="shared" ca="1" si="1"/>
        <v>0.8020963652758103</v>
      </c>
      <c r="R14" s="3">
        <f t="shared" ca="1" si="1"/>
        <v>0.69351623629096737</v>
      </c>
      <c r="S14" s="3">
        <f t="shared" ca="1" si="1"/>
        <v>0.92903397600741622</v>
      </c>
      <c r="U14" s="3">
        <f t="shared" ca="1" si="2"/>
        <v>1.4951407924246201</v>
      </c>
      <c r="V14" s="3">
        <f t="shared" ca="1" si="2"/>
        <v>2.7451959071624659</v>
      </c>
      <c r="W14" s="3">
        <f t="shared" ca="1" si="2"/>
        <v>2.2443890274314215</v>
      </c>
      <c r="X14" s="3">
        <f t="shared" ca="1" si="2"/>
        <v>2.241035856573705</v>
      </c>
      <c r="Z14" s="3">
        <f t="shared" ca="1" si="3"/>
        <v>0.92175429852977819</v>
      </c>
      <c r="AA14" s="3">
        <f t="shared" ca="1" si="3"/>
        <v>0.88145744946343907</v>
      </c>
      <c r="AB14" s="3">
        <f t="shared" ca="1" si="3"/>
        <v>0.90548628428927691</v>
      </c>
      <c r="AC14" s="3">
        <f t="shared" ca="1" si="3"/>
        <v>0.99576693227091639</v>
      </c>
      <c r="AE14" s="3">
        <f t="shared" ca="1" si="4"/>
        <v>0.78918516205160982</v>
      </c>
      <c r="AF14" s="3">
        <f t="shared" ca="1" si="4"/>
        <v>0.8020963652758103</v>
      </c>
      <c r="AG14" s="3">
        <f t="shared" ca="1" si="4"/>
        <v>0.69351623629096737</v>
      </c>
      <c r="AH14" s="3">
        <f t="shared" ca="1" si="4"/>
        <v>0.92903397600741622</v>
      </c>
      <c r="AJ14" s="3">
        <f t="shared" ca="1" si="5"/>
        <v>1.4951407924246201</v>
      </c>
      <c r="AK14" s="3">
        <f t="shared" ca="1" si="5"/>
        <v>2.7451959071624659</v>
      </c>
      <c r="AL14" s="3">
        <f t="shared" ca="1" si="5"/>
        <v>2.2443890274314215</v>
      </c>
      <c r="AM14" s="3">
        <f t="shared" ca="1" si="5"/>
        <v>2.241035856573705</v>
      </c>
      <c r="AO14" s="3">
        <f t="shared" ca="1" si="6"/>
        <v>0.49838026414154002</v>
      </c>
      <c r="AP14" s="3">
        <f t="shared" ca="1" si="6"/>
        <v>0.24956326428749689</v>
      </c>
      <c r="AQ14" s="3">
        <f t="shared" ca="1" si="6"/>
        <v>0.99750623441396513</v>
      </c>
      <c r="AR14" s="3">
        <f t="shared" ca="1" si="6"/>
        <v>0.24900398406374502</v>
      </c>
      <c r="AT14" s="3">
        <v>0</v>
      </c>
      <c r="AU14" s="3">
        <v>0.49399998784065247</v>
      </c>
      <c r="AV14" s="3">
        <v>0.375</v>
      </c>
      <c r="AW14" s="3">
        <v>1.2000000104308128E-2</v>
      </c>
      <c r="AY14" s="3">
        <f t="shared" ca="1" si="7"/>
        <v>7.0520807376028005E-2</v>
      </c>
      <c r="AZ14" s="3">
        <f t="shared" ca="1" si="8"/>
        <v>0.19940104816571011</v>
      </c>
      <c r="BA14" s="3">
        <f t="shared" ca="1" si="9"/>
        <v>7.8802992518703263E-2</v>
      </c>
      <c r="BB14" s="3">
        <f t="shared" ca="1" si="10"/>
        <v>0.11230079681274896</v>
      </c>
      <c r="BD14" s="3">
        <f t="shared" ca="1" si="11"/>
        <v>0.124595066035385</v>
      </c>
      <c r="BE14" s="3">
        <f t="shared" ca="1" si="12"/>
        <v>0.17444469966226783</v>
      </c>
      <c r="BF14" s="3">
        <f t="shared" ca="1" si="13"/>
        <v>5.3865356635571716E-2</v>
      </c>
      <c r="BG14" s="3">
        <f t="shared" ca="1" si="14"/>
        <v>5.4033866441582305E-2</v>
      </c>
      <c r="BI14" s="3">
        <f t="shared" ca="1" si="15"/>
        <v>0.24919013207077001</v>
      </c>
      <c r="BJ14" s="3">
        <f t="shared" ca="1" si="16"/>
        <v>0.74868979286249071</v>
      </c>
      <c r="BK14" s="3">
        <f t="shared" ca="1" si="17"/>
        <v>0.24937655860349128</v>
      </c>
      <c r="BL14" s="3">
        <f t="shared" ca="1" si="18"/>
        <v>0.24900398406374502</v>
      </c>
      <c r="BN14" s="3">
        <f t="shared" ca="1" si="19"/>
        <v>0.24919013207077001</v>
      </c>
      <c r="BO14" s="3">
        <f t="shared" ca="1" si="20"/>
        <v>0.74868979286249071</v>
      </c>
      <c r="BP14" s="3">
        <f t="shared" ca="1" si="21"/>
        <v>0.74812967581047385</v>
      </c>
      <c r="BQ14" s="3">
        <f t="shared" ca="1" si="22"/>
        <v>0.49800796812749004</v>
      </c>
      <c r="BS14" s="3">
        <v>1.9500000476837158</v>
      </c>
      <c r="BT14" s="3">
        <v>0.49399998784065247</v>
      </c>
      <c r="BU14" s="3">
        <v>3.4409999847412109</v>
      </c>
      <c r="BV14" s="3">
        <v>2.9609999656677246</v>
      </c>
      <c r="BX14" s="3">
        <f t="shared" ca="1" si="23"/>
        <v>0.170196860204336</v>
      </c>
      <c r="BY14" s="3">
        <f t="shared" ca="1" si="24"/>
        <v>0.22036436236585966</v>
      </c>
      <c r="BZ14" s="3">
        <f t="shared" ca="1" si="25"/>
        <v>2.0698254364089789E-2</v>
      </c>
      <c r="CA14" s="3">
        <f t="shared" ca="1" si="26"/>
        <v>4.1334661354581678E-2</v>
      </c>
      <c r="CC14" s="3">
        <f t="shared" ca="1" si="27"/>
        <v>0.124595066035385</v>
      </c>
      <c r="CD14" s="3">
        <f t="shared" ca="1" si="28"/>
        <v>0.17045173140455133</v>
      </c>
      <c r="CE14" s="3">
        <f t="shared" ca="1" si="29"/>
        <v>0</v>
      </c>
      <c r="CF14" s="3">
        <f t="shared" ca="1" si="30"/>
        <v>0</v>
      </c>
      <c r="CH14" s="3">
        <f t="shared" ca="1" si="31"/>
        <v>0.24919013207077001</v>
      </c>
      <c r="CI14" s="3">
        <f t="shared" ca="1" si="32"/>
        <v>0.99825305714998758</v>
      </c>
      <c r="CJ14" s="3">
        <f t="shared" ca="1" si="33"/>
        <v>0</v>
      </c>
      <c r="CK14" s="3">
        <f t="shared" ca="1" si="34"/>
        <v>0</v>
      </c>
      <c r="CM14" s="3">
        <f t="shared" ca="1" si="35"/>
        <v>1.9935210565661601</v>
      </c>
      <c r="CN14" s="3">
        <f t="shared" ca="1" si="36"/>
        <v>1.4973795857249814</v>
      </c>
      <c r="CO14" s="3">
        <f t="shared" ca="1" si="37"/>
        <v>0.74812967581047385</v>
      </c>
      <c r="CP14" s="3">
        <f t="shared" ca="1" si="38"/>
        <v>0.24900398406374502</v>
      </c>
      <c r="CR14" s="3">
        <v>0.91600000858306885</v>
      </c>
      <c r="CS14" s="3">
        <v>1.1770000457763672</v>
      </c>
      <c r="CT14" s="3">
        <v>4.01</v>
      </c>
      <c r="CU14" s="3">
        <v>4.016</v>
      </c>
      <c r="CV14" s="21">
        <f t="shared" ca="1" si="40"/>
        <v>4.016</v>
      </c>
      <c r="CW14" s="16">
        <f t="shared" ca="1" si="39"/>
        <v>4.083333333333333</v>
      </c>
      <c r="CX14" s="3" t="s">
        <v>276</v>
      </c>
      <c r="CY14" s="71"/>
      <c r="CZ14" s="4" t="s">
        <v>296</v>
      </c>
      <c r="DA14" s="4" t="s">
        <v>310</v>
      </c>
      <c r="DB14" s="4" t="s">
        <v>327</v>
      </c>
      <c r="DC14" s="4" t="s">
        <v>342</v>
      </c>
      <c r="DD14" s="4" t="s">
        <v>282</v>
      </c>
    </row>
    <row r="15" spans="1:120" s="3" customFormat="1" x14ac:dyDescent="0.35">
      <c r="A15" s="2" t="s">
        <v>33</v>
      </c>
      <c r="B15" s="2">
        <v>4.333333333333333</v>
      </c>
      <c r="C15" s="2" t="s">
        <v>167</v>
      </c>
      <c r="D15" s="2" t="s">
        <v>403</v>
      </c>
      <c r="F15" s="11" t="e">
        <v>#N/A</v>
      </c>
      <c r="G15" s="3">
        <v>4.0140000000000002</v>
      </c>
      <c r="H15" s="3">
        <v>4.0049999999999999</v>
      </c>
      <c r="I15" s="11" t="e">
        <v>#N/A</v>
      </c>
      <c r="K15" s="3" t="e">
        <f t="shared" ca="1" si="0"/>
        <v>#N/A</v>
      </c>
      <c r="L15" s="3">
        <f t="shared" ca="1" si="0"/>
        <v>0.99202790234180371</v>
      </c>
      <c r="M15" s="3">
        <f t="shared" ca="1" si="0"/>
        <v>0.998501872659176</v>
      </c>
      <c r="N15" s="3" t="e">
        <f t="shared" ca="1" si="0"/>
        <v>#N/A</v>
      </c>
      <c r="P15" s="3" t="e">
        <f t="shared" ca="1" si="1"/>
        <v>#N/A</v>
      </c>
      <c r="Q15" s="3">
        <f t="shared" ca="1" si="1"/>
        <v>0.9382162085355189</v>
      </c>
      <c r="R15" s="3">
        <f t="shared" ca="1" si="1"/>
        <v>0.96529334302196346</v>
      </c>
      <c r="S15" s="3" t="e">
        <f t="shared" ca="1" si="1"/>
        <v>#N/A</v>
      </c>
      <c r="U15" s="3" t="e">
        <f t="shared" ca="1" si="2"/>
        <v>#N/A</v>
      </c>
      <c r="V15" s="3">
        <f t="shared" ca="1" si="2"/>
        <v>2.2421524663677128</v>
      </c>
      <c r="W15" s="3">
        <f t="shared" ca="1" si="2"/>
        <v>1.4981273408239701</v>
      </c>
      <c r="X15" s="3" t="e">
        <f t="shared" ca="1" si="2"/>
        <v>#N/A</v>
      </c>
      <c r="Z15" s="3" t="e">
        <f t="shared" ca="1" si="3"/>
        <v>#N/A</v>
      </c>
      <c r="AA15" s="3">
        <f t="shared" ca="1" si="3"/>
        <v>0.99202790234180371</v>
      </c>
      <c r="AB15" s="3">
        <f t="shared" ca="1" si="3"/>
        <v>0.98601747815230945</v>
      </c>
      <c r="AC15" s="3" t="e">
        <f t="shared" ca="1" si="3"/>
        <v>#N/A</v>
      </c>
      <c r="AE15" s="3" t="e">
        <f t="shared" ca="1" si="4"/>
        <v>#N/A</v>
      </c>
      <c r="AF15" s="3">
        <f t="shared" ca="1" si="4"/>
        <v>0.9382162085355189</v>
      </c>
      <c r="AG15" s="3">
        <f t="shared" ca="1" si="4"/>
        <v>0.96529334302196346</v>
      </c>
      <c r="AH15" s="3" t="e">
        <f t="shared" ca="1" si="4"/>
        <v>#N/A</v>
      </c>
      <c r="AJ15" s="3" t="e">
        <f t="shared" ca="1" si="5"/>
        <v>#N/A</v>
      </c>
      <c r="AK15" s="3">
        <f t="shared" ca="1" si="5"/>
        <v>2.2421524663677128</v>
      </c>
      <c r="AL15" s="3">
        <f t="shared" ca="1" si="5"/>
        <v>1.4981273408239701</v>
      </c>
      <c r="AM15" s="3" t="e">
        <f t="shared" ca="1" si="5"/>
        <v>#N/A</v>
      </c>
      <c r="AO15" s="3" t="e">
        <f t="shared" ca="1" si="6"/>
        <v>#N/A</v>
      </c>
      <c r="AP15" s="3">
        <f t="shared" ca="1" si="6"/>
        <v>0.24912805181863476</v>
      </c>
      <c r="AQ15" s="3">
        <f t="shared" ca="1" si="6"/>
        <v>0.49937578027465668</v>
      </c>
      <c r="AR15" s="3" t="e">
        <f t="shared" ca="1" si="6"/>
        <v>#N/A</v>
      </c>
      <c r="AT15" s="11" t="e">
        <v>#N/A</v>
      </c>
      <c r="AU15" s="3">
        <v>0.11500000208616257</v>
      </c>
      <c r="AV15" s="3">
        <v>3.0000000260770321E-3</v>
      </c>
      <c r="AW15" s="11" t="e">
        <v>#N/A</v>
      </c>
      <c r="AY15" s="3" t="e">
        <f t="shared" ca="1" si="7"/>
        <v>#N/A</v>
      </c>
      <c r="AZ15" s="3">
        <f t="shared" ca="1" si="8"/>
        <v>0.21549576482311902</v>
      </c>
      <c r="BA15" s="3">
        <f t="shared" ca="1" si="9"/>
        <v>0.17902621722846457</v>
      </c>
      <c r="BB15" s="3" t="e">
        <f t="shared" ca="1" si="10"/>
        <v>#N/A</v>
      </c>
      <c r="BD15" s="3" t="e">
        <f t="shared" ca="1" si="11"/>
        <v>#N/A</v>
      </c>
      <c r="BE15" s="3">
        <f t="shared" ca="1" si="12"/>
        <v>0.19083209577103305</v>
      </c>
      <c r="BF15" s="3">
        <f t="shared" ca="1" si="13"/>
        <v>0.20374525501189311</v>
      </c>
      <c r="BG15" s="3" t="e">
        <f t="shared" ca="1" si="14"/>
        <v>#N/A</v>
      </c>
      <c r="BI15" s="3" t="e">
        <f t="shared" ca="1" si="15"/>
        <v>#N/A</v>
      </c>
      <c r="BJ15" s="3">
        <f t="shared" ca="1" si="16"/>
        <v>0.99651220727453904</v>
      </c>
      <c r="BK15" s="3">
        <f t="shared" ca="1" si="17"/>
        <v>0.49937578027465668</v>
      </c>
      <c r="BL15" s="3" t="e">
        <f t="shared" ca="1" si="18"/>
        <v>#N/A</v>
      </c>
      <c r="BN15" s="3" t="e">
        <f t="shared" ca="1" si="19"/>
        <v>#N/A</v>
      </c>
      <c r="BO15" s="3">
        <f t="shared" ca="1" si="20"/>
        <v>0.99651220727453904</v>
      </c>
      <c r="BP15" s="3">
        <f t="shared" ca="1" si="21"/>
        <v>0.49937578027465668</v>
      </c>
      <c r="BQ15" s="3" t="e">
        <f t="shared" ca="1" si="22"/>
        <v>#N/A</v>
      </c>
      <c r="BS15" s="11" t="e">
        <v>#N/A</v>
      </c>
      <c r="BT15" s="3">
        <v>0.5820000171661377</v>
      </c>
      <c r="BU15" s="3">
        <v>2.9019999504089355</v>
      </c>
      <c r="BV15" s="11" t="e">
        <v>#N/A</v>
      </c>
      <c r="BX15" s="3" t="e">
        <f t="shared" ca="1" si="23"/>
        <v>#N/A</v>
      </c>
      <c r="BY15" s="3">
        <f t="shared" ca="1" si="24"/>
        <v>0</v>
      </c>
      <c r="BZ15" s="3">
        <f t="shared" ca="1" si="25"/>
        <v>0</v>
      </c>
      <c r="CA15" s="3" t="e">
        <f t="shared" ca="1" si="26"/>
        <v>#N/A</v>
      </c>
      <c r="CC15" s="3" t="e">
        <f t="shared" ca="1" si="27"/>
        <v>#N/A</v>
      </c>
      <c r="CD15" s="3">
        <f t="shared" ca="1" si="28"/>
        <v>0</v>
      </c>
      <c r="CE15" s="3">
        <f t="shared" ca="1" si="29"/>
        <v>0</v>
      </c>
      <c r="CF15" s="3" t="e">
        <f t="shared" ca="1" si="30"/>
        <v>#N/A</v>
      </c>
      <c r="CH15" s="3" t="e">
        <f t="shared" ca="1" si="31"/>
        <v>#N/A</v>
      </c>
      <c r="CI15" s="3">
        <f t="shared" ca="1" si="32"/>
        <v>0</v>
      </c>
      <c r="CJ15" s="3">
        <f t="shared" ca="1" si="33"/>
        <v>0</v>
      </c>
      <c r="CK15" s="3" t="e">
        <f t="shared" ca="1" si="34"/>
        <v>#N/A</v>
      </c>
      <c r="CM15" s="3" t="e">
        <f t="shared" ca="1" si="35"/>
        <v>#N/A</v>
      </c>
      <c r="CN15" s="3">
        <f t="shared" ca="1" si="36"/>
        <v>0</v>
      </c>
      <c r="CO15" s="3">
        <f t="shared" ca="1" si="37"/>
        <v>0</v>
      </c>
      <c r="CP15" s="3" t="e">
        <f t="shared" ca="1" si="38"/>
        <v>#N/A</v>
      </c>
      <c r="CR15" s="11" t="e">
        <v>#N/A</v>
      </c>
      <c r="CS15" s="3">
        <v>4.0140000000000002</v>
      </c>
      <c r="CT15" s="3">
        <v>4.0049999999999999</v>
      </c>
      <c r="CU15" s="11" t="e">
        <v>#N/A</v>
      </c>
      <c r="CV15" s="21" t="e">
        <f t="shared" ca="1" si="40"/>
        <v>#N/A</v>
      </c>
      <c r="CW15" s="16">
        <f t="shared" ca="1" si="39"/>
        <v>4.333333333333333</v>
      </c>
      <c r="CX15" s="3" t="s">
        <v>278</v>
      </c>
      <c r="CY15" s="71"/>
      <c r="CZ15" s="18" t="s">
        <v>299</v>
      </c>
      <c r="DA15" s="4" t="s">
        <v>314</v>
      </c>
      <c r="DB15" s="4" t="s">
        <v>330</v>
      </c>
      <c r="DC15" s="4" t="s">
        <v>345</v>
      </c>
      <c r="DD15" s="4" t="s">
        <v>283</v>
      </c>
    </row>
    <row r="16" spans="1:120" s="3" customFormat="1" x14ac:dyDescent="0.35">
      <c r="A16" s="2" t="s">
        <v>30</v>
      </c>
      <c r="B16" s="2">
        <v>4.416666666666667</v>
      </c>
      <c r="C16" s="2" t="s">
        <v>168</v>
      </c>
      <c r="D16" s="2" t="s">
        <v>403</v>
      </c>
      <c r="F16" s="3" t="e">
        <v>#N/A</v>
      </c>
      <c r="G16" s="3">
        <v>4.016</v>
      </c>
      <c r="H16" s="3" t="e">
        <v>#N/A</v>
      </c>
      <c r="I16" s="3">
        <v>4.016</v>
      </c>
      <c r="K16" s="3" t="e">
        <f t="shared" ca="1" si="0"/>
        <v>#N/A</v>
      </c>
      <c r="L16" s="3">
        <f t="shared" ca="1" si="0"/>
        <v>0.90039840637450197</v>
      </c>
      <c r="M16" s="3" t="e">
        <f t="shared" ca="1" si="0"/>
        <v>#N/A</v>
      </c>
      <c r="N16" s="3">
        <f t="shared" ca="1" si="0"/>
        <v>0.98331673306772904</v>
      </c>
      <c r="P16" s="3" t="e">
        <f t="shared" ca="1" si="1"/>
        <v>#N/A</v>
      </c>
      <c r="Q16" s="3">
        <f t="shared" ca="1" si="1"/>
        <v>0.88371511639663536</v>
      </c>
      <c r="R16" s="3" t="e">
        <f t="shared" ca="1" si="1"/>
        <v>#N/A</v>
      </c>
      <c r="S16" s="3">
        <f t="shared" ca="1" si="1"/>
        <v>0.9422311373797071</v>
      </c>
      <c r="U16" s="3" t="e">
        <f t="shared" ca="1" si="2"/>
        <v>#N/A</v>
      </c>
      <c r="V16" s="3">
        <f t="shared" ca="1" si="2"/>
        <v>1.2450199203187251</v>
      </c>
      <c r="W16" s="3" t="e">
        <f t="shared" ca="1" si="2"/>
        <v>#N/A</v>
      </c>
      <c r="X16" s="3">
        <f t="shared" ca="1" si="2"/>
        <v>1.2450199203187251</v>
      </c>
      <c r="Z16" s="3" t="e">
        <f t="shared" ca="1" si="3"/>
        <v>#N/A</v>
      </c>
      <c r="AA16" s="3">
        <f t="shared" ca="1" si="3"/>
        <v>0.90039840637450197</v>
      </c>
      <c r="AB16" s="3" t="e">
        <f t="shared" ca="1" si="3"/>
        <v>#N/A</v>
      </c>
      <c r="AC16" s="3">
        <f t="shared" ca="1" si="3"/>
        <v>0.92529880478087645</v>
      </c>
      <c r="AE16" s="3" t="e">
        <f t="shared" ca="1" si="4"/>
        <v>#N/A</v>
      </c>
      <c r="AF16" s="3">
        <f t="shared" ca="1" si="4"/>
        <v>0.88371511639663536</v>
      </c>
      <c r="AG16" s="3" t="e">
        <f t="shared" ca="1" si="4"/>
        <v>#N/A</v>
      </c>
      <c r="AH16" s="3">
        <f t="shared" ca="1" si="4"/>
        <v>0.90064747310967086</v>
      </c>
      <c r="AJ16" s="3" t="e">
        <f t="shared" ca="1" si="5"/>
        <v>#N/A</v>
      </c>
      <c r="AK16" s="3">
        <f t="shared" ca="1" si="5"/>
        <v>1.2450199203187251</v>
      </c>
      <c r="AL16" s="3" t="e">
        <f t="shared" ca="1" si="5"/>
        <v>#N/A</v>
      </c>
      <c r="AM16" s="3">
        <f t="shared" ca="1" si="5"/>
        <v>0.99601593625498008</v>
      </c>
      <c r="AO16" s="3" t="e">
        <f t="shared" ca="1" si="6"/>
        <v>#N/A</v>
      </c>
      <c r="AP16" s="3">
        <f t="shared" ca="1" si="6"/>
        <v>0.24900398406374502</v>
      </c>
      <c r="AQ16" s="3" t="e">
        <f t="shared" ca="1" si="6"/>
        <v>#N/A</v>
      </c>
      <c r="AR16" s="3">
        <f t="shared" ca="1" si="6"/>
        <v>0.74701195219123506</v>
      </c>
      <c r="AT16" s="3">
        <v>0.5130000114440918</v>
      </c>
      <c r="AU16" s="3">
        <v>1.6000000759959221E-2</v>
      </c>
      <c r="AV16" s="3">
        <v>1.9040000438690186</v>
      </c>
      <c r="AW16" s="3">
        <v>0.34400001168251038</v>
      </c>
      <c r="AY16" s="3" t="e">
        <f t="shared" ca="1" si="7"/>
        <v>#N/A</v>
      </c>
      <c r="AZ16" s="3">
        <f t="shared" ca="1" si="8"/>
        <v>0.52290836653386463</v>
      </c>
      <c r="BA16" s="3" t="e">
        <f t="shared" ca="1" si="9"/>
        <v>#N/A</v>
      </c>
      <c r="BB16" s="3">
        <f t="shared" ca="1" si="10"/>
        <v>0.91284860557768921</v>
      </c>
      <c r="BD16" s="3" t="e">
        <f t="shared" ca="1" si="11"/>
        <v>#N/A</v>
      </c>
      <c r="BE16" s="3">
        <f t="shared" ca="1" si="12"/>
        <v>0.61827688014127347</v>
      </c>
      <c r="BF16" s="3" t="e">
        <f t="shared" ca="1" si="13"/>
        <v>#N/A</v>
      </c>
      <c r="BG16" s="3">
        <f t="shared" ca="1" si="14"/>
        <v>0.90064747310967086</v>
      </c>
      <c r="BI16" s="3" t="e">
        <f t="shared" ca="1" si="15"/>
        <v>#N/A</v>
      </c>
      <c r="BJ16" s="3">
        <f t="shared" ca="1" si="16"/>
        <v>0.49800796812749004</v>
      </c>
      <c r="BK16" s="3" t="e">
        <f t="shared" ca="1" si="17"/>
        <v>#N/A</v>
      </c>
      <c r="BL16" s="3">
        <f t="shared" ca="1" si="18"/>
        <v>0.99601593625498008</v>
      </c>
      <c r="BN16" s="3" t="e">
        <f t="shared" ca="1" si="19"/>
        <v>#N/A</v>
      </c>
      <c r="BO16" s="3">
        <f t="shared" ca="1" si="20"/>
        <v>0.74701195219123506</v>
      </c>
      <c r="BP16" s="3" t="e">
        <f t="shared" ca="1" si="21"/>
        <v>#N/A</v>
      </c>
      <c r="BQ16" s="3">
        <f t="shared" ca="1" si="22"/>
        <v>0.74701195219123506</v>
      </c>
      <c r="BS16" s="3">
        <v>0.81300002336502075</v>
      </c>
      <c r="BT16" s="3">
        <v>0.43200001120567322</v>
      </c>
      <c r="BU16" s="3">
        <v>1.9040000438690186</v>
      </c>
      <c r="BV16" s="3">
        <v>0.34400001168251038</v>
      </c>
      <c r="BX16" s="3" t="e">
        <f t="shared" ca="1" si="23"/>
        <v>#N/A</v>
      </c>
      <c r="BY16" s="3">
        <f t="shared" ca="1" si="24"/>
        <v>0</v>
      </c>
      <c r="BZ16" s="3" t="e">
        <f t="shared" ca="1" si="25"/>
        <v>#N/A</v>
      </c>
      <c r="CA16" s="3">
        <f t="shared" ca="1" si="26"/>
        <v>0</v>
      </c>
      <c r="CC16" s="3" t="e">
        <f t="shared" ca="1" si="27"/>
        <v>#N/A</v>
      </c>
      <c r="CD16" s="3">
        <f t="shared" ca="1" si="28"/>
        <v>0</v>
      </c>
      <c r="CE16" s="3" t="e">
        <f t="shared" ca="1" si="29"/>
        <v>#N/A</v>
      </c>
      <c r="CF16" s="3">
        <f t="shared" ca="1" si="30"/>
        <v>0</v>
      </c>
      <c r="CH16" s="3" t="e">
        <f t="shared" ca="1" si="31"/>
        <v>#N/A</v>
      </c>
      <c r="CI16" s="3">
        <f t="shared" ca="1" si="32"/>
        <v>0</v>
      </c>
      <c r="CJ16" s="3" t="e">
        <f t="shared" ca="1" si="33"/>
        <v>#N/A</v>
      </c>
      <c r="CK16" s="3">
        <f t="shared" ca="1" si="34"/>
        <v>0</v>
      </c>
      <c r="CM16" s="3" t="e">
        <f t="shared" ca="1" si="35"/>
        <v>#N/A</v>
      </c>
      <c r="CN16" s="3">
        <f t="shared" ca="1" si="36"/>
        <v>0</v>
      </c>
      <c r="CO16" s="3" t="e">
        <f t="shared" ca="1" si="37"/>
        <v>#N/A</v>
      </c>
      <c r="CP16" s="3">
        <f t="shared" ca="1" si="38"/>
        <v>0</v>
      </c>
      <c r="CR16" s="3">
        <v>4.016</v>
      </c>
      <c r="CS16" s="3">
        <v>4.016</v>
      </c>
      <c r="CT16" s="3">
        <v>4.0149999999999997</v>
      </c>
      <c r="CU16" s="3">
        <v>4.016</v>
      </c>
      <c r="CV16" s="21">
        <f t="shared" ca="1" si="40"/>
        <v>4.016</v>
      </c>
      <c r="CW16" s="16">
        <f t="shared" ca="1" si="39"/>
        <v>4.416666666666667</v>
      </c>
      <c r="CY16" s="72"/>
      <c r="CZ16" s="18" t="s">
        <v>300</v>
      </c>
      <c r="DA16" s="4" t="s">
        <v>318</v>
      </c>
      <c r="DB16" s="4" t="s">
        <v>333</v>
      </c>
      <c r="DC16" s="4" t="s">
        <v>348</v>
      </c>
      <c r="DD16" s="4" t="s">
        <v>284</v>
      </c>
    </row>
    <row r="17" spans="1:108" s="3" customFormat="1" x14ac:dyDescent="0.35">
      <c r="A17" s="2" t="s">
        <v>92</v>
      </c>
      <c r="B17" s="2">
        <v>4.416666666666667</v>
      </c>
      <c r="C17" s="2" t="s">
        <v>168</v>
      </c>
      <c r="D17" s="2" t="s">
        <v>403</v>
      </c>
      <c r="F17" s="11" t="e">
        <v>#N/A</v>
      </c>
      <c r="G17" s="3" t="e">
        <v>#N/A</v>
      </c>
      <c r="H17" s="3">
        <v>4.0110000000000001</v>
      </c>
      <c r="I17" s="3">
        <v>3.2439999999999998</v>
      </c>
      <c r="K17" s="3" t="e">
        <f t="shared" ca="1" si="0"/>
        <v>#N/A</v>
      </c>
      <c r="L17" s="3" t="e">
        <f t="shared" ca="1" si="0"/>
        <v>#N/A</v>
      </c>
      <c r="M17" s="3">
        <f t="shared" ca="1" si="0"/>
        <v>0.93093991523310893</v>
      </c>
      <c r="N17" s="3">
        <f t="shared" ca="1" si="0"/>
        <v>0.76541307028360073</v>
      </c>
      <c r="P17" s="3" t="e">
        <f t="shared" ca="1" si="1"/>
        <v>#N/A</v>
      </c>
      <c r="Q17" s="3" t="e">
        <f t="shared" ca="1" si="1"/>
        <v>#N/A</v>
      </c>
      <c r="R17" s="3">
        <f t="shared" ca="1" si="1"/>
        <v>0.19945149646379559</v>
      </c>
      <c r="S17" s="3">
        <f t="shared" ca="1" si="1"/>
        <v>0.34895196734180012</v>
      </c>
      <c r="U17" s="3" t="e">
        <f t="shared" ca="1" si="2"/>
        <v>#N/A</v>
      </c>
      <c r="V17" s="3" t="e">
        <f t="shared" ca="1" si="2"/>
        <v>#N/A</v>
      </c>
      <c r="W17" s="3">
        <f t="shared" ca="1" si="2"/>
        <v>0.74794315632011965</v>
      </c>
      <c r="X17" s="3">
        <f t="shared" ca="1" si="2"/>
        <v>1.8495684340320593</v>
      </c>
      <c r="Z17" s="3" t="e">
        <f t="shared" ca="1" si="3"/>
        <v>#N/A</v>
      </c>
      <c r="AA17" s="3" t="e">
        <f t="shared" ca="1" si="3"/>
        <v>#N/A</v>
      </c>
      <c r="AB17" s="3">
        <f t="shared" ca="1" si="3"/>
        <v>0.54475193218648732</v>
      </c>
      <c r="AC17" s="3">
        <f t="shared" ca="1" si="3"/>
        <v>0.57028360049321836</v>
      </c>
      <c r="AE17" s="3" t="e">
        <f t="shared" ca="1" si="4"/>
        <v>#N/A</v>
      </c>
      <c r="AF17" s="3" t="e">
        <f t="shared" ca="1" si="4"/>
        <v>#N/A</v>
      </c>
      <c r="AG17" s="3">
        <f t="shared" ca="1" si="4"/>
        <v>0.19945149646379559</v>
      </c>
      <c r="AH17" s="3">
        <f t="shared" ca="1" si="4"/>
        <v>0.2872996715083489</v>
      </c>
      <c r="AJ17" s="3" t="e">
        <f t="shared" ca="1" si="5"/>
        <v>#N/A</v>
      </c>
      <c r="AK17" s="3" t="e">
        <f t="shared" ca="1" si="5"/>
        <v>#N/A</v>
      </c>
      <c r="AL17" s="3">
        <f t="shared" ca="1" si="5"/>
        <v>0.74794315632011965</v>
      </c>
      <c r="AM17" s="3">
        <f t="shared" ca="1" si="5"/>
        <v>1.5413070283600494</v>
      </c>
      <c r="AO17" s="3" t="e">
        <f t="shared" ca="1" si="6"/>
        <v>#N/A</v>
      </c>
      <c r="AP17" s="3" t="e">
        <f t="shared" ca="1" si="6"/>
        <v>#N/A</v>
      </c>
      <c r="AQ17" s="3">
        <f t="shared" ca="1" si="6"/>
        <v>2.7424582398404387</v>
      </c>
      <c r="AR17" s="3">
        <f t="shared" ca="1" si="6"/>
        <v>2.466091245376079</v>
      </c>
      <c r="AT17" s="11" t="e">
        <v>#N/A</v>
      </c>
      <c r="AU17" s="11" t="e">
        <v>#N/A</v>
      </c>
      <c r="AV17" s="3">
        <v>1.1009999513626099</v>
      </c>
      <c r="AW17" s="3">
        <v>2.0000000949949026E-3</v>
      </c>
      <c r="AY17" s="3" t="e">
        <f t="shared" ca="1" si="7"/>
        <v>#N/A</v>
      </c>
      <c r="AZ17" s="3" t="e">
        <f t="shared" ca="1" si="8"/>
        <v>#N/A</v>
      </c>
      <c r="BA17" s="3">
        <f t="shared" ca="1" si="9"/>
        <v>7.080528546497139E-2</v>
      </c>
      <c r="BB17" s="3">
        <f t="shared" ca="1" si="10"/>
        <v>3.5758323057953144E-2</v>
      </c>
      <c r="BD17" s="3" t="e">
        <f t="shared" ca="1" si="11"/>
        <v>#N/A</v>
      </c>
      <c r="BE17" s="3" t="e">
        <f t="shared" ca="1" si="12"/>
        <v>#N/A</v>
      </c>
      <c r="BF17" s="3">
        <f t="shared" ca="1" si="13"/>
        <v>3.3158787584934887E-2</v>
      </c>
      <c r="BG17" s="3">
        <f t="shared" ca="1" si="14"/>
        <v>0</v>
      </c>
      <c r="BI17" s="3" t="e">
        <f t="shared" ca="1" si="15"/>
        <v>#N/A</v>
      </c>
      <c r="BJ17" s="3" t="e">
        <f t="shared" ca="1" si="16"/>
        <v>#N/A</v>
      </c>
      <c r="BK17" s="3">
        <f t="shared" ca="1" si="17"/>
        <v>0.24931438544003989</v>
      </c>
      <c r="BL17" s="3">
        <f t="shared" ca="1" si="18"/>
        <v>0</v>
      </c>
      <c r="BN17" s="3" t="e">
        <f t="shared" ca="1" si="19"/>
        <v>#N/A</v>
      </c>
      <c r="BO17" s="3" t="e">
        <f t="shared" ca="1" si="20"/>
        <v>#N/A</v>
      </c>
      <c r="BP17" s="3">
        <f t="shared" ca="1" si="21"/>
        <v>2.2438294689603588</v>
      </c>
      <c r="BQ17" s="3">
        <f t="shared" ca="1" si="22"/>
        <v>2.466091245376079</v>
      </c>
      <c r="BS17" s="11" t="e">
        <v>#N/A</v>
      </c>
      <c r="BT17" s="11" t="e">
        <v>#N/A</v>
      </c>
      <c r="BU17" s="3">
        <v>3.1180000305175781</v>
      </c>
      <c r="BV17" s="3">
        <v>4.01</v>
      </c>
      <c r="BX17" s="3" t="e">
        <f t="shared" ca="1" si="23"/>
        <v>#N/A</v>
      </c>
      <c r="BY17" s="3" t="e">
        <f t="shared" ca="1" si="24"/>
        <v>#N/A</v>
      </c>
      <c r="BZ17" s="3">
        <f t="shared" ca="1" si="25"/>
        <v>2.5180752929444022E-2</v>
      </c>
      <c r="CA17" s="3">
        <f t="shared" ca="1" si="26"/>
        <v>0</v>
      </c>
      <c r="CC17" s="3" t="e">
        <f t="shared" ca="1" si="27"/>
        <v>#N/A</v>
      </c>
      <c r="CD17" s="3" t="e">
        <f t="shared" ca="1" si="28"/>
        <v>#N/A</v>
      </c>
      <c r="CE17" s="3">
        <f t="shared" ca="1" si="29"/>
        <v>0</v>
      </c>
      <c r="CF17" s="3">
        <f t="shared" ca="1" si="30"/>
        <v>0</v>
      </c>
      <c r="CH17" s="3" t="e">
        <f t="shared" ca="1" si="31"/>
        <v>#N/A</v>
      </c>
      <c r="CI17" s="3" t="e">
        <f t="shared" ca="1" si="32"/>
        <v>#N/A</v>
      </c>
      <c r="CJ17" s="3">
        <f t="shared" ca="1" si="33"/>
        <v>0</v>
      </c>
      <c r="CK17" s="3">
        <f t="shared" ca="1" si="34"/>
        <v>0</v>
      </c>
      <c r="CM17" s="3" t="e">
        <f t="shared" ca="1" si="35"/>
        <v>#N/A</v>
      </c>
      <c r="CN17" s="3" t="e">
        <f t="shared" ca="1" si="36"/>
        <v>#N/A</v>
      </c>
      <c r="CO17" s="3">
        <f t="shared" ca="1" si="37"/>
        <v>1.2465719272001994</v>
      </c>
      <c r="CP17" s="3">
        <f t="shared" ca="1" si="38"/>
        <v>0.61652281134401976</v>
      </c>
      <c r="CR17" s="11" t="e">
        <v>#N/A</v>
      </c>
      <c r="CS17" s="11" t="e">
        <v>#N/A</v>
      </c>
      <c r="CT17" s="3">
        <v>4.0110000000000001</v>
      </c>
      <c r="CU17" s="3">
        <v>4.01</v>
      </c>
      <c r="CV17" s="21">
        <f t="shared" ca="1" si="40"/>
        <v>4.01</v>
      </c>
      <c r="CW17" s="16">
        <f t="shared" ca="1" si="39"/>
        <v>4.416666666666667</v>
      </c>
      <c r="CY17" s="73" t="s">
        <v>271</v>
      </c>
      <c r="CZ17" s="14" t="s">
        <v>287</v>
      </c>
      <c r="DA17" s="14" t="s">
        <v>287</v>
      </c>
      <c r="DB17" s="14" t="s">
        <v>287</v>
      </c>
      <c r="DC17" s="14" t="s">
        <v>287</v>
      </c>
      <c r="DD17" s="14" t="s">
        <v>273</v>
      </c>
    </row>
    <row r="18" spans="1:108" s="3" customFormat="1" x14ac:dyDescent="0.35">
      <c r="A18" s="2" t="s">
        <v>63</v>
      </c>
      <c r="B18" s="2">
        <v>4.5</v>
      </c>
      <c r="C18" s="2" t="s">
        <v>168</v>
      </c>
      <c r="D18" s="2" t="s">
        <v>403</v>
      </c>
      <c r="F18" s="3">
        <v>4.0250000000000004</v>
      </c>
      <c r="G18" s="3">
        <v>4.0069999999999997</v>
      </c>
      <c r="H18" s="3">
        <v>4.01</v>
      </c>
      <c r="I18" s="3">
        <v>4.0049999999999999</v>
      </c>
      <c r="K18" s="3">
        <f t="shared" ca="1" si="0"/>
        <v>0.99354037267080741</v>
      </c>
      <c r="L18" s="3">
        <f t="shared" ca="1" si="0"/>
        <v>0.94834040429248823</v>
      </c>
      <c r="M18" s="3">
        <f t="shared" ca="1" si="0"/>
        <v>0.9139650872817956</v>
      </c>
      <c r="N18" s="3">
        <f t="shared" ca="1" si="0"/>
        <v>0.99850187265917612</v>
      </c>
      <c r="P18" s="3">
        <f t="shared" ca="1" si="1"/>
        <v>0.90708069919799417</v>
      </c>
      <c r="Q18" s="3">
        <f t="shared" ca="1" si="1"/>
        <v>0.83628641211364774</v>
      </c>
      <c r="R18" s="3">
        <f t="shared" ca="1" si="1"/>
        <v>0.78104740366376846</v>
      </c>
      <c r="S18" s="3">
        <f t="shared" ca="1" si="1"/>
        <v>0.87440699227293783</v>
      </c>
      <c r="U18" s="3">
        <f t="shared" ca="1" si="2"/>
        <v>2.4844720496894408</v>
      </c>
      <c r="V18" s="3">
        <f t="shared" ca="1" si="2"/>
        <v>1.9965061142999752</v>
      </c>
      <c r="W18" s="3">
        <f t="shared" ca="1" si="2"/>
        <v>1.4962593516209477</v>
      </c>
      <c r="X18" s="3">
        <f t="shared" ca="1" si="2"/>
        <v>2.2471910112359552</v>
      </c>
      <c r="Z18" s="3">
        <f t="shared" ca="1" si="3"/>
        <v>0.99354037267080741</v>
      </c>
      <c r="AA18" s="3">
        <f t="shared" ca="1" si="3"/>
        <v>0.9026703269278763</v>
      </c>
      <c r="AB18" s="3">
        <f t="shared" ca="1" si="3"/>
        <v>0.9139650872817956</v>
      </c>
      <c r="AC18" s="3">
        <f t="shared" ca="1" si="3"/>
        <v>0.91960049937578026</v>
      </c>
      <c r="AE18" s="3">
        <f t="shared" ca="1" si="4"/>
        <v>0.90708069919799417</v>
      </c>
      <c r="AF18" s="3">
        <f t="shared" ca="1" si="4"/>
        <v>0.83628641211364774</v>
      </c>
      <c r="AG18" s="3">
        <f t="shared" ca="1" si="4"/>
        <v>0.78104740366376846</v>
      </c>
      <c r="AH18" s="3">
        <f t="shared" ca="1" si="4"/>
        <v>0.84943819730618175</v>
      </c>
      <c r="AJ18" s="3">
        <f t="shared" ca="1" si="5"/>
        <v>2.4844720496894408</v>
      </c>
      <c r="AK18" s="3">
        <f t="shared" ca="1" si="5"/>
        <v>1.9965061142999752</v>
      </c>
      <c r="AL18" s="3">
        <f t="shared" ca="1" si="5"/>
        <v>1.4962593516209477</v>
      </c>
      <c r="AM18" s="3">
        <f t="shared" ca="1" si="5"/>
        <v>1.9975031210986267</v>
      </c>
      <c r="AO18" s="3">
        <f t="shared" ca="1" si="6"/>
        <v>0.24844720496894407</v>
      </c>
      <c r="AP18" s="3">
        <f t="shared" ca="1" si="6"/>
        <v>0.49912652857499379</v>
      </c>
      <c r="AQ18" s="3">
        <f t="shared" ca="1" si="6"/>
        <v>0.24937655860349128</v>
      </c>
      <c r="AR18" s="3">
        <f t="shared" ca="1" si="6"/>
        <v>0.49937578027465668</v>
      </c>
      <c r="AT18" s="3">
        <v>0</v>
      </c>
      <c r="AU18" s="3">
        <v>0.12700000405311584</v>
      </c>
      <c r="AV18" s="3">
        <v>0.32899999618530273</v>
      </c>
      <c r="AW18" s="3">
        <v>0</v>
      </c>
      <c r="AY18" s="3">
        <f t="shared" ca="1" si="7"/>
        <v>0.3145341614906832</v>
      </c>
      <c r="AZ18" s="3">
        <f t="shared" ca="1" si="8"/>
        <v>0.49912652857499379</v>
      </c>
      <c r="BA18" s="3">
        <f t="shared" ca="1" si="9"/>
        <v>0.4610972568578553</v>
      </c>
      <c r="BB18" s="3">
        <f t="shared" ca="1" si="10"/>
        <v>0.72808988764044957</v>
      </c>
      <c r="BD18" s="3">
        <f t="shared" ca="1" si="11"/>
        <v>0.25267079750203197</v>
      </c>
      <c r="BE18" s="3">
        <f t="shared" ca="1" si="12"/>
        <v>0.47017716100039197</v>
      </c>
      <c r="BF18" s="3">
        <f t="shared" ca="1" si="13"/>
        <v>0.30324194496706536</v>
      </c>
      <c r="BG18" s="3">
        <f t="shared" ca="1" si="14"/>
        <v>0.71186015519607682</v>
      </c>
      <c r="BI18" s="3">
        <f t="shared" ca="1" si="15"/>
        <v>0.24844720496894407</v>
      </c>
      <c r="BJ18" s="3">
        <f t="shared" ca="1" si="16"/>
        <v>0.99825305714998758</v>
      </c>
      <c r="BK18" s="3">
        <f t="shared" ca="1" si="17"/>
        <v>0.74812967581047385</v>
      </c>
      <c r="BL18" s="3">
        <f t="shared" ca="1" si="18"/>
        <v>1.4981273408239701</v>
      </c>
      <c r="BN18" s="3">
        <f t="shared" ca="1" si="19"/>
        <v>0.49689440993788814</v>
      </c>
      <c r="BO18" s="3">
        <f t="shared" ca="1" si="20"/>
        <v>0.74868979286249071</v>
      </c>
      <c r="BP18" s="3">
        <f t="shared" ca="1" si="21"/>
        <v>0.99750623441396513</v>
      </c>
      <c r="BQ18" s="3">
        <f t="shared" ca="1" si="22"/>
        <v>0.74906367041198507</v>
      </c>
      <c r="BS18" s="3">
        <v>1.5329999923706055</v>
      </c>
      <c r="BT18" s="3">
        <v>0.64399999380111694</v>
      </c>
      <c r="BU18" s="3">
        <v>1.312000036239624</v>
      </c>
      <c r="BV18" s="3">
        <v>0.40000000596046448</v>
      </c>
      <c r="BX18" s="3">
        <f t="shared" ca="1" si="23"/>
        <v>0.14509316770186337</v>
      </c>
      <c r="BY18" s="3">
        <f t="shared" ca="1" si="24"/>
        <v>1.6720738707262334E-2</v>
      </c>
      <c r="BZ18" s="3">
        <f t="shared" ca="1" si="25"/>
        <v>4.1645885286783112E-2</v>
      </c>
      <c r="CA18" s="3">
        <f t="shared" ca="1" si="26"/>
        <v>0</v>
      </c>
      <c r="CC18" s="3">
        <f t="shared" ca="1" si="27"/>
        <v>9.1180135004268664E-2</v>
      </c>
      <c r="CD18" s="3">
        <f t="shared" ca="1" si="28"/>
        <v>0</v>
      </c>
      <c r="CE18" s="3">
        <f t="shared" ca="1" si="29"/>
        <v>2.9177023585597775E-2</v>
      </c>
      <c r="CF18" s="3">
        <f t="shared" ca="1" si="30"/>
        <v>0</v>
      </c>
      <c r="CH18" s="3">
        <f t="shared" ca="1" si="31"/>
        <v>0.49689440993788814</v>
      </c>
      <c r="CI18" s="3">
        <f t="shared" ca="1" si="32"/>
        <v>0</v>
      </c>
      <c r="CJ18" s="3">
        <f t="shared" ca="1" si="33"/>
        <v>0.24937655860349128</v>
      </c>
      <c r="CK18" s="3">
        <f t="shared" ca="1" si="34"/>
        <v>0</v>
      </c>
      <c r="CM18" s="3">
        <f t="shared" ca="1" si="35"/>
        <v>0.49689440993788814</v>
      </c>
      <c r="CN18" s="3">
        <f t="shared" ca="1" si="36"/>
        <v>0.74868979286249071</v>
      </c>
      <c r="CO18" s="3">
        <f t="shared" ca="1" si="37"/>
        <v>0.74812967581047385</v>
      </c>
      <c r="CP18" s="3">
        <f t="shared" ca="1" si="38"/>
        <v>0</v>
      </c>
      <c r="CR18" s="3">
        <v>0.98299998044967651</v>
      </c>
      <c r="CS18" s="3">
        <v>4.0069999999999997</v>
      </c>
      <c r="CT18" s="3">
        <v>2.5780000686645508</v>
      </c>
      <c r="CU18" s="3">
        <v>4.0049999999999999</v>
      </c>
      <c r="CV18" s="21">
        <f t="shared" ca="1" si="40"/>
        <v>4.0049999999999999</v>
      </c>
      <c r="CW18" s="16">
        <f t="shared" ca="1" si="39"/>
        <v>4.5</v>
      </c>
      <c r="CX18" s="17" t="s">
        <v>273</v>
      </c>
      <c r="CY18" s="74"/>
      <c r="CZ18" s="14" t="s">
        <v>168</v>
      </c>
      <c r="DA18" s="14" t="s">
        <v>303</v>
      </c>
      <c r="DB18" s="14" t="s">
        <v>322</v>
      </c>
      <c r="DC18" s="14" t="s">
        <v>337</v>
      </c>
      <c r="DD18" s="14" t="s">
        <v>280</v>
      </c>
    </row>
    <row r="19" spans="1:108" s="3" customFormat="1" x14ac:dyDescent="0.35">
      <c r="A19" s="2" t="s">
        <v>59</v>
      </c>
      <c r="B19" s="2">
        <v>4.583333333333333</v>
      </c>
      <c r="C19" s="2" t="s">
        <v>168</v>
      </c>
      <c r="D19" s="2" t="s">
        <v>403</v>
      </c>
      <c r="F19" s="3">
        <v>4.01</v>
      </c>
      <c r="G19" s="3" t="e">
        <v>#N/A</v>
      </c>
      <c r="H19" s="3" t="e">
        <v>#N/A</v>
      </c>
      <c r="I19" s="3">
        <v>4.0149999999999997</v>
      </c>
      <c r="K19" s="3">
        <f t="shared" ca="1" si="0"/>
        <v>0.90997506234413983</v>
      </c>
      <c r="L19" s="3" t="e">
        <f t="shared" ca="1" si="0"/>
        <v>#N/A</v>
      </c>
      <c r="M19" s="3" t="e">
        <f t="shared" ca="1" si="0"/>
        <v>#N/A</v>
      </c>
      <c r="N19" s="3">
        <f t="shared" ca="1" si="0"/>
        <v>0.99601494396014945</v>
      </c>
      <c r="P19" s="3">
        <f t="shared" ca="1" si="1"/>
        <v>0.86433916466491778</v>
      </c>
      <c r="Q19" s="3" t="e">
        <f t="shared" ca="1" si="1"/>
        <v>#N/A</v>
      </c>
      <c r="R19" s="3" t="e">
        <f t="shared" ca="1" si="1"/>
        <v>#N/A</v>
      </c>
      <c r="S19" s="3">
        <f t="shared" ca="1" si="1"/>
        <v>0.86401007201981883</v>
      </c>
      <c r="U19" s="3">
        <f t="shared" ca="1" si="2"/>
        <v>1.9950124688279303</v>
      </c>
      <c r="V19" s="3" t="e">
        <f t="shared" ca="1" si="2"/>
        <v>#N/A</v>
      </c>
      <c r="W19" s="3" t="e">
        <f t="shared" ca="1" si="2"/>
        <v>#N/A</v>
      </c>
      <c r="X19" s="3">
        <f t="shared" ca="1" si="2"/>
        <v>3.4869240348692405</v>
      </c>
      <c r="Z19" s="3">
        <f t="shared" ca="1" si="3"/>
        <v>0.90997506234413983</v>
      </c>
      <c r="AA19" s="3" t="e">
        <f t="shared" ca="1" si="3"/>
        <v>#N/A</v>
      </c>
      <c r="AB19" s="3" t="e">
        <f t="shared" ca="1" si="3"/>
        <v>#N/A</v>
      </c>
      <c r="AC19" s="3">
        <f t="shared" ca="1" si="3"/>
        <v>0.9628891656288916</v>
      </c>
      <c r="AE19" s="3">
        <f t="shared" ca="1" si="4"/>
        <v>0.86433916466491778</v>
      </c>
      <c r="AF19" s="3" t="e">
        <f t="shared" ca="1" si="4"/>
        <v>#N/A</v>
      </c>
      <c r="AG19" s="3" t="e">
        <f t="shared" ca="1" si="4"/>
        <v>#N/A</v>
      </c>
      <c r="AH19" s="3">
        <f t="shared" ca="1" si="4"/>
        <v>0.86401007201981883</v>
      </c>
      <c r="AJ19" s="3">
        <f t="shared" ca="1" si="5"/>
        <v>1.9950124688279303</v>
      </c>
      <c r="AK19" s="3" t="e">
        <f t="shared" ca="1" si="5"/>
        <v>#N/A</v>
      </c>
      <c r="AL19" s="3" t="e">
        <f t="shared" ca="1" si="5"/>
        <v>#N/A</v>
      </c>
      <c r="AM19" s="3">
        <f t="shared" ca="1" si="5"/>
        <v>3.4869240348692405</v>
      </c>
      <c r="AO19" s="3">
        <f t="shared" ca="1" si="6"/>
        <v>0.24937655860349128</v>
      </c>
      <c r="AP19" s="3" t="e">
        <f t="shared" ca="1" si="6"/>
        <v>#N/A</v>
      </c>
      <c r="AQ19" s="3" t="e">
        <f t="shared" ca="1" si="6"/>
        <v>#N/A</v>
      </c>
      <c r="AR19" s="3">
        <f t="shared" ca="1" si="6"/>
        <v>0.4981320049813201</v>
      </c>
      <c r="AT19" s="3">
        <v>0.36899998784065247</v>
      </c>
      <c r="AU19" s="11" t="e">
        <v>#N/A</v>
      </c>
      <c r="AV19" s="11" t="e">
        <v>#N/A</v>
      </c>
      <c r="AW19" s="3">
        <v>4.999999888241291E-3</v>
      </c>
      <c r="AY19" s="3">
        <f t="shared" ca="1" si="7"/>
        <v>7.0822942643391479E-2</v>
      </c>
      <c r="AZ19" s="3" t="e">
        <f t="shared" ca="1" si="8"/>
        <v>#N/A</v>
      </c>
      <c r="BA19" s="3" t="e">
        <f t="shared" ca="1" si="9"/>
        <v>#N/A</v>
      </c>
      <c r="BB19" s="3">
        <f t="shared" ca="1" si="10"/>
        <v>0.20747198007471981</v>
      </c>
      <c r="BD19" s="3">
        <f t="shared" ca="1" si="11"/>
        <v>4.5635872648243897E-2</v>
      </c>
      <c r="BE19" s="3" t="e">
        <f t="shared" ca="1" si="12"/>
        <v>#N/A</v>
      </c>
      <c r="BF19" s="3" t="e">
        <f t="shared" ca="1" si="13"/>
        <v>#N/A</v>
      </c>
      <c r="BG19" s="3">
        <f t="shared" ca="1" si="14"/>
        <v>0.21195519311935787</v>
      </c>
      <c r="BI19" s="3">
        <f t="shared" ca="1" si="15"/>
        <v>0.24937655860349128</v>
      </c>
      <c r="BJ19" s="3" t="e">
        <f t="shared" ca="1" si="16"/>
        <v>#N/A</v>
      </c>
      <c r="BK19" s="3" t="e">
        <f t="shared" ca="1" si="17"/>
        <v>#N/A</v>
      </c>
      <c r="BL19" s="3">
        <f t="shared" ca="1" si="18"/>
        <v>0.74719800747198017</v>
      </c>
      <c r="BN19" s="3">
        <f t="shared" ca="1" si="19"/>
        <v>0.74812967581047385</v>
      </c>
      <c r="BO19" s="3" t="e">
        <f t="shared" ca="1" si="20"/>
        <v>#N/A</v>
      </c>
      <c r="BP19" s="3" t="e">
        <f t="shared" ca="1" si="21"/>
        <v>#N/A</v>
      </c>
      <c r="BQ19" s="3">
        <f t="shared" ca="1" si="22"/>
        <v>1.2453300124533002</v>
      </c>
      <c r="BS19" s="3">
        <v>2.502000093460083</v>
      </c>
      <c r="BT19" s="11" t="e">
        <v>#N/A</v>
      </c>
      <c r="BU19" s="11" t="e">
        <v>#N/A</v>
      </c>
      <c r="BV19" s="3">
        <v>0.43799999356269836</v>
      </c>
      <c r="BX19" s="3">
        <f t="shared" ca="1" si="23"/>
        <v>0.34488778054862851</v>
      </c>
      <c r="BY19" s="3" t="e">
        <f t="shared" ca="1" si="24"/>
        <v>#N/A</v>
      </c>
      <c r="BZ19" s="3" t="e">
        <f t="shared" ca="1" si="25"/>
        <v>#N/A</v>
      </c>
      <c r="CA19" s="3">
        <f t="shared" ca="1" si="26"/>
        <v>0.17833125778331252</v>
      </c>
      <c r="CC19" s="3">
        <f t="shared" ca="1" si="27"/>
        <v>0.45286779689075346</v>
      </c>
      <c r="CD19" s="3" t="e">
        <f t="shared" ca="1" si="28"/>
        <v>#N/A</v>
      </c>
      <c r="CE19" s="3" t="e">
        <f t="shared" ca="1" si="29"/>
        <v>#N/A</v>
      </c>
      <c r="CF19" s="3">
        <f t="shared" ca="1" si="30"/>
        <v>0.24483194980645093</v>
      </c>
      <c r="CH19" s="3">
        <f t="shared" ca="1" si="31"/>
        <v>0.49875311720698257</v>
      </c>
      <c r="CI19" s="3" t="e">
        <f t="shared" ca="1" si="32"/>
        <v>#N/A</v>
      </c>
      <c r="CJ19" s="3" t="e">
        <f t="shared" ca="1" si="33"/>
        <v>#N/A</v>
      </c>
      <c r="CK19" s="3">
        <f t="shared" ca="1" si="34"/>
        <v>0.74719800747198017</v>
      </c>
      <c r="CM19" s="3">
        <f t="shared" ca="1" si="35"/>
        <v>0.49875311720698257</v>
      </c>
      <c r="CN19" s="3" t="e">
        <f t="shared" ca="1" si="36"/>
        <v>#N/A</v>
      </c>
      <c r="CO19" s="3" t="e">
        <f t="shared" ca="1" si="37"/>
        <v>#N/A</v>
      </c>
      <c r="CP19" s="3">
        <f t="shared" ca="1" si="38"/>
        <v>0.4981320049813201</v>
      </c>
      <c r="CR19" s="3">
        <v>0.98500001430511475</v>
      </c>
      <c r="CS19" s="11" t="e">
        <v>#N/A</v>
      </c>
      <c r="CT19" s="11" t="e">
        <v>#N/A</v>
      </c>
      <c r="CU19" s="3">
        <v>1.9210000038146973</v>
      </c>
      <c r="CV19" s="21">
        <f t="shared" ca="1" si="40"/>
        <v>1.9210000038146973</v>
      </c>
      <c r="CW19" s="16">
        <f t="shared" ca="1" si="39"/>
        <v>4.583333333333333</v>
      </c>
      <c r="CX19" s="17" t="s">
        <v>280</v>
      </c>
      <c r="CY19" s="74"/>
      <c r="CZ19" s="14" t="s">
        <v>293</v>
      </c>
      <c r="DA19" s="14" t="s">
        <v>307</v>
      </c>
      <c r="DB19" s="14" t="s">
        <v>325</v>
      </c>
      <c r="DC19" s="14" t="s">
        <v>340</v>
      </c>
      <c r="DD19" s="14" t="s">
        <v>281</v>
      </c>
    </row>
    <row r="20" spans="1:108" s="3" customFormat="1" x14ac:dyDescent="0.35">
      <c r="A20" s="2" t="s">
        <v>48</v>
      </c>
      <c r="B20" s="2">
        <v>4.833333333333333</v>
      </c>
      <c r="C20" s="2" t="s">
        <v>167</v>
      </c>
      <c r="D20" s="2" t="s">
        <v>403</v>
      </c>
      <c r="F20" s="3">
        <v>4.0049999999999999</v>
      </c>
      <c r="G20" s="3">
        <v>4.0030000000000001</v>
      </c>
      <c r="H20" s="3">
        <v>4.0410000000000004</v>
      </c>
      <c r="I20" s="3">
        <v>4.0359999999999996</v>
      </c>
      <c r="K20" s="3">
        <f t="shared" ca="1" si="0"/>
        <v>0.99425717852684137</v>
      </c>
      <c r="L20" s="3">
        <f t="shared" ca="1" si="0"/>
        <v>0.9992505620784411</v>
      </c>
      <c r="M20" s="3">
        <f t="shared" ca="1" si="0"/>
        <v>0.84533531304132636</v>
      </c>
      <c r="N20" s="3">
        <f t="shared" ca="1" si="0"/>
        <v>0.77626362735381571</v>
      </c>
      <c r="P20" s="3">
        <f t="shared" ca="1" si="1"/>
        <v>0.90262177708406421</v>
      </c>
      <c r="Q20" s="3">
        <f t="shared" ca="1" si="1"/>
        <v>0.8783412084859139</v>
      </c>
      <c r="R20" s="3">
        <f t="shared" ca="1" si="1"/>
        <v>0.84533524879043975</v>
      </c>
      <c r="S20" s="3">
        <f t="shared" ca="1" si="1"/>
        <v>0.74355789378093429</v>
      </c>
      <c r="U20" s="3">
        <f t="shared" ca="1" si="2"/>
        <v>1.7478152309612984</v>
      </c>
      <c r="V20" s="3">
        <f t="shared" ca="1" si="2"/>
        <v>2.2483137646764924</v>
      </c>
      <c r="W20" s="3">
        <f t="shared" ca="1" si="2"/>
        <v>2.2271714922048997</v>
      </c>
      <c r="X20" s="3">
        <f t="shared" ca="1" si="2"/>
        <v>1.9821605550049557</v>
      </c>
      <c r="Z20" s="3">
        <f t="shared" ca="1" si="3"/>
        <v>0.99425717852684137</v>
      </c>
      <c r="AA20" s="3">
        <f t="shared" ca="1" si="3"/>
        <v>0.94079440419685234</v>
      </c>
      <c r="AB20" s="3">
        <f t="shared" ca="1" si="3"/>
        <v>0.84533531304132636</v>
      </c>
      <c r="AC20" s="3">
        <f t="shared" ca="1" si="3"/>
        <v>0.64841427155599607</v>
      </c>
      <c r="AE20" s="3">
        <f t="shared" ca="1" si="4"/>
        <v>0.90262177708406421</v>
      </c>
      <c r="AF20" s="3">
        <f t="shared" ca="1" si="4"/>
        <v>0.84936294301947879</v>
      </c>
      <c r="AG20" s="3">
        <f t="shared" ca="1" si="4"/>
        <v>0.84533524879043975</v>
      </c>
      <c r="AH20" s="3">
        <f t="shared" ca="1" si="4"/>
        <v>0.61570858902217618</v>
      </c>
      <c r="AJ20" s="3">
        <f t="shared" ca="1" si="5"/>
        <v>1.7478152309612984</v>
      </c>
      <c r="AK20" s="3">
        <f t="shared" ca="1" si="5"/>
        <v>1.9985011241568822</v>
      </c>
      <c r="AL20" s="3">
        <f t="shared" ca="1" si="5"/>
        <v>2.2271714922048997</v>
      </c>
      <c r="AM20" s="3">
        <f t="shared" ca="1" si="5"/>
        <v>1.7343904856293362</v>
      </c>
      <c r="AO20" s="3">
        <f t="shared" ca="1" si="6"/>
        <v>0.24968789013732834</v>
      </c>
      <c r="AP20" s="3">
        <f t="shared" ca="1" si="6"/>
        <v>0.74943792155883082</v>
      </c>
      <c r="AQ20" s="3">
        <f t="shared" ca="1" si="6"/>
        <v>0.49492699826775544</v>
      </c>
      <c r="AR20" s="3">
        <f t="shared" ca="1" si="6"/>
        <v>0.74331020812685833</v>
      </c>
      <c r="AT20" s="3">
        <v>7.0000002160668373E-3</v>
      </c>
      <c r="AU20" s="3">
        <v>2.0000000949949026E-3</v>
      </c>
      <c r="AV20" s="3">
        <v>0.48899999260902405</v>
      </c>
      <c r="AW20" s="3">
        <v>0.3449999988079071</v>
      </c>
      <c r="AY20" s="3">
        <f t="shared" ca="1" si="7"/>
        <v>0</v>
      </c>
      <c r="AZ20" s="3">
        <f t="shared" ca="1" si="8"/>
        <v>4.2468148888333505E-3</v>
      </c>
      <c r="BA20" s="3">
        <f t="shared" ca="1" si="9"/>
        <v>0</v>
      </c>
      <c r="BB20" s="3">
        <f t="shared" ca="1" si="10"/>
        <v>0</v>
      </c>
      <c r="BD20" s="3">
        <f t="shared" ca="1" si="11"/>
        <v>0</v>
      </c>
      <c r="BE20" s="3">
        <f t="shared" ca="1" si="12"/>
        <v>0</v>
      </c>
      <c r="BF20" s="3">
        <f t="shared" ca="1" si="13"/>
        <v>0</v>
      </c>
      <c r="BG20" s="3">
        <f t="shared" ca="1" si="14"/>
        <v>0</v>
      </c>
      <c r="BI20" s="3">
        <f t="shared" ca="1" si="15"/>
        <v>0</v>
      </c>
      <c r="BJ20" s="3">
        <f t="shared" ca="1" si="16"/>
        <v>0</v>
      </c>
      <c r="BK20" s="3">
        <f t="shared" ca="1" si="17"/>
        <v>0</v>
      </c>
      <c r="BL20" s="3">
        <f t="shared" ca="1" si="18"/>
        <v>0</v>
      </c>
      <c r="BN20" s="3">
        <f t="shared" ca="1" si="19"/>
        <v>0</v>
      </c>
      <c r="BO20" s="3">
        <f t="shared" ca="1" si="20"/>
        <v>0.24981264051961027</v>
      </c>
      <c r="BP20" s="3">
        <f t="shared" ca="1" si="21"/>
        <v>0</v>
      </c>
      <c r="BQ20" s="3">
        <f t="shared" ca="1" si="22"/>
        <v>0.24777006937561946</v>
      </c>
      <c r="BS20" s="3">
        <v>4.0049999999999999</v>
      </c>
      <c r="BT20" s="3">
        <v>4.0030000000000001</v>
      </c>
      <c r="BU20" s="3">
        <v>4.0410000000000004</v>
      </c>
      <c r="BV20" s="3">
        <v>4.0359999999999996</v>
      </c>
      <c r="BX20" s="3">
        <f t="shared" ca="1" si="23"/>
        <v>0.49937578027465668</v>
      </c>
      <c r="BY20" s="3">
        <f t="shared" ca="1" si="24"/>
        <v>0.64526605046215346</v>
      </c>
      <c r="BZ20" s="3">
        <f t="shared" ca="1" si="25"/>
        <v>0.45756000989854007</v>
      </c>
      <c r="CA20" s="3">
        <f t="shared" ca="1" si="26"/>
        <v>7.0366699702675881E-2</v>
      </c>
      <c r="CC20" s="3">
        <f t="shared" ca="1" si="27"/>
        <v>0.4908864120121455</v>
      </c>
      <c r="CD20" s="3">
        <f t="shared" ca="1" si="28"/>
        <v>0.65375970596972921</v>
      </c>
      <c r="CE20" s="3">
        <f t="shared" ca="1" si="29"/>
        <v>0.46176682955792148</v>
      </c>
      <c r="CF20" s="3">
        <f t="shared" ca="1" si="30"/>
        <v>8.275517150833539E-2</v>
      </c>
      <c r="CH20" s="3">
        <f t="shared" ca="1" si="31"/>
        <v>0.99875156054931336</v>
      </c>
      <c r="CI20" s="3">
        <f t="shared" ca="1" si="32"/>
        <v>1.2490632025980515</v>
      </c>
      <c r="CJ20" s="3">
        <f t="shared" ca="1" si="33"/>
        <v>0.98985399653551087</v>
      </c>
      <c r="CK20" s="3">
        <f t="shared" ca="1" si="34"/>
        <v>0.24777006937561946</v>
      </c>
      <c r="CM20" s="3">
        <f t="shared" ca="1" si="35"/>
        <v>0.74906367041198507</v>
      </c>
      <c r="CN20" s="3">
        <f t="shared" ca="1" si="36"/>
        <v>0.9992505620784411</v>
      </c>
      <c r="CO20" s="3">
        <f t="shared" ca="1" si="37"/>
        <v>0.98985399653551087</v>
      </c>
      <c r="CP20" s="3">
        <f t="shared" ca="1" si="38"/>
        <v>0.24777006937561946</v>
      </c>
      <c r="CR20" s="3">
        <v>1.2389999628067017</v>
      </c>
      <c r="CS20" s="3">
        <v>0.35199999809265137</v>
      </c>
      <c r="CT20" s="3">
        <v>0.68800002336502075</v>
      </c>
      <c r="CU20" s="3">
        <v>2.128000020980835</v>
      </c>
      <c r="CV20" s="21">
        <f t="shared" ca="1" si="40"/>
        <v>2.128000020980835</v>
      </c>
      <c r="CW20" s="16">
        <f t="shared" ca="1" si="39"/>
        <v>4.833333333333333</v>
      </c>
      <c r="CX20" s="17" t="s">
        <v>281</v>
      </c>
      <c r="CY20" s="74"/>
      <c r="CZ20" s="14" t="s">
        <v>297</v>
      </c>
      <c r="DA20" s="14" t="s">
        <v>311</v>
      </c>
      <c r="DB20" s="14" t="s">
        <v>328</v>
      </c>
      <c r="DC20" s="14" t="s">
        <v>343</v>
      </c>
      <c r="DD20" s="14" t="s">
        <v>282</v>
      </c>
    </row>
    <row r="21" spans="1:108" s="3" customFormat="1" x14ac:dyDescent="0.35">
      <c r="A21" s="2" t="s">
        <v>13</v>
      </c>
      <c r="B21" s="2">
        <v>5</v>
      </c>
      <c r="C21" s="2" t="s">
        <v>168</v>
      </c>
      <c r="D21" s="2" t="s">
        <v>403</v>
      </c>
      <c r="F21" s="11" t="e">
        <v>#N/A</v>
      </c>
      <c r="G21" s="3" t="e">
        <v>#N/A</v>
      </c>
      <c r="H21" s="3">
        <v>4.016</v>
      </c>
      <c r="I21" s="11" t="e">
        <v>#N/A</v>
      </c>
      <c r="K21" s="3" t="e">
        <f t="shared" ca="1" si="0"/>
        <v>#N/A</v>
      </c>
      <c r="L21" s="3" t="e">
        <f t="shared" ca="1" si="0"/>
        <v>#N/A</v>
      </c>
      <c r="M21" s="3">
        <f t="shared" ca="1" si="0"/>
        <v>0.90438247011952189</v>
      </c>
      <c r="N21" s="3" t="e">
        <f t="shared" ca="1" si="0"/>
        <v>#N/A</v>
      </c>
      <c r="P21" s="3" t="e">
        <f t="shared" ca="1" si="1"/>
        <v>#N/A</v>
      </c>
      <c r="Q21" s="3" t="e">
        <f t="shared" ca="1" si="1"/>
        <v>#N/A</v>
      </c>
      <c r="R21" s="3">
        <f t="shared" ca="1" si="1"/>
        <v>0.85483059524539928</v>
      </c>
      <c r="S21" s="3" t="e">
        <f t="shared" ca="1" si="1"/>
        <v>#N/A</v>
      </c>
      <c r="U21" s="3" t="e">
        <f t="shared" ca="1" si="2"/>
        <v>#N/A</v>
      </c>
      <c r="V21" s="3" t="e">
        <f t="shared" ca="1" si="2"/>
        <v>#N/A</v>
      </c>
      <c r="W21" s="3">
        <f t="shared" ca="1" si="2"/>
        <v>1.9920318725099602</v>
      </c>
      <c r="X21" s="3" t="e">
        <f t="shared" ca="1" si="2"/>
        <v>#N/A</v>
      </c>
      <c r="Z21" s="3" t="e">
        <f t="shared" ca="1" si="3"/>
        <v>#N/A</v>
      </c>
      <c r="AA21" s="3" t="e">
        <f t="shared" ca="1" si="3"/>
        <v>#N/A</v>
      </c>
      <c r="AB21" s="3">
        <f t="shared" ca="1" si="3"/>
        <v>0.90438247011952189</v>
      </c>
      <c r="AC21" s="3" t="e">
        <f t="shared" ca="1" si="3"/>
        <v>#N/A</v>
      </c>
      <c r="AE21" s="3" t="e">
        <f t="shared" ca="1" si="4"/>
        <v>#N/A</v>
      </c>
      <c r="AF21" s="3" t="e">
        <f t="shared" ca="1" si="4"/>
        <v>#N/A</v>
      </c>
      <c r="AG21" s="3">
        <f t="shared" ca="1" si="4"/>
        <v>0.85483059524539928</v>
      </c>
      <c r="AH21" s="3" t="e">
        <f t="shared" ca="1" si="4"/>
        <v>#N/A</v>
      </c>
      <c r="AJ21" s="3" t="e">
        <f t="shared" ca="1" si="5"/>
        <v>#N/A</v>
      </c>
      <c r="AK21" s="3" t="e">
        <f t="shared" ca="1" si="5"/>
        <v>#N/A</v>
      </c>
      <c r="AL21" s="3">
        <f t="shared" ca="1" si="5"/>
        <v>1.9920318725099602</v>
      </c>
      <c r="AM21" s="3" t="e">
        <f t="shared" ca="1" si="5"/>
        <v>#N/A</v>
      </c>
      <c r="AO21" s="3" t="e">
        <f t="shared" ca="1" si="6"/>
        <v>#N/A</v>
      </c>
      <c r="AP21" s="3" t="e">
        <f t="shared" ca="1" si="6"/>
        <v>#N/A</v>
      </c>
      <c r="AQ21" s="3">
        <f t="shared" ca="1" si="6"/>
        <v>0.24900398406374502</v>
      </c>
      <c r="AR21" s="3" t="e">
        <f t="shared" ca="1" si="6"/>
        <v>#N/A</v>
      </c>
      <c r="AT21" s="11" t="e">
        <v>#N/A</v>
      </c>
      <c r="AU21" s="3">
        <v>0.49900001287460327</v>
      </c>
      <c r="AV21" s="3">
        <v>0.43500000238418579</v>
      </c>
      <c r="AW21" s="11" t="e">
        <v>#N/A</v>
      </c>
      <c r="AY21" s="3" t="e">
        <f t="shared" ca="1" si="7"/>
        <v>#N/A</v>
      </c>
      <c r="AZ21" s="3" t="e">
        <f t="shared" ca="1" si="8"/>
        <v>#N/A</v>
      </c>
      <c r="BA21" s="3">
        <f t="shared" ca="1" si="9"/>
        <v>0.23630478087649404</v>
      </c>
      <c r="BB21" s="3" t="e">
        <f t="shared" ca="1" si="10"/>
        <v>#N/A</v>
      </c>
      <c r="BD21" s="3" t="e">
        <f t="shared" ca="1" si="11"/>
        <v>#N/A</v>
      </c>
      <c r="BE21" s="3" t="e">
        <f t="shared" ca="1" si="12"/>
        <v>#N/A</v>
      </c>
      <c r="BF21" s="3">
        <f t="shared" ca="1" si="13"/>
        <v>0.34860551238534937</v>
      </c>
      <c r="BG21" s="3" t="e">
        <f t="shared" ca="1" si="14"/>
        <v>#N/A</v>
      </c>
      <c r="BI21" s="3" t="e">
        <f t="shared" ca="1" si="15"/>
        <v>#N/A</v>
      </c>
      <c r="BJ21" s="3" t="e">
        <f t="shared" ca="1" si="16"/>
        <v>#N/A</v>
      </c>
      <c r="BK21" s="3">
        <f t="shared" ca="1" si="17"/>
        <v>0.74701195219123506</v>
      </c>
      <c r="BL21" s="3" t="e">
        <f t="shared" ca="1" si="18"/>
        <v>#N/A</v>
      </c>
      <c r="BN21" s="3" t="e">
        <f t="shared" ca="1" si="19"/>
        <v>#N/A</v>
      </c>
      <c r="BO21" s="3" t="e">
        <f t="shared" ca="1" si="20"/>
        <v>#N/A</v>
      </c>
      <c r="BP21" s="3">
        <f t="shared" ca="1" si="21"/>
        <v>0.74701195219123506</v>
      </c>
      <c r="BQ21" s="3" t="e">
        <f t="shared" ca="1" si="22"/>
        <v>#N/A</v>
      </c>
      <c r="BS21" s="11" t="e">
        <v>#N/A</v>
      </c>
      <c r="BT21" s="3">
        <v>0.86599999666213989</v>
      </c>
      <c r="BU21" s="3">
        <v>1.1180000305175781</v>
      </c>
      <c r="BV21" s="11" t="e">
        <v>#N/A</v>
      </c>
      <c r="BX21" s="3" t="e">
        <f t="shared" ca="1" si="23"/>
        <v>#N/A</v>
      </c>
      <c r="BY21" s="3" t="e">
        <f t="shared" ca="1" si="24"/>
        <v>#N/A</v>
      </c>
      <c r="BZ21" s="3">
        <f t="shared" ca="1" si="25"/>
        <v>1.2450199203187249E-2</v>
      </c>
      <c r="CA21" s="3" t="e">
        <f t="shared" ca="1" si="26"/>
        <v>#N/A</v>
      </c>
      <c r="CC21" s="3" t="e">
        <f t="shared" ca="1" si="27"/>
        <v>#N/A</v>
      </c>
      <c r="CD21" s="3" t="e">
        <f t="shared" ca="1" si="28"/>
        <v>#N/A</v>
      </c>
      <c r="CE21" s="3">
        <f t="shared" ca="1" si="29"/>
        <v>0</v>
      </c>
      <c r="CF21" s="3" t="e">
        <f t="shared" ca="1" si="30"/>
        <v>#N/A</v>
      </c>
      <c r="CH21" s="3" t="e">
        <f t="shared" ca="1" si="31"/>
        <v>#N/A</v>
      </c>
      <c r="CI21" s="3" t="e">
        <f t="shared" ca="1" si="32"/>
        <v>#N/A</v>
      </c>
      <c r="CJ21" s="3">
        <f t="shared" ca="1" si="33"/>
        <v>0</v>
      </c>
      <c r="CK21" s="3" t="e">
        <f t="shared" ca="1" si="34"/>
        <v>#N/A</v>
      </c>
      <c r="CM21" s="3" t="e">
        <f t="shared" ca="1" si="35"/>
        <v>#N/A</v>
      </c>
      <c r="CN21" s="3" t="e">
        <f t="shared" ca="1" si="36"/>
        <v>#N/A</v>
      </c>
      <c r="CO21" s="3">
        <f t="shared" ca="1" si="37"/>
        <v>0.24900398406374502</v>
      </c>
      <c r="CP21" s="3" t="e">
        <f t="shared" ca="1" si="38"/>
        <v>#N/A</v>
      </c>
      <c r="CR21" s="11" t="e">
        <v>#N/A</v>
      </c>
      <c r="CS21" s="3">
        <v>4.0149999999999997</v>
      </c>
      <c r="CT21" s="3">
        <v>4.016</v>
      </c>
      <c r="CU21" s="11" t="e">
        <v>#N/A</v>
      </c>
      <c r="CV21" s="21" t="e">
        <f t="shared" ca="1" si="40"/>
        <v>#N/A</v>
      </c>
      <c r="CW21" s="16">
        <f t="shared" ca="1" si="39"/>
        <v>5</v>
      </c>
      <c r="CX21" s="17" t="s">
        <v>282</v>
      </c>
      <c r="CY21" s="74"/>
      <c r="CZ21" s="18" t="s">
        <v>299</v>
      </c>
      <c r="DA21" s="14" t="s">
        <v>315</v>
      </c>
      <c r="DB21" s="14" t="s">
        <v>331</v>
      </c>
      <c r="DC21" s="14" t="s">
        <v>346</v>
      </c>
      <c r="DD21" s="14" t="s">
        <v>283</v>
      </c>
    </row>
    <row r="22" spans="1:108" s="3" customFormat="1" x14ac:dyDescent="0.35">
      <c r="A22" s="2" t="s">
        <v>37</v>
      </c>
      <c r="B22" s="2">
        <v>5.083333333333333</v>
      </c>
      <c r="C22" s="2" t="s">
        <v>168</v>
      </c>
      <c r="D22" s="2" t="s">
        <v>403</v>
      </c>
      <c r="F22" s="3">
        <v>4.0259999999999998</v>
      </c>
      <c r="G22" s="3">
        <v>4.0149999999999997</v>
      </c>
      <c r="H22" s="3">
        <v>4.0069999999999997</v>
      </c>
      <c r="I22" s="3">
        <v>4.0039999999999996</v>
      </c>
      <c r="K22" s="3">
        <f t="shared" ca="1" si="0"/>
        <v>0.99751614505712871</v>
      </c>
      <c r="L22" s="3">
        <f t="shared" ca="1" si="0"/>
        <v>0.99601494396014956</v>
      </c>
      <c r="M22" s="3">
        <f t="shared" ca="1" si="0"/>
        <v>0.98153231844272526</v>
      </c>
      <c r="N22" s="3">
        <f t="shared" ca="1" si="0"/>
        <v>0.87812187812187825</v>
      </c>
      <c r="P22" s="3">
        <f t="shared" ca="1" si="1"/>
        <v>0.64977648183592385</v>
      </c>
      <c r="Q22" s="3">
        <f t="shared" ca="1" si="1"/>
        <v>0.93051064182490417</v>
      </c>
      <c r="R22" s="3">
        <f t="shared" ca="1" si="1"/>
        <v>0.923633651790705</v>
      </c>
      <c r="S22" s="3">
        <f t="shared" ca="1" si="1"/>
        <v>0.64935056598750984</v>
      </c>
      <c r="U22" s="3">
        <f t="shared" ca="1" si="2"/>
        <v>1.9870839542970691</v>
      </c>
      <c r="V22" s="3">
        <f t="shared" ca="1" si="2"/>
        <v>2.2415940224159403</v>
      </c>
      <c r="W22" s="3">
        <f t="shared" ca="1" si="2"/>
        <v>2.2460693785874719</v>
      </c>
      <c r="X22" s="3">
        <f t="shared" ca="1" si="2"/>
        <v>1.9980019980019983</v>
      </c>
      <c r="Z22" s="3">
        <f t="shared" ca="1" si="3"/>
        <v>0.88574267262791873</v>
      </c>
      <c r="AA22" s="3">
        <f t="shared" ca="1" si="3"/>
        <v>0.99601494396014956</v>
      </c>
      <c r="AB22" s="3">
        <f t="shared" ca="1" si="3"/>
        <v>0.98153231844272526</v>
      </c>
      <c r="AC22" s="3">
        <f t="shared" ca="1" si="3"/>
        <v>0.5661838161838163</v>
      </c>
      <c r="AE22" s="3">
        <f t="shared" ca="1" si="4"/>
        <v>0.5628415529134555</v>
      </c>
      <c r="AF22" s="3">
        <f t="shared" ca="1" si="4"/>
        <v>0.93051064182490417</v>
      </c>
      <c r="AG22" s="3">
        <f t="shared" ca="1" si="4"/>
        <v>0.923633651790705</v>
      </c>
      <c r="AH22" s="3">
        <f t="shared" ca="1" si="4"/>
        <v>0.41633362060302981</v>
      </c>
      <c r="AJ22" s="3">
        <f t="shared" ca="1" si="5"/>
        <v>1.7386984600099356</v>
      </c>
      <c r="AK22" s="3">
        <f t="shared" ca="1" si="5"/>
        <v>2.2415940224159403</v>
      </c>
      <c r="AL22" s="3">
        <f t="shared" ca="1" si="5"/>
        <v>2.2460693785874719</v>
      </c>
      <c r="AM22" s="3">
        <f t="shared" ca="1" si="5"/>
        <v>1.7482517482517483</v>
      </c>
      <c r="AO22" s="3">
        <f t="shared" ca="1" si="6"/>
        <v>0.49677098857426727</v>
      </c>
      <c r="AP22" s="3">
        <f t="shared" ca="1" si="6"/>
        <v>0.24906600249066005</v>
      </c>
      <c r="AQ22" s="3">
        <f t="shared" ca="1" si="6"/>
        <v>0.24956326428749689</v>
      </c>
      <c r="AR22" s="3">
        <f t="shared" ca="1" si="6"/>
        <v>0.99900099900099915</v>
      </c>
      <c r="AT22" s="3">
        <v>0.5339999794960022</v>
      </c>
      <c r="AU22" s="3">
        <v>1.0000000474974513E-3</v>
      </c>
      <c r="AV22" s="3">
        <v>4.0000001899898052E-3</v>
      </c>
      <c r="AW22" s="3">
        <v>0.50400000810623169</v>
      </c>
      <c r="AY22" s="3">
        <f t="shared" ca="1" si="7"/>
        <v>0.19895678092399413</v>
      </c>
      <c r="AZ22" s="3">
        <f t="shared" ca="1" si="8"/>
        <v>0.33225404732254038</v>
      </c>
      <c r="BA22" s="3">
        <f t="shared" ca="1" si="9"/>
        <v>0.40329423508859502</v>
      </c>
      <c r="BB22" s="3">
        <f t="shared" ca="1" si="10"/>
        <v>0.16258741258741263</v>
      </c>
      <c r="BD22" s="3">
        <f t="shared" ca="1" si="11"/>
        <v>0.21087930857454198</v>
      </c>
      <c r="BE22" s="3">
        <f t="shared" ca="1" si="12"/>
        <v>0.57733499518668707</v>
      </c>
      <c r="BF22" s="3">
        <f t="shared" ca="1" si="13"/>
        <v>0.4364861673269898</v>
      </c>
      <c r="BG22" s="3">
        <f t="shared" ca="1" si="14"/>
        <v>0.14985014091838492</v>
      </c>
      <c r="BI22" s="3">
        <f t="shared" ca="1" si="15"/>
        <v>0.99354197714853454</v>
      </c>
      <c r="BJ22" s="3">
        <f t="shared" ca="1" si="16"/>
        <v>1.2453300124533002</v>
      </c>
      <c r="BK22" s="3">
        <f t="shared" ca="1" si="17"/>
        <v>0.74868979286249071</v>
      </c>
      <c r="BL22" s="3">
        <f t="shared" ca="1" si="18"/>
        <v>0.49950049950049957</v>
      </c>
      <c r="BN22" s="3">
        <f t="shared" ca="1" si="19"/>
        <v>1.7386984600099356</v>
      </c>
      <c r="BO22" s="3">
        <f t="shared" ca="1" si="20"/>
        <v>1.4943960149439603</v>
      </c>
      <c r="BP22" s="3">
        <f t="shared" ca="1" si="21"/>
        <v>0.74868979286249071</v>
      </c>
      <c r="BQ22" s="3">
        <f t="shared" ca="1" si="22"/>
        <v>0.99900099900099915</v>
      </c>
      <c r="BS22" s="3">
        <v>1.284000039100647</v>
      </c>
      <c r="BT22" s="3">
        <v>1.0000000474974513E-3</v>
      </c>
      <c r="BU22" s="3">
        <v>0.72000002861022949</v>
      </c>
      <c r="BV22" s="3">
        <v>0.50400000810623169</v>
      </c>
      <c r="BX22" s="3">
        <f t="shared" ca="1" si="23"/>
        <v>1.6393442622950821E-2</v>
      </c>
      <c r="BY22" s="3">
        <f t="shared" ca="1" si="24"/>
        <v>0</v>
      </c>
      <c r="BZ22" s="3">
        <f t="shared" ca="1" si="25"/>
        <v>9.1340154729223841E-2</v>
      </c>
      <c r="CA22" s="3">
        <f t="shared" ca="1" si="26"/>
        <v>9.1658341658341663E-2</v>
      </c>
      <c r="CC22" s="3">
        <f t="shared" ca="1" si="27"/>
        <v>0</v>
      </c>
      <c r="CD22" s="3">
        <f t="shared" ca="1" si="28"/>
        <v>0</v>
      </c>
      <c r="CE22" s="3">
        <f t="shared" ca="1" si="29"/>
        <v>0.10831046050880687</v>
      </c>
      <c r="CF22" s="3">
        <f t="shared" ca="1" si="30"/>
        <v>0.108141850281905</v>
      </c>
      <c r="CH22" s="3">
        <f t="shared" ca="1" si="31"/>
        <v>0</v>
      </c>
      <c r="CI22" s="3">
        <f t="shared" ca="1" si="32"/>
        <v>0</v>
      </c>
      <c r="CJ22" s="3">
        <f t="shared" ca="1" si="33"/>
        <v>0.49912652857499379</v>
      </c>
      <c r="CK22" s="3">
        <f t="shared" ca="1" si="34"/>
        <v>0.49950049950049957</v>
      </c>
      <c r="CM22" s="3">
        <f t="shared" ca="1" si="35"/>
        <v>0.24838549428713363</v>
      </c>
      <c r="CN22" s="3">
        <f t="shared" ca="1" si="36"/>
        <v>0</v>
      </c>
      <c r="CO22" s="3">
        <f t="shared" ca="1" si="37"/>
        <v>0.49912652857499379</v>
      </c>
      <c r="CP22" s="3">
        <f t="shared" ca="1" si="38"/>
        <v>0.7492507492507493</v>
      </c>
      <c r="CR22" s="3">
        <v>4.0259999999999998</v>
      </c>
      <c r="CS22" s="3">
        <v>4.0149999999999997</v>
      </c>
      <c r="CT22" s="3">
        <v>1.6369999647140503</v>
      </c>
      <c r="CU22" s="3">
        <v>1.5379999876022339</v>
      </c>
      <c r="CV22" s="21">
        <f t="shared" ca="1" si="40"/>
        <v>1.5379999876022339</v>
      </c>
      <c r="CW22" s="16">
        <f t="shared" ca="1" si="39"/>
        <v>5.083333333333333</v>
      </c>
      <c r="CX22" s="17" t="s">
        <v>283</v>
      </c>
      <c r="CY22" s="75"/>
      <c r="CZ22" s="18" t="s">
        <v>299</v>
      </c>
      <c r="DA22" s="14" t="s">
        <v>319</v>
      </c>
      <c r="DB22" s="14" t="s">
        <v>334</v>
      </c>
      <c r="DC22" s="14" t="s">
        <v>349</v>
      </c>
      <c r="DD22" s="14" t="s">
        <v>284</v>
      </c>
    </row>
    <row r="23" spans="1:108" s="3" customFormat="1" x14ac:dyDescent="0.35">
      <c r="A23" s="2" t="s">
        <v>49</v>
      </c>
      <c r="B23" s="2">
        <v>5.083333333333333</v>
      </c>
      <c r="C23" s="2" t="s">
        <v>168</v>
      </c>
      <c r="D23" s="2" t="s">
        <v>403</v>
      </c>
      <c r="F23" s="3">
        <v>4.016</v>
      </c>
      <c r="G23" s="3">
        <v>4.016</v>
      </c>
      <c r="H23" s="3">
        <v>4.016</v>
      </c>
      <c r="I23" s="3">
        <v>4.0149999999999997</v>
      </c>
      <c r="K23" s="3">
        <f t="shared" ca="1" si="0"/>
        <v>0.88371513944223101</v>
      </c>
      <c r="L23" s="3">
        <f t="shared" ca="1" si="0"/>
        <v>0.99576693227091639</v>
      </c>
      <c r="M23" s="3">
        <f t="shared" ca="1" si="0"/>
        <v>0.99576693227091639</v>
      </c>
      <c r="N23" s="3">
        <f t="shared" ca="1" si="0"/>
        <v>0.90884184308841853</v>
      </c>
      <c r="P23" s="3">
        <f t="shared" ca="1" si="1"/>
        <v>0.78012948610868116</v>
      </c>
      <c r="Q23" s="3">
        <f t="shared" ca="1" si="1"/>
        <v>0.94596615206799006</v>
      </c>
      <c r="R23" s="3">
        <f t="shared" ca="1" si="1"/>
        <v>0.9663844132328413</v>
      </c>
      <c r="S23" s="3">
        <f t="shared" ca="1" si="1"/>
        <v>0.82963875043733637</v>
      </c>
      <c r="U23" s="3">
        <f t="shared" ca="1" si="2"/>
        <v>2.4900398406374502</v>
      </c>
      <c r="V23" s="3">
        <f t="shared" ca="1" si="2"/>
        <v>3.237051792828685</v>
      </c>
      <c r="W23" s="3">
        <f t="shared" ca="1" si="2"/>
        <v>1.9920318725099602</v>
      </c>
      <c r="X23" s="3">
        <f t="shared" ca="1" si="2"/>
        <v>2.2415940224159403</v>
      </c>
      <c r="Z23" s="3">
        <f t="shared" ca="1" si="3"/>
        <v>0.72211155378486069</v>
      </c>
      <c r="AA23" s="3">
        <f t="shared" ca="1" si="3"/>
        <v>0.99576693227091639</v>
      </c>
      <c r="AB23" s="3">
        <f t="shared" ca="1" si="3"/>
        <v>0.99576693227091639</v>
      </c>
      <c r="AC23" s="3">
        <f t="shared" ca="1" si="3"/>
        <v>0.74296388542963887</v>
      </c>
      <c r="AE23" s="3">
        <f t="shared" ca="1" si="4"/>
        <v>0.65986056667400073</v>
      </c>
      <c r="AF23" s="3">
        <f t="shared" ca="1" si="4"/>
        <v>0.94596615206799006</v>
      </c>
      <c r="AG23" s="3">
        <f t="shared" ca="1" si="4"/>
        <v>0.9663844132328413</v>
      </c>
      <c r="AH23" s="3">
        <f t="shared" ca="1" si="4"/>
        <v>0.6555416441498183</v>
      </c>
      <c r="AJ23" s="3">
        <f t="shared" ca="1" si="5"/>
        <v>1.9920318725099602</v>
      </c>
      <c r="AK23" s="3">
        <f t="shared" ca="1" si="5"/>
        <v>3.237051792828685</v>
      </c>
      <c r="AL23" s="3">
        <f t="shared" ca="1" si="5"/>
        <v>1.9920318725099602</v>
      </c>
      <c r="AM23" s="3">
        <f t="shared" ca="1" si="5"/>
        <v>1.7434620174346203</v>
      </c>
      <c r="AO23" s="3">
        <f t="shared" ca="1" si="6"/>
        <v>0.99601593625498008</v>
      </c>
      <c r="AP23" s="3">
        <f t="shared" ca="1" si="6"/>
        <v>0.24900398406374502</v>
      </c>
      <c r="AQ23" s="3">
        <f t="shared" ca="1" si="6"/>
        <v>0.24900398406374502</v>
      </c>
      <c r="AR23" s="3">
        <f t="shared" ca="1" si="6"/>
        <v>0.74719800747198017</v>
      </c>
      <c r="AT23" s="3">
        <v>0.51599997282028198</v>
      </c>
      <c r="AU23" s="3">
        <v>6.0000000521540642E-3</v>
      </c>
      <c r="AV23" s="3">
        <v>0</v>
      </c>
      <c r="AW23" s="3">
        <v>0.39500001072883606</v>
      </c>
      <c r="AY23" s="3">
        <f t="shared" ca="1" si="7"/>
        <v>0.17828685258964147</v>
      </c>
      <c r="AZ23" s="3">
        <f t="shared" ca="1" si="8"/>
        <v>4.5816733067729126E-2</v>
      </c>
      <c r="BA23" s="3">
        <f t="shared" ca="1" si="9"/>
        <v>8.21713147410362E-3</v>
      </c>
      <c r="BB23" s="3">
        <f t="shared" ca="1" si="10"/>
        <v>0</v>
      </c>
      <c r="BD23" s="3">
        <f t="shared" ca="1" si="11"/>
        <v>3.7350621356432183E-2</v>
      </c>
      <c r="BE23" s="3">
        <f t="shared" ca="1" si="12"/>
        <v>3.7350621356432183E-2</v>
      </c>
      <c r="BF23" s="3">
        <f t="shared" ca="1" si="13"/>
        <v>0</v>
      </c>
      <c r="BG23" s="3">
        <f t="shared" ca="1" si="14"/>
        <v>0</v>
      </c>
      <c r="BI23" s="3">
        <f t="shared" ca="1" si="15"/>
        <v>0.24900398406374502</v>
      </c>
      <c r="BJ23" s="3">
        <f t="shared" ca="1" si="16"/>
        <v>0.24900398406374502</v>
      </c>
      <c r="BK23" s="3">
        <f t="shared" ca="1" si="17"/>
        <v>0</v>
      </c>
      <c r="BL23" s="3">
        <f t="shared" ca="1" si="18"/>
        <v>0</v>
      </c>
      <c r="BN23" s="3">
        <f t="shared" ca="1" si="19"/>
        <v>0.99601593625498008</v>
      </c>
      <c r="BO23" s="3">
        <f t="shared" ca="1" si="20"/>
        <v>0.24900398406374502</v>
      </c>
      <c r="BP23" s="3">
        <f t="shared" ca="1" si="21"/>
        <v>0.24900398406374502</v>
      </c>
      <c r="BQ23" s="3">
        <f t="shared" ca="1" si="22"/>
        <v>0</v>
      </c>
      <c r="BS23" s="3">
        <v>3.8489999771118164</v>
      </c>
      <c r="BT23" s="3">
        <v>1.3049999475479126</v>
      </c>
      <c r="BU23" s="3">
        <v>4.016</v>
      </c>
      <c r="BV23" s="3">
        <v>4.0149999999999997</v>
      </c>
      <c r="BX23" s="3">
        <f t="shared" ca="1" si="23"/>
        <v>0.15388446215139454</v>
      </c>
      <c r="BY23" s="3">
        <f t="shared" ca="1" si="24"/>
        <v>0.34013944223107562</v>
      </c>
      <c r="BZ23" s="3">
        <f t="shared" ca="1" si="25"/>
        <v>0.31125498007968128</v>
      </c>
      <c r="CA23" s="3">
        <f t="shared" ca="1" si="26"/>
        <v>0.12876712328767123</v>
      </c>
      <c r="CC23" s="3">
        <f t="shared" ca="1" si="27"/>
        <v>0.22808762185602074</v>
      </c>
      <c r="CD23" s="3">
        <f t="shared" ca="1" si="28"/>
        <v>0.439740980157176</v>
      </c>
      <c r="CE23" s="3">
        <f t="shared" ca="1" si="29"/>
        <v>0.34835659323698021</v>
      </c>
      <c r="CF23" s="3">
        <f t="shared" ca="1" si="30"/>
        <v>2.4906635878243454E-2</v>
      </c>
      <c r="CH23" s="3">
        <f t="shared" ca="1" si="31"/>
        <v>0.24900398406374502</v>
      </c>
      <c r="CI23" s="3">
        <f t="shared" ca="1" si="32"/>
        <v>1.4940239043824701</v>
      </c>
      <c r="CJ23" s="3">
        <f t="shared" ca="1" si="33"/>
        <v>0.49800796812749004</v>
      </c>
      <c r="CK23" s="3">
        <f t="shared" ca="1" si="34"/>
        <v>0.24906600249066005</v>
      </c>
      <c r="CM23" s="3">
        <f t="shared" ca="1" si="35"/>
        <v>1.2450199203187251</v>
      </c>
      <c r="CN23" s="3">
        <f t="shared" ca="1" si="36"/>
        <v>1.4940239043824701</v>
      </c>
      <c r="CO23" s="3">
        <f t="shared" ca="1" si="37"/>
        <v>0.49800796812749004</v>
      </c>
      <c r="CP23" s="3">
        <f t="shared" ca="1" si="38"/>
        <v>1.2453300124533002</v>
      </c>
      <c r="CR23" s="3">
        <v>2.6830000877380371</v>
      </c>
      <c r="CS23" s="3">
        <v>6.0000000521540642E-3</v>
      </c>
      <c r="CT23" s="3">
        <v>0</v>
      </c>
      <c r="CU23" s="3">
        <v>2.9609999656677246</v>
      </c>
      <c r="CV23" s="21">
        <f t="shared" ca="1" si="40"/>
        <v>2.9609999656677246</v>
      </c>
      <c r="CW23" s="16">
        <f t="shared" ca="1" si="39"/>
        <v>5.083333333333333</v>
      </c>
      <c r="CX23" s="17" t="s">
        <v>284</v>
      </c>
      <c r="CY23" s="76" t="s">
        <v>272</v>
      </c>
      <c r="CZ23" s="15" t="s">
        <v>288</v>
      </c>
      <c r="DA23" s="15" t="s">
        <v>288</v>
      </c>
      <c r="DB23" s="15" t="s">
        <v>288</v>
      </c>
      <c r="DC23" s="15" t="s">
        <v>288</v>
      </c>
      <c r="DD23" s="15" t="s">
        <v>273</v>
      </c>
    </row>
    <row r="24" spans="1:108" s="3" customFormat="1" x14ac:dyDescent="0.35">
      <c r="A24" s="2" t="s">
        <v>35</v>
      </c>
      <c r="B24" s="2">
        <v>5.166666666666667</v>
      </c>
      <c r="C24" s="2" t="s">
        <v>167</v>
      </c>
      <c r="D24" s="2" t="s">
        <v>403</v>
      </c>
      <c r="F24" s="3" t="e">
        <v>#N/A</v>
      </c>
      <c r="G24" s="3">
        <v>4.0279999999999996</v>
      </c>
      <c r="H24" s="3" t="e">
        <v>#N/A</v>
      </c>
      <c r="I24" s="3" t="e">
        <v>#N/A</v>
      </c>
      <c r="K24" s="3" t="e">
        <f t="shared" ca="1" si="0"/>
        <v>#N/A</v>
      </c>
      <c r="L24" s="3">
        <f t="shared" ca="1" si="0"/>
        <v>0.99280039721946389</v>
      </c>
      <c r="M24" s="3" t="e">
        <f t="shared" ca="1" si="0"/>
        <v>#N/A</v>
      </c>
      <c r="N24" s="3" t="e">
        <f t="shared" ca="1" si="0"/>
        <v>#N/A</v>
      </c>
      <c r="P24" s="3" t="e">
        <f t="shared" ca="1" si="1"/>
        <v>#N/A</v>
      </c>
      <c r="Q24" s="3">
        <f t="shared" ca="1" si="1"/>
        <v>0.89299900072525973</v>
      </c>
      <c r="R24" s="3" t="e">
        <f t="shared" ca="1" si="1"/>
        <v>#N/A</v>
      </c>
      <c r="S24" s="3" t="e">
        <f t="shared" ca="1" si="1"/>
        <v>#N/A</v>
      </c>
      <c r="U24" s="3" t="e">
        <f t="shared" ca="1" si="2"/>
        <v>#N/A</v>
      </c>
      <c r="V24" s="3">
        <f t="shared" ca="1" si="2"/>
        <v>1.7378351539225423</v>
      </c>
      <c r="W24" s="3" t="e">
        <f t="shared" ca="1" si="2"/>
        <v>#N/A</v>
      </c>
      <c r="X24" s="3" t="e">
        <f t="shared" ca="1" si="2"/>
        <v>#N/A</v>
      </c>
      <c r="Z24" s="3" t="e">
        <f t="shared" ca="1" si="3"/>
        <v>#N/A</v>
      </c>
      <c r="AA24" s="3">
        <f t="shared" ca="1" si="3"/>
        <v>0.99280039721946389</v>
      </c>
      <c r="AB24" s="3" t="e">
        <f t="shared" ca="1" si="3"/>
        <v>#N/A</v>
      </c>
      <c r="AC24" s="3" t="e">
        <f t="shared" ca="1" si="3"/>
        <v>#N/A</v>
      </c>
      <c r="AE24" s="3" t="e">
        <f t="shared" ca="1" si="4"/>
        <v>#N/A</v>
      </c>
      <c r="AF24" s="3">
        <f t="shared" ca="1" si="4"/>
        <v>0.89299900072525973</v>
      </c>
      <c r="AG24" s="3" t="e">
        <f t="shared" ca="1" si="4"/>
        <v>#N/A</v>
      </c>
      <c r="AH24" s="3" t="e">
        <f t="shared" ca="1" si="4"/>
        <v>#N/A</v>
      </c>
      <c r="AJ24" s="3" t="e">
        <f t="shared" ca="1" si="5"/>
        <v>#N/A</v>
      </c>
      <c r="AK24" s="3">
        <f t="shared" ca="1" si="5"/>
        <v>1.7378351539225423</v>
      </c>
      <c r="AL24" s="3" t="e">
        <f t="shared" ca="1" si="5"/>
        <v>#N/A</v>
      </c>
      <c r="AM24" s="3" t="e">
        <f t="shared" ca="1" si="5"/>
        <v>#N/A</v>
      </c>
      <c r="AO24" s="3" t="e">
        <f t="shared" ca="1" si="6"/>
        <v>#N/A</v>
      </c>
      <c r="AP24" s="3">
        <f t="shared" ca="1" si="6"/>
        <v>0.24826216484607749</v>
      </c>
      <c r="AQ24" s="3" t="e">
        <f t="shared" ca="1" si="6"/>
        <v>#N/A</v>
      </c>
      <c r="AR24" s="3" t="e">
        <f t="shared" ca="1" si="6"/>
        <v>#N/A</v>
      </c>
      <c r="AT24" s="3">
        <v>4.999999888241291E-3</v>
      </c>
      <c r="AU24" s="3">
        <v>2.3000000044703484E-2</v>
      </c>
      <c r="AV24" s="3">
        <v>0.2460000067949295</v>
      </c>
      <c r="AW24" s="3">
        <v>0.92500001192092896</v>
      </c>
      <c r="AY24" s="3" t="e">
        <f t="shared" ca="1" si="7"/>
        <v>#N/A</v>
      </c>
      <c r="AZ24" s="3">
        <f t="shared" ca="1" si="8"/>
        <v>0.7403177755710032</v>
      </c>
      <c r="BA24" s="3" t="e">
        <f t="shared" ca="1" si="9"/>
        <v>#N/A</v>
      </c>
      <c r="BB24" s="3" t="e">
        <f t="shared" ca="1" si="10"/>
        <v>#N/A</v>
      </c>
      <c r="BD24" s="3" t="e">
        <f t="shared" ca="1" si="11"/>
        <v>#N/A</v>
      </c>
      <c r="BE24" s="3">
        <f t="shared" ca="1" si="12"/>
        <v>0.74851043825708297</v>
      </c>
      <c r="BF24" s="3" t="e">
        <f t="shared" ca="1" si="13"/>
        <v>#N/A</v>
      </c>
      <c r="BG24" s="3" t="e">
        <f t="shared" ca="1" si="14"/>
        <v>#N/A</v>
      </c>
      <c r="BI24" s="3" t="e">
        <f t="shared" ca="1" si="15"/>
        <v>#N/A</v>
      </c>
      <c r="BJ24" s="3">
        <f t="shared" ca="1" si="16"/>
        <v>1.2413108242303874</v>
      </c>
      <c r="BK24" s="3" t="e">
        <f t="shared" ca="1" si="17"/>
        <v>#N/A</v>
      </c>
      <c r="BL24" s="3" t="e">
        <f t="shared" ca="1" si="18"/>
        <v>#N/A</v>
      </c>
      <c r="BN24" s="3" t="e">
        <f t="shared" ca="1" si="19"/>
        <v>#N/A</v>
      </c>
      <c r="BO24" s="3">
        <f t="shared" ca="1" si="20"/>
        <v>0.74478649453823242</v>
      </c>
      <c r="BP24" s="3" t="e">
        <f t="shared" ca="1" si="21"/>
        <v>#N/A</v>
      </c>
      <c r="BQ24" s="3" t="e">
        <f t="shared" ca="1" si="22"/>
        <v>#N/A</v>
      </c>
      <c r="BS24" s="3">
        <v>0.60500001907348633</v>
      </c>
      <c r="BT24" s="3">
        <v>0.50599998235702515</v>
      </c>
      <c r="BU24" s="3">
        <v>0.76200002431869507</v>
      </c>
      <c r="BV24" s="3">
        <v>4.0110000000000001</v>
      </c>
      <c r="BX24" s="3" t="e">
        <f t="shared" ca="1" si="23"/>
        <v>#N/A</v>
      </c>
      <c r="BY24" s="3">
        <f t="shared" ca="1" si="24"/>
        <v>2.879841112214496E-2</v>
      </c>
      <c r="BZ24" s="3" t="e">
        <f t="shared" ca="1" si="25"/>
        <v>#N/A</v>
      </c>
      <c r="CA24" s="3" t="e">
        <f t="shared" ca="1" si="26"/>
        <v>#N/A</v>
      </c>
      <c r="CC24" s="3" t="e">
        <f t="shared" ca="1" si="27"/>
        <v>#N/A</v>
      </c>
      <c r="CD24" s="3">
        <f t="shared" ca="1" si="28"/>
        <v>2.8798395495902466E-2</v>
      </c>
      <c r="CE24" s="3" t="e">
        <f t="shared" ca="1" si="29"/>
        <v>#N/A</v>
      </c>
      <c r="CF24" s="3" t="e">
        <f t="shared" ca="1" si="30"/>
        <v>#N/A</v>
      </c>
      <c r="CH24" s="3" t="e">
        <f t="shared" ca="1" si="31"/>
        <v>#N/A</v>
      </c>
      <c r="CI24" s="3">
        <f t="shared" ca="1" si="32"/>
        <v>0.24826216484607749</v>
      </c>
      <c r="CJ24" s="3" t="e">
        <f t="shared" ca="1" si="33"/>
        <v>#N/A</v>
      </c>
      <c r="CK24" s="3" t="e">
        <f t="shared" ca="1" si="34"/>
        <v>#N/A</v>
      </c>
      <c r="CM24" s="3" t="e">
        <f t="shared" ca="1" si="35"/>
        <v>#N/A</v>
      </c>
      <c r="CN24" s="3">
        <f t="shared" ca="1" si="36"/>
        <v>0.24826216484607749</v>
      </c>
      <c r="CO24" s="3" t="e">
        <f t="shared" ca="1" si="37"/>
        <v>#N/A</v>
      </c>
      <c r="CP24" s="3" t="e">
        <f t="shared" ca="1" si="38"/>
        <v>#N/A</v>
      </c>
      <c r="CR24" s="3">
        <v>4.0259999999999998</v>
      </c>
      <c r="CS24" s="3">
        <v>1.406000018119812</v>
      </c>
      <c r="CT24" s="3">
        <v>4.0090000000000003</v>
      </c>
      <c r="CU24" s="3">
        <v>4.0110000000000001</v>
      </c>
      <c r="CV24" s="21">
        <f t="shared" ca="1" si="40"/>
        <v>4.0110000000000001</v>
      </c>
      <c r="CW24" s="16">
        <f t="shared" ca="1" si="39"/>
        <v>5.166666666666667</v>
      </c>
      <c r="CY24" s="77"/>
      <c r="CZ24" s="15" t="s">
        <v>291</v>
      </c>
      <c r="DA24" s="15" t="s">
        <v>304</v>
      </c>
      <c r="DB24" s="15" t="s">
        <v>323</v>
      </c>
      <c r="DC24" s="15" t="s">
        <v>338</v>
      </c>
      <c r="DD24" s="15" t="s">
        <v>280</v>
      </c>
    </row>
    <row r="25" spans="1:108" s="3" customFormat="1" x14ac:dyDescent="0.35">
      <c r="A25" s="2" t="s">
        <v>19</v>
      </c>
      <c r="B25" s="2">
        <v>5.25</v>
      </c>
      <c r="C25" s="2" t="s">
        <v>168</v>
      </c>
      <c r="D25" s="2" t="s">
        <v>403</v>
      </c>
      <c r="F25" s="3">
        <v>4.016</v>
      </c>
      <c r="G25" s="3">
        <v>3.0939999999999999</v>
      </c>
      <c r="H25" s="3">
        <v>4.016</v>
      </c>
      <c r="I25" s="3">
        <v>4.016</v>
      </c>
      <c r="K25" s="3">
        <f t="shared" ca="1" si="0"/>
        <v>0.99576693227091628</v>
      </c>
      <c r="L25" s="3">
        <f t="shared" ca="1" si="0"/>
        <v>0.99612152553329025</v>
      </c>
      <c r="M25" s="3">
        <f t="shared" ca="1" si="0"/>
        <v>0.99576693227091639</v>
      </c>
      <c r="N25" s="3">
        <f t="shared" ca="1" si="0"/>
        <v>0.88371513944223101</v>
      </c>
      <c r="P25" s="3">
        <f t="shared" ca="1" si="1"/>
        <v>0.19098606064500087</v>
      </c>
      <c r="Q25" s="3">
        <f t="shared" ca="1" si="1"/>
        <v>0.22624437856766666</v>
      </c>
      <c r="R25" s="3">
        <f t="shared" ca="1" si="1"/>
        <v>6.2250996015936255E-2</v>
      </c>
      <c r="S25" s="3">
        <f t="shared" ca="1" si="1"/>
        <v>0.14940233700778854</v>
      </c>
      <c r="U25" s="3">
        <f t="shared" ca="1" si="2"/>
        <v>1.2450199203187251</v>
      </c>
      <c r="V25" s="3">
        <f t="shared" ca="1" si="2"/>
        <v>1.9392372333548804</v>
      </c>
      <c r="W25" s="3">
        <f t="shared" ca="1" si="2"/>
        <v>0.49800796812749004</v>
      </c>
      <c r="X25" s="3">
        <f t="shared" ca="1" si="2"/>
        <v>1.2450199203187251</v>
      </c>
      <c r="Z25" s="3">
        <f t="shared" ca="1" si="3"/>
        <v>0.56474103585657365</v>
      </c>
      <c r="AA25" s="3">
        <f t="shared" ca="1" si="3"/>
        <v>0.60827407886231422</v>
      </c>
      <c r="AB25" s="3">
        <f t="shared" ca="1" si="3"/>
        <v>0.4397410358565737</v>
      </c>
      <c r="AC25" s="3">
        <f t="shared" ca="1" si="3"/>
        <v>0.6431772908366532</v>
      </c>
      <c r="AE25" s="3">
        <f t="shared" ca="1" si="4"/>
        <v>0.19098606064500087</v>
      </c>
      <c r="AF25" s="3">
        <f t="shared" ca="1" si="4"/>
        <v>0.18875240200784951</v>
      </c>
      <c r="AG25" s="3">
        <f t="shared" ca="1" si="4"/>
        <v>3.7350561989256112E-2</v>
      </c>
      <c r="AH25" s="3">
        <f t="shared" ca="1" si="4"/>
        <v>0.11628483277393052</v>
      </c>
      <c r="AJ25" s="3">
        <f t="shared" ca="1" si="5"/>
        <v>1.2450199203187251</v>
      </c>
      <c r="AK25" s="3">
        <f t="shared" ca="1" si="5"/>
        <v>1.6160310277957337</v>
      </c>
      <c r="AL25" s="3">
        <f t="shared" ca="1" si="5"/>
        <v>0.24900398406374502</v>
      </c>
      <c r="AM25" s="3">
        <f t="shared" ca="1" si="5"/>
        <v>0.99601593625498008</v>
      </c>
      <c r="AO25" s="3">
        <f t="shared" ca="1" si="6"/>
        <v>6.9721115537848606</v>
      </c>
      <c r="AP25" s="3">
        <f t="shared" ca="1" si="6"/>
        <v>2.2624434389140271</v>
      </c>
      <c r="AQ25" s="3">
        <f t="shared" ca="1" si="6"/>
        <v>3.7350597609561751</v>
      </c>
      <c r="AR25" s="3">
        <f t="shared" ca="1" si="6"/>
        <v>1.9920318725099602</v>
      </c>
      <c r="AT25" s="3">
        <v>0.29899999499320984</v>
      </c>
      <c r="AU25" s="3">
        <v>0.52899998426437378</v>
      </c>
      <c r="AV25" s="3">
        <v>2.2890000343322754</v>
      </c>
      <c r="AW25" s="3">
        <v>1.3270000219345093</v>
      </c>
      <c r="AY25" s="3">
        <f t="shared" ca="1" si="7"/>
        <v>7.8934262948207129E-2</v>
      </c>
      <c r="AZ25" s="3">
        <f t="shared" ca="1" si="8"/>
        <v>9.1144149967679333E-2</v>
      </c>
      <c r="BA25" s="3">
        <f t="shared" ca="1" si="9"/>
        <v>1.2201195219123462E-2</v>
      </c>
      <c r="BB25" s="3">
        <f t="shared" ca="1" si="10"/>
        <v>0.11230079681274904</v>
      </c>
      <c r="BD25" s="3">
        <f t="shared" ca="1" si="11"/>
        <v>4.158366427003625E-2</v>
      </c>
      <c r="BE25" s="3">
        <f t="shared" ca="1" si="12"/>
        <v>3.7491918766043922E-2</v>
      </c>
      <c r="BF25" s="3">
        <f t="shared" ca="1" si="13"/>
        <v>0</v>
      </c>
      <c r="BG25" s="3">
        <f t="shared" ca="1" si="14"/>
        <v>9.1384458114426442E-2</v>
      </c>
      <c r="BI25" s="3">
        <f t="shared" ca="1" si="15"/>
        <v>0.24900398406374502</v>
      </c>
      <c r="BJ25" s="3">
        <f t="shared" ca="1" si="16"/>
        <v>0.32320620555914675</v>
      </c>
      <c r="BK25" s="3">
        <f t="shared" ca="1" si="17"/>
        <v>0</v>
      </c>
      <c r="BL25" s="3">
        <f t="shared" ca="1" si="18"/>
        <v>0.74701195219123506</v>
      </c>
      <c r="BN25" s="3">
        <f t="shared" ca="1" si="19"/>
        <v>3.7350597609561751</v>
      </c>
      <c r="BO25" s="3">
        <f t="shared" ca="1" si="20"/>
        <v>4.8480930833872016</v>
      </c>
      <c r="BP25" s="3">
        <f t="shared" ca="1" si="21"/>
        <v>1.4940239043824701</v>
      </c>
      <c r="BQ25" s="3">
        <f t="shared" ca="1" si="22"/>
        <v>3.237051792828685</v>
      </c>
      <c r="BS25" s="3">
        <v>0.29899999499320984</v>
      </c>
      <c r="BT25" s="3">
        <v>0.52899998426437378</v>
      </c>
      <c r="BU25" s="3">
        <v>4.016</v>
      </c>
      <c r="BV25" s="3">
        <v>1.3270000219345093</v>
      </c>
      <c r="BX25" s="3">
        <f t="shared" ca="1" si="23"/>
        <v>3.9840637450199237E-3</v>
      </c>
      <c r="BY25" s="3">
        <f t="shared" ca="1" si="24"/>
        <v>0</v>
      </c>
      <c r="BZ25" s="3">
        <f t="shared" ca="1" si="25"/>
        <v>0</v>
      </c>
      <c r="CA25" s="3">
        <f t="shared" ca="1" si="26"/>
        <v>2.0667330677290884E-2</v>
      </c>
      <c r="CC25" s="3">
        <f t="shared" ca="1" si="27"/>
        <v>0</v>
      </c>
      <c r="CD25" s="3">
        <f t="shared" ca="1" si="28"/>
        <v>0</v>
      </c>
      <c r="CE25" s="3">
        <f t="shared" ca="1" si="29"/>
        <v>0</v>
      </c>
      <c r="CF25" s="3">
        <f t="shared" ca="1" si="30"/>
        <v>2.4900374659504072E-2</v>
      </c>
      <c r="CH25" s="3">
        <f t="shared" ca="1" si="31"/>
        <v>0</v>
      </c>
      <c r="CI25" s="3">
        <f t="shared" ca="1" si="32"/>
        <v>0</v>
      </c>
      <c r="CJ25" s="3">
        <f t="shared" ca="1" si="33"/>
        <v>0</v>
      </c>
      <c r="CK25" s="3">
        <f t="shared" ca="1" si="34"/>
        <v>0.24900398406374502</v>
      </c>
      <c r="CM25" s="3">
        <f t="shared" ca="1" si="35"/>
        <v>0.24900398406374502</v>
      </c>
      <c r="CN25" s="3">
        <f t="shared" ca="1" si="36"/>
        <v>0.32320620555914675</v>
      </c>
      <c r="CO25" s="3">
        <f t="shared" ca="1" si="37"/>
        <v>1.2450199203187251</v>
      </c>
      <c r="CP25" s="3">
        <f t="shared" ca="1" si="38"/>
        <v>0.74701195219123506</v>
      </c>
      <c r="CR25" s="3">
        <v>4.016</v>
      </c>
      <c r="CS25" s="3">
        <v>4.016</v>
      </c>
      <c r="CT25" s="3">
        <v>4.016</v>
      </c>
      <c r="CU25" s="3">
        <v>3.7100000381469727</v>
      </c>
      <c r="CV25" s="21">
        <f t="shared" ca="1" si="40"/>
        <v>3.7100000381469727</v>
      </c>
      <c r="CW25" s="16">
        <f t="shared" ca="1" si="39"/>
        <v>5.25</v>
      </c>
      <c r="CY25" s="77"/>
      <c r="CZ25" s="15" t="s">
        <v>294</v>
      </c>
      <c r="DA25" s="15" t="s">
        <v>308</v>
      </c>
      <c r="DB25" s="15" t="s">
        <v>326</v>
      </c>
      <c r="DC25" s="15" t="s">
        <v>341</v>
      </c>
      <c r="DD25" s="15" t="s">
        <v>281</v>
      </c>
    </row>
    <row r="26" spans="1:108" s="3" customFormat="1" x14ac:dyDescent="0.35">
      <c r="A26" s="2" t="s">
        <v>66</v>
      </c>
      <c r="B26" s="2">
        <v>5.333333333333333</v>
      </c>
      <c r="C26" s="2" t="s">
        <v>168</v>
      </c>
      <c r="D26" s="2" t="s">
        <v>403</v>
      </c>
      <c r="F26" s="3">
        <v>4.0110000000000001</v>
      </c>
      <c r="G26" s="3">
        <v>4.016</v>
      </c>
      <c r="H26" s="3">
        <v>4.0039999999999996</v>
      </c>
      <c r="I26" s="3">
        <v>4.01</v>
      </c>
      <c r="K26" s="3">
        <f t="shared" ca="1" si="0"/>
        <v>0.98878085265519822</v>
      </c>
      <c r="L26" s="3">
        <f t="shared" ca="1" si="0"/>
        <v>0.99601593625498008</v>
      </c>
      <c r="M26" s="3">
        <f t="shared" ca="1" si="0"/>
        <v>0.99450549450549464</v>
      </c>
      <c r="N26" s="3">
        <f t="shared" ca="1" si="0"/>
        <v>0.99725685785536167</v>
      </c>
      <c r="P26" s="3">
        <f t="shared" ca="1" si="1"/>
        <v>0.57317373419203266</v>
      </c>
      <c r="Q26" s="3">
        <f t="shared" ca="1" si="1"/>
        <v>0.42355582451974727</v>
      </c>
      <c r="R26" s="3">
        <f t="shared" ca="1" si="1"/>
        <v>0.53771238003696487</v>
      </c>
      <c r="S26" s="3">
        <f t="shared" ca="1" si="1"/>
        <v>0.81022435664536063</v>
      </c>
      <c r="U26" s="3">
        <f t="shared" ca="1" si="2"/>
        <v>3.2410870107205185</v>
      </c>
      <c r="V26" s="3">
        <f t="shared" ca="1" si="2"/>
        <v>3.237051792828685</v>
      </c>
      <c r="W26" s="3">
        <f t="shared" ca="1" si="2"/>
        <v>3.4965034965034967</v>
      </c>
      <c r="X26" s="3">
        <f t="shared" ca="1" si="2"/>
        <v>2.7431421446384041</v>
      </c>
      <c r="Z26" s="3">
        <f t="shared" ca="1" si="3"/>
        <v>0.98878085265519822</v>
      </c>
      <c r="AA26" s="3">
        <f t="shared" ca="1" si="3"/>
        <v>0.87126494023904399</v>
      </c>
      <c r="AB26" s="3">
        <f t="shared" ca="1" si="3"/>
        <v>0.99450549450549464</v>
      </c>
      <c r="AC26" s="3">
        <f t="shared" ca="1" si="3"/>
        <v>0.98478802992518699</v>
      </c>
      <c r="AE26" s="3">
        <f t="shared" ca="1" si="4"/>
        <v>0.57317373419203266</v>
      </c>
      <c r="AF26" s="3">
        <f t="shared" ca="1" si="4"/>
        <v>0.42355582451974727</v>
      </c>
      <c r="AG26" s="3">
        <f t="shared" ca="1" si="4"/>
        <v>0.53771238003696487</v>
      </c>
      <c r="AH26" s="3">
        <f t="shared" ca="1" si="4"/>
        <v>0.81022435664536063</v>
      </c>
      <c r="AJ26" s="3">
        <f t="shared" ca="1" si="5"/>
        <v>3.2410870107205185</v>
      </c>
      <c r="AK26" s="3">
        <f t="shared" ca="1" si="5"/>
        <v>3.237051792828685</v>
      </c>
      <c r="AL26" s="3">
        <f t="shared" ca="1" si="5"/>
        <v>3.4965034965034967</v>
      </c>
      <c r="AM26" s="3">
        <f t="shared" ca="1" si="5"/>
        <v>2.7431421446384041</v>
      </c>
      <c r="AO26" s="3">
        <f t="shared" ca="1" si="6"/>
        <v>0.24931438544003989</v>
      </c>
      <c r="AP26" s="3">
        <f t="shared" ca="1" si="6"/>
        <v>1.9920318725099602</v>
      </c>
      <c r="AQ26" s="3">
        <f t="shared" ca="1" si="6"/>
        <v>0.24975024975024979</v>
      </c>
      <c r="AR26" s="3">
        <f t="shared" ca="1" si="6"/>
        <v>0.49875311720698257</v>
      </c>
      <c r="AT26" s="3">
        <v>1.6000000759959221E-2</v>
      </c>
      <c r="AU26" s="3">
        <v>3.9999999105930328E-2</v>
      </c>
      <c r="AV26" s="3">
        <v>0.21600000560283661</v>
      </c>
      <c r="AW26" s="3">
        <v>7.2999998927116394E-2</v>
      </c>
      <c r="AY26" s="3">
        <f t="shared" ca="1" si="7"/>
        <v>3.3657442034405287E-2</v>
      </c>
      <c r="AZ26" s="3">
        <f t="shared" ca="1" si="8"/>
        <v>4.1334661354581602E-2</v>
      </c>
      <c r="BA26" s="3">
        <f t="shared" ca="1" si="9"/>
        <v>0.17907092907092906</v>
      </c>
      <c r="BB26" s="3">
        <f t="shared" ca="1" si="10"/>
        <v>0.25735660847880304</v>
      </c>
      <c r="BD26" s="3">
        <f t="shared" ca="1" si="11"/>
        <v>2.4931437522358681E-2</v>
      </c>
      <c r="BE26" s="3">
        <f t="shared" ca="1" si="12"/>
        <v>0</v>
      </c>
      <c r="BF26" s="3">
        <f t="shared" ca="1" si="13"/>
        <v>0.13361640505261951</v>
      </c>
      <c r="BG26" s="3">
        <f t="shared" ca="1" si="14"/>
        <v>0.26583540766613739</v>
      </c>
      <c r="BI26" s="3">
        <f t="shared" ca="1" si="15"/>
        <v>0.24931438544003989</v>
      </c>
      <c r="BJ26" s="3">
        <f t="shared" ca="1" si="16"/>
        <v>0</v>
      </c>
      <c r="BK26" s="3">
        <f t="shared" ca="1" si="17"/>
        <v>0.7492507492507493</v>
      </c>
      <c r="BL26" s="3">
        <f t="shared" ca="1" si="18"/>
        <v>0.49875311720698257</v>
      </c>
      <c r="BN26" s="3">
        <f t="shared" ca="1" si="19"/>
        <v>1.7452006980802792</v>
      </c>
      <c r="BO26" s="3">
        <f t="shared" ca="1" si="20"/>
        <v>1.9920318725099602</v>
      </c>
      <c r="BP26" s="3">
        <f t="shared" ca="1" si="21"/>
        <v>0.99900099900099915</v>
      </c>
      <c r="BQ26" s="3">
        <f t="shared" ca="1" si="22"/>
        <v>0.49875311720698257</v>
      </c>
      <c r="BS26" s="3">
        <v>1.6000000759959221E-2</v>
      </c>
      <c r="BT26" s="3">
        <v>4.016</v>
      </c>
      <c r="BU26" s="3">
        <v>3.0309998989105225</v>
      </c>
      <c r="BV26" s="3">
        <v>2.8389999866485596</v>
      </c>
      <c r="BX26" s="3">
        <f t="shared" ca="1" si="23"/>
        <v>0</v>
      </c>
      <c r="BY26" s="3">
        <f t="shared" ca="1" si="24"/>
        <v>0.12823705179282865</v>
      </c>
      <c r="BZ26" s="3">
        <f t="shared" ca="1" si="25"/>
        <v>0</v>
      </c>
      <c r="CA26" s="3">
        <f t="shared" ca="1" si="26"/>
        <v>0</v>
      </c>
      <c r="CC26" s="3">
        <f t="shared" ca="1" si="27"/>
        <v>0</v>
      </c>
      <c r="CD26" s="3">
        <f t="shared" ca="1" si="28"/>
        <v>9.5617525145945792E-2</v>
      </c>
      <c r="CE26" s="3">
        <f t="shared" ca="1" si="29"/>
        <v>0</v>
      </c>
      <c r="CF26" s="3">
        <f t="shared" ca="1" si="30"/>
        <v>0</v>
      </c>
      <c r="CH26" s="3">
        <f t="shared" ca="1" si="31"/>
        <v>0</v>
      </c>
      <c r="CI26" s="3">
        <f t="shared" ca="1" si="32"/>
        <v>0.49800796812749004</v>
      </c>
      <c r="CJ26" s="3">
        <f t="shared" ca="1" si="33"/>
        <v>0</v>
      </c>
      <c r="CK26" s="3">
        <f t="shared" ca="1" si="34"/>
        <v>0</v>
      </c>
      <c r="CM26" s="3">
        <f t="shared" ca="1" si="35"/>
        <v>0</v>
      </c>
      <c r="CN26" s="3">
        <f t="shared" ca="1" si="36"/>
        <v>2.241035856573705</v>
      </c>
      <c r="CO26" s="3">
        <f t="shared" ca="1" si="37"/>
        <v>0</v>
      </c>
      <c r="CP26" s="3">
        <f t="shared" ca="1" si="38"/>
        <v>0</v>
      </c>
      <c r="CR26" s="3">
        <v>4.0110000000000001</v>
      </c>
      <c r="CS26" s="3">
        <v>3.9999999105930328E-2</v>
      </c>
      <c r="CT26" s="3">
        <v>4.0039999999999996</v>
      </c>
      <c r="CU26" s="3">
        <v>4.01</v>
      </c>
      <c r="CV26" s="21">
        <f t="shared" ca="1" si="40"/>
        <v>4.01</v>
      </c>
      <c r="CW26" s="16">
        <f t="shared" ca="1" si="39"/>
        <v>5.333333333333333</v>
      </c>
      <c r="CY26" s="77"/>
      <c r="CZ26" s="15" t="s">
        <v>298</v>
      </c>
      <c r="DA26" s="15" t="s">
        <v>312</v>
      </c>
      <c r="DB26" s="15" t="s">
        <v>329</v>
      </c>
      <c r="DC26" s="15" t="s">
        <v>344</v>
      </c>
      <c r="DD26" s="15" t="s">
        <v>282</v>
      </c>
    </row>
    <row r="27" spans="1:108" s="3" customFormat="1" x14ac:dyDescent="0.35">
      <c r="A27" s="2" t="s">
        <v>16</v>
      </c>
      <c r="B27" s="2">
        <v>5.5</v>
      </c>
      <c r="C27" s="2" t="s">
        <v>167</v>
      </c>
      <c r="D27" s="2" t="s">
        <v>403</v>
      </c>
      <c r="F27" s="3">
        <v>4.0039999999999996</v>
      </c>
      <c r="G27" s="3">
        <v>4.016</v>
      </c>
      <c r="H27" s="3">
        <v>4.0039999999999996</v>
      </c>
      <c r="I27" s="3" t="e">
        <v>#N/A</v>
      </c>
      <c r="K27" s="3">
        <f t="shared" ca="1" si="0"/>
        <v>0.99875124875124888</v>
      </c>
      <c r="L27" s="3">
        <f t="shared" ca="1" si="0"/>
        <v>0.99576693227091639</v>
      </c>
      <c r="M27" s="3">
        <f t="shared" ca="1" si="0"/>
        <v>0.98626373626373642</v>
      </c>
      <c r="N27" s="3" t="e">
        <f t="shared" ca="1" si="0"/>
        <v>#N/A</v>
      </c>
      <c r="P27" s="3">
        <f t="shared" ca="1" si="1"/>
        <v>0.79495508361470102</v>
      </c>
      <c r="Q27" s="3">
        <f t="shared" ca="1" si="1"/>
        <v>0.95866539304986953</v>
      </c>
      <c r="R27" s="3">
        <f t="shared" ca="1" si="1"/>
        <v>0.89835164162305214</v>
      </c>
      <c r="S27" s="3" t="e">
        <f t="shared" ca="1" si="1"/>
        <v>#N/A</v>
      </c>
      <c r="U27" s="3">
        <f t="shared" ca="1" si="2"/>
        <v>2.9970029970029972</v>
      </c>
      <c r="V27" s="3">
        <f t="shared" ca="1" si="2"/>
        <v>2.4900398406374502</v>
      </c>
      <c r="W27" s="3">
        <f t="shared" ca="1" si="2"/>
        <v>3.7462537462537466</v>
      </c>
      <c r="X27" s="3" t="e">
        <f t="shared" ca="1" si="2"/>
        <v>#N/A</v>
      </c>
      <c r="Z27" s="3">
        <f t="shared" ca="1" si="3"/>
        <v>0.99875124875124888</v>
      </c>
      <c r="AA27" s="3">
        <f t="shared" ca="1" si="3"/>
        <v>0.99576693227091639</v>
      </c>
      <c r="AB27" s="3">
        <f t="shared" ca="1" si="3"/>
        <v>0.96553446553446565</v>
      </c>
      <c r="AC27" s="3" t="e">
        <f t="shared" ca="1" si="3"/>
        <v>#N/A</v>
      </c>
      <c r="AE27" s="3">
        <f t="shared" ca="1" si="4"/>
        <v>0.79495508361470102</v>
      </c>
      <c r="AF27" s="3">
        <f t="shared" ca="1" si="4"/>
        <v>0.95866539304986953</v>
      </c>
      <c r="AG27" s="3">
        <f t="shared" ca="1" si="4"/>
        <v>0.89835164162305214</v>
      </c>
      <c r="AH27" s="3" t="e">
        <f t="shared" ca="1" si="4"/>
        <v>#N/A</v>
      </c>
      <c r="AJ27" s="3">
        <f t="shared" ca="1" si="5"/>
        <v>2.9970029970029972</v>
      </c>
      <c r="AK27" s="3">
        <f t="shared" ca="1" si="5"/>
        <v>2.4900398406374502</v>
      </c>
      <c r="AL27" s="3">
        <f t="shared" ca="1" si="5"/>
        <v>3.7462537462537466</v>
      </c>
      <c r="AM27" s="3" t="e">
        <f t="shared" ca="1" si="5"/>
        <v>#N/A</v>
      </c>
      <c r="AO27" s="3">
        <f t="shared" ca="1" si="6"/>
        <v>0.24975024975024979</v>
      </c>
      <c r="AP27" s="3">
        <f t="shared" ca="1" si="6"/>
        <v>0.24900398406374502</v>
      </c>
      <c r="AQ27" s="3">
        <f t="shared" ca="1" si="6"/>
        <v>0.24975024975024979</v>
      </c>
      <c r="AR27" s="3" t="e">
        <f t="shared" ca="1" si="6"/>
        <v>#N/A</v>
      </c>
      <c r="AT27" s="3">
        <v>7.1000002324581146E-2</v>
      </c>
      <c r="AU27" s="3">
        <v>1.4999999664723873E-2</v>
      </c>
      <c r="AV27" s="3">
        <v>0.13199999928474426</v>
      </c>
      <c r="AW27" s="3">
        <v>3.2000001519918442E-2</v>
      </c>
      <c r="AY27" s="3">
        <f t="shared" ca="1" si="7"/>
        <v>0.25349650349650343</v>
      </c>
      <c r="AZ27" s="3">
        <f t="shared" ca="1" si="8"/>
        <v>0.54332669322709171</v>
      </c>
      <c r="BA27" s="3">
        <f t="shared" ca="1" si="9"/>
        <v>0.54095904095904113</v>
      </c>
      <c r="BB27" s="3" t="e">
        <f t="shared" ca="1" si="10"/>
        <v>#N/A</v>
      </c>
      <c r="BD27" s="3">
        <f t="shared" ca="1" si="11"/>
        <v>0.27897102492196224</v>
      </c>
      <c r="BE27" s="3">
        <f t="shared" ca="1" si="12"/>
        <v>0.5560259286507192</v>
      </c>
      <c r="BF27" s="3">
        <f t="shared" ca="1" si="13"/>
        <v>0.45304692589438766</v>
      </c>
      <c r="BG27" s="3" t="e">
        <f t="shared" ca="1" si="14"/>
        <v>#N/A</v>
      </c>
      <c r="BI27" s="3">
        <f t="shared" ca="1" si="15"/>
        <v>0.99900099900099915</v>
      </c>
      <c r="BJ27" s="3">
        <f t="shared" ca="1" si="16"/>
        <v>1.2450199203187251</v>
      </c>
      <c r="BK27" s="3">
        <f t="shared" ca="1" si="17"/>
        <v>1.7482517482517483</v>
      </c>
      <c r="BL27" s="3" t="e">
        <f t="shared" ca="1" si="18"/>
        <v>#N/A</v>
      </c>
      <c r="BN27" s="3">
        <f t="shared" ca="1" si="19"/>
        <v>1.2487512487512489</v>
      </c>
      <c r="BO27" s="3">
        <f t="shared" ca="1" si="20"/>
        <v>0.99601593625498008</v>
      </c>
      <c r="BP27" s="3">
        <f t="shared" ca="1" si="21"/>
        <v>0.7492507492507493</v>
      </c>
      <c r="BQ27" s="3" t="e">
        <f t="shared" ca="1" si="22"/>
        <v>#N/A</v>
      </c>
      <c r="BS27" s="3">
        <v>0.85399997234344482</v>
      </c>
      <c r="BT27" s="3">
        <v>0.49799999594688416</v>
      </c>
      <c r="BU27" s="3">
        <v>1.3990000486373901</v>
      </c>
      <c r="BV27" s="3">
        <v>0.38199999928474426</v>
      </c>
      <c r="BX27" s="3">
        <f t="shared" ca="1" si="23"/>
        <v>0.14160839160839173</v>
      </c>
      <c r="BY27" s="3">
        <f t="shared" ca="1" si="24"/>
        <v>0.1080677290836653</v>
      </c>
      <c r="BZ27" s="3">
        <f t="shared" ca="1" si="25"/>
        <v>4.995004995005E-2</v>
      </c>
      <c r="CA27" s="3" t="e">
        <f t="shared" ca="1" si="26"/>
        <v>#N/A</v>
      </c>
      <c r="CC27" s="3">
        <f t="shared" ca="1" si="27"/>
        <v>0.13736265522616728</v>
      </c>
      <c r="CD27" s="3">
        <f t="shared" ca="1" si="28"/>
        <v>6.6484053771334345E-2</v>
      </c>
      <c r="CE27" s="3">
        <f t="shared" ca="1" si="29"/>
        <v>7.9170866803332171E-2</v>
      </c>
      <c r="CF27" s="3" t="e">
        <f t="shared" ca="1" si="30"/>
        <v>#N/A</v>
      </c>
      <c r="CH27" s="3">
        <f t="shared" ca="1" si="31"/>
        <v>0.49950049950049957</v>
      </c>
      <c r="CI27" s="3">
        <f t="shared" ca="1" si="32"/>
        <v>0.24900398406374502</v>
      </c>
      <c r="CJ27" s="3">
        <f t="shared" ca="1" si="33"/>
        <v>0.24975024975024979</v>
      </c>
      <c r="CK27" s="3" t="e">
        <f t="shared" ca="1" si="34"/>
        <v>#N/A</v>
      </c>
      <c r="CM27" s="3">
        <f t="shared" ca="1" si="35"/>
        <v>1.2487512487512489</v>
      </c>
      <c r="CN27" s="3">
        <f t="shared" ca="1" si="36"/>
        <v>0.74701195219123506</v>
      </c>
      <c r="CO27" s="3">
        <f t="shared" ca="1" si="37"/>
        <v>0.49950049950049957</v>
      </c>
      <c r="CP27" s="3" t="e">
        <f t="shared" ca="1" si="38"/>
        <v>#N/A</v>
      </c>
      <c r="CR27" s="3">
        <v>1.9199999570846558</v>
      </c>
      <c r="CS27" s="3">
        <v>3.2309999465942383</v>
      </c>
      <c r="CT27" s="3">
        <v>2.747999906539917</v>
      </c>
      <c r="CU27" s="3">
        <v>4.0069999999999997</v>
      </c>
      <c r="CV27" s="21">
        <f t="shared" ca="1" si="40"/>
        <v>4.0069999999999997</v>
      </c>
      <c r="CW27" s="16">
        <f t="shared" ca="1" si="39"/>
        <v>5.5</v>
      </c>
      <c r="CY27" s="77"/>
      <c r="CZ27" s="18" t="s">
        <v>299</v>
      </c>
      <c r="DA27" s="15" t="s">
        <v>316</v>
      </c>
      <c r="DB27" s="15" t="s">
        <v>332</v>
      </c>
      <c r="DC27" s="15" t="s">
        <v>347</v>
      </c>
      <c r="DD27" s="15" t="s">
        <v>283</v>
      </c>
    </row>
    <row r="28" spans="1:108" s="3" customFormat="1" x14ac:dyDescent="0.35">
      <c r="A28" s="2" t="s">
        <v>69</v>
      </c>
      <c r="B28" s="2">
        <v>5.5</v>
      </c>
      <c r="C28" s="2" t="s">
        <v>167</v>
      </c>
      <c r="D28" s="2" t="s">
        <v>403</v>
      </c>
      <c r="F28" s="3">
        <v>4.016</v>
      </c>
      <c r="G28" s="11" t="e">
        <v>#N/A</v>
      </c>
      <c r="H28" s="3" t="e">
        <v>#N/A</v>
      </c>
      <c r="I28" s="3" t="e">
        <v>#N/A</v>
      </c>
      <c r="K28" s="3">
        <f t="shared" ca="1" si="0"/>
        <v>0.81324701195219129</v>
      </c>
      <c r="L28" s="3" t="e">
        <f t="shared" ca="1" si="0"/>
        <v>#N/A</v>
      </c>
      <c r="M28" s="3" t="e">
        <f t="shared" ca="1" si="0"/>
        <v>#N/A</v>
      </c>
      <c r="N28" s="3" t="e">
        <f t="shared" ca="1" si="0"/>
        <v>#N/A</v>
      </c>
      <c r="P28" s="3">
        <f t="shared" ca="1" si="1"/>
        <v>0.16185258370471667</v>
      </c>
      <c r="Q28" s="3" t="e">
        <f t="shared" ca="1" si="1"/>
        <v>#N/A</v>
      </c>
      <c r="R28" s="3" t="e">
        <f t="shared" ca="1" si="1"/>
        <v>#N/A</v>
      </c>
      <c r="S28" s="3" t="e">
        <f t="shared" ca="1" si="1"/>
        <v>#N/A</v>
      </c>
      <c r="U28" s="3">
        <f t="shared" ca="1" si="2"/>
        <v>0.99601593625498008</v>
      </c>
      <c r="V28" s="3" t="e">
        <f t="shared" ca="1" si="2"/>
        <v>#N/A</v>
      </c>
      <c r="W28" s="3" t="e">
        <f t="shared" ca="1" si="2"/>
        <v>#N/A</v>
      </c>
      <c r="X28" s="3" t="e">
        <f t="shared" ca="1" si="2"/>
        <v>#N/A</v>
      </c>
      <c r="Z28" s="3">
        <f t="shared" ca="1" si="3"/>
        <v>0.81324701195219129</v>
      </c>
      <c r="AA28" s="3" t="e">
        <f t="shared" ca="1" si="3"/>
        <v>#N/A</v>
      </c>
      <c r="AB28" s="3" t="e">
        <f t="shared" ca="1" si="3"/>
        <v>#N/A</v>
      </c>
      <c r="AC28" s="3" t="e">
        <f t="shared" ca="1" si="3"/>
        <v>#N/A</v>
      </c>
      <c r="AE28" s="3">
        <f t="shared" ca="1" si="4"/>
        <v>0.16185258370471667</v>
      </c>
      <c r="AF28" s="3" t="e">
        <f t="shared" ca="1" si="4"/>
        <v>#N/A</v>
      </c>
      <c r="AG28" s="3" t="e">
        <f t="shared" ca="1" si="4"/>
        <v>#N/A</v>
      </c>
      <c r="AH28" s="3" t="e">
        <f t="shared" ca="1" si="4"/>
        <v>#N/A</v>
      </c>
      <c r="AJ28" s="3">
        <f t="shared" ca="1" si="5"/>
        <v>0.99601593625498008</v>
      </c>
      <c r="AK28" s="3" t="e">
        <f t="shared" ca="1" si="5"/>
        <v>#N/A</v>
      </c>
      <c r="AL28" s="3" t="e">
        <f t="shared" ca="1" si="5"/>
        <v>#N/A</v>
      </c>
      <c r="AM28" s="3" t="e">
        <f t="shared" ca="1" si="5"/>
        <v>#N/A</v>
      </c>
      <c r="AO28" s="3">
        <f t="shared" ca="1" si="6"/>
        <v>0.24900398406374502</v>
      </c>
      <c r="AP28" s="3" t="e">
        <f t="shared" ca="1" si="6"/>
        <v>#N/A</v>
      </c>
      <c r="AQ28" s="3" t="e">
        <f t="shared" ca="1" si="6"/>
        <v>#N/A</v>
      </c>
      <c r="AR28" s="3" t="e">
        <f t="shared" ca="1" si="6"/>
        <v>#N/A</v>
      </c>
      <c r="AT28" s="3">
        <v>0.82099997997283936</v>
      </c>
      <c r="AU28" s="11" t="e">
        <v>#N/A</v>
      </c>
      <c r="AV28" s="3">
        <v>1.2009999752044678</v>
      </c>
      <c r="AW28" s="11" t="e">
        <v>#N/A</v>
      </c>
      <c r="AY28" s="3">
        <f t="shared" ca="1" si="7"/>
        <v>3.2868525896414424E-2</v>
      </c>
      <c r="AZ28" s="3" t="e">
        <f t="shared" ca="1" si="8"/>
        <v>#N/A</v>
      </c>
      <c r="BA28" s="3" t="e">
        <f t="shared" ca="1" si="9"/>
        <v>#N/A</v>
      </c>
      <c r="BB28" s="3" t="e">
        <f t="shared" ca="1" si="10"/>
        <v>#N/A</v>
      </c>
      <c r="BD28" s="3">
        <f t="shared" ca="1" si="11"/>
        <v>0</v>
      </c>
      <c r="BE28" s="3" t="e">
        <f t="shared" ca="1" si="12"/>
        <v>#N/A</v>
      </c>
      <c r="BF28" s="3" t="e">
        <f t="shared" ca="1" si="13"/>
        <v>#N/A</v>
      </c>
      <c r="BG28" s="3" t="e">
        <f t="shared" ca="1" si="14"/>
        <v>#N/A</v>
      </c>
      <c r="BI28" s="3">
        <f t="shared" ca="1" si="15"/>
        <v>0</v>
      </c>
      <c r="BJ28" s="3" t="e">
        <f t="shared" ca="1" si="16"/>
        <v>#N/A</v>
      </c>
      <c r="BK28" s="3" t="e">
        <f t="shared" ca="1" si="17"/>
        <v>#N/A</v>
      </c>
      <c r="BL28" s="3" t="e">
        <f t="shared" ca="1" si="18"/>
        <v>#N/A</v>
      </c>
      <c r="BN28" s="3">
        <f t="shared" ca="1" si="19"/>
        <v>2.241035856573705</v>
      </c>
      <c r="BO28" s="3" t="e">
        <f t="shared" ca="1" si="20"/>
        <v>#N/A</v>
      </c>
      <c r="BP28" s="3" t="e">
        <f t="shared" ca="1" si="21"/>
        <v>#N/A</v>
      </c>
      <c r="BQ28" s="3" t="e">
        <f t="shared" ca="1" si="22"/>
        <v>#N/A</v>
      </c>
      <c r="BS28" s="3">
        <v>4.016</v>
      </c>
      <c r="BT28" s="11" t="e">
        <v>#N/A</v>
      </c>
      <c r="BU28" s="3">
        <v>4.016</v>
      </c>
      <c r="BV28" s="11" t="e">
        <v>#N/A</v>
      </c>
      <c r="BX28" s="3">
        <f t="shared" ca="1" si="23"/>
        <v>8.4661354581674203E-3</v>
      </c>
      <c r="BY28" s="3" t="e">
        <f t="shared" ca="1" si="24"/>
        <v>#N/A</v>
      </c>
      <c r="BZ28" s="3" t="e">
        <f t="shared" ca="1" si="25"/>
        <v>#N/A</v>
      </c>
      <c r="CA28" s="3" t="e">
        <f t="shared" ca="1" si="26"/>
        <v>#N/A</v>
      </c>
      <c r="CC28" s="3">
        <f t="shared" ca="1" si="27"/>
        <v>0</v>
      </c>
      <c r="CD28" s="3" t="e">
        <f t="shared" ca="1" si="28"/>
        <v>#N/A</v>
      </c>
      <c r="CE28" s="3" t="e">
        <f t="shared" ca="1" si="29"/>
        <v>#N/A</v>
      </c>
      <c r="CF28" s="3" t="e">
        <f t="shared" ca="1" si="30"/>
        <v>#N/A</v>
      </c>
      <c r="CH28" s="3">
        <f t="shared" ca="1" si="31"/>
        <v>0</v>
      </c>
      <c r="CI28" s="3" t="e">
        <f t="shared" ca="1" si="32"/>
        <v>#N/A</v>
      </c>
      <c r="CJ28" s="3" t="e">
        <f t="shared" ca="1" si="33"/>
        <v>#N/A</v>
      </c>
      <c r="CK28" s="3" t="e">
        <f t="shared" ca="1" si="34"/>
        <v>#N/A</v>
      </c>
      <c r="CM28" s="3">
        <f t="shared" ca="1" si="35"/>
        <v>2.241035856573705</v>
      </c>
      <c r="CN28" s="3" t="e">
        <f t="shared" ca="1" si="36"/>
        <v>#N/A</v>
      </c>
      <c r="CO28" s="3" t="e">
        <f t="shared" ca="1" si="37"/>
        <v>#N/A</v>
      </c>
      <c r="CP28" s="3" t="e">
        <f t="shared" ca="1" si="38"/>
        <v>#N/A</v>
      </c>
      <c r="CR28" s="3">
        <v>4.016</v>
      </c>
      <c r="CS28" s="11" t="e">
        <v>#N/A</v>
      </c>
      <c r="CT28" s="3">
        <v>3.0510001182556152</v>
      </c>
      <c r="CU28" s="11" t="e">
        <v>#N/A</v>
      </c>
      <c r="CV28" s="21" t="e">
        <f t="shared" ca="1" si="40"/>
        <v>#N/A</v>
      </c>
      <c r="CW28" s="16">
        <f t="shared" ca="1" si="39"/>
        <v>5.5</v>
      </c>
      <c r="CY28" s="78"/>
      <c r="CZ28" s="18" t="s">
        <v>299</v>
      </c>
      <c r="DA28" s="15" t="s">
        <v>320</v>
      </c>
      <c r="DB28" s="15" t="s">
        <v>335</v>
      </c>
      <c r="DC28" s="15" t="s">
        <v>350</v>
      </c>
      <c r="DD28" s="15" t="s">
        <v>284</v>
      </c>
    </row>
    <row r="29" spans="1:108" s="3" customFormat="1" x14ac:dyDescent="0.35">
      <c r="A29" s="2" t="s">
        <v>74</v>
      </c>
      <c r="B29" s="2">
        <v>5.5</v>
      </c>
      <c r="C29" s="2" t="s">
        <v>168</v>
      </c>
      <c r="D29" s="2" t="s">
        <v>403</v>
      </c>
      <c r="F29" s="3">
        <v>4.0090000000000003</v>
      </c>
      <c r="G29" s="3">
        <v>4.0149999999999997</v>
      </c>
      <c r="H29" s="3">
        <v>3.044</v>
      </c>
      <c r="I29" s="3">
        <v>4.0110000000000001</v>
      </c>
      <c r="K29" s="3">
        <f t="shared" ca="1" si="0"/>
        <v>0.99326515340483901</v>
      </c>
      <c r="L29" s="3">
        <f t="shared" ca="1" si="0"/>
        <v>0.91706102117061039</v>
      </c>
      <c r="M29" s="3">
        <f t="shared" ca="1" si="0"/>
        <v>0.99047306176084104</v>
      </c>
      <c r="N29" s="3">
        <f t="shared" ca="1" si="0"/>
        <v>0.88506606831214163</v>
      </c>
      <c r="P29" s="3">
        <f t="shared" ca="1" si="1"/>
        <v>0.83537039041043393</v>
      </c>
      <c r="Q29" s="3">
        <f t="shared" ca="1" si="1"/>
        <v>0.84259020139093277</v>
      </c>
      <c r="R29" s="3">
        <f t="shared" ca="1" si="1"/>
        <v>0.91360058114128417</v>
      </c>
      <c r="S29" s="3">
        <f t="shared" ca="1" si="1"/>
        <v>0.73946650204769071</v>
      </c>
      <c r="U29" s="3">
        <f t="shared" ca="1" si="2"/>
        <v>1.4966325767024193</v>
      </c>
      <c r="V29" s="3">
        <f t="shared" ca="1" si="2"/>
        <v>2.2415940224159403</v>
      </c>
      <c r="W29" s="3">
        <f t="shared" ca="1" si="2"/>
        <v>2.6281208935611038</v>
      </c>
      <c r="X29" s="3">
        <f t="shared" ca="1" si="2"/>
        <v>2.7424582398404387</v>
      </c>
      <c r="Z29" s="3">
        <f t="shared" ca="1" si="3"/>
        <v>0.92242454477425773</v>
      </c>
      <c r="AA29" s="3">
        <f t="shared" ca="1" si="3"/>
        <v>0.91307596513075984</v>
      </c>
      <c r="AB29" s="3">
        <f t="shared" ca="1" si="3"/>
        <v>0.88107752956635998</v>
      </c>
      <c r="AC29" s="3">
        <f t="shared" ca="1" si="3"/>
        <v>0.88506606831214163</v>
      </c>
      <c r="AE29" s="3">
        <f t="shared" ca="1" si="4"/>
        <v>0.83537039041043393</v>
      </c>
      <c r="AF29" s="3">
        <f t="shared" ca="1" si="4"/>
        <v>0.84259020139093277</v>
      </c>
      <c r="AG29" s="3">
        <f t="shared" ca="1" si="4"/>
        <v>0.826215550778299</v>
      </c>
      <c r="AH29" s="3">
        <f t="shared" ca="1" si="4"/>
        <v>0.73946650204769071</v>
      </c>
      <c r="AJ29" s="3">
        <f t="shared" ca="1" si="5"/>
        <v>1.4966325767024193</v>
      </c>
      <c r="AK29" s="3">
        <f t="shared" ca="1" si="5"/>
        <v>2.2415940224159403</v>
      </c>
      <c r="AL29" s="3">
        <f t="shared" ca="1" si="5"/>
        <v>2.2996057818659659</v>
      </c>
      <c r="AM29" s="3">
        <f t="shared" ca="1" si="5"/>
        <v>2.7424582398404387</v>
      </c>
      <c r="AO29" s="3">
        <f t="shared" ca="1" si="6"/>
        <v>0.49887752556747317</v>
      </c>
      <c r="AP29" s="3">
        <f t="shared" ca="1" si="6"/>
        <v>0.24906600249066005</v>
      </c>
      <c r="AQ29" s="3">
        <f t="shared" ca="1" si="6"/>
        <v>0.65703022339027595</v>
      </c>
      <c r="AR29" s="3">
        <f t="shared" ca="1" si="6"/>
        <v>0.24931438544003989</v>
      </c>
      <c r="AT29" s="3">
        <v>1.0999999940395355E-2</v>
      </c>
      <c r="AU29" s="3">
        <v>0.35199999809265137</v>
      </c>
      <c r="AV29" s="3">
        <v>1.6000000759959221E-2</v>
      </c>
      <c r="AW29" s="3">
        <v>0.44499999284744263</v>
      </c>
      <c r="AY29" s="3">
        <f t="shared" ca="1" si="7"/>
        <v>0.44050885507607873</v>
      </c>
      <c r="AZ29" s="3">
        <f t="shared" ca="1" si="8"/>
        <v>0.42739726027397268</v>
      </c>
      <c r="BA29" s="3">
        <f t="shared" ca="1" si="9"/>
        <v>0.37187910643889621</v>
      </c>
      <c r="BB29" s="3">
        <f t="shared" ca="1" si="10"/>
        <v>0.19122413363251059</v>
      </c>
      <c r="BD29" s="3">
        <f t="shared" ca="1" si="11"/>
        <v>0.51958089934587182</v>
      </c>
      <c r="BE29" s="3">
        <f t="shared" ca="1" si="12"/>
        <v>0.39028644858677392</v>
      </c>
      <c r="BF29" s="3">
        <f t="shared" ca="1" si="13"/>
        <v>0.361038119814869</v>
      </c>
      <c r="BG29" s="3">
        <f t="shared" ca="1" si="14"/>
        <v>0.19097485705166201</v>
      </c>
      <c r="BI29" s="3">
        <f t="shared" ca="1" si="15"/>
        <v>0.99775505113494634</v>
      </c>
      <c r="BJ29" s="3">
        <f t="shared" ca="1" si="16"/>
        <v>0.4981320049813201</v>
      </c>
      <c r="BK29" s="3">
        <f t="shared" ca="1" si="17"/>
        <v>0.98554533508541386</v>
      </c>
      <c r="BL29" s="3">
        <f t="shared" ca="1" si="18"/>
        <v>0.99725754176015957</v>
      </c>
      <c r="BN29" s="3">
        <f t="shared" ca="1" si="19"/>
        <v>1.2471938139186829</v>
      </c>
      <c r="BO29" s="3">
        <f t="shared" ca="1" si="20"/>
        <v>0.74719800747198017</v>
      </c>
      <c r="BP29" s="3">
        <f t="shared" ca="1" si="21"/>
        <v>0.65703022339027595</v>
      </c>
      <c r="BQ29" s="3">
        <f t="shared" ca="1" si="22"/>
        <v>0.74794315632011965</v>
      </c>
      <c r="BS29" s="3">
        <v>0.57700002193450928</v>
      </c>
      <c r="BT29" s="3">
        <v>0.7850000262260437</v>
      </c>
      <c r="BU29" s="3">
        <v>0.53200000524520874</v>
      </c>
      <c r="BV29" s="3">
        <v>0.72899997234344482</v>
      </c>
      <c r="BX29" s="3">
        <f t="shared" ca="1" si="23"/>
        <v>0</v>
      </c>
      <c r="BY29" s="3">
        <f t="shared" ca="1" si="24"/>
        <v>0.17858032378580332</v>
      </c>
      <c r="BZ29" s="3">
        <f t="shared" ca="1" si="25"/>
        <v>0</v>
      </c>
      <c r="CA29" s="3">
        <f t="shared" ca="1" si="26"/>
        <v>0</v>
      </c>
      <c r="CC29" s="3">
        <f t="shared" ca="1" si="27"/>
        <v>0</v>
      </c>
      <c r="CD29" s="3">
        <f t="shared" ca="1" si="28"/>
        <v>0.18256536011084229</v>
      </c>
      <c r="CE29" s="3">
        <f t="shared" ca="1" si="29"/>
        <v>0</v>
      </c>
      <c r="CF29" s="3">
        <f t="shared" ca="1" si="30"/>
        <v>0</v>
      </c>
      <c r="CH29" s="3">
        <f t="shared" ca="1" si="31"/>
        <v>0</v>
      </c>
      <c r="CI29" s="3">
        <f t="shared" ca="1" si="32"/>
        <v>0.4981320049813201</v>
      </c>
      <c r="CJ29" s="3">
        <f t="shared" ca="1" si="33"/>
        <v>0</v>
      </c>
      <c r="CK29" s="3">
        <f t="shared" ca="1" si="34"/>
        <v>0</v>
      </c>
      <c r="CM29" s="3">
        <f t="shared" ca="1" si="35"/>
        <v>0</v>
      </c>
      <c r="CN29" s="3">
        <f t="shared" ca="1" si="36"/>
        <v>0.74719800747198017</v>
      </c>
      <c r="CO29" s="3">
        <f t="shared" ca="1" si="37"/>
        <v>0</v>
      </c>
      <c r="CP29" s="3">
        <f t="shared" ca="1" si="38"/>
        <v>0</v>
      </c>
      <c r="CR29" s="3">
        <v>4.0090000000000003</v>
      </c>
      <c r="CS29" s="3">
        <v>1.7020000219345093</v>
      </c>
      <c r="CT29" s="3">
        <v>4.0110000000000001</v>
      </c>
      <c r="CU29" s="3">
        <v>4.0110000000000001</v>
      </c>
      <c r="CV29" s="21">
        <f t="shared" ca="1" si="40"/>
        <v>4.0110000000000001</v>
      </c>
      <c r="CW29" s="16">
        <f t="shared" ca="1" si="39"/>
        <v>5.5</v>
      </c>
    </row>
    <row r="30" spans="1:108" s="3" customFormat="1" x14ac:dyDescent="0.35">
      <c r="A30" s="2" t="s">
        <v>77</v>
      </c>
      <c r="B30" s="2">
        <v>5.583333333333333</v>
      </c>
      <c r="C30" s="2" t="s">
        <v>168</v>
      </c>
      <c r="D30" s="2" t="s">
        <v>403</v>
      </c>
      <c r="F30" s="3" t="e">
        <v>#N/A</v>
      </c>
      <c r="G30" s="3" t="e">
        <v>#N/A</v>
      </c>
      <c r="H30" s="3" t="e">
        <v>#N/A</v>
      </c>
      <c r="I30" s="3">
        <v>4.016</v>
      </c>
      <c r="K30" s="3" t="e">
        <f t="shared" ca="1" si="0"/>
        <v>#N/A</v>
      </c>
      <c r="L30" s="3" t="e">
        <f t="shared" ca="1" si="0"/>
        <v>#N/A</v>
      </c>
      <c r="M30" s="3" t="e">
        <f t="shared" ca="1" si="0"/>
        <v>#N/A</v>
      </c>
      <c r="N30" s="3">
        <f t="shared" ca="1" si="0"/>
        <v>0.99601593625497997</v>
      </c>
      <c r="P30" s="3" t="e">
        <f t="shared" ca="1" si="1"/>
        <v>#N/A</v>
      </c>
      <c r="Q30" s="3" t="e">
        <f t="shared" ca="1" si="1"/>
        <v>#N/A</v>
      </c>
      <c r="R30" s="3" t="e">
        <f t="shared" ca="1" si="1"/>
        <v>#N/A</v>
      </c>
      <c r="S30" s="3">
        <f t="shared" ca="1" si="1"/>
        <v>0.94173308039841008</v>
      </c>
      <c r="U30" s="3" t="e">
        <f t="shared" ca="1" si="2"/>
        <v>#N/A</v>
      </c>
      <c r="V30" s="3" t="e">
        <f t="shared" ca="1" si="2"/>
        <v>#N/A</v>
      </c>
      <c r="W30" s="3" t="e">
        <f t="shared" ca="1" si="2"/>
        <v>#N/A</v>
      </c>
      <c r="X30" s="3">
        <f t="shared" ca="1" si="2"/>
        <v>2.4900398406374502</v>
      </c>
      <c r="Z30" s="3" t="e">
        <f t="shared" ca="1" si="3"/>
        <v>#N/A</v>
      </c>
      <c r="AA30" s="3" t="e">
        <f t="shared" ca="1" si="3"/>
        <v>#N/A</v>
      </c>
      <c r="AB30" s="3" t="e">
        <f t="shared" ca="1" si="3"/>
        <v>#N/A</v>
      </c>
      <c r="AC30" s="3">
        <f t="shared" ca="1" si="3"/>
        <v>0.99601593625497997</v>
      </c>
      <c r="AE30" s="3" t="e">
        <f t="shared" ca="1" si="4"/>
        <v>#N/A</v>
      </c>
      <c r="AF30" s="3" t="e">
        <f t="shared" ca="1" si="4"/>
        <v>#N/A</v>
      </c>
      <c r="AG30" s="3" t="e">
        <f t="shared" ca="1" si="4"/>
        <v>#N/A</v>
      </c>
      <c r="AH30" s="3">
        <f t="shared" ca="1" si="4"/>
        <v>0.94173308039841008</v>
      </c>
      <c r="AJ30" s="3" t="e">
        <f t="shared" ca="1" si="5"/>
        <v>#N/A</v>
      </c>
      <c r="AK30" s="3" t="e">
        <f t="shared" ca="1" si="5"/>
        <v>#N/A</v>
      </c>
      <c r="AL30" s="3" t="e">
        <f t="shared" ca="1" si="5"/>
        <v>#N/A</v>
      </c>
      <c r="AM30" s="3">
        <f t="shared" ca="1" si="5"/>
        <v>2.4900398406374502</v>
      </c>
      <c r="AO30" s="3" t="e">
        <f t="shared" ca="1" si="6"/>
        <v>#N/A</v>
      </c>
      <c r="AP30" s="3" t="e">
        <f t="shared" ca="1" si="6"/>
        <v>#N/A</v>
      </c>
      <c r="AQ30" s="3" t="e">
        <f t="shared" ca="1" si="6"/>
        <v>#N/A</v>
      </c>
      <c r="AR30" s="3">
        <f t="shared" ca="1" si="6"/>
        <v>0.24900398406374502</v>
      </c>
      <c r="AT30" s="11" t="e">
        <v>#N/A</v>
      </c>
      <c r="AU30" s="11" t="e">
        <v>#N/A</v>
      </c>
      <c r="AV30" s="11" t="e">
        <v>#N/A</v>
      </c>
      <c r="AW30" s="3">
        <v>1.4999999664723873E-2</v>
      </c>
      <c r="AY30" s="3" t="e">
        <f t="shared" ca="1" si="7"/>
        <v>#N/A</v>
      </c>
      <c r="AZ30" s="3" t="e">
        <f t="shared" ca="1" si="8"/>
        <v>#N/A</v>
      </c>
      <c r="BA30" s="3" t="e">
        <f t="shared" ca="1" si="9"/>
        <v>#N/A</v>
      </c>
      <c r="BB30" s="3">
        <f t="shared" ca="1" si="10"/>
        <v>0.4275398406374501</v>
      </c>
      <c r="BD30" s="3" t="e">
        <f t="shared" ca="1" si="11"/>
        <v>#N/A</v>
      </c>
      <c r="BE30" s="3" t="e">
        <f t="shared" ca="1" si="12"/>
        <v>#N/A</v>
      </c>
      <c r="BF30" s="3" t="e">
        <f t="shared" ca="1" si="13"/>
        <v>#N/A</v>
      </c>
      <c r="BG30" s="3">
        <f t="shared" ca="1" si="14"/>
        <v>0.48132475272592795</v>
      </c>
      <c r="BI30" s="3" t="e">
        <f t="shared" ca="1" si="15"/>
        <v>#N/A</v>
      </c>
      <c r="BJ30" s="3" t="e">
        <f t="shared" ca="1" si="16"/>
        <v>#N/A</v>
      </c>
      <c r="BK30" s="3" t="e">
        <f t="shared" ca="1" si="17"/>
        <v>#N/A</v>
      </c>
      <c r="BL30" s="3">
        <f t="shared" ca="1" si="18"/>
        <v>1.4940239043824701</v>
      </c>
      <c r="BN30" s="3" t="e">
        <f t="shared" ca="1" si="19"/>
        <v>#N/A</v>
      </c>
      <c r="BO30" s="3" t="e">
        <f t="shared" ca="1" si="20"/>
        <v>#N/A</v>
      </c>
      <c r="BP30" s="3" t="e">
        <f t="shared" ca="1" si="21"/>
        <v>#N/A</v>
      </c>
      <c r="BQ30" s="3">
        <f t="shared" ca="1" si="22"/>
        <v>0.74701195219123506</v>
      </c>
      <c r="BS30" s="11" t="e">
        <v>#N/A</v>
      </c>
      <c r="BT30" s="11" t="e">
        <v>#N/A</v>
      </c>
      <c r="BU30" s="11" t="e">
        <v>#N/A</v>
      </c>
      <c r="BV30" s="3">
        <v>1.1319999694824219</v>
      </c>
      <c r="BX30" s="3" t="e">
        <f t="shared" ca="1" si="23"/>
        <v>#N/A</v>
      </c>
      <c r="BY30" s="3" t="e">
        <f t="shared" ca="1" si="24"/>
        <v>#N/A</v>
      </c>
      <c r="BZ30" s="3" t="e">
        <f t="shared" ca="1" si="25"/>
        <v>#N/A</v>
      </c>
      <c r="CA30" s="3">
        <f t="shared" ca="1" si="26"/>
        <v>0.28212151394422308</v>
      </c>
      <c r="CC30" s="3" t="e">
        <f t="shared" ca="1" si="27"/>
        <v>#N/A</v>
      </c>
      <c r="CD30" s="3" t="e">
        <f t="shared" ca="1" si="28"/>
        <v>#N/A</v>
      </c>
      <c r="CE30" s="3" t="e">
        <f t="shared" ca="1" si="29"/>
        <v>#N/A</v>
      </c>
      <c r="CF30" s="3">
        <f t="shared" ca="1" si="30"/>
        <v>0.16160350871751034</v>
      </c>
      <c r="CH30" s="3" t="e">
        <f t="shared" ca="1" si="31"/>
        <v>#N/A</v>
      </c>
      <c r="CI30" s="3" t="e">
        <f t="shared" ca="1" si="32"/>
        <v>#N/A</v>
      </c>
      <c r="CJ30" s="3" t="e">
        <f t="shared" ca="1" si="33"/>
        <v>#N/A</v>
      </c>
      <c r="CK30" s="3">
        <f t="shared" ca="1" si="34"/>
        <v>0.49800796812749004</v>
      </c>
      <c r="CM30" s="3" t="e">
        <f t="shared" ca="1" si="35"/>
        <v>#N/A</v>
      </c>
      <c r="CN30" s="3" t="e">
        <f t="shared" ca="1" si="36"/>
        <v>#N/A</v>
      </c>
      <c r="CO30" s="3" t="e">
        <f t="shared" ca="1" si="37"/>
        <v>#N/A</v>
      </c>
      <c r="CP30" s="3">
        <f t="shared" ca="1" si="38"/>
        <v>0.74701195219123506</v>
      </c>
      <c r="CR30" s="11" t="e">
        <v>#N/A</v>
      </c>
      <c r="CS30" s="11" t="e">
        <v>#N/A</v>
      </c>
      <c r="CT30" s="11" t="e">
        <v>#N/A</v>
      </c>
      <c r="CU30" s="3">
        <v>2.065000057220459</v>
      </c>
      <c r="CV30" s="21">
        <f t="shared" ca="1" si="40"/>
        <v>2.065000057220459</v>
      </c>
      <c r="CW30" s="16">
        <f t="shared" ca="1" si="39"/>
        <v>5.583333333333333</v>
      </c>
    </row>
    <row r="31" spans="1:108" s="3" customFormat="1" x14ac:dyDescent="0.35">
      <c r="A31" s="2" t="s">
        <v>90</v>
      </c>
      <c r="B31" s="2">
        <v>5.583333333333333</v>
      </c>
      <c r="C31" s="2" t="s">
        <v>168</v>
      </c>
      <c r="D31" s="2" t="s">
        <v>403</v>
      </c>
      <c r="F31" s="3">
        <v>4.0149999999999997</v>
      </c>
      <c r="G31" s="3">
        <v>4.0140000000000002</v>
      </c>
      <c r="H31" s="3">
        <v>4.0259999999999998</v>
      </c>
      <c r="I31" s="3">
        <v>4.0149999999999997</v>
      </c>
      <c r="K31" s="3">
        <f t="shared" ca="1" si="0"/>
        <v>0.99178082191780836</v>
      </c>
      <c r="L31" s="3">
        <f t="shared" ca="1" si="0"/>
        <v>0.97533632286995509</v>
      </c>
      <c r="M31" s="3">
        <f t="shared" ca="1" si="0"/>
        <v>0.8857426726279185</v>
      </c>
      <c r="N31" s="3">
        <f t="shared" ca="1" si="0"/>
        <v>0.99601494396014956</v>
      </c>
      <c r="P31" s="3">
        <f t="shared" ca="1" si="1"/>
        <v>0.96313810975732728</v>
      </c>
      <c r="Q31" s="3">
        <f t="shared" ca="1" si="1"/>
        <v>0.94618838360253765</v>
      </c>
      <c r="R31" s="3">
        <f t="shared" ca="1" si="1"/>
        <v>0.87332330233293931</v>
      </c>
      <c r="S31" s="3">
        <f t="shared" ca="1" si="1"/>
        <v>0.81768374365857655</v>
      </c>
      <c r="U31" s="3">
        <f t="shared" ca="1" si="2"/>
        <v>1.9925280199252804</v>
      </c>
      <c r="V31" s="3">
        <f t="shared" ca="1" si="2"/>
        <v>1.4947683109118086</v>
      </c>
      <c r="W31" s="3">
        <f t="shared" ca="1" si="2"/>
        <v>0.99354197714853454</v>
      </c>
      <c r="X31" s="3">
        <f t="shared" ca="1" si="2"/>
        <v>2.9887920298879207</v>
      </c>
      <c r="Z31" s="3">
        <f t="shared" ca="1" si="3"/>
        <v>0.99178082191780836</v>
      </c>
      <c r="AA31" s="3">
        <f t="shared" ca="1" si="3"/>
        <v>0.97135027404085694</v>
      </c>
      <c r="AB31" s="3">
        <f t="shared" ca="1" si="3"/>
        <v>0.8857426726279185</v>
      </c>
      <c r="AC31" s="3">
        <f t="shared" ca="1" si="3"/>
        <v>0.93773349937733508</v>
      </c>
      <c r="AE31" s="3">
        <f t="shared" ca="1" si="4"/>
        <v>0.96313810975732728</v>
      </c>
      <c r="AF31" s="3">
        <f t="shared" ca="1" si="4"/>
        <v>0.94618838360253765</v>
      </c>
      <c r="AG31" s="3">
        <f t="shared" ca="1" si="4"/>
        <v>0.87332330233293931</v>
      </c>
      <c r="AH31" s="3">
        <f t="shared" ca="1" si="4"/>
        <v>0.81768374365857655</v>
      </c>
      <c r="AJ31" s="3">
        <f t="shared" ca="1" si="5"/>
        <v>1.9925280199252804</v>
      </c>
      <c r="AK31" s="3">
        <f t="shared" ca="1" si="5"/>
        <v>1.4947683109118086</v>
      </c>
      <c r="AL31" s="3">
        <f t="shared" ca="1" si="5"/>
        <v>0.99354197714853454</v>
      </c>
      <c r="AM31" s="3">
        <f t="shared" ca="1" si="5"/>
        <v>2.9887920298879207</v>
      </c>
      <c r="AO31" s="3">
        <f t="shared" ca="1" si="6"/>
        <v>0.24906600249066005</v>
      </c>
      <c r="AP31" s="3">
        <f t="shared" ca="1" si="6"/>
        <v>0.24912805181863476</v>
      </c>
      <c r="AQ31" s="3">
        <f t="shared" ca="1" si="6"/>
        <v>0.24838549428713363</v>
      </c>
      <c r="AR31" s="3">
        <f t="shared" ca="1" si="6"/>
        <v>0.4981320049813201</v>
      </c>
      <c r="AT31" s="3">
        <v>8.999999612569809E-3</v>
      </c>
      <c r="AU31" s="3">
        <v>0.12399999797344208</v>
      </c>
      <c r="AV31" s="3">
        <v>0.44900000095367432</v>
      </c>
      <c r="AW31" s="3">
        <v>0.26800000667572021</v>
      </c>
      <c r="AY31" s="3">
        <f t="shared" ca="1" si="7"/>
        <v>0.19078455790784565</v>
      </c>
      <c r="AZ31" s="3">
        <f t="shared" ca="1" si="8"/>
        <v>0.53512705530642757</v>
      </c>
      <c r="BA31" s="3">
        <f t="shared" ca="1" si="9"/>
        <v>0.46348733233979139</v>
      </c>
      <c r="BB31" s="3">
        <f t="shared" ca="1" si="10"/>
        <v>0.26973848069738487</v>
      </c>
      <c r="BD31" s="3">
        <f t="shared" ca="1" si="11"/>
        <v>0</v>
      </c>
      <c r="BE31" s="3">
        <f t="shared" ca="1" si="12"/>
        <v>0.34030890310351147</v>
      </c>
      <c r="BF31" s="3">
        <f t="shared" ca="1" si="13"/>
        <v>0.44684548077154562</v>
      </c>
      <c r="BG31" s="3">
        <f t="shared" ca="1" si="14"/>
        <v>0.33225408972126169</v>
      </c>
      <c r="BI31" s="3">
        <f t="shared" ca="1" si="15"/>
        <v>0</v>
      </c>
      <c r="BJ31" s="3">
        <f t="shared" ca="1" si="16"/>
        <v>0.49825610363726952</v>
      </c>
      <c r="BK31" s="3">
        <f t="shared" ca="1" si="17"/>
        <v>0.24838549428713363</v>
      </c>
      <c r="BL31" s="3">
        <f t="shared" ca="1" si="18"/>
        <v>1.2453300124533002</v>
      </c>
      <c r="BN31" s="3">
        <f t="shared" ca="1" si="19"/>
        <v>0.4981320049813201</v>
      </c>
      <c r="BO31" s="3">
        <f t="shared" ca="1" si="20"/>
        <v>1.4947683109118086</v>
      </c>
      <c r="BP31" s="3">
        <f t="shared" ca="1" si="21"/>
        <v>0.24838549428713363</v>
      </c>
      <c r="BQ31" s="3">
        <f t="shared" ca="1" si="22"/>
        <v>1.2453300124533002</v>
      </c>
      <c r="BS31" s="3">
        <v>4.0149999999999997</v>
      </c>
      <c r="BT31" s="3">
        <v>1.690000057220459</v>
      </c>
      <c r="BU31" s="3">
        <v>0.91600000858306885</v>
      </c>
      <c r="BV31" s="3">
        <v>0.91699999570846558</v>
      </c>
      <c r="BX31" s="3">
        <f t="shared" ca="1" si="23"/>
        <v>0.22814445828144456</v>
      </c>
      <c r="BY31" s="3">
        <f t="shared" ca="1" si="24"/>
        <v>0.10388639760837068</v>
      </c>
      <c r="BZ31" s="3">
        <f t="shared" ca="1" si="25"/>
        <v>0.13238946845504221</v>
      </c>
      <c r="CA31" s="3">
        <f t="shared" ca="1" si="26"/>
        <v>8.2689912826899123E-2</v>
      </c>
      <c r="CC31" s="3">
        <f t="shared" ca="1" si="27"/>
        <v>0.19925276135299752</v>
      </c>
      <c r="CD31" s="3">
        <f t="shared" ca="1" si="28"/>
        <v>0</v>
      </c>
      <c r="CE31" s="3">
        <f t="shared" ca="1" si="29"/>
        <v>0.28564328289837371</v>
      </c>
      <c r="CF31" s="3">
        <f t="shared" ca="1" si="30"/>
        <v>9.9377332262203091E-2</v>
      </c>
      <c r="CH31" s="3">
        <f t="shared" ca="1" si="31"/>
        <v>0.4981320049813201</v>
      </c>
      <c r="CI31" s="3">
        <f t="shared" ca="1" si="32"/>
        <v>0</v>
      </c>
      <c r="CJ31" s="3">
        <f t="shared" ca="1" si="33"/>
        <v>0.24838549428713363</v>
      </c>
      <c r="CK31" s="3">
        <f t="shared" ca="1" si="34"/>
        <v>0.24906600249066005</v>
      </c>
      <c r="CM31" s="3">
        <f t="shared" ca="1" si="35"/>
        <v>0.74719800747198017</v>
      </c>
      <c r="CN31" s="3">
        <f t="shared" ca="1" si="36"/>
        <v>0.49825610363726952</v>
      </c>
      <c r="CO31" s="3">
        <f t="shared" ca="1" si="37"/>
        <v>0.24838549428713363</v>
      </c>
      <c r="CP31" s="3">
        <f t="shared" ca="1" si="38"/>
        <v>0.4981320049813201</v>
      </c>
      <c r="CR31" s="3">
        <v>8.999999612569809E-3</v>
      </c>
      <c r="CS31" s="3">
        <v>4.0140000000000002</v>
      </c>
      <c r="CT31" s="3">
        <v>2.8650000095367432</v>
      </c>
      <c r="CU31" s="3">
        <v>0.26800000667572021</v>
      </c>
      <c r="CV31" s="21">
        <f t="shared" ca="1" si="40"/>
        <v>0.26800000667572021</v>
      </c>
      <c r="CW31" s="16">
        <f t="shared" ca="1" si="39"/>
        <v>5.583333333333333</v>
      </c>
    </row>
    <row r="32" spans="1:108" s="3" customFormat="1" x14ac:dyDescent="0.35">
      <c r="A32" s="2" t="s">
        <v>4</v>
      </c>
      <c r="B32" s="2">
        <v>5.833333333333333</v>
      </c>
      <c r="C32" s="2" t="s">
        <v>167</v>
      </c>
      <c r="D32" s="2" t="s">
        <v>403</v>
      </c>
      <c r="F32" s="3">
        <v>4.0149999999999997</v>
      </c>
      <c r="G32" s="3" t="e">
        <v>#N/A</v>
      </c>
      <c r="H32" s="11" t="e">
        <v>#N/A</v>
      </c>
      <c r="I32" s="3">
        <v>4.016</v>
      </c>
      <c r="K32" s="3">
        <f t="shared" ca="1" si="0"/>
        <v>0.99601494396014956</v>
      </c>
      <c r="L32" s="3" t="e">
        <f t="shared" ca="1" si="0"/>
        <v>#N/A</v>
      </c>
      <c r="M32" s="3" t="e">
        <f t="shared" ca="1" si="0"/>
        <v>#N/A</v>
      </c>
      <c r="N32" s="3">
        <f t="shared" ca="1" si="0"/>
        <v>0.99576693227091639</v>
      </c>
      <c r="P32" s="3">
        <f t="shared" ca="1" si="1"/>
        <v>0.92552928717929883</v>
      </c>
      <c r="Q32" s="3" t="e">
        <f t="shared" ca="1" si="1"/>
        <v>#N/A</v>
      </c>
      <c r="R32" s="3" t="e">
        <f t="shared" ca="1" si="1"/>
        <v>#N/A</v>
      </c>
      <c r="S32" s="3">
        <f t="shared" ca="1" si="1"/>
        <v>0.74651398031835059</v>
      </c>
      <c r="U32" s="3">
        <f t="shared" ca="1" si="2"/>
        <v>2.2415940224159403</v>
      </c>
      <c r="V32" s="3" t="e">
        <f t="shared" ca="1" si="2"/>
        <v>#N/A</v>
      </c>
      <c r="W32" s="3" t="e">
        <f t="shared" ca="1" si="2"/>
        <v>#N/A</v>
      </c>
      <c r="X32" s="3">
        <f t="shared" ca="1" si="2"/>
        <v>1.4940239043824701</v>
      </c>
      <c r="Z32" s="3">
        <f t="shared" ca="1" si="3"/>
        <v>0.99601494396014956</v>
      </c>
      <c r="AA32" s="3" t="e">
        <f t="shared" ca="1" si="3"/>
        <v>#N/A</v>
      </c>
      <c r="AB32" s="3" t="e">
        <f t="shared" ca="1" si="3"/>
        <v>#N/A</v>
      </c>
      <c r="AC32" s="3">
        <f t="shared" ca="1" si="3"/>
        <v>0.97485059760956183</v>
      </c>
      <c r="AE32" s="3">
        <f t="shared" ca="1" si="4"/>
        <v>0.92552928717929883</v>
      </c>
      <c r="AF32" s="3" t="e">
        <f t="shared" ca="1" si="4"/>
        <v>#N/A</v>
      </c>
      <c r="AG32" s="3" t="e">
        <f t="shared" ca="1" si="4"/>
        <v>#N/A</v>
      </c>
      <c r="AH32" s="3">
        <f t="shared" ca="1" si="4"/>
        <v>0.74651398031835059</v>
      </c>
      <c r="AJ32" s="3">
        <f t="shared" ca="1" si="5"/>
        <v>2.2415940224159403</v>
      </c>
      <c r="AK32" s="3" t="e">
        <f t="shared" ca="1" si="5"/>
        <v>#N/A</v>
      </c>
      <c r="AL32" s="3" t="e">
        <f t="shared" ca="1" si="5"/>
        <v>#N/A</v>
      </c>
      <c r="AM32" s="3">
        <f t="shared" ca="1" si="5"/>
        <v>1.4940239043824701</v>
      </c>
      <c r="AO32" s="3">
        <f t="shared" ca="1" si="6"/>
        <v>0.24906600249066005</v>
      </c>
      <c r="AP32" s="3" t="e">
        <f t="shared" ca="1" si="6"/>
        <v>#N/A</v>
      </c>
      <c r="AQ32" s="3" t="e">
        <f t="shared" ca="1" si="6"/>
        <v>#N/A</v>
      </c>
      <c r="AR32" s="3">
        <f t="shared" ca="1" si="6"/>
        <v>0.49800796812749004</v>
      </c>
      <c r="AT32" s="3">
        <v>4.0000001899898052E-3</v>
      </c>
      <c r="AU32" s="11" t="e">
        <v>#N/A</v>
      </c>
      <c r="AV32" s="11" t="e">
        <v>#N/A</v>
      </c>
      <c r="AW32" s="3">
        <v>0</v>
      </c>
      <c r="AY32" s="3">
        <f t="shared" ca="1" si="7"/>
        <v>0.25753424657534263</v>
      </c>
      <c r="AZ32" s="3" t="e">
        <f t="shared" ca="1" si="8"/>
        <v>#N/A</v>
      </c>
      <c r="BA32" s="3" t="e">
        <f t="shared" ca="1" si="9"/>
        <v>#N/A</v>
      </c>
      <c r="BB32" s="3">
        <f t="shared" ca="1" si="10"/>
        <v>0.39815737051792832</v>
      </c>
      <c r="BD32" s="3">
        <f t="shared" ca="1" si="11"/>
        <v>0.25330007002035976</v>
      </c>
      <c r="BE32" s="3" t="e">
        <f t="shared" ca="1" si="12"/>
        <v>#N/A</v>
      </c>
      <c r="BF32" s="3" t="e">
        <f t="shared" ca="1" si="13"/>
        <v>#N/A</v>
      </c>
      <c r="BG32" s="3">
        <f t="shared" ca="1" si="14"/>
        <v>0.4106076263574015</v>
      </c>
      <c r="BI32" s="3">
        <f t="shared" ca="1" si="15"/>
        <v>0.9962640099626402</v>
      </c>
      <c r="BJ32" s="3" t="e">
        <f t="shared" ca="1" si="16"/>
        <v>#N/A</v>
      </c>
      <c r="BK32" s="3" t="e">
        <f t="shared" ca="1" si="17"/>
        <v>#N/A</v>
      </c>
      <c r="BL32" s="3">
        <f t="shared" ca="1" si="18"/>
        <v>0.49800796812749004</v>
      </c>
      <c r="BN32" s="3">
        <f t="shared" ca="1" si="19"/>
        <v>1.2453300124533002</v>
      </c>
      <c r="BO32" s="3" t="e">
        <f t="shared" ca="1" si="20"/>
        <v>#N/A</v>
      </c>
      <c r="BP32" s="3" t="e">
        <f t="shared" ca="1" si="21"/>
        <v>#N/A</v>
      </c>
      <c r="BQ32" s="3">
        <f t="shared" ca="1" si="22"/>
        <v>0.74701195219123506</v>
      </c>
      <c r="BS32" s="3">
        <v>0.97100001573562622</v>
      </c>
      <c r="BT32" s="11" t="e">
        <v>#N/A</v>
      </c>
      <c r="BU32" s="11" t="e">
        <v>#N/A</v>
      </c>
      <c r="BV32" s="3">
        <v>0.69999998807907104</v>
      </c>
      <c r="BX32" s="3">
        <f t="shared" ca="1" si="23"/>
        <v>0.17858032378580327</v>
      </c>
      <c r="BY32" s="3" t="e">
        <f t="shared" ca="1" si="24"/>
        <v>#N/A</v>
      </c>
      <c r="BZ32" s="3" t="e">
        <f t="shared" ca="1" si="25"/>
        <v>#N/A</v>
      </c>
      <c r="CA32" s="3">
        <f t="shared" ca="1" si="26"/>
        <v>0.10358565737051796</v>
      </c>
      <c r="CC32" s="3">
        <f t="shared" ca="1" si="27"/>
        <v>0.22415942599437902</v>
      </c>
      <c r="CD32" s="3" t="e">
        <f t="shared" ca="1" si="28"/>
        <v>#N/A</v>
      </c>
      <c r="CE32" s="3" t="e">
        <f t="shared" ca="1" si="29"/>
        <v>#N/A</v>
      </c>
      <c r="CF32" s="3">
        <f t="shared" ca="1" si="30"/>
        <v>3.7350561989256112E-2</v>
      </c>
      <c r="CH32" s="3">
        <f t="shared" ca="1" si="31"/>
        <v>0.24906600249066005</v>
      </c>
      <c r="CI32" s="3" t="e">
        <f t="shared" ca="1" si="32"/>
        <v>#N/A</v>
      </c>
      <c r="CJ32" s="3" t="e">
        <f t="shared" ca="1" si="33"/>
        <v>#N/A</v>
      </c>
      <c r="CK32" s="3">
        <f t="shared" ca="1" si="34"/>
        <v>0.24900398406374502</v>
      </c>
      <c r="CM32" s="3">
        <f t="shared" ca="1" si="35"/>
        <v>0.24906600249066005</v>
      </c>
      <c r="CN32" s="3" t="e">
        <f t="shared" ca="1" si="36"/>
        <v>#N/A</v>
      </c>
      <c r="CO32" s="3" t="e">
        <f t="shared" ca="1" si="37"/>
        <v>#N/A</v>
      </c>
      <c r="CP32" s="3">
        <f t="shared" ca="1" si="38"/>
        <v>1.2450199203187251</v>
      </c>
      <c r="CR32" s="3">
        <v>2.4869999885559082</v>
      </c>
      <c r="CS32" s="11" t="e">
        <v>#N/A</v>
      </c>
      <c r="CT32" s="11" t="e">
        <v>#N/A</v>
      </c>
      <c r="CU32" s="3">
        <v>1.9830000400543213</v>
      </c>
      <c r="CV32" s="21">
        <f t="shared" ca="1" si="40"/>
        <v>1.9830000400543213</v>
      </c>
      <c r="CW32" s="16">
        <f t="shared" ca="1" si="39"/>
        <v>5.833333333333333</v>
      </c>
    </row>
    <row r="33" spans="1:101" s="3" customFormat="1" x14ac:dyDescent="0.35">
      <c r="A33" s="2" t="s">
        <v>21</v>
      </c>
      <c r="B33" s="2">
        <v>5.916666666666667</v>
      </c>
      <c r="C33" s="2" t="s">
        <v>168</v>
      </c>
      <c r="D33" s="2" t="s">
        <v>403</v>
      </c>
      <c r="F33" s="11" t="e">
        <v>#N/A</v>
      </c>
      <c r="G33" s="11" t="e">
        <v>#N/A</v>
      </c>
      <c r="H33" s="3">
        <v>3.2159999999999997</v>
      </c>
      <c r="I33" s="3">
        <v>4.0149999999999997</v>
      </c>
      <c r="K33" s="3" t="e">
        <f t="shared" ca="1" si="0"/>
        <v>#N/A</v>
      </c>
      <c r="L33" s="3" t="e">
        <f t="shared" ca="1" si="0"/>
        <v>#N/A</v>
      </c>
      <c r="M33" s="3">
        <f t="shared" ca="1" si="0"/>
        <v>0.78264925373134342</v>
      </c>
      <c r="N33" s="3">
        <f t="shared" ca="1" si="0"/>
        <v>0.99601494396014956</v>
      </c>
      <c r="P33" s="3" t="e">
        <f t="shared" ca="1" si="1"/>
        <v>#N/A</v>
      </c>
      <c r="Q33" s="3" t="e">
        <f t="shared" ca="1" si="1"/>
        <v>#N/A</v>
      </c>
      <c r="R33" s="3">
        <f t="shared" ca="1" si="1"/>
        <v>0.12468900624199294</v>
      </c>
      <c r="S33" s="3">
        <f t="shared" ca="1" si="1"/>
        <v>0.92129515388871497</v>
      </c>
      <c r="U33" s="3" t="e">
        <f t="shared" ca="1" si="2"/>
        <v>#N/A</v>
      </c>
      <c r="V33" s="3" t="e">
        <f t="shared" ca="1" si="2"/>
        <v>#N/A</v>
      </c>
      <c r="W33" s="3">
        <f t="shared" ca="1" si="2"/>
        <v>0.93283582089552242</v>
      </c>
      <c r="X33" s="3">
        <f t="shared" ca="1" si="2"/>
        <v>2.4906600249066004</v>
      </c>
      <c r="Z33" s="3" t="e">
        <f t="shared" ca="1" si="3"/>
        <v>#N/A</v>
      </c>
      <c r="AA33" s="3" t="e">
        <f t="shared" ca="1" si="3"/>
        <v>#N/A</v>
      </c>
      <c r="AB33" s="3">
        <f t="shared" ca="1" si="3"/>
        <v>0.445584577114428</v>
      </c>
      <c r="AC33" s="3">
        <f t="shared" ca="1" si="3"/>
        <v>0.82166874221668762</v>
      </c>
      <c r="AE33" s="3" t="e">
        <f t="shared" ca="1" si="4"/>
        <v>#N/A</v>
      </c>
      <c r="AF33" s="3" t="e">
        <f t="shared" ca="1" si="4"/>
        <v>#N/A</v>
      </c>
      <c r="AG33" s="3">
        <f t="shared" ca="1" si="4"/>
        <v>0.12468900624199294</v>
      </c>
      <c r="AH33" s="3">
        <f t="shared" ca="1" si="4"/>
        <v>0.75093400438465785</v>
      </c>
      <c r="AJ33" s="3" t="e">
        <f t="shared" ca="1" si="5"/>
        <v>#N/A</v>
      </c>
      <c r="AK33" s="3" t="e">
        <f t="shared" ca="1" si="5"/>
        <v>#N/A</v>
      </c>
      <c r="AL33" s="3">
        <f t="shared" ca="1" si="5"/>
        <v>0.93283582089552242</v>
      </c>
      <c r="AM33" s="3">
        <f t="shared" ca="1" si="5"/>
        <v>2.2415940224159403</v>
      </c>
      <c r="AO33" s="3" t="e">
        <f t="shared" ca="1" si="6"/>
        <v>#N/A</v>
      </c>
      <c r="AP33" s="3" t="e">
        <f t="shared" ca="1" si="6"/>
        <v>#N/A</v>
      </c>
      <c r="AQ33" s="3">
        <f t="shared" ca="1" si="6"/>
        <v>1.8656716417910448</v>
      </c>
      <c r="AR33" s="3">
        <f t="shared" ca="1" si="6"/>
        <v>0.4981320049813201</v>
      </c>
      <c r="AT33" s="11" t="e">
        <v>#N/A</v>
      </c>
      <c r="AU33" s="11" t="e">
        <v>#N/A</v>
      </c>
      <c r="AV33" s="3">
        <v>0.36300000548362732</v>
      </c>
      <c r="AW33" s="3">
        <v>6.0000000521540642E-3</v>
      </c>
      <c r="AY33" s="3" t="e">
        <f t="shared" ca="1" si="7"/>
        <v>#N/A</v>
      </c>
      <c r="AZ33" s="3" t="e">
        <f t="shared" ca="1" si="8"/>
        <v>#N/A</v>
      </c>
      <c r="BA33" s="3">
        <f t="shared" ca="1" si="9"/>
        <v>0</v>
      </c>
      <c r="BB33" s="3">
        <f t="shared" ca="1" si="10"/>
        <v>0</v>
      </c>
      <c r="BD33" s="3" t="e">
        <f t="shared" ca="1" si="11"/>
        <v>#N/A</v>
      </c>
      <c r="BE33" s="3" t="e">
        <f t="shared" ca="1" si="12"/>
        <v>#N/A</v>
      </c>
      <c r="BF33" s="3">
        <f t="shared" ca="1" si="13"/>
        <v>0</v>
      </c>
      <c r="BG33" s="3">
        <f t="shared" ca="1" si="14"/>
        <v>0</v>
      </c>
      <c r="BI33" s="3" t="e">
        <f t="shared" ca="1" si="15"/>
        <v>#N/A</v>
      </c>
      <c r="BJ33" s="3" t="e">
        <f t="shared" ca="1" si="16"/>
        <v>#N/A</v>
      </c>
      <c r="BK33" s="3">
        <f t="shared" ca="1" si="17"/>
        <v>0</v>
      </c>
      <c r="BL33" s="3">
        <f t="shared" ca="1" si="18"/>
        <v>0</v>
      </c>
      <c r="BN33" s="3" t="e">
        <f t="shared" ca="1" si="19"/>
        <v>#N/A</v>
      </c>
      <c r="BO33" s="3" t="e">
        <f t="shared" ca="1" si="20"/>
        <v>#N/A</v>
      </c>
      <c r="BP33" s="3">
        <f t="shared" ca="1" si="21"/>
        <v>0</v>
      </c>
      <c r="BQ33" s="3">
        <f t="shared" ca="1" si="22"/>
        <v>0</v>
      </c>
      <c r="BS33" s="11" t="e">
        <v>#N/A</v>
      </c>
      <c r="BT33" s="11" t="e">
        <v>#N/A</v>
      </c>
      <c r="BU33" s="3">
        <v>4.0149999999999997</v>
      </c>
      <c r="BV33" s="3">
        <v>4.0149999999999997</v>
      </c>
      <c r="BX33" s="3" t="e">
        <f t="shared" ca="1" si="23"/>
        <v>#N/A</v>
      </c>
      <c r="BY33" s="3" t="e">
        <f t="shared" ca="1" si="24"/>
        <v>#N/A</v>
      </c>
      <c r="BZ33" s="3">
        <f t="shared" ca="1" si="25"/>
        <v>0</v>
      </c>
      <c r="CA33" s="3">
        <f t="shared" ca="1" si="26"/>
        <v>0</v>
      </c>
      <c r="CC33" s="3" t="e">
        <f t="shared" ca="1" si="27"/>
        <v>#N/A</v>
      </c>
      <c r="CD33" s="3" t="e">
        <f t="shared" ca="1" si="28"/>
        <v>#N/A</v>
      </c>
      <c r="CE33" s="3">
        <f t="shared" ca="1" si="29"/>
        <v>0</v>
      </c>
      <c r="CF33" s="3">
        <f t="shared" ca="1" si="30"/>
        <v>0</v>
      </c>
      <c r="CH33" s="3" t="e">
        <f t="shared" ca="1" si="31"/>
        <v>#N/A</v>
      </c>
      <c r="CI33" s="3" t="e">
        <f t="shared" ca="1" si="32"/>
        <v>#N/A</v>
      </c>
      <c r="CJ33" s="3">
        <f t="shared" ca="1" si="33"/>
        <v>0</v>
      </c>
      <c r="CK33" s="3">
        <f t="shared" ca="1" si="34"/>
        <v>0</v>
      </c>
      <c r="CM33" s="3" t="e">
        <f t="shared" ca="1" si="35"/>
        <v>#N/A</v>
      </c>
      <c r="CN33" s="3" t="e">
        <f t="shared" ca="1" si="36"/>
        <v>#N/A</v>
      </c>
      <c r="CO33" s="3">
        <f t="shared" ca="1" si="37"/>
        <v>0</v>
      </c>
      <c r="CP33" s="3">
        <f t="shared" ca="1" si="38"/>
        <v>0</v>
      </c>
      <c r="CR33" s="11" t="e">
        <v>#N/A</v>
      </c>
      <c r="CS33" s="11" t="e">
        <v>#N/A</v>
      </c>
      <c r="CT33" s="3">
        <v>4.0149999999999997</v>
      </c>
      <c r="CU33" s="3">
        <v>4.0149999999999997</v>
      </c>
      <c r="CV33" s="21">
        <f t="shared" ca="1" si="40"/>
        <v>4.0149999999999997</v>
      </c>
      <c r="CW33" s="16">
        <f t="shared" ca="1" si="39"/>
        <v>5.916666666666667</v>
      </c>
    </row>
    <row r="34" spans="1:101" s="3" customFormat="1" x14ac:dyDescent="0.35">
      <c r="A34" s="2" t="s">
        <v>24</v>
      </c>
      <c r="B34" s="2">
        <v>5.916666666666667</v>
      </c>
      <c r="C34" s="2" t="s">
        <v>168</v>
      </c>
      <c r="D34" s="2" t="s">
        <v>403</v>
      </c>
      <c r="F34" s="3">
        <v>4.016</v>
      </c>
      <c r="G34" s="11" t="e">
        <v>#N/A</v>
      </c>
      <c r="H34" s="3">
        <v>4.0149999999999997</v>
      </c>
      <c r="I34" s="3">
        <v>4.0149999999999997</v>
      </c>
      <c r="K34" s="3">
        <f t="shared" ca="1" si="0"/>
        <v>0.91259960159362552</v>
      </c>
      <c r="L34" s="3" t="e">
        <f t="shared" ca="1" si="0"/>
        <v>#N/A</v>
      </c>
      <c r="M34" s="3">
        <f t="shared" ca="1" si="0"/>
        <v>0.82590286425902881</v>
      </c>
      <c r="N34" s="3">
        <f t="shared" ca="1" si="0"/>
        <v>0.8879202988792031</v>
      </c>
      <c r="P34" s="3">
        <f t="shared" ca="1" si="1"/>
        <v>0.14118525937971366</v>
      </c>
      <c r="Q34" s="3" t="e">
        <f t="shared" ca="1" si="1"/>
        <v>#N/A</v>
      </c>
      <c r="R34" s="3">
        <f t="shared" ca="1" si="1"/>
        <v>0.44433363941805454</v>
      </c>
      <c r="S34" s="3">
        <f t="shared" ca="1" si="1"/>
        <v>0.24906600249066005</v>
      </c>
      <c r="U34" s="3">
        <f t="shared" ca="1" si="2"/>
        <v>0.99601593625498008</v>
      </c>
      <c r="V34" s="3" t="e">
        <f t="shared" ca="1" si="2"/>
        <v>#N/A</v>
      </c>
      <c r="W34" s="3">
        <f t="shared" ca="1" si="2"/>
        <v>1.9925280199252804</v>
      </c>
      <c r="X34" s="3">
        <f t="shared" ca="1" si="2"/>
        <v>1.2453300124533002</v>
      </c>
      <c r="Z34" s="3">
        <f t="shared" ca="1" si="3"/>
        <v>0.74252988047808766</v>
      </c>
      <c r="AA34" s="3" t="e">
        <f t="shared" ca="1" si="3"/>
        <v>#N/A</v>
      </c>
      <c r="AB34" s="3">
        <f t="shared" ca="1" si="3"/>
        <v>0.81743462017434632</v>
      </c>
      <c r="AC34" s="3">
        <f t="shared" ca="1" si="3"/>
        <v>0.72627646326276474</v>
      </c>
      <c r="AE34" s="3">
        <f t="shared" ca="1" si="4"/>
        <v>0.14118525937971366</v>
      </c>
      <c r="AF34" s="3" t="e">
        <f t="shared" ca="1" si="4"/>
        <v>#N/A</v>
      </c>
      <c r="AG34" s="3">
        <f t="shared" ca="1" si="4"/>
        <v>0.44433363941805454</v>
      </c>
      <c r="AH34" s="3">
        <f t="shared" ca="1" si="4"/>
        <v>0.22415939630339779</v>
      </c>
      <c r="AJ34" s="3">
        <f t="shared" ca="1" si="5"/>
        <v>0.99601593625498008</v>
      </c>
      <c r="AK34" s="3" t="e">
        <f t="shared" ca="1" si="5"/>
        <v>#N/A</v>
      </c>
      <c r="AL34" s="3">
        <f t="shared" ca="1" si="5"/>
        <v>1.9925280199252804</v>
      </c>
      <c r="AM34" s="3">
        <f t="shared" ca="1" si="5"/>
        <v>0.9962640099626402</v>
      </c>
      <c r="AO34" s="3">
        <f t="shared" ca="1" si="6"/>
        <v>1.2450199203187251</v>
      </c>
      <c r="AP34" s="3" t="e">
        <f t="shared" ca="1" si="6"/>
        <v>#N/A</v>
      </c>
      <c r="AQ34" s="3">
        <f t="shared" ca="1" si="6"/>
        <v>0.4981320049813201</v>
      </c>
      <c r="AR34" s="3">
        <f t="shared" ca="1" si="6"/>
        <v>1.2453300124533002</v>
      </c>
      <c r="AT34" s="3">
        <v>0.39500001072883606</v>
      </c>
      <c r="AU34" s="11" t="e">
        <v>#N/A</v>
      </c>
      <c r="AV34" s="3">
        <v>0.68500000238418579</v>
      </c>
      <c r="AW34" s="3">
        <v>0.28700000047683716</v>
      </c>
      <c r="AY34" s="3">
        <f t="shared" ca="1" si="7"/>
        <v>4.2330677290836416E-3</v>
      </c>
      <c r="AZ34" s="3" t="e">
        <f t="shared" ca="1" si="8"/>
        <v>#N/A</v>
      </c>
      <c r="BA34" s="3">
        <f t="shared" ca="1" si="9"/>
        <v>0.27820672478206737</v>
      </c>
      <c r="BB34" s="3">
        <f t="shared" ca="1" si="10"/>
        <v>9.1656288916562925E-2</v>
      </c>
      <c r="BD34" s="3">
        <f t="shared" ca="1" si="11"/>
        <v>0</v>
      </c>
      <c r="BE34" s="3" t="e">
        <f t="shared" ca="1" si="12"/>
        <v>#N/A</v>
      </c>
      <c r="BF34" s="3">
        <f t="shared" ca="1" si="13"/>
        <v>0.29041087196891663</v>
      </c>
      <c r="BG34" s="3">
        <f t="shared" ca="1" si="14"/>
        <v>4.9813182683543282E-2</v>
      </c>
      <c r="BI34" s="3">
        <f t="shared" ca="1" si="15"/>
        <v>0</v>
      </c>
      <c r="BJ34" s="3" t="e">
        <f t="shared" ca="1" si="16"/>
        <v>#N/A</v>
      </c>
      <c r="BK34" s="3">
        <f t="shared" ca="1" si="17"/>
        <v>1.2453300124533002</v>
      </c>
      <c r="BL34" s="3">
        <f t="shared" ca="1" si="18"/>
        <v>0.24906600249066005</v>
      </c>
      <c r="BN34" s="3">
        <f t="shared" ca="1" si="19"/>
        <v>2.241035856573705</v>
      </c>
      <c r="BO34" s="3" t="e">
        <f t="shared" ca="1" si="20"/>
        <v>#N/A</v>
      </c>
      <c r="BP34" s="3">
        <f t="shared" ca="1" si="21"/>
        <v>2.7397260273972606</v>
      </c>
      <c r="BQ34" s="3">
        <f t="shared" ca="1" si="22"/>
        <v>2.4906600249066004</v>
      </c>
      <c r="BS34" s="3">
        <v>4.016</v>
      </c>
      <c r="BT34" s="11" t="e">
        <v>#N/A</v>
      </c>
      <c r="BU34" s="3">
        <v>2.502000093460083</v>
      </c>
      <c r="BV34" s="3">
        <v>0.80400002002716064</v>
      </c>
      <c r="BX34" s="3">
        <f t="shared" ca="1" si="23"/>
        <v>5.3784860557768863E-2</v>
      </c>
      <c r="BY34" s="3" t="e">
        <f t="shared" ca="1" si="24"/>
        <v>#N/A</v>
      </c>
      <c r="BZ34" s="3">
        <f t="shared" ca="1" si="25"/>
        <v>4.9813200498132024E-2</v>
      </c>
      <c r="CA34" s="3">
        <f t="shared" ca="1" si="26"/>
        <v>4.5579078455790858E-2</v>
      </c>
      <c r="CC34" s="3">
        <f t="shared" ca="1" si="27"/>
        <v>3.7350621356432183E-2</v>
      </c>
      <c r="CD34" s="3" t="e">
        <f t="shared" ca="1" si="28"/>
        <v>#N/A</v>
      </c>
      <c r="CE34" s="3">
        <f t="shared" ca="1" si="29"/>
        <v>5.4047324440696029E-2</v>
      </c>
      <c r="CF34" s="3">
        <f t="shared" ca="1" si="30"/>
        <v>0</v>
      </c>
      <c r="CH34" s="3">
        <f t="shared" ca="1" si="31"/>
        <v>0.24900398406374502</v>
      </c>
      <c r="CI34" s="3" t="e">
        <f t="shared" ca="1" si="32"/>
        <v>#N/A</v>
      </c>
      <c r="CJ34" s="3">
        <f t="shared" ca="1" si="33"/>
        <v>0.24906600249066005</v>
      </c>
      <c r="CK34" s="3">
        <f t="shared" ca="1" si="34"/>
        <v>0</v>
      </c>
      <c r="CM34" s="3">
        <f t="shared" ca="1" si="35"/>
        <v>0.99601593625498008</v>
      </c>
      <c r="CN34" s="3" t="e">
        <f t="shared" ca="1" si="36"/>
        <v>#N/A</v>
      </c>
      <c r="CO34" s="3">
        <f t="shared" ca="1" si="37"/>
        <v>0.4981320049813201</v>
      </c>
      <c r="CP34" s="3">
        <f t="shared" ca="1" si="38"/>
        <v>0.9962640099626402</v>
      </c>
      <c r="CR34" s="3">
        <v>3.5109999179840088</v>
      </c>
      <c r="CS34" s="11" t="e">
        <v>#N/A</v>
      </c>
      <c r="CT34" s="3">
        <v>0.68500000238418579</v>
      </c>
      <c r="CU34" s="3">
        <v>4.0149999999999997</v>
      </c>
      <c r="CV34" s="21">
        <f t="shared" ca="1" si="40"/>
        <v>4.0149999999999997</v>
      </c>
      <c r="CW34" s="16">
        <f t="shared" ca="1" si="39"/>
        <v>5.916666666666667</v>
      </c>
    </row>
    <row r="35" spans="1:101" s="3" customFormat="1" x14ac:dyDescent="0.35">
      <c r="A35" s="2" t="s">
        <v>39</v>
      </c>
      <c r="B35" s="2">
        <v>6.083333333333333</v>
      </c>
      <c r="C35" s="2" t="s">
        <v>167</v>
      </c>
      <c r="D35" s="2" t="s">
        <v>403</v>
      </c>
      <c r="F35" s="3">
        <v>4.016</v>
      </c>
      <c r="G35" s="3">
        <v>4.016</v>
      </c>
      <c r="H35" s="3">
        <v>4.016</v>
      </c>
      <c r="I35" s="3">
        <v>4.0149999999999997</v>
      </c>
      <c r="K35" s="3">
        <f t="shared" ca="1" si="0"/>
        <v>0.91683266932270924</v>
      </c>
      <c r="L35" s="3">
        <f t="shared" ca="1" si="0"/>
        <v>0.99576693227091628</v>
      </c>
      <c r="M35" s="3">
        <f t="shared" ca="1" si="0"/>
        <v>0.91259960159362541</v>
      </c>
      <c r="N35" s="3">
        <f t="shared" ca="1" si="0"/>
        <v>0.99601494396014945</v>
      </c>
      <c r="P35" s="3">
        <f t="shared" ca="1" si="1"/>
        <v>0.72584659662617157</v>
      </c>
      <c r="Q35" s="3">
        <f t="shared" ca="1" si="1"/>
        <v>0.94521912839820244</v>
      </c>
      <c r="R35" s="3">
        <f t="shared" ca="1" si="1"/>
        <v>0.88745021665713697</v>
      </c>
      <c r="S35" s="3">
        <f t="shared" ca="1" si="1"/>
        <v>0.94196764893764884</v>
      </c>
      <c r="U35" s="3">
        <f t="shared" ca="1" si="2"/>
        <v>2.241035856573705</v>
      </c>
      <c r="V35" s="3">
        <f t="shared" ca="1" si="2"/>
        <v>3.237051792828685</v>
      </c>
      <c r="W35" s="3">
        <f t="shared" ca="1" si="2"/>
        <v>1.7430278884462151</v>
      </c>
      <c r="X35" s="3">
        <f t="shared" ca="1" si="2"/>
        <v>2.7397260273972606</v>
      </c>
      <c r="Z35" s="3">
        <f t="shared" ca="1" si="3"/>
        <v>0.91284860557768932</v>
      </c>
      <c r="AA35" s="3">
        <f t="shared" ca="1" si="3"/>
        <v>0.99576693227091628</v>
      </c>
      <c r="AB35" s="3">
        <f t="shared" ca="1" si="3"/>
        <v>0.91259960159362541</v>
      </c>
      <c r="AC35" s="3">
        <f t="shared" ca="1" si="3"/>
        <v>0.84657534246575339</v>
      </c>
      <c r="AE35" s="3">
        <f t="shared" ca="1" si="4"/>
        <v>0.72584659662617157</v>
      </c>
      <c r="AF35" s="3">
        <f t="shared" ca="1" si="4"/>
        <v>0.94521912839820244</v>
      </c>
      <c r="AG35" s="3">
        <f t="shared" ca="1" si="4"/>
        <v>0.88745021665713697</v>
      </c>
      <c r="AH35" s="3">
        <f t="shared" ca="1" si="4"/>
        <v>0.81344958357652131</v>
      </c>
      <c r="AJ35" s="3">
        <f t="shared" ca="1" si="5"/>
        <v>2.241035856573705</v>
      </c>
      <c r="AK35" s="3">
        <f t="shared" ca="1" si="5"/>
        <v>3.237051792828685</v>
      </c>
      <c r="AL35" s="3">
        <f t="shared" ca="1" si="5"/>
        <v>1.7430278884462151</v>
      </c>
      <c r="AM35" s="3">
        <f t="shared" ca="1" si="5"/>
        <v>2.4906600249066004</v>
      </c>
      <c r="AO35" s="3">
        <f t="shared" ca="1" si="6"/>
        <v>0.24900398406374502</v>
      </c>
      <c r="AP35" s="3">
        <f t="shared" ca="1" si="6"/>
        <v>0.24900398406374502</v>
      </c>
      <c r="AQ35" s="3">
        <f t="shared" ca="1" si="6"/>
        <v>0.24900398406374502</v>
      </c>
      <c r="AR35" s="3">
        <f t="shared" ca="1" si="6"/>
        <v>0.4981320049813201</v>
      </c>
      <c r="AT35" s="3">
        <v>0.40999999642372131</v>
      </c>
      <c r="AU35" s="3">
        <v>8.0000003799796104E-3</v>
      </c>
      <c r="AV35" s="3">
        <v>0.34700000286102295</v>
      </c>
      <c r="AW35" s="3">
        <v>8.0000003799796104E-3</v>
      </c>
      <c r="AY35" s="3">
        <f t="shared" ca="1" si="7"/>
        <v>0.38994023904382463</v>
      </c>
      <c r="AZ35" s="3">
        <f t="shared" ca="1" si="8"/>
        <v>0.29855577689243024</v>
      </c>
      <c r="BA35" s="3">
        <f t="shared" ca="1" si="9"/>
        <v>0.69696215139442219</v>
      </c>
      <c r="BB35" s="3">
        <f t="shared" ca="1" si="10"/>
        <v>0.26550435865504357</v>
      </c>
      <c r="BD35" s="3">
        <f t="shared" ca="1" si="11"/>
        <v>0.41484066185010859</v>
      </c>
      <c r="BE35" s="3">
        <f t="shared" ca="1" si="12"/>
        <v>0.31499002143681287</v>
      </c>
      <c r="BF35" s="3">
        <f t="shared" ca="1" si="13"/>
        <v>0.77963149939400267</v>
      </c>
      <c r="BG35" s="3">
        <f t="shared" ca="1" si="14"/>
        <v>0.28642591177155341</v>
      </c>
      <c r="BI35" s="3">
        <f t="shared" ca="1" si="15"/>
        <v>1.2450199203187251</v>
      </c>
      <c r="BJ35" s="3">
        <f t="shared" ca="1" si="16"/>
        <v>1.4940239043824701</v>
      </c>
      <c r="BK35" s="3">
        <f t="shared" ca="1" si="17"/>
        <v>1.4940239043824701</v>
      </c>
      <c r="BL35" s="3">
        <f t="shared" ca="1" si="18"/>
        <v>0.74719800747198017</v>
      </c>
      <c r="BN35" s="3">
        <f t="shared" ca="1" si="19"/>
        <v>0.99601593625498008</v>
      </c>
      <c r="BO35" s="3">
        <f t="shared" ca="1" si="20"/>
        <v>0.99601593625498008</v>
      </c>
      <c r="BP35" s="3">
        <f t="shared" ca="1" si="21"/>
        <v>0.49800796812749004</v>
      </c>
      <c r="BQ35" s="3">
        <f t="shared" ca="1" si="22"/>
        <v>0.4981320049813201</v>
      </c>
      <c r="BS35" s="3">
        <v>0.40999999642372131</v>
      </c>
      <c r="BT35" s="3">
        <v>0.57499998807907104</v>
      </c>
      <c r="BU35" s="3">
        <v>0.34700000286102295</v>
      </c>
      <c r="BV35" s="3">
        <v>0.49099999666213989</v>
      </c>
      <c r="BX35" s="3">
        <f t="shared" ca="1" si="23"/>
        <v>6.2250996015936255E-2</v>
      </c>
      <c r="BY35" s="3">
        <f t="shared" ca="1" si="24"/>
        <v>0</v>
      </c>
      <c r="BZ35" s="3">
        <f t="shared" ca="1" si="25"/>
        <v>0</v>
      </c>
      <c r="CA35" s="3">
        <f t="shared" ca="1" si="26"/>
        <v>2.9140722291407222E-2</v>
      </c>
      <c r="CC35" s="3">
        <f t="shared" ca="1" si="27"/>
        <v>8.2918312920042245E-2</v>
      </c>
      <c r="CD35" s="3">
        <f t="shared" ca="1" si="28"/>
        <v>0</v>
      </c>
      <c r="CE35" s="3">
        <f t="shared" ca="1" si="29"/>
        <v>0</v>
      </c>
      <c r="CF35" s="3">
        <f t="shared" ca="1" si="30"/>
        <v>0</v>
      </c>
      <c r="CH35" s="3">
        <f t="shared" ca="1" si="31"/>
        <v>0.24900398406374502</v>
      </c>
      <c r="CI35" s="3">
        <f t="shared" ca="1" si="32"/>
        <v>0</v>
      </c>
      <c r="CJ35" s="3">
        <f t="shared" ca="1" si="33"/>
        <v>0</v>
      </c>
      <c r="CK35" s="3">
        <f t="shared" ca="1" si="34"/>
        <v>0</v>
      </c>
      <c r="CM35" s="3">
        <f t="shared" ca="1" si="35"/>
        <v>0.24900398406374502</v>
      </c>
      <c r="CN35" s="3">
        <f t="shared" ca="1" si="36"/>
        <v>0</v>
      </c>
      <c r="CO35" s="3">
        <f t="shared" ca="1" si="37"/>
        <v>0</v>
      </c>
      <c r="CP35" s="3">
        <f t="shared" ca="1" si="38"/>
        <v>0.24906600249066005</v>
      </c>
      <c r="CR35" s="3">
        <v>3.4430000782012939</v>
      </c>
      <c r="CS35" s="3">
        <v>4.016</v>
      </c>
      <c r="CT35" s="3">
        <v>4.016</v>
      </c>
      <c r="CU35" s="3">
        <v>4.0149999999999997</v>
      </c>
      <c r="CV35" s="21">
        <f t="shared" ca="1" si="40"/>
        <v>4.0149999999999997</v>
      </c>
      <c r="CW35" s="16">
        <f t="shared" ca="1" si="39"/>
        <v>6.083333333333333</v>
      </c>
    </row>
    <row r="36" spans="1:101" s="3" customFormat="1" x14ac:dyDescent="0.35">
      <c r="A36" s="2" t="s">
        <v>1</v>
      </c>
      <c r="B36" s="2">
        <v>6.166666666666667</v>
      </c>
      <c r="C36" s="2" t="s">
        <v>167</v>
      </c>
      <c r="D36" s="2" t="s">
        <v>403</v>
      </c>
      <c r="F36" s="3" t="e">
        <v>#N/A</v>
      </c>
      <c r="G36" s="11" t="e">
        <v>#N/A</v>
      </c>
      <c r="H36" s="3">
        <v>4.016</v>
      </c>
      <c r="I36" s="3">
        <v>4.0090000000000003</v>
      </c>
      <c r="K36" s="3" t="e">
        <f t="shared" ref="K36:N67" ca="1" si="41">INDIRECT("'Data_Netteyage'!" &amp; LEFT(ADDRESS(1,COLUMN(),4),LEN(ADDRESS(1,COLUMN(),4))-1) &amp; ROW())/F36</f>
        <v>#N/A</v>
      </c>
      <c r="L36" s="3" t="e">
        <f t="shared" ca="1" si="41"/>
        <v>#N/A</v>
      </c>
      <c r="M36" s="3">
        <f t="shared" ca="1" si="41"/>
        <v>0.9957669322709165</v>
      </c>
      <c r="N36" s="3">
        <f t="shared" ca="1" si="41"/>
        <v>0.99750561237216262</v>
      </c>
      <c r="P36" s="3" t="e">
        <f t="shared" ref="P36:S67" ca="1" si="42">INDIRECT("'Data_Netteyage'!" &amp; LEFT(ADDRESS(1,COLUMN(),4),LEN(ADDRESS(1,COLUMN(),4))-1) &amp; ROW())/F36</f>
        <v>#N/A</v>
      </c>
      <c r="Q36" s="3" t="e">
        <f t="shared" ca="1" si="42"/>
        <v>#N/A</v>
      </c>
      <c r="R36" s="3">
        <f t="shared" ca="1" si="42"/>
        <v>0.8879481969365064</v>
      </c>
      <c r="S36" s="3">
        <f t="shared" ca="1" si="42"/>
        <v>0.74432525076631828</v>
      </c>
      <c r="U36" s="3" t="e">
        <f t="shared" ref="U36:X67" ca="1" si="43">INDIRECT("'Data_Netteyage'!" &amp; LEFT(ADDRESS(1,COLUMN(),4),LEN(ADDRESS(1,COLUMN(),4))-1) &amp; ROW())/F36</f>
        <v>#N/A</v>
      </c>
      <c r="V36" s="3" t="e">
        <f t="shared" ca="1" si="43"/>
        <v>#N/A</v>
      </c>
      <c r="W36" s="3">
        <f t="shared" ca="1" si="43"/>
        <v>3.4860557768924303</v>
      </c>
      <c r="X36" s="3">
        <f t="shared" ca="1" si="43"/>
        <v>3.7415814417560487</v>
      </c>
      <c r="Z36" s="3" t="e">
        <f t="shared" ref="Z36:AC67" ca="1" si="44">INDIRECT("'Data_Netteyage'!" &amp; LEFT(ADDRESS(1,COLUMN(),4),LEN(ADDRESS(1,COLUMN(),4))-1) &amp; ROW())/F36</f>
        <v>#N/A</v>
      </c>
      <c r="AA36" s="3" t="e">
        <f t="shared" ca="1" si="44"/>
        <v>#N/A</v>
      </c>
      <c r="AB36" s="3">
        <f t="shared" ca="1" si="44"/>
        <v>0.9957669322709165</v>
      </c>
      <c r="AC36" s="3">
        <f t="shared" ca="1" si="44"/>
        <v>0.92691444250436517</v>
      </c>
      <c r="AE36" s="3" t="e">
        <f t="shared" ref="AE36:AH67" ca="1" si="45">INDIRECT("'Data_Netteyage'!" &amp; LEFT(ADDRESS(1,COLUMN(),4),LEN(ADDRESS(1,COLUMN(),4))-1) &amp; ROW())/F36</f>
        <v>#N/A</v>
      </c>
      <c r="AF36" s="3" t="e">
        <f t="shared" ca="1" si="45"/>
        <v>#N/A</v>
      </c>
      <c r="AG36" s="3">
        <f t="shared" ca="1" si="45"/>
        <v>0.8879481969365064</v>
      </c>
      <c r="AH36" s="3">
        <f t="shared" ca="1" si="45"/>
        <v>0.74432525076631828</v>
      </c>
      <c r="AJ36" s="3" t="e">
        <f t="shared" ref="AJ36:AM67" ca="1" si="46">INDIRECT("'Data_Netteyage'!" &amp; LEFT(ADDRESS(1,COLUMN(),4),LEN(ADDRESS(1,COLUMN(),4))-1) &amp; ROW())/F36</f>
        <v>#N/A</v>
      </c>
      <c r="AK36" s="3" t="e">
        <f t="shared" ca="1" si="46"/>
        <v>#N/A</v>
      </c>
      <c r="AL36" s="3">
        <f t="shared" ca="1" si="46"/>
        <v>3.4860557768924303</v>
      </c>
      <c r="AM36" s="3">
        <f t="shared" ca="1" si="46"/>
        <v>3.7415814417560487</v>
      </c>
      <c r="AO36" s="3" t="e">
        <f t="shared" ref="AO36:AR67" ca="1" si="47">INDIRECT("'Data_Netteyage'!" &amp; LEFT(ADDRESS(1,COLUMN(),4),LEN(ADDRESS(1,COLUMN(),4))-1) &amp; ROW())/F36</f>
        <v>#N/A</v>
      </c>
      <c r="AP36" s="3" t="e">
        <f t="shared" ca="1" si="47"/>
        <v>#N/A</v>
      </c>
      <c r="AQ36" s="3">
        <f t="shared" ca="1" si="47"/>
        <v>0.24900398406374502</v>
      </c>
      <c r="AR36" s="3">
        <f t="shared" ca="1" si="47"/>
        <v>0.49887752556747317</v>
      </c>
      <c r="AT36" s="3">
        <v>1.4000000432133675E-2</v>
      </c>
      <c r="AU36" s="11" t="e">
        <v>#N/A</v>
      </c>
      <c r="AV36" s="3">
        <v>2.0000000949949026E-3</v>
      </c>
      <c r="AW36" s="3">
        <v>2.6000000536441803E-2</v>
      </c>
      <c r="AY36" s="3" t="e">
        <f t="shared" ref="AY36:AY67" ca="1" si="48">INDIRECT("'Data_Netteyage'!" &amp; LEFT(ADDRESS(1,COLUMN(),4),LEN(ADDRESS(1,COLUMN(),4))-1) &amp; ROW())/F36</f>
        <v>#N/A</v>
      </c>
      <c r="AZ36" s="3" t="e">
        <f t="shared" ref="AZ36:AZ67" ca="1" si="49">INDIRECT("'Data_Netteyage'!" &amp; LEFT(ADDRESS(1,COLUMN(),4),LEN(ADDRESS(1,COLUMN(),4))-1) &amp; ROW())/G36</f>
        <v>#N/A</v>
      </c>
      <c r="BA36" s="3">
        <f t="shared" ref="BA36:BA67" ca="1" si="50">INDIRECT("'Data_Netteyage'!" &amp; LEFT(ADDRESS(1,COLUMN(),4),LEN(ADDRESS(1,COLUMN(),4))-1) &amp; ROW())/H36</f>
        <v>0.19945219123505964</v>
      </c>
      <c r="BB36" s="3">
        <f t="shared" ref="BB36:BB67" ca="1" si="51">INDIRECT("'Data_Netteyage'!" &amp; LEFT(ADDRESS(1,COLUMN(),4),LEN(ADDRESS(1,COLUMN(),4))-1) &amp; ROW())/I36</f>
        <v>0.51134946370665979</v>
      </c>
      <c r="BD36" s="3" t="e">
        <f t="shared" ref="BD36:BD67" ca="1" si="52">INDIRECT("'Data_Netteyage'!" &amp; LEFT(ADDRESS(1,COLUMN(),4),LEN(ADDRESS(1,COLUMN(),4))-1) &amp; ROW())/F36</f>
        <v>#N/A</v>
      </c>
      <c r="BE36" s="3" t="e">
        <f t="shared" ref="BE36:BE67" ca="1" si="53">INDIRECT("'Data_Netteyage'!" &amp; LEFT(ADDRESS(1,COLUMN(),4),LEN(ADDRESS(1,COLUMN(),4))-1) &amp; ROW())/G36</f>
        <v>#N/A</v>
      </c>
      <c r="BF36" s="3">
        <f t="shared" ref="BF36:BF67" ca="1" si="54">INDIRECT("'Data_Netteyage'!" &amp; LEFT(ADDRESS(1,COLUMN(),4),LEN(ADDRESS(1,COLUMN(),4))-1) &amp; ROW())/H36</f>
        <v>0.15338640882674442</v>
      </c>
      <c r="BG36" s="3">
        <f t="shared" ref="BG36:BG67" ca="1" si="55">INDIRECT("'Data_Netteyage'!" &amp; LEFT(ADDRESS(1,COLUMN(),4),LEN(ADDRESS(1,COLUMN(),4))-1) &amp; ROW())/I36</f>
        <v>0.47817412948751126</v>
      </c>
      <c r="BI36" s="3" t="e">
        <f t="shared" ref="BI36:BI67" ca="1" si="56">INDIRECT("'Data_Netteyage'!" &amp; LEFT(ADDRESS(1,COLUMN(),4),LEN(ADDRESS(1,COLUMN(),4))-1) &amp; ROW())/F36</f>
        <v>#N/A</v>
      </c>
      <c r="BJ36" s="3" t="e">
        <f t="shared" ref="BJ36:BJ67" ca="1" si="57">INDIRECT("'Data_Netteyage'!" &amp; LEFT(ADDRESS(1,COLUMN(),4),LEN(ADDRESS(1,COLUMN(),4))-1) &amp; ROW())/G36</f>
        <v>#N/A</v>
      </c>
      <c r="BK36" s="3">
        <f t="shared" ref="BK36:BK67" ca="1" si="58">INDIRECT("'Data_Netteyage'!" &amp; LEFT(ADDRESS(1,COLUMN(),4),LEN(ADDRESS(1,COLUMN(),4))-1) &amp; ROW())/H36</f>
        <v>0.74701195219123506</v>
      </c>
      <c r="BL36" s="3">
        <f t="shared" ref="BL36:BL67" ca="1" si="59">INDIRECT("'Data_Netteyage'!" &amp; LEFT(ADDRESS(1,COLUMN(),4),LEN(ADDRESS(1,COLUMN(),4))-1) &amp; ROW())/I36</f>
        <v>2.2449488650536291</v>
      </c>
      <c r="BN36" s="3" t="e">
        <f t="shared" ref="BN36:BN67" ca="1" si="60">INDIRECT("'Data_Netteyage'!" &amp; LEFT(ADDRESS(1,COLUMN(),4),LEN(ADDRESS(1,COLUMN(),4))-1) &amp; ROW())/F36</f>
        <v>#N/A</v>
      </c>
      <c r="BO36" s="3" t="e">
        <f t="shared" ref="BO36:BO67" ca="1" si="61">INDIRECT("'Data_Netteyage'!" &amp; LEFT(ADDRESS(1,COLUMN(),4),LEN(ADDRESS(1,COLUMN(),4))-1) &amp; ROW())/G36</f>
        <v>#N/A</v>
      </c>
      <c r="BP36" s="3">
        <f t="shared" ref="BP36:BP67" ca="1" si="62">INDIRECT("'Data_Netteyage'!" &amp; LEFT(ADDRESS(1,COLUMN(),4),LEN(ADDRESS(1,COLUMN(),4))-1) &amp; ROW())/H36</f>
        <v>1.2450199203187251</v>
      </c>
      <c r="BQ36" s="3">
        <f t="shared" ref="BQ36:BQ67" ca="1" si="63">INDIRECT("'Data_Netteyage'!" &amp; LEFT(ADDRESS(1,COLUMN(),4),LEN(ADDRESS(1,COLUMN(),4))-1) &amp; ROW())/I36</f>
        <v>1.4966325767024193</v>
      </c>
      <c r="BS36" s="3">
        <v>1.2460000514984131</v>
      </c>
      <c r="BT36" s="11" t="e">
        <v>#N/A</v>
      </c>
      <c r="BU36" s="3">
        <v>1.6019999980926514</v>
      </c>
      <c r="BV36" s="3">
        <v>0.35899999737739563</v>
      </c>
      <c r="BX36" s="3" t="e">
        <f t="shared" ref="BX36:BX67" ca="1" si="64">INDIRECT("'Data_Netteyage'!" &amp; LEFT(ADDRESS(1,COLUMN(),4),LEN(ADDRESS(1,COLUMN(),4))-1) &amp; ROW())/F36</f>
        <v>#N/A</v>
      </c>
      <c r="BY36" s="3" t="e">
        <f t="shared" ref="BY36:BY67" ca="1" si="65">INDIRECT("'Data_Netteyage'!" &amp; LEFT(ADDRESS(1,COLUMN(),4),LEN(ADDRESS(1,COLUMN(),4))-1) &amp; ROW())/G36</f>
        <v>#N/A</v>
      </c>
      <c r="BZ36" s="3">
        <f t="shared" ref="BZ36:BZ67" ca="1" si="66">INDIRECT("'Data_Netteyage'!" &amp; LEFT(ADDRESS(1,COLUMN(),4),LEN(ADDRESS(1,COLUMN(),4))-1) &amp; ROW())/H36</f>
        <v>0</v>
      </c>
      <c r="CA36" s="3">
        <f t="shared" ref="CA36:CA67" ca="1" si="67">INDIRECT("'Data_Netteyage'!" &amp; LEFT(ADDRESS(1,COLUMN(),4),LEN(ADDRESS(1,COLUMN(),4))-1) &amp; ROW())/I36</f>
        <v>0</v>
      </c>
      <c r="CC36" s="3" t="e">
        <f t="shared" ref="CC36:CC67" ca="1" si="68">INDIRECT("'Data_Netteyage'!" &amp; LEFT(ADDRESS(1,COLUMN(),4),LEN(ADDRESS(1,COLUMN(),4))-1) &amp; ROW())/F36</f>
        <v>#N/A</v>
      </c>
      <c r="CD36" s="3" t="e">
        <f t="shared" ref="CD36:CD67" ca="1" si="69">INDIRECT("'Data_Netteyage'!" &amp; LEFT(ADDRESS(1,COLUMN(),4),LEN(ADDRESS(1,COLUMN(),4))-1) &amp; ROW())/G36</f>
        <v>#N/A</v>
      </c>
      <c r="CE36" s="3">
        <f t="shared" ref="CE36:CE67" ca="1" si="70">INDIRECT("'Data_Netteyage'!" &amp; LEFT(ADDRESS(1,COLUMN(),4),LEN(ADDRESS(1,COLUMN(),4))-1) &amp; ROW())/H36</f>
        <v>0</v>
      </c>
      <c r="CF36" s="3">
        <f t="shared" ref="CF36:CF67" ca="1" si="71">INDIRECT("'Data_Netteyage'!" &amp; LEFT(ADDRESS(1,COLUMN(),4),LEN(ADDRESS(1,COLUMN(),4))-1) &amp; ROW())/I36</f>
        <v>0</v>
      </c>
      <c r="CH36" s="3" t="e">
        <f t="shared" ref="CH36:CH67" ca="1" si="72">INDIRECT("'Data_Netteyage'!" &amp; LEFT(ADDRESS(1,COLUMN(),4),LEN(ADDRESS(1,COLUMN(),4))-1) &amp; ROW())/F36</f>
        <v>#N/A</v>
      </c>
      <c r="CI36" s="3" t="e">
        <f t="shared" ref="CI36:CI67" ca="1" si="73">INDIRECT("'Data_Netteyage'!" &amp; LEFT(ADDRESS(1,COLUMN(),4),LEN(ADDRESS(1,COLUMN(),4))-1) &amp; ROW())/G36</f>
        <v>#N/A</v>
      </c>
      <c r="CJ36" s="3">
        <f t="shared" ref="CJ36:CJ67" ca="1" si="74">INDIRECT("'Data_Netteyage'!" &amp; LEFT(ADDRESS(1,COLUMN(),4),LEN(ADDRESS(1,COLUMN(),4))-1) &amp; ROW())/H36</f>
        <v>0</v>
      </c>
      <c r="CK36" s="3">
        <f t="shared" ref="CK36:CK67" ca="1" si="75">INDIRECT("'Data_Netteyage'!" &amp; LEFT(ADDRESS(1,COLUMN(),4),LEN(ADDRESS(1,COLUMN(),4))-1) &amp; ROW())/I36</f>
        <v>0</v>
      </c>
      <c r="CM36" s="3" t="e">
        <f t="shared" ref="CM36:CM67" ca="1" si="76">INDIRECT("'Data_Netteyage'!" &amp; LEFT(ADDRESS(1,COLUMN(),4),LEN(ADDRESS(1,COLUMN(),4))-1) &amp; ROW())/F36</f>
        <v>#N/A</v>
      </c>
      <c r="CN36" s="3" t="e">
        <f t="shared" ref="CN36:CN67" ca="1" si="77">INDIRECT("'Data_Netteyage'!" &amp; LEFT(ADDRESS(1,COLUMN(),4),LEN(ADDRESS(1,COLUMN(),4))-1) &amp; ROW())/G36</f>
        <v>#N/A</v>
      </c>
      <c r="CO36" s="3">
        <f t="shared" ref="CO36:CO67" ca="1" si="78">INDIRECT("'Data_Netteyage'!" &amp; LEFT(ADDRESS(1,COLUMN(),4),LEN(ADDRESS(1,COLUMN(),4))-1) &amp; ROW())/H36</f>
        <v>0</v>
      </c>
      <c r="CP36" s="3">
        <f t="shared" ref="CP36:CP67" ca="1" si="79">INDIRECT("'Data_Netteyage'!" &amp; LEFT(ADDRESS(1,COLUMN(),4),LEN(ADDRESS(1,COLUMN(),4))-1) &amp; ROW())/I36</f>
        <v>0</v>
      </c>
      <c r="CR36" s="3">
        <v>4.0149999999999997</v>
      </c>
      <c r="CS36" s="11" t="e">
        <v>#N/A</v>
      </c>
      <c r="CT36" s="3">
        <v>4.016</v>
      </c>
      <c r="CU36" s="3">
        <v>4.0090000000000003</v>
      </c>
      <c r="CV36" s="21">
        <f t="shared" ca="1" si="40"/>
        <v>4.0090000000000003</v>
      </c>
      <c r="CW36" s="16">
        <f t="shared" ca="1" si="39"/>
        <v>6.166666666666667</v>
      </c>
    </row>
    <row r="37" spans="1:101" s="3" customFormat="1" x14ac:dyDescent="0.35">
      <c r="A37" s="2" t="s">
        <v>70</v>
      </c>
      <c r="B37" s="2">
        <v>6.166666666666667</v>
      </c>
      <c r="C37" s="2" t="s">
        <v>168</v>
      </c>
      <c r="D37" s="2" t="s">
        <v>403</v>
      </c>
      <c r="F37" s="3">
        <v>4.0090000000000003</v>
      </c>
      <c r="G37" s="3">
        <v>4.0149999999999997</v>
      </c>
      <c r="H37" s="3">
        <v>4.01</v>
      </c>
      <c r="I37" s="3" t="e">
        <v>#N/A</v>
      </c>
      <c r="K37" s="3">
        <f t="shared" ca="1" si="41"/>
        <v>0.89348964829134436</v>
      </c>
      <c r="L37" s="3">
        <f t="shared" ca="1" si="41"/>
        <v>0.99601494396014945</v>
      </c>
      <c r="M37" s="3">
        <f t="shared" ca="1" si="41"/>
        <v>0.99326683291770579</v>
      </c>
      <c r="N37" s="3" t="e">
        <f t="shared" ca="1" si="41"/>
        <v>#N/A</v>
      </c>
      <c r="P37" s="3">
        <f t="shared" ca="1" si="42"/>
        <v>0.72312285906657747</v>
      </c>
      <c r="Q37" s="3">
        <f t="shared" ca="1" si="42"/>
        <v>0.7676214527148536</v>
      </c>
      <c r="R37" s="3">
        <f t="shared" ca="1" si="42"/>
        <v>0.84389017713709069</v>
      </c>
      <c r="S37" s="3" t="e">
        <f t="shared" ca="1" si="42"/>
        <v>#N/A</v>
      </c>
      <c r="U37" s="3">
        <f t="shared" ca="1" si="43"/>
        <v>1.9955101022698927</v>
      </c>
      <c r="V37" s="3">
        <f t="shared" ca="1" si="43"/>
        <v>2.4906600249066004</v>
      </c>
      <c r="W37" s="3">
        <f t="shared" ca="1" si="43"/>
        <v>2.2443890274314215</v>
      </c>
      <c r="X37" s="3" t="e">
        <f t="shared" ca="1" si="43"/>
        <v>#N/A</v>
      </c>
      <c r="Z37" s="3">
        <f t="shared" ca="1" si="44"/>
        <v>0.86031429284110739</v>
      </c>
      <c r="AA37" s="3">
        <f t="shared" ca="1" si="44"/>
        <v>0.99601494396014945</v>
      </c>
      <c r="AB37" s="3">
        <f t="shared" ca="1" si="44"/>
        <v>0.92269326683291775</v>
      </c>
      <c r="AC37" s="3" t="e">
        <f t="shared" ca="1" si="44"/>
        <v>#N/A</v>
      </c>
      <c r="AE37" s="3">
        <f t="shared" ca="1" si="45"/>
        <v>0.72312285906657747</v>
      </c>
      <c r="AF37" s="3">
        <f t="shared" ca="1" si="45"/>
        <v>0.7676214527148536</v>
      </c>
      <c r="AG37" s="3">
        <f t="shared" ca="1" si="45"/>
        <v>0.84389017713709069</v>
      </c>
      <c r="AH37" s="3" t="e">
        <f t="shared" ca="1" si="45"/>
        <v>#N/A</v>
      </c>
      <c r="AJ37" s="3">
        <f t="shared" ca="1" si="46"/>
        <v>1.9955101022698927</v>
      </c>
      <c r="AK37" s="3">
        <f t="shared" ca="1" si="46"/>
        <v>2.4906600249066004</v>
      </c>
      <c r="AL37" s="3">
        <f t="shared" ca="1" si="46"/>
        <v>2.2443890274314215</v>
      </c>
      <c r="AM37" s="3" t="e">
        <f t="shared" ca="1" si="46"/>
        <v>#N/A</v>
      </c>
      <c r="AO37" s="3">
        <f t="shared" ca="1" si="47"/>
        <v>0.49887752556747317</v>
      </c>
      <c r="AP37" s="3">
        <f t="shared" ca="1" si="47"/>
        <v>0.24906600249066005</v>
      </c>
      <c r="AQ37" s="3">
        <f t="shared" ca="1" si="47"/>
        <v>0.49875311720698257</v>
      </c>
      <c r="AR37" s="3" t="e">
        <f t="shared" ca="1" si="47"/>
        <v>#N/A</v>
      </c>
      <c r="AT37" s="3">
        <v>0.44600000977516174</v>
      </c>
      <c r="AU37" s="3">
        <v>1.3000000268220901E-2</v>
      </c>
      <c r="AV37" s="3">
        <v>1.2000000104308128E-2</v>
      </c>
      <c r="AW37" s="11" t="e">
        <v>#N/A</v>
      </c>
      <c r="AY37" s="3">
        <f t="shared" ca="1" si="48"/>
        <v>0.22424544774257918</v>
      </c>
      <c r="AZ37" s="3">
        <f t="shared" ca="1" si="49"/>
        <v>0.37359900373599009</v>
      </c>
      <c r="BA37" s="3">
        <f t="shared" ca="1" si="50"/>
        <v>0.28254364089775563</v>
      </c>
      <c r="BB37" s="3" t="e">
        <f t="shared" ca="1" si="51"/>
        <v>#N/A</v>
      </c>
      <c r="BD37" s="3">
        <f t="shared" ca="1" si="52"/>
        <v>0.22000492169215333</v>
      </c>
      <c r="BE37" s="3">
        <f t="shared" ca="1" si="53"/>
        <v>0.35292651703764466</v>
      </c>
      <c r="BF37" s="3">
        <f t="shared" ca="1" si="54"/>
        <v>0.31197002701033977</v>
      </c>
      <c r="BG37" s="3" t="e">
        <f t="shared" ca="1" si="55"/>
        <v>#N/A</v>
      </c>
      <c r="BI37" s="3">
        <f t="shared" ca="1" si="56"/>
        <v>0.49887752556747317</v>
      </c>
      <c r="BJ37" s="3">
        <f t="shared" ca="1" si="57"/>
        <v>0.9962640099626402</v>
      </c>
      <c r="BK37" s="3">
        <f t="shared" ca="1" si="58"/>
        <v>0.99750623441396513</v>
      </c>
      <c r="BL37" s="3" t="e">
        <f t="shared" ca="1" si="59"/>
        <v>#N/A</v>
      </c>
      <c r="BN37" s="3">
        <f t="shared" ca="1" si="60"/>
        <v>0.49887752556747317</v>
      </c>
      <c r="BO37" s="3">
        <f t="shared" ca="1" si="61"/>
        <v>0.74719800747198017</v>
      </c>
      <c r="BP37" s="3">
        <f t="shared" ca="1" si="62"/>
        <v>0.49875311720698257</v>
      </c>
      <c r="BQ37" s="3" t="e">
        <f t="shared" ca="1" si="63"/>
        <v>#N/A</v>
      </c>
      <c r="BS37" s="3">
        <v>1.8459999561309814</v>
      </c>
      <c r="BT37" s="3">
        <v>0.42899999022483826</v>
      </c>
      <c r="BU37" s="3">
        <v>1.2450000047683716</v>
      </c>
      <c r="BV37" s="11" t="e">
        <v>#N/A</v>
      </c>
      <c r="BX37" s="3">
        <f t="shared" ca="1" si="64"/>
        <v>0.14143177849837868</v>
      </c>
      <c r="BY37" s="3">
        <f t="shared" ca="1" si="65"/>
        <v>0</v>
      </c>
      <c r="BZ37" s="3">
        <f t="shared" ca="1" si="66"/>
        <v>0.13291770573566097</v>
      </c>
      <c r="CA37" s="3" t="e">
        <f t="shared" ca="1" si="67"/>
        <v>#N/A</v>
      </c>
      <c r="CC37" s="3">
        <f t="shared" ca="1" si="68"/>
        <v>0.10002494958547856</v>
      </c>
      <c r="CD37" s="3">
        <f t="shared" ca="1" si="69"/>
        <v>0</v>
      </c>
      <c r="CE37" s="3">
        <f t="shared" ca="1" si="70"/>
        <v>0.1538653326153458</v>
      </c>
      <c r="CF37" s="3" t="e">
        <f t="shared" ca="1" si="71"/>
        <v>#N/A</v>
      </c>
      <c r="CH37" s="3">
        <f t="shared" ca="1" si="72"/>
        <v>0.49887752556747317</v>
      </c>
      <c r="CI37" s="3">
        <f t="shared" ca="1" si="73"/>
        <v>0</v>
      </c>
      <c r="CJ37" s="3">
        <f t="shared" ca="1" si="74"/>
        <v>0.49875311720698257</v>
      </c>
      <c r="CK37" s="3" t="e">
        <f t="shared" ca="1" si="75"/>
        <v>#N/A</v>
      </c>
      <c r="CM37" s="3">
        <f t="shared" ca="1" si="76"/>
        <v>1.2471938139186829</v>
      </c>
      <c r="CN37" s="3">
        <f t="shared" ca="1" si="77"/>
        <v>0.4981320049813201</v>
      </c>
      <c r="CO37" s="3">
        <f t="shared" ca="1" si="78"/>
        <v>0.74812967581047385</v>
      </c>
      <c r="CP37" s="3" t="e">
        <f t="shared" ca="1" si="79"/>
        <v>#N/A</v>
      </c>
      <c r="CR37" s="3">
        <v>1.3619999885559082</v>
      </c>
      <c r="CS37" s="3">
        <v>4.0149999999999997</v>
      </c>
      <c r="CT37" s="3">
        <v>0.79600000381469727</v>
      </c>
      <c r="CU37" s="11" t="e">
        <v>#N/A</v>
      </c>
      <c r="CV37" s="21" t="e">
        <f t="shared" ca="1" si="40"/>
        <v>#N/A</v>
      </c>
      <c r="CW37" s="16">
        <f t="shared" ca="1" si="39"/>
        <v>6.166666666666667</v>
      </c>
    </row>
    <row r="38" spans="1:101" s="3" customFormat="1" x14ac:dyDescent="0.35">
      <c r="A38" s="2" t="s">
        <v>83</v>
      </c>
      <c r="B38" s="2">
        <v>6.166666666666667</v>
      </c>
      <c r="C38" s="2" t="s">
        <v>168</v>
      </c>
      <c r="D38" s="2" t="s">
        <v>403</v>
      </c>
      <c r="F38" s="3">
        <v>4.0170000000000003</v>
      </c>
      <c r="G38" s="3">
        <v>4.0149999999999997</v>
      </c>
      <c r="H38" s="3">
        <v>4.0049999999999999</v>
      </c>
      <c r="I38" s="3">
        <v>4.016</v>
      </c>
      <c r="K38" s="3">
        <f t="shared" ca="1" si="41"/>
        <v>0.89195917351257148</v>
      </c>
      <c r="L38" s="3">
        <f t="shared" ca="1" si="41"/>
        <v>0.99202988792029889</v>
      </c>
      <c r="M38" s="3">
        <f t="shared" ca="1" si="41"/>
        <v>0.92784019975031218</v>
      </c>
      <c r="N38" s="3">
        <f t="shared" ca="1" si="41"/>
        <v>0.98754980079681276</v>
      </c>
      <c r="P38" s="3">
        <f t="shared" ca="1" si="42"/>
        <v>0.76723913366532837</v>
      </c>
      <c r="Q38" s="3">
        <f t="shared" ca="1" si="42"/>
        <v>0.82216683176727701</v>
      </c>
      <c r="R38" s="3">
        <f t="shared" ca="1" si="42"/>
        <v>0.71535569647054997</v>
      </c>
      <c r="S38" s="3">
        <f t="shared" ca="1" si="42"/>
        <v>0.77938247313542086</v>
      </c>
      <c r="U38" s="3">
        <f t="shared" ca="1" si="43"/>
        <v>1.7425939756036841</v>
      </c>
      <c r="V38" s="3">
        <f t="shared" ca="1" si="43"/>
        <v>1.9925280199252804</v>
      </c>
      <c r="W38" s="3">
        <f t="shared" ca="1" si="43"/>
        <v>1.9975031210986267</v>
      </c>
      <c r="X38" s="3">
        <f t="shared" ca="1" si="43"/>
        <v>1.9920318725099602</v>
      </c>
      <c r="Z38" s="3">
        <f t="shared" ca="1" si="44"/>
        <v>0.89195917351257148</v>
      </c>
      <c r="AA38" s="3">
        <f t="shared" ca="1" si="44"/>
        <v>0.77633872976338714</v>
      </c>
      <c r="AB38" s="3">
        <f t="shared" ca="1" si="44"/>
        <v>0.92359550561797754</v>
      </c>
      <c r="AC38" s="3">
        <f t="shared" ca="1" si="44"/>
        <v>0.87126494023904388</v>
      </c>
      <c r="AE38" s="3">
        <f t="shared" ca="1" si="45"/>
        <v>0.76723913366532837</v>
      </c>
      <c r="AF38" s="3">
        <f t="shared" ca="1" si="45"/>
        <v>0.67272725402566602</v>
      </c>
      <c r="AG38" s="3">
        <f t="shared" ca="1" si="45"/>
        <v>0.71535569647054997</v>
      </c>
      <c r="AH38" s="3">
        <f t="shared" ca="1" si="45"/>
        <v>0.77938247313542086</v>
      </c>
      <c r="AJ38" s="3">
        <f t="shared" ca="1" si="46"/>
        <v>1.7425939756036841</v>
      </c>
      <c r="AK38" s="3">
        <f t="shared" ca="1" si="46"/>
        <v>1.7434620174346203</v>
      </c>
      <c r="AL38" s="3">
        <f t="shared" ca="1" si="46"/>
        <v>1.9975031210986267</v>
      </c>
      <c r="AM38" s="3">
        <f t="shared" ca="1" si="46"/>
        <v>1.9920318725099602</v>
      </c>
      <c r="AO38" s="3">
        <f t="shared" ca="1" si="47"/>
        <v>0.24894199651481203</v>
      </c>
      <c r="AP38" s="3">
        <f t="shared" ca="1" si="47"/>
        <v>0.74719800747198017</v>
      </c>
      <c r="AQ38" s="3">
        <f t="shared" ca="1" si="47"/>
        <v>0.24968789013732834</v>
      </c>
      <c r="AR38" s="3">
        <f t="shared" ca="1" si="47"/>
        <v>0.99601593625498008</v>
      </c>
      <c r="AT38" s="3">
        <v>0.37999999523162842</v>
      </c>
      <c r="AU38" s="3">
        <v>2.7000000700354576E-2</v>
      </c>
      <c r="AV38" s="3">
        <v>1.6000000759959221E-2</v>
      </c>
      <c r="AW38" s="3">
        <v>1.0000000474974513E-3</v>
      </c>
      <c r="AY38" s="3">
        <f t="shared" ca="1" si="48"/>
        <v>0.29474732387353741</v>
      </c>
      <c r="AZ38" s="3">
        <f t="shared" ca="1" si="49"/>
        <v>0.24059775840597741</v>
      </c>
      <c r="BA38" s="3">
        <f t="shared" ca="1" si="50"/>
        <v>8.3146067415730274E-2</v>
      </c>
      <c r="BB38" s="3">
        <f t="shared" ca="1" si="51"/>
        <v>8.7151394422310763E-2</v>
      </c>
      <c r="BD38" s="3">
        <f t="shared" ca="1" si="52"/>
        <v>0.27383620210153292</v>
      </c>
      <c r="BE38" s="3">
        <f t="shared" ca="1" si="53"/>
        <v>0.38605232167511178</v>
      </c>
      <c r="BF38" s="3">
        <f t="shared" ca="1" si="54"/>
        <v>0</v>
      </c>
      <c r="BG38" s="3">
        <f t="shared" ca="1" si="55"/>
        <v>0.14516930893597849</v>
      </c>
      <c r="BI38" s="3">
        <f t="shared" ca="1" si="56"/>
        <v>0.49788399302962405</v>
      </c>
      <c r="BJ38" s="3">
        <f t="shared" ca="1" si="57"/>
        <v>0.74719800747198017</v>
      </c>
      <c r="BK38" s="3">
        <f t="shared" ca="1" si="58"/>
        <v>0</v>
      </c>
      <c r="BL38" s="3">
        <f t="shared" ca="1" si="59"/>
        <v>0.24900398406374502</v>
      </c>
      <c r="BN38" s="3">
        <f t="shared" ca="1" si="60"/>
        <v>0.74682598954443613</v>
      </c>
      <c r="BO38" s="3">
        <f t="shared" ca="1" si="61"/>
        <v>1.7434620174346203</v>
      </c>
      <c r="BP38" s="3">
        <f t="shared" ca="1" si="62"/>
        <v>0.74906367041198507</v>
      </c>
      <c r="BQ38" s="3">
        <f t="shared" ca="1" si="63"/>
        <v>0.74701195219123506</v>
      </c>
      <c r="BS38" s="3">
        <v>0.89600002765655518</v>
      </c>
      <c r="BT38" s="3">
        <v>0.86000001430511475</v>
      </c>
      <c r="BU38" s="3">
        <v>4.0049999999999999</v>
      </c>
      <c r="BV38" s="3">
        <v>2.3340001106262207</v>
      </c>
      <c r="BX38" s="3">
        <f t="shared" ca="1" si="64"/>
        <v>1.2447099825740613E-2</v>
      </c>
      <c r="BY38" s="3">
        <f t="shared" ca="1" si="65"/>
        <v>4.2341220423412242E-3</v>
      </c>
      <c r="BZ38" s="3">
        <f t="shared" ca="1" si="66"/>
        <v>8.4893882646692263E-3</v>
      </c>
      <c r="CA38" s="3">
        <f t="shared" ca="1" si="67"/>
        <v>0</v>
      </c>
      <c r="CC38" s="3">
        <f t="shared" ca="1" si="68"/>
        <v>0</v>
      </c>
      <c r="CD38" s="3">
        <f t="shared" ca="1" si="69"/>
        <v>0</v>
      </c>
      <c r="CE38" s="3">
        <f t="shared" ca="1" si="70"/>
        <v>0</v>
      </c>
      <c r="CF38" s="3">
        <f t="shared" ca="1" si="71"/>
        <v>0</v>
      </c>
      <c r="CH38" s="3">
        <f t="shared" ca="1" si="72"/>
        <v>0</v>
      </c>
      <c r="CI38" s="3">
        <f t="shared" ca="1" si="73"/>
        <v>0</v>
      </c>
      <c r="CJ38" s="3">
        <f t="shared" ca="1" si="74"/>
        <v>0</v>
      </c>
      <c r="CK38" s="3">
        <f t="shared" ca="1" si="75"/>
        <v>0</v>
      </c>
      <c r="CM38" s="3">
        <f t="shared" ca="1" si="76"/>
        <v>0.24894199651481203</v>
      </c>
      <c r="CN38" s="3">
        <f t="shared" ca="1" si="77"/>
        <v>0.4981320049813201</v>
      </c>
      <c r="CO38" s="3">
        <f t="shared" ca="1" si="78"/>
        <v>0.24968789013732834</v>
      </c>
      <c r="CP38" s="3">
        <f t="shared" ca="1" si="79"/>
        <v>0.24900398406374502</v>
      </c>
      <c r="CR38" s="3">
        <v>4.0170000000000003</v>
      </c>
      <c r="CS38" s="3">
        <v>4.0149999999999997</v>
      </c>
      <c r="CT38" s="3">
        <v>4.0049999999999999</v>
      </c>
      <c r="CU38" s="3">
        <v>4.016</v>
      </c>
      <c r="CV38" s="21">
        <f t="shared" ca="1" si="40"/>
        <v>4.016</v>
      </c>
      <c r="CW38" s="16">
        <f t="shared" ca="1" si="39"/>
        <v>6.166666666666667</v>
      </c>
    </row>
    <row r="39" spans="1:101" s="3" customFormat="1" x14ac:dyDescent="0.35">
      <c r="A39" s="2" t="s">
        <v>25</v>
      </c>
      <c r="B39" s="2">
        <v>6.25</v>
      </c>
      <c r="C39" s="2" t="s">
        <v>168</v>
      </c>
      <c r="D39" s="2" t="s">
        <v>403</v>
      </c>
      <c r="F39" s="3">
        <v>4.01</v>
      </c>
      <c r="G39" s="3">
        <v>4.0110000000000001</v>
      </c>
      <c r="H39" s="3">
        <v>4.01</v>
      </c>
      <c r="I39" s="3">
        <v>4.0110000000000001</v>
      </c>
      <c r="K39" s="3">
        <f t="shared" ca="1" si="41"/>
        <v>0.99301745635910232</v>
      </c>
      <c r="L39" s="3">
        <f t="shared" ca="1" si="41"/>
        <v>0.99301919720767884</v>
      </c>
      <c r="M39" s="3">
        <f t="shared" ca="1" si="41"/>
        <v>0.99725685785536156</v>
      </c>
      <c r="N39" s="3">
        <f t="shared" ca="1" si="41"/>
        <v>0.99700822737471939</v>
      </c>
      <c r="P39" s="3">
        <f t="shared" ca="1" si="42"/>
        <v>0.80199506170954793</v>
      </c>
      <c r="Q39" s="3">
        <f t="shared" ca="1" si="42"/>
        <v>0.7519321499902748</v>
      </c>
      <c r="R39" s="3">
        <f t="shared" ca="1" si="42"/>
        <v>0.53142147171229792</v>
      </c>
      <c r="S39" s="3">
        <f t="shared" ca="1" si="42"/>
        <v>0.58115188232538284</v>
      </c>
      <c r="U39" s="3">
        <f t="shared" ca="1" si="43"/>
        <v>2.7431421446384041</v>
      </c>
      <c r="V39" s="3">
        <f t="shared" ca="1" si="43"/>
        <v>3.2410870107205185</v>
      </c>
      <c r="W39" s="3">
        <f t="shared" ca="1" si="43"/>
        <v>2.7431421446384041</v>
      </c>
      <c r="X39" s="3">
        <f t="shared" ca="1" si="43"/>
        <v>2.4931438544003988</v>
      </c>
      <c r="Z39" s="3">
        <f t="shared" ca="1" si="44"/>
        <v>0.99301745635910232</v>
      </c>
      <c r="AA39" s="3">
        <f t="shared" ca="1" si="44"/>
        <v>0.93891797556719025</v>
      </c>
      <c r="AB39" s="3">
        <f t="shared" ca="1" si="44"/>
        <v>0.92643391521196994</v>
      </c>
      <c r="AC39" s="3">
        <f t="shared" ca="1" si="44"/>
        <v>0.99700822737471939</v>
      </c>
      <c r="AE39" s="3">
        <f t="shared" ca="1" si="45"/>
        <v>0.80199506170954793</v>
      </c>
      <c r="AF39" s="3">
        <f t="shared" ca="1" si="45"/>
        <v>0.7519321499902748</v>
      </c>
      <c r="AG39" s="3">
        <f t="shared" ca="1" si="45"/>
        <v>0.53142147171229792</v>
      </c>
      <c r="AH39" s="3">
        <f t="shared" ca="1" si="45"/>
        <v>0.58115188232538284</v>
      </c>
      <c r="AJ39" s="3">
        <f t="shared" ca="1" si="46"/>
        <v>2.7431421446384041</v>
      </c>
      <c r="AK39" s="3">
        <f t="shared" ca="1" si="46"/>
        <v>3.2410870107205185</v>
      </c>
      <c r="AL39" s="3">
        <f t="shared" ca="1" si="46"/>
        <v>2.7431421446384041</v>
      </c>
      <c r="AM39" s="3">
        <f t="shared" ca="1" si="46"/>
        <v>2.4931438544003988</v>
      </c>
      <c r="AO39" s="3">
        <f t="shared" ca="1" si="47"/>
        <v>0.24937655860349128</v>
      </c>
      <c r="AP39" s="3">
        <f t="shared" ca="1" si="47"/>
        <v>0.74794315632011965</v>
      </c>
      <c r="AQ39" s="3">
        <f t="shared" ca="1" si="47"/>
        <v>0.74812967581047385</v>
      </c>
      <c r="AR39" s="3">
        <f t="shared" ca="1" si="47"/>
        <v>0.24931438544003989</v>
      </c>
      <c r="AT39" s="3">
        <v>1.4000000432133675E-2</v>
      </c>
      <c r="AU39" s="3">
        <v>0.11100000143051147</v>
      </c>
      <c r="AV39" s="3">
        <v>2.199999988079071E-2</v>
      </c>
      <c r="AW39" s="3">
        <v>3.0000000260770321E-3</v>
      </c>
      <c r="AY39" s="3">
        <f t="shared" ca="1" si="48"/>
        <v>0.11620947630922698</v>
      </c>
      <c r="AZ39" s="3">
        <f t="shared" ca="1" si="49"/>
        <v>0.10770381451009718</v>
      </c>
      <c r="BA39" s="3">
        <f t="shared" ca="1" si="50"/>
        <v>9.9750623441396541E-2</v>
      </c>
      <c r="BB39" s="3">
        <f t="shared" ca="1" si="51"/>
        <v>0.2408376963350784</v>
      </c>
      <c r="BD39" s="3">
        <f t="shared" ca="1" si="52"/>
        <v>0.11221946326277203</v>
      </c>
      <c r="BE39" s="3">
        <f t="shared" ca="1" si="53"/>
        <v>0.14958859262725593</v>
      </c>
      <c r="BF39" s="3">
        <f t="shared" ca="1" si="54"/>
        <v>9.5511255716147866E-2</v>
      </c>
      <c r="BG39" s="3">
        <f t="shared" ca="1" si="55"/>
        <v>0.23261032642379154</v>
      </c>
      <c r="BI39" s="3">
        <f t="shared" ca="1" si="56"/>
        <v>0.49875311720698257</v>
      </c>
      <c r="BJ39" s="3">
        <f t="shared" ca="1" si="57"/>
        <v>0.74794315632011965</v>
      </c>
      <c r="BK39" s="3">
        <f t="shared" ca="1" si="58"/>
        <v>0.24937655860349128</v>
      </c>
      <c r="BL39" s="3">
        <f t="shared" ca="1" si="59"/>
        <v>0.74794315632011965</v>
      </c>
      <c r="BN39" s="3">
        <f t="shared" ca="1" si="60"/>
        <v>1.2468827930174564</v>
      </c>
      <c r="BO39" s="3">
        <f t="shared" ca="1" si="61"/>
        <v>2.2438294689603588</v>
      </c>
      <c r="BP39" s="3">
        <f t="shared" ca="1" si="62"/>
        <v>0.74812967581047385</v>
      </c>
      <c r="BQ39" s="3">
        <f t="shared" ca="1" si="63"/>
        <v>3.4904013961605584</v>
      </c>
      <c r="BS39" s="3">
        <v>1.3300000429153442</v>
      </c>
      <c r="BT39" s="3">
        <v>0.6940000057220459</v>
      </c>
      <c r="BU39" s="3">
        <v>1.937999963760376</v>
      </c>
      <c r="BV39" s="3">
        <v>3.0000000260770321E-3</v>
      </c>
      <c r="BX39" s="3">
        <f t="shared" ca="1" si="64"/>
        <v>0</v>
      </c>
      <c r="BY39" s="3">
        <f t="shared" ca="1" si="65"/>
        <v>0</v>
      </c>
      <c r="BZ39" s="3">
        <f t="shared" ca="1" si="66"/>
        <v>0</v>
      </c>
      <c r="CA39" s="3">
        <f t="shared" ca="1" si="67"/>
        <v>0</v>
      </c>
      <c r="CC39" s="3">
        <f t="shared" ca="1" si="68"/>
        <v>0</v>
      </c>
      <c r="CD39" s="3">
        <f t="shared" ca="1" si="69"/>
        <v>0</v>
      </c>
      <c r="CE39" s="3">
        <f t="shared" ca="1" si="70"/>
        <v>0</v>
      </c>
      <c r="CF39" s="3">
        <f t="shared" ca="1" si="71"/>
        <v>0</v>
      </c>
      <c r="CH39" s="3">
        <f t="shared" ca="1" si="72"/>
        <v>0</v>
      </c>
      <c r="CI39" s="3">
        <f t="shared" ca="1" si="73"/>
        <v>0</v>
      </c>
      <c r="CJ39" s="3">
        <f t="shared" ca="1" si="74"/>
        <v>0</v>
      </c>
      <c r="CK39" s="3">
        <f t="shared" ca="1" si="75"/>
        <v>0</v>
      </c>
      <c r="CM39" s="3">
        <f t="shared" ca="1" si="76"/>
        <v>0</v>
      </c>
      <c r="CN39" s="3">
        <f t="shared" ca="1" si="77"/>
        <v>0</v>
      </c>
      <c r="CO39" s="3">
        <f t="shared" ca="1" si="78"/>
        <v>0</v>
      </c>
      <c r="CP39" s="3">
        <f t="shared" ca="1" si="79"/>
        <v>0</v>
      </c>
      <c r="CR39" s="3">
        <v>4.01</v>
      </c>
      <c r="CS39" s="3">
        <v>4.0110000000000001</v>
      </c>
      <c r="CT39" s="3">
        <v>4.01</v>
      </c>
      <c r="CU39" s="3">
        <v>4.0110000000000001</v>
      </c>
      <c r="CV39" s="21">
        <f t="shared" ca="1" si="40"/>
        <v>4.0110000000000001</v>
      </c>
      <c r="CW39" s="16">
        <f t="shared" ca="1" si="39"/>
        <v>6.25</v>
      </c>
    </row>
    <row r="40" spans="1:101" s="3" customFormat="1" x14ac:dyDescent="0.35">
      <c r="A40" s="2" t="s">
        <v>51</v>
      </c>
      <c r="B40" s="2">
        <v>6.25</v>
      </c>
      <c r="C40" s="2" t="s">
        <v>167</v>
      </c>
      <c r="D40" s="2" t="s">
        <v>403</v>
      </c>
      <c r="F40" s="11" t="e">
        <v>#N/A</v>
      </c>
      <c r="G40" s="3">
        <v>3.0429999999999997</v>
      </c>
      <c r="H40" s="3">
        <v>4.01</v>
      </c>
      <c r="I40" s="3">
        <v>4.01</v>
      </c>
      <c r="K40" s="3" t="e">
        <f t="shared" ca="1" si="41"/>
        <v>#N/A</v>
      </c>
      <c r="L40" s="3">
        <f t="shared" ca="1" si="41"/>
        <v>0.98061123890897151</v>
      </c>
      <c r="M40" s="3">
        <f t="shared" ca="1" si="41"/>
        <v>0.99725685785536167</v>
      </c>
      <c r="N40" s="3">
        <f t="shared" ca="1" si="41"/>
        <v>0.99725685785536167</v>
      </c>
      <c r="P40" s="3" t="e">
        <f t="shared" ca="1" si="42"/>
        <v>#N/A</v>
      </c>
      <c r="Q40" s="3">
        <f t="shared" ca="1" si="42"/>
        <v>0.89286888557517763</v>
      </c>
      <c r="R40" s="3">
        <f t="shared" ca="1" si="42"/>
        <v>0.95536162301043326</v>
      </c>
      <c r="S40" s="3">
        <f t="shared" ca="1" si="42"/>
        <v>0.74837895997444592</v>
      </c>
      <c r="U40" s="3" t="e">
        <f t="shared" ca="1" si="43"/>
        <v>#N/A</v>
      </c>
      <c r="V40" s="3">
        <f t="shared" ca="1" si="43"/>
        <v>3.2862306933946765</v>
      </c>
      <c r="W40" s="3">
        <f t="shared" ca="1" si="43"/>
        <v>2.4937655860349128</v>
      </c>
      <c r="X40" s="3">
        <f t="shared" ca="1" si="43"/>
        <v>2.4937655860349128</v>
      </c>
      <c r="Z40" s="3" t="e">
        <f t="shared" ca="1" si="44"/>
        <v>#N/A</v>
      </c>
      <c r="AA40" s="3">
        <f t="shared" ca="1" si="44"/>
        <v>0.99145580019717394</v>
      </c>
      <c r="AB40" s="3">
        <f t="shared" ca="1" si="44"/>
        <v>0.99301745635910232</v>
      </c>
      <c r="AC40" s="3">
        <f t="shared" ca="1" si="44"/>
        <v>0.9017456359102245</v>
      </c>
      <c r="AE40" s="3" t="e">
        <f t="shared" ca="1" si="45"/>
        <v>#N/A</v>
      </c>
      <c r="AF40" s="3">
        <f t="shared" ca="1" si="45"/>
        <v>0.89286888557517763</v>
      </c>
      <c r="AG40" s="3">
        <f t="shared" ca="1" si="45"/>
        <v>0.95536162301043326</v>
      </c>
      <c r="AH40" s="3">
        <f t="shared" ca="1" si="45"/>
        <v>0.74837895997444592</v>
      </c>
      <c r="AJ40" s="3" t="e">
        <f t="shared" ca="1" si="46"/>
        <v>#N/A</v>
      </c>
      <c r="AK40" s="3">
        <f t="shared" ca="1" si="46"/>
        <v>3.2862306933946765</v>
      </c>
      <c r="AL40" s="3">
        <f t="shared" ca="1" si="46"/>
        <v>2.4937655860349128</v>
      </c>
      <c r="AM40" s="3">
        <f t="shared" ca="1" si="46"/>
        <v>2.4937655860349128</v>
      </c>
      <c r="AO40" s="3" t="e">
        <f t="shared" ca="1" si="47"/>
        <v>#N/A</v>
      </c>
      <c r="AP40" s="3">
        <f t="shared" ca="1" si="47"/>
        <v>0.65724613867893533</v>
      </c>
      <c r="AQ40" s="3">
        <f t="shared" ca="1" si="47"/>
        <v>0.24937655860349128</v>
      </c>
      <c r="AR40" s="3">
        <f t="shared" ca="1" si="47"/>
        <v>0.49875311720698257</v>
      </c>
      <c r="AT40" s="11" t="e">
        <v>#N/A</v>
      </c>
      <c r="AU40" s="3">
        <v>1.3000000268220901E-2</v>
      </c>
      <c r="AV40" s="3">
        <v>1.7000000923871994E-2</v>
      </c>
      <c r="AW40" s="3">
        <v>0.47200000286102295</v>
      </c>
      <c r="AY40" s="3" t="e">
        <f t="shared" ca="1" si="48"/>
        <v>#N/A</v>
      </c>
      <c r="AZ40" s="3">
        <f t="shared" ca="1" si="49"/>
        <v>0.14262241209332888</v>
      </c>
      <c r="BA40" s="3">
        <f t="shared" ca="1" si="50"/>
        <v>0.54014962593516203</v>
      </c>
      <c r="BB40" s="3">
        <f t="shared" ca="1" si="51"/>
        <v>0.66907730673316723</v>
      </c>
      <c r="BD40" s="3" t="e">
        <f t="shared" ca="1" si="52"/>
        <v>#N/A</v>
      </c>
      <c r="BE40" s="3">
        <f t="shared" ca="1" si="53"/>
        <v>0.11501810169125952</v>
      </c>
      <c r="BF40" s="3">
        <f t="shared" ca="1" si="54"/>
        <v>0.50249377688267582</v>
      </c>
      <c r="BG40" s="3">
        <f t="shared" ca="1" si="55"/>
        <v>0.59875304859475309</v>
      </c>
      <c r="BI40" s="3" t="e">
        <f t="shared" ca="1" si="56"/>
        <v>#N/A</v>
      </c>
      <c r="BJ40" s="3">
        <f t="shared" ca="1" si="57"/>
        <v>0.65724613867893533</v>
      </c>
      <c r="BK40" s="3">
        <f t="shared" ca="1" si="58"/>
        <v>1.4962593516209477</v>
      </c>
      <c r="BL40" s="3">
        <f t="shared" ca="1" si="59"/>
        <v>1.9950124688279303</v>
      </c>
      <c r="BN40" s="3" t="e">
        <f t="shared" ca="1" si="60"/>
        <v>#N/A</v>
      </c>
      <c r="BO40" s="3">
        <f t="shared" ca="1" si="61"/>
        <v>0.65724613867893533</v>
      </c>
      <c r="BP40" s="3">
        <f t="shared" ca="1" si="62"/>
        <v>0.99750623441396513</v>
      </c>
      <c r="BQ40" s="3">
        <f t="shared" ca="1" si="63"/>
        <v>1.2468827930174564</v>
      </c>
      <c r="BS40" s="11" t="e">
        <v>#N/A</v>
      </c>
      <c r="BT40" s="3">
        <v>0.56300002336502075</v>
      </c>
      <c r="BU40" s="3">
        <v>0.66699999570846558</v>
      </c>
      <c r="BV40" s="3">
        <v>0.47200000286102295</v>
      </c>
      <c r="BX40" s="3" t="e">
        <f t="shared" ca="1" si="64"/>
        <v>#N/A</v>
      </c>
      <c r="BY40" s="3">
        <f t="shared" ca="1" si="65"/>
        <v>0.23003614853762727</v>
      </c>
      <c r="BZ40" s="3">
        <f t="shared" ca="1" si="66"/>
        <v>0</v>
      </c>
      <c r="CA40" s="3">
        <f t="shared" ca="1" si="67"/>
        <v>0</v>
      </c>
      <c r="CC40" s="3" t="e">
        <f t="shared" ca="1" si="68"/>
        <v>#N/A</v>
      </c>
      <c r="CD40" s="3">
        <f t="shared" ca="1" si="69"/>
        <v>0.20276044804212337</v>
      </c>
      <c r="CE40" s="3">
        <f t="shared" ca="1" si="70"/>
        <v>0</v>
      </c>
      <c r="CF40" s="3">
        <f t="shared" ca="1" si="71"/>
        <v>0</v>
      </c>
      <c r="CH40" s="3" t="e">
        <f t="shared" ca="1" si="72"/>
        <v>#N/A</v>
      </c>
      <c r="CI40" s="3">
        <f t="shared" ca="1" si="73"/>
        <v>0.98586920801840294</v>
      </c>
      <c r="CJ40" s="3">
        <f t="shared" ca="1" si="74"/>
        <v>0</v>
      </c>
      <c r="CK40" s="3">
        <f t="shared" ca="1" si="75"/>
        <v>0</v>
      </c>
      <c r="CM40" s="3" t="e">
        <f t="shared" ca="1" si="76"/>
        <v>#N/A</v>
      </c>
      <c r="CN40" s="3">
        <f t="shared" ca="1" si="77"/>
        <v>0.65724613867893533</v>
      </c>
      <c r="CO40" s="3">
        <f t="shared" ca="1" si="78"/>
        <v>0</v>
      </c>
      <c r="CP40" s="3">
        <f t="shared" ca="1" si="79"/>
        <v>0.24937655860349128</v>
      </c>
      <c r="CR40" s="11" t="e">
        <v>#N/A</v>
      </c>
      <c r="CS40" s="3">
        <v>0.93000000715255737</v>
      </c>
      <c r="CT40" s="3">
        <v>4.01</v>
      </c>
      <c r="CU40" s="3">
        <v>4.01</v>
      </c>
      <c r="CV40" s="21">
        <f t="shared" ca="1" si="40"/>
        <v>4.01</v>
      </c>
      <c r="CW40" s="16">
        <f t="shared" ca="1" si="39"/>
        <v>6.25</v>
      </c>
    </row>
    <row r="41" spans="1:101" s="3" customFormat="1" x14ac:dyDescent="0.35">
      <c r="A41" s="2" t="s">
        <v>87</v>
      </c>
      <c r="B41" s="2">
        <v>6.333333333333333</v>
      </c>
      <c r="C41" s="2" t="s">
        <v>167</v>
      </c>
      <c r="D41" s="2" t="s">
        <v>403</v>
      </c>
      <c r="F41" s="3">
        <v>4.0259999999999998</v>
      </c>
      <c r="G41" s="3">
        <v>4.0359999999999996</v>
      </c>
      <c r="H41" s="3">
        <v>4.0110000000000001</v>
      </c>
      <c r="I41" s="3">
        <v>4.0110000000000001</v>
      </c>
      <c r="K41" s="3">
        <f t="shared" ca="1" si="41"/>
        <v>0.99751614505712871</v>
      </c>
      <c r="L41" s="3">
        <f t="shared" ca="1" si="41"/>
        <v>0.99504459861248773</v>
      </c>
      <c r="M41" s="3">
        <f t="shared" ca="1" si="41"/>
        <v>0.9970082273747195</v>
      </c>
      <c r="N41" s="3">
        <f t="shared" ca="1" si="41"/>
        <v>0.9970082273747195</v>
      </c>
      <c r="P41" s="3">
        <f t="shared" ca="1" si="42"/>
        <v>0.93989081829286636</v>
      </c>
      <c r="Q41" s="3">
        <f t="shared" ca="1" si="42"/>
        <v>0.81739334871381442</v>
      </c>
      <c r="R41" s="3">
        <f t="shared" ca="1" si="42"/>
        <v>0.8768386038485102</v>
      </c>
      <c r="S41" s="3">
        <f t="shared" ca="1" si="42"/>
        <v>0.84293190282134456</v>
      </c>
      <c r="U41" s="3">
        <f t="shared" ca="1" si="43"/>
        <v>1.9870839542970691</v>
      </c>
      <c r="V41" s="3">
        <f t="shared" ca="1" si="43"/>
        <v>1.9821605550049557</v>
      </c>
      <c r="W41" s="3">
        <f t="shared" ca="1" si="43"/>
        <v>2.4931438544003988</v>
      </c>
      <c r="X41" s="3">
        <f t="shared" ca="1" si="43"/>
        <v>2.4931438544003988</v>
      </c>
      <c r="Z41" s="3">
        <f t="shared" ca="1" si="44"/>
        <v>0.99751614505712871</v>
      </c>
      <c r="AA41" s="3">
        <f t="shared" ca="1" si="44"/>
        <v>0.87091179385530249</v>
      </c>
      <c r="AB41" s="3">
        <f t="shared" ca="1" si="44"/>
        <v>0.9970082273747195</v>
      </c>
      <c r="AC41" s="3">
        <f t="shared" ca="1" si="44"/>
        <v>0.9970082273747195</v>
      </c>
      <c r="AE41" s="3">
        <f t="shared" ca="1" si="45"/>
        <v>0.93989081829286636</v>
      </c>
      <c r="AF41" s="3">
        <f t="shared" ca="1" si="45"/>
        <v>0.81739334871381442</v>
      </c>
      <c r="AG41" s="3">
        <f t="shared" ca="1" si="45"/>
        <v>0.8768386038485102</v>
      </c>
      <c r="AH41" s="3">
        <f t="shared" ca="1" si="45"/>
        <v>0.84293190282134456</v>
      </c>
      <c r="AJ41" s="3">
        <f t="shared" ca="1" si="46"/>
        <v>1.9870839542970691</v>
      </c>
      <c r="AK41" s="3">
        <f t="shared" ca="1" si="46"/>
        <v>1.9821605550049557</v>
      </c>
      <c r="AL41" s="3">
        <f t="shared" ca="1" si="46"/>
        <v>2.4931438544003988</v>
      </c>
      <c r="AM41" s="3">
        <f t="shared" ca="1" si="46"/>
        <v>2.4931438544003988</v>
      </c>
      <c r="AO41" s="3">
        <f t="shared" ca="1" si="47"/>
        <v>0.24838549428713363</v>
      </c>
      <c r="AP41" s="3">
        <f t="shared" ca="1" si="47"/>
        <v>0.74331020812685833</v>
      </c>
      <c r="AQ41" s="3">
        <f t="shared" ca="1" si="47"/>
        <v>0.24931438544003989</v>
      </c>
      <c r="AR41" s="3">
        <f t="shared" ca="1" si="47"/>
        <v>0.24931438544003989</v>
      </c>
      <c r="AT41" s="3">
        <v>4.0000001899898052E-3</v>
      </c>
      <c r="AU41" s="3">
        <v>1.0999999940395355E-2</v>
      </c>
      <c r="AV41" s="3">
        <v>4.0000001899898052E-3</v>
      </c>
      <c r="AW41" s="3">
        <v>7.0000002160668373E-3</v>
      </c>
      <c r="AY41" s="3">
        <f t="shared" ca="1" si="48"/>
        <v>0.33109786388474932</v>
      </c>
      <c r="AZ41" s="3">
        <f t="shared" ca="1" si="49"/>
        <v>0.5616947472745295</v>
      </c>
      <c r="BA41" s="3">
        <f t="shared" ca="1" si="50"/>
        <v>0.71902268760907506</v>
      </c>
      <c r="BB41" s="3">
        <f t="shared" ca="1" si="51"/>
        <v>0.3819496384941411</v>
      </c>
      <c r="BD41" s="3">
        <f t="shared" ca="1" si="52"/>
        <v>0.33979137313366681</v>
      </c>
      <c r="BE41" s="3">
        <f t="shared" ca="1" si="53"/>
        <v>0.53691769496891262</v>
      </c>
      <c r="BF41" s="3">
        <f t="shared" ca="1" si="54"/>
        <v>0.55297922386667786</v>
      </c>
      <c r="BG41" s="3">
        <f t="shared" ca="1" si="55"/>
        <v>0.38219884695539569</v>
      </c>
      <c r="BI41" s="3">
        <f t="shared" ca="1" si="56"/>
        <v>0.7451564828614009</v>
      </c>
      <c r="BJ41" s="3">
        <f t="shared" ca="1" si="57"/>
        <v>1.2388503468780971</v>
      </c>
      <c r="BK41" s="3">
        <f t="shared" ca="1" si="58"/>
        <v>1.9945150835203191</v>
      </c>
      <c r="BL41" s="3">
        <f t="shared" ca="1" si="59"/>
        <v>1.2465719272001994</v>
      </c>
      <c r="BN41" s="3">
        <f t="shared" ca="1" si="60"/>
        <v>1.2419274714356683</v>
      </c>
      <c r="BO41" s="3">
        <f t="shared" ca="1" si="61"/>
        <v>1.2388503468780971</v>
      </c>
      <c r="BP41" s="3">
        <f t="shared" ca="1" si="62"/>
        <v>1.4958863126402393</v>
      </c>
      <c r="BQ41" s="3">
        <f t="shared" ca="1" si="63"/>
        <v>1.7452006980802792</v>
      </c>
      <c r="BS41" s="3">
        <v>4.0000001899898052E-3</v>
      </c>
      <c r="BT41" s="3">
        <v>0.47699999809265137</v>
      </c>
      <c r="BU41" s="3">
        <v>0.41999998688697815</v>
      </c>
      <c r="BV41" s="3">
        <v>0.32400000095367432</v>
      </c>
      <c r="BX41" s="3">
        <f t="shared" ca="1" si="64"/>
        <v>0</v>
      </c>
      <c r="BY41" s="3">
        <f t="shared" ca="1" si="65"/>
        <v>0</v>
      </c>
      <c r="BZ41" s="3">
        <f t="shared" ca="1" si="66"/>
        <v>0</v>
      </c>
      <c r="CA41" s="3">
        <f t="shared" ca="1" si="67"/>
        <v>1.6454749439042592E-2</v>
      </c>
      <c r="CC41" s="3">
        <f t="shared" ca="1" si="68"/>
        <v>0</v>
      </c>
      <c r="CD41" s="3">
        <f t="shared" ca="1" si="69"/>
        <v>0</v>
      </c>
      <c r="CE41" s="3">
        <f t="shared" ca="1" si="70"/>
        <v>0</v>
      </c>
      <c r="CF41" s="3">
        <f t="shared" ca="1" si="71"/>
        <v>0</v>
      </c>
      <c r="CH41" s="3">
        <f t="shared" ca="1" si="72"/>
        <v>0</v>
      </c>
      <c r="CI41" s="3">
        <f t="shared" ca="1" si="73"/>
        <v>0</v>
      </c>
      <c r="CJ41" s="3">
        <f t="shared" ca="1" si="74"/>
        <v>0</v>
      </c>
      <c r="CK41" s="3">
        <f t="shared" ca="1" si="75"/>
        <v>0</v>
      </c>
      <c r="CM41" s="3">
        <f t="shared" ca="1" si="76"/>
        <v>0</v>
      </c>
      <c r="CN41" s="3">
        <f t="shared" ca="1" si="77"/>
        <v>0</v>
      </c>
      <c r="CO41" s="3">
        <f t="shared" ca="1" si="78"/>
        <v>0</v>
      </c>
      <c r="CP41" s="3">
        <f t="shared" ca="1" si="79"/>
        <v>0.74794315632011965</v>
      </c>
      <c r="CR41" s="3">
        <v>4.0259999999999998</v>
      </c>
      <c r="CS41" s="3">
        <v>4.0359999999999996</v>
      </c>
      <c r="CT41" s="3">
        <v>4.0110000000000001</v>
      </c>
      <c r="CU41" s="3">
        <v>4.0110000000000001</v>
      </c>
      <c r="CV41" s="21">
        <f t="shared" ca="1" si="40"/>
        <v>4.0110000000000001</v>
      </c>
      <c r="CW41" s="16">
        <f t="shared" ca="1" si="39"/>
        <v>6.333333333333333</v>
      </c>
    </row>
    <row r="42" spans="1:101" s="3" customFormat="1" x14ac:dyDescent="0.35">
      <c r="A42" s="2" t="s">
        <v>55</v>
      </c>
      <c r="B42" s="2">
        <v>6.416666666666667</v>
      </c>
      <c r="C42" s="2" t="s">
        <v>168</v>
      </c>
      <c r="D42" s="2" t="s">
        <v>403</v>
      </c>
      <c r="F42" s="3" t="e">
        <v>#N/A</v>
      </c>
      <c r="G42" s="11" t="e">
        <v>#N/A</v>
      </c>
      <c r="H42" s="3">
        <v>4.0270000000000001</v>
      </c>
      <c r="I42" s="3" t="e">
        <v>#N/A</v>
      </c>
      <c r="K42" s="3" t="e">
        <f t="shared" ca="1" si="41"/>
        <v>#N/A</v>
      </c>
      <c r="L42" s="3" t="e">
        <f t="shared" ca="1" si="41"/>
        <v>#N/A</v>
      </c>
      <c r="M42" s="3">
        <f t="shared" ca="1" si="41"/>
        <v>0.95157685622051147</v>
      </c>
      <c r="N42" s="3" t="e">
        <f t="shared" ca="1" si="41"/>
        <v>#N/A</v>
      </c>
      <c r="P42" s="3" t="e">
        <f t="shared" ca="1" si="42"/>
        <v>#N/A</v>
      </c>
      <c r="Q42" s="3" t="e">
        <f t="shared" ca="1" si="42"/>
        <v>#N/A</v>
      </c>
      <c r="R42" s="3">
        <f t="shared" ca="1" si="42"/>
        <v>0.84827405102005182</v>
      </c>
      <c r="S42" s="3" t="e">
        <f t="shared" ca="1" si="42"/>
        <v>#N/A</v>
      </c>
      <c r="U42" s="3" t="e">
        <f t="shared" ca="1" si="43"/>
        <v>#N/A</v>
      </c>
      <c r="V42" s="3" t="e">
        <f t="shared" ca="1" si="43"/>
        <v>#N/A</v>
      </c>
      <c r="W42" s="3">
        <f t="shared" ca="1" si="43"/>
        <v>3.4765333995530172</v>
      </c>
      <c r="X42" s="3" t="e">
        <f t="shared" ca="1" si="43"/>
        <v>#N/A</v>
      </c>
      <c r="Z42" s="3" t="e">
        <f t="shared" ca="1" si="44"/>
        <v>#N/A</v>
      </c>
      <c r="AA42" s="3" t="e">
        <f t="shared" ca="1" si="44"/>
        <v>#N/A</v>
      </c>
      <c r="AB42" s="3">
        <f t="shared" ca="1" si="44"/>
        <v>0.82319344425130381</v>
      </c>
      <c r="AC42" s="3" t="e">
        <f t="shared" ca="1" si="44"/>
        <v>#N/A</v>
      </c>
      <c r="AE42" s="3" t="e">
        <f t="shared" ca="1" si="45"/>
        <v>#N/A</v>
      </c>
      <c r="AF42" s="3" t="e">
        <f t="shared" ca="1" si="45"/>
        <v>#N/A</v>
      </c>
      <c r="AG42" s="3">
        <f t="shared" ca="1" si="45"/>
        <v>0.75713924481735828</v>
      </c>
      <c r="AH42" s="3" t="e">
        <f t="shared" ca="1" si="45"/>
        <v>#N/A</v>
      </c>
      <c r="AJ42" s="3" t="e">
        <f t="shared" ca="1" si="46"/>
        <v>#N/A</v>
      </c>
      <c r="AK42" s="3" t="e">
        <f t="shared" ca="1" si="46"/>
        <v>#N/A</v>
      </c>
      <c r="AL42" s="3">
        <f t="shared" ca="1" si="46"/>
        <v>2.9798857710454429</v>
      </c>
      <c r="AM42" s="3" t="e">
        <f t="shared" ca="1" si="46"/>
        <v>#N/A</v>
      </c>
      <c r="AO42" s="3" t="e">
        <f t="shared" ca="1" si="47"/>
        <v>#N/A</v>
      </c>
      <c r="AP42" s="3" t="e">
        <f t="shared" ca="1" si="47"/>
        <v>#N/A</v>
      </c>
      <c r="AQ42" s="3">
        <f t="shared" ca="1" si="47"/>
        <v>0.99329525701514776</v>
      </c>
      <c r="AR42" s="3" t="e">
        <f t="shared" ca="1" si="47"/>
        <v>#N/A</v>
      </c>
      <c r="AT42" s="3">
        <v>4.999999888241291E-3</v>
      </c>
      <c r="AU42" s="11" t="e">
        <v>#N/A</v>
      </c>
      <c r="AV42" s="3">
        <v>6.0000000521540642E-3</v>
      </c>
      <c r="AW42" s="11" t="e">
        <v>#N/A</v>
      </c>
      <c r="AY42" s="3" t="e">
        <f t="shared" ca="1" si="48"/>
        <v>#N/A</v>
      </c>
      <c r="AZ42" s="3" t="e">
        <f t="shared" ca="1" si="49"/>
        <v>#N/A</v>
      </c>
      <c r="BA42" s="3">
        <f t="shared" ca="1" si="50"/>
        <v>8.2691830146511033E-2</v>
      </c>
      <c r="BB42" s="3" t="e">
        <f t="shared" ca="1" si="51"/>
        <v>#N/A</v>
      </c>
      <c r="BD42" s="3" t="e">
        <f t="shared" ca="1" si="52"/>
        <v>#N/A</v>
      </c>
      <c r="BE42" s="3" t="e">
        <f t="shared" ca="1" si="53"/>
        <v>#N/A</v>
      </c>
      <c r="BF42" s="3">
        <f t="shared" ca="1" si="54"/>
        <v>4.5443250193381565E-2</v>
      </c>
      <c r="BG42" s="3" t="e">
        <f t="shared" ca="1" si="55"/>
        <v>#N/A</v>
      </c>
      <c r="BI42" s="3" t="e">
        <f t="shared" ca="1" si="56"/>
        <v>#N/A</v>
      </c>
      <c r="BJ42" s="3" t="e">
        <f t="shared" ca="1" si="57"/>
        <v>#N/A</v>
      </c>
      <c r="BK42" s="3">
        <f t="shared" ca="1" si="58"/>
        <v>0.24832381425378694</v>
      </c>
      <c r="BL42" s="3" t="e">
        <f t="shared" ca="1" si="59"/>
        <v>#N/A</v>
      </c>
      <c r="BN42" s="3" t="e">
        <f t="shared" ca="1" si="60"/>
        <v>#N/A</v>
      </c>
      <c r="BO42" s="3" t="e">
        <f t="shared" ca="1" si="61"/>
        <v>#N/A</v>
      </c>
      <c r="BP42" s="3">
        <f t="shared" ca="1" si="62"/>
        <v>0.74497144276136074</v>
      </c>
      <c r="BQ42" s="3" t="e">
        <f t="shared" ca="1" si="63"/>
        <v>#N/A</v>
      </c>
      <c r="BS42" s="3">
        <v>4.0259999999999998</v>
      </c>
      <c r="BT42" s="11" t="e">
        <v>#N/A</v>
      </c>
      <c r="BU42" s="3">
        <v>1.621999979019165</v>
      </c>
      <c r="BV42" s="11" t="e">
        <v>#N/A</v>
      </c>
      <c r="BX42" s="3" t="e">
        <f t="shared" ca="1" si="64"/>
        <v>#N/A</v>
      </c>
      <c r="BY42" s="3" t="e">
        <f t="shared" ca="1" si="65"/>
        <v>#N/A</v>
      </c>
      <c r="BZ42" s="3">
        <f t="shared" ca="1" si="66"/>
        <v>0.11994040228457908</v>
      </c>
      <c r="CA42" s="3" t="e">
        <f t="shared" ca="1" si="67"/>
        <v>#N/A</v>
      </c>
      <c r="CC42" s="3" t="e">
        <f t="shared" ca="1" si="68"/>
        <v>#N/A</v>
      </c>
      <c r="CD42" s="3" t="e">
        <f t="shared" ca="1" si="69"/>
        <v>#N/A</v>
      </c>
      <c r="CE42" s="3">
        <f t="shared" ca="1" si="70"/>
        <v>0.16538366543090696</v>
      </c>
      <c r="CF42" s="3" t="e">
        <f t="shared" ca="1" si="71"/>
        <v>#N/A</v>
      </c>
      <c r="CH42" s="3" t="e">
        <f t="shared" ca="1" si="72"/>
        <v>#N/A</v>
      </c>
      <c r="CI42" s="3" t="e">
        <f t="shared" ca="1" si="73"/>
        <v>#N/A</v>
      </c>
      <c r="CJ42" s="3">
        <f t="shared" ca="1" si="74"/>
        <v>0.49664762850757388</v>
      </c>
      <c r="CK42" s="3" t="e">
        <f t="shared" ca="1" si="75"/>
        <v>#N/A</v>
      </c>
      <c r="CM42" s="3" t="e">
        <f t="shared" ca="1" si="76"/>
        <v>#N/A</v>
      </c>
      <c r="CN42" s="3" t="e">
        <f t="shared" ca="1" si="77"/>
        <v>#N/A</v>
      </c>
      <c r="CO42" s="3">
        <f t="shared" ca="1" si="78"/>
        <v>0.74497144276136074</v>
      </c>
      <c r="CP42" s="3" t="e">
        <f t="shared" ca="1" si="79"/>
        <v>#N/A</v>
      </c>
      <c r="CR42" s="3">
        <v>0.7720000147819519</v>
      </c>
      <c r="CS42" s="11" t="e">
        <v>#N/A</v>
      </c>
      <c r="CT42" s="3">
        <v>6.0000000521540642E-3</v>
      </c>
      <c r="CU42" s="11" t="e">
        <v>#N/A</v>
      </c>
      <c r="CV42" s="21" t="e">
        <f t="shared" ca="1" si="40"/>
        <v>#N/A</v>
      </c>
      <c r="CW42" s="16">
        <f t="shared" ca="1" si="39"/>
        <v>6.416666666666667</v>
      </c>
    </row>
    <row r="43" spans="1:101" s="3" customFormat="1" x14ac:dyDescent="0.35">
      <c r="A43" s="2" t="s">
        <v>72</v>
      </c>
      <c r="B43" s="2">
        <v>6.416666666666667</v>
      </c>
      <c r="C43" s="2" t="s">
        <v>168</v>
      </c>
      <c r="D43" s="2" t="s">
        <v>403</v>
      </c>
      <c r="F43" s="11" t="e">
        <v>#N/A</v>
      </c>
      <c r="G43" s="3">
        <v>4.0069999999999997</v>
      </c>
      <c r="H43" s="3">
        <v>4.008</v>
      </c>
      <c r="I43" s="11" t="e">
        <v>#N/A</v>
      </c>
      <c r="K43" s="3" t="e">
        <f t="shared" ca="1" si="41"/>
        <v>#N/A</v>
      </c>
      <c r="L43" s="3">
        <f t="shared" ca="1" si="41"/>
        <v>0.99775393062141271</v>
      </c>
      <c r="M43" s="3">
        <f t="shared" ca="1" si="41"/>
        <v>0.9977544910179641</v>
      </c>
      <c r="N43" s="3" t="e">
        <f t="shared" ca="1" si="41"/>
        <v>#N/A</v>
      </c>
      <c r="P43" s="3" t="e">
        <f t="shared" ca="1" si="42"/>
        <v>#N/A</v>
      </c>
      <c r="Q43" s="3">
        <f t="shared" ca="1" si="42"/>
        <v>0.89842774134779146</v>
      </c>
      <c r="R43" s="3">
        <f t="shared" ca="1" si="42"/>
        <v>0.95983032818452385</v>
      </c>
      <c r="S43" s="3" t="e">
        <f t="shared" ca="1" si="42"/>
        <v>#N/A</v>
      </c>
      <c r="U43" s="3" t="e">
        <f t="shared" ca="1" si="43"/>
        <v>#N/A</v>
      </c>
      <c r="V43" s="3">
        <f t="shared" ca="1" si="43"/>
        <v>2.2460693785874719</v>
      </c>
      <c r="W43" s="3">
        <f t="shared" ca="1" si="43"/>
        <v>2.2455089820359282</v>
      </c>
      <c r="X43" s="3" t="e">
        <f t="shared" ca="1" si="43"/>
        <v>#N/A</v>
      </c>
      <c r="Z43" s="3" t="e">
        <f t="shared" ca="1" si="44"/>
        <v>#N/A</v>
      </c>
      <c r="AA43" s="3">
        <f t="shared" ca="1" si="44"/>
        <v>0.99775393062141271</v>
      </c>
      <c r="AB43" s="3">
        <f t="shared" ca="1" si="44"/>
        <v>0.9977544910179641</v>
      </c>
      <c r="AC43" s="3" t="e">
        <f t="shared" ca="1" si="44"/>
        <v>#N/A</v>
      </c>
      <c r="AE43" s="3" t="e">
        <f t="shared" ca="1" si="45"/>
        <v>#N/A</v>
      </c>
      <c r="AF43" s="3">
        <f t="shared" ca="1" si="45"/>
        <v>0.89842774134779146</v>
      </c>
      <c r="AG43" s="3">
        <f t="shared" ca="1" si="45"/>
        <v>0.95983032818452385</v>
      </c>
      <c r="AH43" s="3" t="e">
        <f t="shared" ca="1" si="45"/>
        <v>#N/A</v>
      </c>
      <c r="AJ43" s="3" t="e">
        <f t="shared" ca="1" si="46"/>
        <v>#N/A</v>
      </c>
      <c r="AK43" s="3">
        <f t="shared" ca="1" si="46"/>
        <v>2.2460693785874719</v>
      </c>
      <c r="AL43" s="3">
        <f t="shared" ca="1" si="46"/>
        <v>2.2455089820359282</v>
      </c>
      <c r="AM43" s="3" t="e">
        <f t="shared" ca="1" si="46"/>
        <v>#N/A</v>
      </c>
      <c r="AO43" s="3" t="e">
        <f t="shared" ca="1" si="47"/>
        <v>#N/A</v>
      </c>
      <c r="AP43" s="3">
        <f t="shared" ca="1" si="47"/>
        <v>0.24956326428749689</v>
      </c>
      <c r="AQ43" s="3">
        <f t="shared" ca="1" si="47"/>
        <v>0.249500998003992</v>
      </c>
      <c r="AR43" s="3" t="e">
        <f t="shared" ca="1" si="47"/>
        <v>#N/A</v>
      </c>
      <c r="AT43" s="11" t="e">
        <v>#N/A</v>
      </c>
      <c r="AU43" s="3">
        <v>4.999999888241291E-3</v>
      </c>
      <c r="AV43" s="3">
        <v>6.0000000521540642E-3</v>
      </c>
      <c r="AW43" s="11" t="e">
        <v>#N/A</v>
      </c>
      <c r="AY43" s="3" t="e">
        <f t="shared" ca="1" si="48"/>
        <v>#N/A</v>
      </c>
      <c r="AZ43" s="3">
        <f t="shared" ca="1" si="49"/>
        <v>0.15348140753681069</v>
      </c>
      <c r="BA43" s="3">
        <f t="shared" ca="1" si="50"/>
        <v>0</v>
      </c>
      <c r="BB43" s="3" t="e">
        <f t="shared" ca="1" si="51"/>
        <v>#N/A</v>
      </c>
      <c r="BD43" s="3" t="e">
        <f t="shared" ca="1" si="52"/>
        <v>#N/A</v>
      </c>
      <c r="BE43" s="3">
        <f t="shared" ca="1" si="53"/>
        <v>0.19116546853629318</v>
      </c>
      <c r="BF43" s="3">
        <f t="shared" ca="1" si="54"/>
        <v>0</v>
      </c>
      <c r="BG43" s="3" t="e">
        <f t="shared" ca="1" si="55"/>
        <v>#N/A</v>
      </c>
      <c r="BI43" s="3" t="e">
        <f t="shared" ca="1" si="56"/>
        <v>#N/A</v>
      </c>
      <c r="BJ43" s="3">
        <f t="shared" ca="1" si="57"/>
        <v>0.49912652857499379</v>
      </c>
      <c r="BK43" s="3">
        <f t="shared" ca="1" si="58"/>
        <v>0</v>
      </c>
      <c r="BL43" s="3" t="e">
        <f t="shared" ca="1" si="59"/>
        <v>#N/A</v>
      </c>
      <c r="BN43" s="3" t="e">
        <f t="shared" ca="1" si="60"/>
        <v>#N/A</v>
      </c>
      <c r="BO43" s="3">
        <f t="shared" ca="1" si="61"/>
        <v>1.2478163214374844</v>
      </c>
      <c r="BP43" s="3">
        <f t="shared" ca="1" si="62"/>
        <v>0</v>
      </c>
      <c r="BQ43" s="3" t="e">
        <f t="shared" ca="1" si="63"/>
        <v>#N/A</v>
      </c>
      <c r="BS43" s="11" t="e">
        <v>#N/A</v>
      </c>
      <c r="BT43" s="3">
        <v>1.687999963760376</v>
      </c>
      <c r="BU43" s="3">
        <v>4.008</v>
      </c>
      <c r="BV43" s="11" t="e">
        <v>#N/A</v>
      </c>
      <c r="BX43" s="3" t="e">
        <f t="shared" ca="1" si="64"/>
        <v>#N/A</v>
      </c>
      <c r="BY43" s="3">
        <f t="shared" ca="1" si="65"/>
        <v>3.9930122285999538E-3</v>
      </c>
      <c r="BZ43" s="3">
        <f t="shared" ca="1" si="66"/>
        <v>0.49900199600798401</v>
      </c>
      <c r="CA43" s="3" t="e">
        <f t="shared" ca="1" si="67"/>
        <v>#N/A</v>
      </c>
      <c r="CC43" s="3" t="e">
        <f t="shared" ca="1" si="68"/>
        <v>#N/A</v>
      </c>
      <c r="CD43" s="3">
        <f t="shared" ca="1" si="69"/>
        <v>0</v>
      </c>
      <c r="CE43" s="3">
        <f t="shared" ca="1" si="70"/>
        <v>0.63173656101838616</v>
      </c>
      <c r="CF43" s="3" t="e">
        <f t="shared" ca="1" si="71"/>
        <v>#N/A</v>
      </c>
      <c r="CH43" s="3" t="e">
        <f t="shared" ca="1" si="72"/>
        <v>#N/A</v>
      </c>
      <c r="CI43" s="3">
        <f t="shared" ca="1" si="73"/>
        <v>0</v>
      </c>
      <c r="CJ43" s="3">
        <f t="shared" ca="1" si="74"/>
        <v>1.2475049900199602</v>
      </c>
      <c r="CK43" s="3" t="e">
        <f t="shared" ca="1" si="75"/>
        <v>#N/A</v>
      </c>
      <c r="CM43" s="3" t="e">
        <f t="shared" ca="1" si="76"/>
        <v>#N/A</v>
      </c>
      <c r="CN43" s="3">
        <f t="shared" ca="1" si="77"/>
        <v>1.4973795857249814</v>
      </c>
      <c r="CO43" s="3">
        <f t="shared" ca="1" si="78"/>
        <v>1.2475049900199602</v>
      </c>
      <c r="CP43" s="3" t="e">
        <f t="shared" ca="1" si="79"/>
        <v>#N/A</v>
      </c>
      <c r="CR43" s="11" t="e">
        <v>#N/A</v>
      </c>
      <c r="CS43" s="3">
        <v>4.0069999999999997</v>
      </c>
      <c r="CT43" s="3">
        <v>6.0000000521540642E-3</v>
      </c>
      <c r="CU43" s="11" t="e">
        <v>#N/A</v>
      </c>
      <c r="CV43" s="21" t="e">
        <f t="shared" ca="1" si="40"/>
        <v>#N/A</v>
      </c>
      <c r="CW43" s="16">
        <f t="shared" ca="1" si="39"/>
        <v>6.416666666666667</v>
      </c>
    </row>
    <row r="44" spans="1:101" s="3" customFormat="1" x14ac:dyDescent="0.35">
      <c r="A44" s="2" t="s">
        <v>93</v>
      </c>
      <c r="B44" s="2">
        <v>6.666666666666667</v>
      </c>
      <c r="C44" s="2" t="s">
        <v>167</v>
      </c>
      <c r="D44" s="2" t="s">
        <v>403</v>
      </c>
      <c r="F44" s="3" t="e">
        <v>#N/A</v>
      </c>
      <c r="G44" s="3" t="e">
        <v>#N/A</v>
      </c>
      <c r="H44" s="11" t="e">
        <v>#N/A</v>
      </c>
      <c r="I44" s="3" t="e">
        <v>#N/A</v>
      </c>
      <c r="K44" s="3" t="e">
        <f t="shared" ca="1" si="41"/>
        <v>#N/A</v>
      </c>
      <c r="L44" s="3" t="e">
        <f t="shared" ca="1" si="41"/>
        <v>#N/A</v>
      </c>
      <c r="M44" s="3" t="e">
        <f t="shared" ca="1" si="41"/>
        <v>#N/A</v>
      </c>
      <c r="N44" s="3" t="e">
        <f t="shared" ca="1" si="41"/>
        <v>#N/A</v>
      </c>
      <c r="P44" s="3" t="e">
        <f t="shared" ca="1" si="42"/>
        <v>#N/A</v>
      </c>
      <c r="Q44" s="3" t="e">
        <f t="shared" ca="1" si="42"/>
        <v>#N/A</v>
      </c>
      <c r="R44" s="3" t="e">
        <f t="shared" ca="1" si="42"/>
        <v>#N/A</v>
      </c>
      <c r="S44" s="3" t="e">
        <f t="shared" ca="1" si="42"/>
        <v>#N/A</v>
      </c>
      <c r="U44" s="3" t="e">
        <f t="shared" ca="1" si="43"/>
        <v>#N/A</v>
      </c>
      <c r="V44" s="3" t="e">
        <f t="shared" ca="1" si="43"/>
        <v>#N/A</v>
      </c>
      <c r="W44" s="3" t="e">
        <f t="shared" ca="1" si="43"/>
        <v>#N/A</v>
      </c>
      <c r="X44" s="3" t="e">
        <f t="shared" ca="1" si="43"/>
        <v>#N/A</v>
      </c>
      <c r="Z44" s="3" t="e">
        <f t="shared" ca="1" si="44"/>
        <v>#N/A</v>
      </c>
      <c r="AA44" s="3" t="e">
        <f t="shared" ca="1" si="44"/>
        <v>#N/A</v>
      </c>
      <c r="AB44" s="3" t="e">
        <f t="shared" ca="1" si="44"/>
        <v>#N/A</v>
      </c>
      <c r="AC44" s="3" t="e">
        <f t="shared" ca="1" si="44"/>
        <v>#N/A</v>
      </c>
      <c r="AE44" s="3" t="e">
        <f t="shared" ca="1" si="45"/>
        <v>#N/A</v>
      </c>
      <c r="AF44" s="3" t="e">
        <f t="shared" ca="1" si="45"/>
        <v>#N/A</v>
      </c>
      <c r="AG44" s="3" t="e">
        <f t="shared" ca="1" si="45"/>
        <v>#N/A</v>
      </c>
      <c r="AH44" s="3" t="e">
        <f t="shared" ca="1" si="45"/>
        <v>#N/A</v>
      </c>
      <c r="AJ44" s="3" t="e">
        <f t="shared" ca="1" si="46"/>
        <v>#N/A</v>
      </c>
      <c r="AK44" s="3" t="e">
        <f t="shared" ca="1" si="46"/>
        <v>#N/A</v>
      </c>
      <c r="AL44" s="3" t="e">
        <f t="shared" ca="1" si="46"/>
        <v>#N/A</v>
      </c>
      <c r="AM44" s="3" t="e">
        <f t="shared" ca="1" si="46"/>
        <v>#N/A</v>
      </c>
      <c r="AO44" s="3" t="e">
        <f t="shared" ca="1" si="47"/>
        <v>#N/A</v>
      </c>
      <c r="AP44" s="3" t="e">
        <f t="shared" ca="1" si="47"/>
        <v>#N/A</v>
      </c>
      <c r="AQ44" s="3" t="e">
        <f t="shared" ca="1" si="47"/>
        <v>#N/A</v>
      </c>
      <c r="AR44" s="3" t="e">
        <f t="shared" ca="1" si="47"/>
        <v>#N/A</v>
      </c>
      <c r="AT44" s="11" t="e">
        <v>#N/A</v>
      </c>
      <c r="AU44" s="11" t="e">
        <v>#N/A</v>
      </c>
      <c r="AV44" s="11" t="e">
        <v>#N/A</v>
      </c>
      <c r="AW44" s="3">
        <v>2.246999979019165</v>
      </c>
      <c r="AY44" s="3" t="e">
        <f t="shared" ca="1" si="48"/>
        <v>#N/A</v>
      </c>
      <c r="AZ44" s="3" t="e">
        <f t="shared" ca="1" si="49"/>
        <v>#N/A</v>
      </c>
      <c r="BA44" s="3" t="e">
        <f t="shared" ca="1" si="50"/>
        <v>#N/A</v>
      </c>
      <c r="BB44" s="3" t="e">
        <f t="shared" ca="1" si="51"/>
        <v>#N/A</v>
      </c>
      <c r="BD44" s="3" t="e">
        <f t="shared" ca="1" si="52"/>
        <v>#N/A</v>
      </c>
      <c r="BE44" s="3" t="e">
        <f t="shared" ca="1" si="53"/>
        <v>#N/A</v>
      </c>
      <c r="BF44" s="3" t="e">
        <f t="shared" ca="1" si="54"/>
        <v>#N/A</v>
      </c>
      <c r="BG44" s="3" t="e">
        <f t="shared" ca="1" si="55"/>
        <v>#N/A</v>
      </c>
      <c r="BI44" s="3" t="e">
        <f t="shared" ca="1" si="56"/>
        <v>#N/A</v>
      </c>
      <c r="BJ44" s="3" t="e">
        <f t="shared" ca="1" si="57"/>
        <v>#N/A</v>
      </c>
      <c r="BK44" s="3" t="e">
        <f t="shared" ca="1" si="58"/>
        <v>#N/A</v>
      </c>
      <c r="BL44" s="3" t="e">
        <f t="shared" ca="1" si="59"/>
        <v>#N/A</v>
      </c>
      <c r="BN44" s="3" t="e">
        <f t="shared" ca="1" si="60"/>
        <v>#N/A</v>
      </c>
      <c r="BO44" s="3" t="e">
        <f t="shared" ca="1" si="61"/>
        <v>#N/A</v>
      </c>
      <c r="BP44" s="3" t="e">
        <f t="shared" ca="1" si="62"/>
        <v>#N/A</v>
      </c>
      <c r="BQ44" s="3" t="e">
        <f t="shared" ca="1" si="63"/>
        <v>#N/A</v>
      </c>
      <c r="BS44" s="11" t="e">
        <v>#N/A</v>
      </c>
      <c r="BT44" s="11" t="e">
        <v>#N/A</v>
      </c>
      <c r="BU44" s="11" t="e">
        <v>#N/A</v>
      </c>
      <c r="BV44" s="3">
        <v>4.008</v>
      </c>
      <c r="BX44" s="3" t="e">
        <f t="shared" ca="1" si="64"/>
        <v>#N/A</v>
      </c>
      <c r="BY44" s="3" t="e">
        <f t="shared" ca="1" si="65"/>
        <v>#N/A</v>
      </c>
      <c r="BZ44" s="3" t="e">
        <f t="shared" ca="1" si="66"/>
        <v>#N/A</v>
      </c>
      <c r="CA44" s="3" t="e">
        <f t="shared" ca="1" si="67"/>
        <v>#N/A</v>
      </c>
      <c r="CC44" s="3" t="e">
        <f t="shared" ca="1" si="68"/>
        <v>#N/A</v>
      </c>
      <c r="CD44" s="3" t="e">
        <f t="shared" ca="1" si="69"/>
        <v>#N/A</v>
      </c>
      <c r="CE44" s="3" t="e">
        <f t="shared" ca="1" si="70"/>
        <v>#N/A</v>
      </c>
      <c r="CF44" s="3" t="e">
        <f t="shared" ca="1" si="71"/>
        <v>#N/A</v>
      </c>
      <c r="CH44" s="3" t="e">
        <f t="shared" ca="1" si="72"/>
        <v>#N/A</v>
      </c>
      <c r="CI44" s="3" t="e">
        <f t="shared" ca="1" si="73"/>
        <v>#N/A</v>
      </c>
      <c r="CJ44" s="3" t="e">
        <f t="shared" ca="1" si="74"/>
        <v>#N/A</v>
      </c>
      <c r="CK44" s="3" t="e">
        <f t="shared" ca="1" si="75"/>
        <v>#N/A</v>
      </c>
      <c r="CM44" s="3" t="e">
        <f t="shared" ca="1" si="76"/>
        <v>#N/A</v>
      </c>
      <c r="CN44" s="3" t="e">
        <f t="shared" ca="1" si="77"/>
        <v>#N/A</v>
      </c>
      <c r="CO44" s="3" t="e">
        <f t="shared" ca="1" si="78"/>
        <v>#N/A</v>
      </c>
      <c r="CP44" s="3" t="e">
        <f t="shared" ca="1" si="79"/>
        <v>#N/A</v>
      </c>
      <c r="CR44" s="11" t="e">
        <v>#N/A</v>
      </c>
      <c r="CS44" s="11" t="e">
        <v>#N/A</v>
      </c>
      <c r="CT44" s="11" t="e">
        <v>#N/A</v>
      </c>
      <c r="CU44" s="3">
        <v>4.008</v>
      </c>
      <c r="CV44" s="21">
        <f t="shared" ca="1" si="40"/>
        <v>4.008</v>
      </c>
      <c r="CW44" s="16">
        <f t="shared" ca="1" si="39"/>
        <v>6.666666666666667</v>
      </c>
    </row>
    <row r="45" spans="1:101" s="3" customFormat="1" x14ac:dyDescent="0.35">
      <c r="A45" s="2" t="s">
        <v>7</v>
      </c>
      <c r="B45" s="2">
        <v>6.75</v>
      </c>
      <c r="C45" s="2" t="s">
        <v>167</v>
      </c>
      <c r="D45" s="2" t="s">
        <v>403</v>
      </c>
      <c r="F45" s="3">
        <v>4.0129999999999999</v>
      </c>
      <c r="G45" s="3">
        <v>4.0060000000000002</v>
      </c>
      <c r="H45" s="3">
        <v>4.008</v>
      </c>
      <c r="I45" s="3">
        <v>4.0110000000000001</v>
      </c>
      <c r="K45" s="3">
        <f t="shared" ca="1" si="41"/>
        <v>0.93845003737851984</v>
      </c>
      <c r="L45" s="3">
        <f t="shared" ca="1" si="41"/>
        <v>0.9398402396405392</v>
      </c>
      <c r="M45" s="3">
        <f t="shared" ca="1" si="41"/>
        <v>0.91017964071856294</v>
      </c>
      <c r="N45" s="3">
        <f t="shared" ca="1" si="41"/>
        <v>0.91398653702318633</v>
      </c>
      <c r="P45" s="3">
        <f t="shared" ca="1" si="42"/>
        <v>0.73087462260038105</v>
      </c>
      <c r="Q45" s="3">
        <f t="shared" ca="1" si="42"/>
        <v>0.47803296708965443</v>
      </c>
      <c r="R45" s="3">
        <f t="shared" ca="1" si="42"/>
        <v>0.77245490785368431</v>
      </c>
      <c r="S45" s="3">
        <f t="shared" ca="1" si="42"/>
        <v>0.82273739319256611</v>
      </c>
      <c r="U45" s="3">
        <f t="shared" ca="1" si="43"/>
        <v>1.74433092449539</v>
      </c>
      <c r="V45" s="3">
        <f t="shared" ca="1" si="43"/>
        <v>1.7473789316025961</v>
      </c>
      <c r="W45" s="3">
        <f t="shared" ca="1" si="43"/>
        <v>2.2455089820359282</v>
      </c>
      <c r="X45" s="3">
        <f t="shared" ca="1" si="43"/>
        <v>3.2410870107205185</v>
      </c>
      <c r="Z45" s="3">
        <f t="shared" ca="1" si="44"/>
        <v>0.93022676302018437</v>
      </c>
      <c r="AA45" s="3">
        <f t="shared" ca="1" si="44"/>
        <v>0.9398402396405392</v>
      </c>
      <c r="AB45" s="3">
        <f t="shared" ca="1" si="44"/>
        <v>0.91017964071856294</v>
      </c>
      <c r="AC45" s="3">
        <f t="shared" ca="1" si="44"/>
        <v>0.70630765395163309</v>
      </c>
      <c r="AE45" s="3">
        <f t="shared" ca="1" si="45"/>
        <v>0.73087462260038105</v>
      </c>
      <c r="AF45" s="3">
        <f t="shared" ca="1" si="45"/>
        <v>0.47803296708965443</v>
      </c>
      <c r="AG45" s="3">
        <f t="shared" ca="1" si="45"/>
        <v>0.77245490785368431</v>
      </c>
      <c r="AH45" s="3">
        <f t="shared" ca="1" si="45"/>
        <v>0.6564446843137054</v>
      </c>
      <c r="AJ45" s="3">
        <f t="shared" ca="1" si="46"/>
        <v>1.74433092449539</v>
      </c>
      <c r="AK45" s="3">
        <f t="shared" ca="1" si="46"/>
        <v>1.7473789316025961</v>
      </c>
      <c r="AL45" s="3">
        <f t="shared" ca="1" si="46"/>
        <v>2.2455089820359282</v>
      </c>
      <c r="AM45" s="3">
        <f t="shared" ca="1" si="46"/>
        <v>2.7424582398404387</v>
      </c>
      <c r="AO45" s="3">
        <f t="shared" ca="1" si="47"/>
        <v>0.49838026414154002</v>
      </c>
      <c r="AP45" s="3">
        <f t="shared" ca="1" si="47"/>
        <v>0.24962556165751371</v>
      </c>
      <c r="AQ45" s="3">
        <f t="shared" ca="1" si="47"/>
        <v>0.249500998003992</v>
      </c>
      <c r="AR45" s="3">
        <f t="shared" ca="1" si="47"/>
        <v>0.74794315632011965</v>
      </c>
      <c r="AT45" s="3">
        <v>1.3000000268220901E-2</v>
      </c>
      <c r="AU45" s="3">
        <v>0.23499999940395355</v>
      </c>
      <c r="AV45" s="3">
        <v>0.35499998927116394</v>
      </c>
      <c r="AW45" s="3">
        <v>0.34900000691413879</v>
      </c>
      <c r="AY45" s="3">
        <f t="shared" ca="1" si="48"/>
        <v>0.48168452529279843</v>
      </c>
      <c r="AZ45" s="3">
        <f t="shared" ca="1" si="49"/>
        <v>0.42436345481777327</v>
      </c>
      <c r="BA45" s="3">
        <f t="shared" ca="1" si="50"/>
        <v>0.58607784431137733</v>
      </c>
      <c r="BB45" s="3">
        <f t="shared" ca="1" si="51"/>
        <v>0</v>
      </c>
      <c r="BD45" s="3">
        <f t="shared" ca="1" si="52"/>
        <v>0.46100173541919093</v>
      </c>
      <c r="BE45" s="3">
        <f t="shared" ca="1" si="53"/>
        <v>0.37418872013844312</v>
      </c>
      <c r="BF45" s="3">
        <f t="shared" ca="1" si="54"/>
        <v>0.41117765262217343</v>
      </c>
      <c r="BG45" s="3">
        <f t="shared" ca="1" si="55"/>
        <v>0</v>
      </c>
      <c r="BI45" s="3">
        <f t="shared" ca="1" si="56"/>
        <v>0.74757039621231003</v>
      </c>
      <c r="BJ45" s="3">
        <f t="shared" ca="1" si="57"/>
        <v>1.2481278082875686</v>
      </c>
      <c r="BK45" s="3">
        <f t="shared" ca="1" si="58"/>
        <v>0.74850299401197606</v>
      </c>
      <c r="BL45" s="3">
        <f t="shared" ca="1" si="59"/>
        <v>0</v>
      </c>
      <c r="BN45" s="3">
        <f t="shared" ca="1" si="60"/>
        <v>0.74757039621231003</v>
      </c>
      <c r="BO45" s="3">
        <f t="shared" ca="1" si="61"/>
        <v>0.74887668497254112</v>
      </c>
      <c r="BP45" s="3">
        <f t="shared" ca="1" si="62"/>
        <v>0.99800399201596801</v>
      </c>
      <c r="BQ45" s="3">
        <f t="shared" ca="1" si="63"/>
        <v>0.24931438544003989</v>
      </c>
      <c r="BS45" s="3">
        <v>0.41299998760223389</v>
      </c>
      <c r="BT45" s="3">
        <v>0.86799997091293335</v>
      </c>
      <c r="BU45" s="3">
        <v>0.35499998927116394</v>
      </c>
      <c r="BV45" s="3">
        <v>4.0110000000000001</v>
      </c>
      <c r="BX45" s="3">
        <f t="shared" ca="1" si="64"/>
        <v>0</v>
      </c>
      <c r="BY45" s="3">
        <f t="shared" ca="1" si="65"/>
        <v>0</v>
      </c>
      <c r="BZ45" s="3">
        <f t="shared" ca="1" si="66"/>
        <v>0</v>
      </c>
      <c r="CA45" s="3">
        <f t="shared" ca="1" si="67"/>
        <v>2.0942408376963369E-2</v>
      </c>
      <c r="CC45" s="3">
        <f t="shared" ca="1" si="68"/>
        <v>0</v>
      </c>
      <c r="CD45" s="3">
        <f t="shared" ca="1" si="69"/>
        <v>0</v>
      </c>
      <c r="CE45" s="3">
        <f t="shared" ca="1" si="70"/>
        <v>0</v>
      </c>
      <c r="CF45" s="3">
        <f t="shared" ca="1" si="71"/>
        <v>0</v>
      </c>
      <c r="CH45" s="3">
        <f t="shared" ca="1" si="72"/>
        <v>0</v>
      </c>
      <c r="CI45" s="3">
        <f t="shared" ca="1" si="73"/>
        <v>0</v>
      </c>
      <c r="CJ45" s="3">
        <f t="shared" ca="1" si="74"/>
        <v>0</v>
      </c>
      <c r="CK45" s="3">
        <f t="shared" ca="1" si="75"/>
        <v>0</v>
      </c>
      <c r="CM45" s="3">
        <f t="shared" ca="1" si="76"/>
        <v>0</v>
      </c>
      <c r="CN45" s="3">
        <f t="shared" ca="1" si="77"/>
        <v>0</v>
      </c>
      <c r="CO45" s="3">
        <f t="shared" ca="1" si="78"/>
        <v>0</v>
      </c>
      <c r="CP45" s="3">
        <f t="shared" ca="1" si="79"/>
        <v>0.74794315632011965</v>
      </c>
      <c r="CR45" s="3">
        <v>4.0129999999999999</v>
      </c>
      <c r="CS45" s="3">
        <v>4.0060000000000002</v>
      </c>
      <c r="CT45" s="3">
        <v>4.008</v>
      </c>
      <c r="CU45" s="3">
        <v>4.0110000000000001</v>
      </c>
      <c r="CV45" s="21">
        <f t="shared" ca="1" si="40"/>
        <v>4.0110000000000001</v>
      </c>
      <c r="CW45" s="16">
        <f t="shared" ca="1" si="39"/>
        <v>6.75</v>
      </c>
    </row>
    <row r="46" spans="1:101" s="3" customFormat="1" x14ac:dyDescent="0.35">
      <c r="A46" s="2" t="s">
        <v>28</v>
      </c>
      <c r="B46" s="2">
        <v>6.833333333333333</v>
      </c>
      <c r="C46" s="2" t="s">
        <v>168</v>
      </c>
      <c r="D46" s="2" t="s">
        <v>403</v>
      </c>
      <c r="F46" s="3">
        <v>4.0090000000000003</v>
      </c>
      <c r="G46" s="3">
        <v>4.0259999999999998</v>
      </c>
      <c r="H46" s="3">
        <v>4.01</v>
      </c>
      <c r="I46" s="3">
        <v>4.0090000000000003</v>
      </c>
      <c r="K46" s="3">
        <f t="shared" ca="1" si="41"/>
        <v>0.96433025692192564</v>
      </c>
      <c r="L46" s="3">
        <f t="shared" ca="1" si="41"/>
        <v>0.99751614505712871</v>
      </c>
      <c r="M46" s="3">
        <f t="shared" ca="1" si="41"/>
        <v>0.99725685785536156</v>
      </c>
      <c r="N46" s="3">
        <f t="shared" ca="1" si="41"/>
        <v>0.90197056622599159</v>
      </c>
      <c r="P46" s="3">
        <f t="shared" ca="1" si="42"/>
        <v>0.78099275444118299</v>
      </c>
      <c r="Q46" s="3">
        <f t="shared" ca="1" si="42"/>
        <v>0.90660714098820039</v>
      </c>
      <c r="R46" s="3">
        <f t="shared" ca="1" si="42"/>
        <v>0.89376565264050212</v>
      </c>
      <c r="S46" s="3">
        <f t="shared" ca="1" si="42"/>
        <v>0.86829626045788444</v>
      </c>
      <c r="U46" s="3">
        <f t="shared" ca="1" si="43"/>
        <v>1.9955101022698927</v>
      </c>
      <c r="V46" s="3">
        <f t="shared" ca="1" si="43"/>
        <v>1.7386984600099356</v>
      </c>
      <c r="W46" s="3">
        <f t="shared" ca="1" si="43"/>
        <v>0.99750623441396513</v>
      </c>
      <c r="X46" s="3">
        <f t="shared" ca="1" si="43"/>
        <v>1.9955101022698927</v>
      </c>
      <c r="Z46" s="3">
        <f t="shared" ca="1" si="44"/>
        <v>0.89773010725866786</v>
      </c>
      <c r="AA46" s="3">
        <f t="shared" ca="1" si="44"/>
        <v>0.97690014903129663</v>
      </c>
      <c r="AB46" s="3">
        <f t="shared" ca="1" si="44"/>
        <v>0.99725685785536156</v>
      </c>
      <c r="AC46" s="3">
        <f t="shared" ca="1" si="44"/>
        <v>0.90197056622599159</v>
      </c>
      <c r="AE46" s="3">
        <f t="shared" ca="1" si="45"/>
        <v>0.75604887964958023</v>
      </c>
      <c r="AF46" s="3">
        <f t="shared" ca="1" si="45"/>
        <v>0.90660714098820039</v>
      </c>
      <c r="AG46" s="3">
        <f t="shared" ca="1" si="45"/>
        <v>0.89376565264050212</v>
      </c>
      <c r="AH46" s="3">
        <f t="shared" ca="1" si="45"/>
        <v>0.86829626045788444</v>
      </c>
      <c r="AJ46" s="3">
        <f t="shared" ca="1" si="46"/>
        <v>1.746071339486156</v>
      </c>
      <c r="AK46" s="3">
        <f t="shared" ca="1" si="46"/>
        <v>1.7386984600099356</v>
      </c>
      <c r="AL46" s="3">
        <f t="shared" ca="1" si="46"/>
        <v>0.99750623441396513</v>
      </c>
      <c r="AM46" s="3">
        <f t="shared" ca="1" si="46"/>
        <v>1.9955101022698927</v>
      </c>
      <c r="AO46" s="3">
        <f t="shared" ca="1" si="47"/>
        <v>0.74831628835120967</v>
      </c>
      <c r="AP46" s="3">
        <f t="shared" ca="1" si="47"/>
        <v>0.7451564828614009</v>
      </c>
      <c r="AQ46" s="3">
        <f t="shared" ca="1" si="47"/>
        <v>0.24937655860349128</v>
      </c>
      <c r="AR46" s="3">
        <f t="shared" ca="1" si="47"/>
        <v>0.24943876278373658</v>
      </c>
      <c r="AT46" s="3">
        <v>0.28200000524520874</v>
      </c>
      <c r="AU46" s="3">
        <v>8.0000003799796104E-3</v>
      </c>
      <c r="AV46" s="3">
        <v>1.0999999940395355E-2</v>
      </c>
      <c r="AW46" s="3">
        <v>0.38499999046325684</v>
      </c>
      <c r="AY46" s="3">
        <f t="shared" ca="1" si="48"/>
        <v>0.35744574706909449</v>
      </c>
      <c r="AZ46" s="3">
        <f t="shared" ca="1" si="49"/>
        <v>8.2960755091902649E-2</v>
      </c>
      <c r="BA46" s="3">
        <f t="shared" ca="1" si="50"/>
        <v>0.30324189526184547</v>
      </c>
      <c r="BB46" s="3">
        <f t="shared" ca="1" si="51"/>
        <v>0</v>
      </c>
      <c r="BD46" s="3">
        <f t="shared" ca="1" si="52"/>
        <v>0.39037167059569383</v>
      </c>
      <c r="BE46" s="3">
        <f t="shared" ca="1" si="53"/>
        <v>0</v>
      </c>
      <c r="BF46" s="3">
        <f t="shared" ca="1" si="54"/>
        <v>0.32019951099766758</v>
      </c>
      <c r="BG46" s="3">
        <f t="shared" ca="1" si="55"/>
        <v>0</v>
      </c>
      <c r="BI46" s="3">
        <f t="shared" ca="1" si="56"/>
        <v>0.74831628835120967</v>
      </c>
      <c r="BJ46" s="3">
        <f t="shared" ca="1" si="57"/>
        <v>0</v>
      </c>
      <c r="BK46" s="3">
        <f t="shared" ca="1" si="58"/>
        <v>0.49875311720698257</v>
      </c>
      <c r="BL46" s="3">
        <f t="shared" ca="1" si="59"/>
        <v>0</v>
      </c>
      <c r="BN46" s="3">
        <f t="shared" ca="1" si="60"/>
        <v>0.49887752556747317</v>
      </c>
      <c r="BO46" s="3">
        <f t="shared" ca="1" si="61"/>
        <v>0.24838549428713363</v>
      </c>
      <c r="BP46" s="3">
        <f t="shared" ca="1" si="62"/>
        <v>0.24937655860349128</v>
      </c>
      <c r="BQ46" s="3">
        <f t="shared" ca="1" si="63"/>
        <v>0</v>
      </c>
      <c r="BS46" s="3">
        <v>0.28200000524520874</v>
      </c>
      <c r="BT46" s="3">
        <v>4.0259999999999998</v>
      </c>
      <c r="BU46" s="3">
        <v>1.2940000295639038</v>
      </c>
      <c r="BV46" s="3">
        <v>4.0090000000000003</v>
      </c>
      <c r="BX46" s="3">
        <f t="shared" ca="1" si="64"/>
        <v>6.6600149663257641E-2</v>
      </c>
      <c r="BY46" s="3">
        <f t="shared" ca="1" si="65"/>
        <v>0.56706408345752612</v>
      </c>
      <c r="BZ46" s="3">
        <f t="shared" ca="1" si="66"/>
        <v>0</v>
      </c>
      <c r="CA46" s="3">
        <f t="shared" ca="1" si="67"/>
        <v>0.39486156148665491</v>
      </c>
      <c r="CC46" s="3">
        <f t="shared" ca="1" si="68"/>
        <v>0.10401597787805196</v>
      </c>
      <c r="CD46" s="3">
        <f t="shared" ca="1" si="69"/>
        <v>0.59190267045559786</v>
      </c>
      <c r="CE46" s="3">
        <f t="shared" ca="1" si="70"/>
        <v>0</v>
      </c>
      <c r="CF46" s="3">
        <f t="shared" ca="1" si="71"/>
        <v>0.41132451709472317</v>
      </c>
      <c r="CH46" s="3">
        <f t="shared" ca="1" si="72"/>
        <v>0.24943876278373658</v>
      </c>
      <c r="CI46" s="3">
        <f t="shared" ca="1" si="73"/>
        <v>1.2419274714356683</v>
      </c>
      <c r="CJ46" s="3">
        <f t="shared" ca="1" si="74"/>
        <v>0</v>
      </c>
      <c r="CK46" s="3">
        <f t="shared" ca="1" si="75"/>
        <v>0.74831628835120967</v>
      </c>
      <c r="CM46" s="3">
        <f t="shared" ca="1" si="76"/>
        <v>0.99775505113494634</v>
      </c>
      <c r="CN46" s="3">
        <f t="shared" ca="1" si="77"/>
        <v>1.7386984600099356</v>
      </c>
      <c r="CO46" s="3">
        <f t="shared" ca="1" si="78"/>
        <v>0</v>
      </c>
      <c r="CP46" s="3">
        <f t="shared" ca="1" si="79"/>
        <v>0.74831628835120967</v>
      </c>
      <c r="CR46" s="3">
        <v>3.1480000019073486</v>
      </c>
      <c r="CS46" s="3">
        <v>8.0000003799796104E-3</v>
      </c>
      <c r="CT46" s="3">
        <v>4.01</v>
      </c>
      <c r="CU46" s="3">
        <v>0.38499999046325684</v>
      </c>
      <c r="CV46" s="21">
        <f t="shared" ca="1" si="40"/>
        <v>0.38499999046325684</v>
      </c>
      <c r="CW46" s="16">
        <f t="shared" ca="1" si="39"/>
        <v>6.833333333333333</v>
      </c>
    </row>
    <row r="47" spans="1:101" s="3" customFormat="1" x14ac:dyDescent="0.35">
      <c r="A47" s="2" t="s">
        <v>6</v>
      </c>
      <c r="B47" s="2">
        <v>6.916666666666667</v>
      </c>
      <c r="C47" s="2" t="s">
        <v>167</v>
      </c>
      <c r="D47" s="2" t="s">
        <v>403</v>
      </c>
      <c r="F47" s="3">
        <v>4.0119999999999996</v>
      </c>
      <c r="G47" s="3">
        <v>4</v>
      </c>
      <c r="H47" s="11" t="e">
        <v>#N/A</v>
      </c>
      <c r="I47" s="3">
        <v>4.0090000000000003</v>
      </c>
      <c r="K47" s="3">
        <f t="shared" ca="1" si="41"/>
        <v>0.99675972083748765</v>
      </c>
      <c r="L47" s="3">
        <f t="shared" ca="1" si="41"/>
        <v>0.99575000000000002</v>
      </c>
      <c r="M47" s="3" t="e">
        <f t="shared" ca="1" si="41"/>
        <v>#N/A</v>
      </c>
      <c r="N47" s="3">
        <f t="shared" ca="1" si="41"/>
        <v>0.99351459216762283</v>
      </c>
      <c r="P47" s="3">
        <f t="shared" ca="1" si="42"/>
        <v>0.48554332876728401</v>
      </c>
      <c r="Q47" s="3">
        <f t="shared" ca="1" si="42"/>
        <v>0.73724988149479032</v>
      </c>
      <c r="R47" s="3" t="e">
        <f t="shared" ca="1" si="42"/>
        <v>#N/A</v>
      </c>
      <c r="S47" s="3">
        <f t="shared" ca="1" si="42"/>
        <v>0.15365424916523593</v>
      </c>
      <c r="U47" s="3">
        <f t="shared" ca="1" si="43"/>
        <v>2.9910269192422736</v>
      </c>
      <c r="V47" s="3">
        <f t="shared" ca="1" si="43"/>
        <v>3</v>
      </c>
      <c r="W47" s="3" t="e">
        <f t="shared" ca="1" si="43"/>
        <v>#N/A</v>
      </c>
      <c r="X47" s="3">
        <f t="shared" ca="1" si="43"/>
        <v>0.99775505113494634</v>
      </c>
      <c r="Z47" s="3">
        <f t="shared" ca="1" si="44"/>
        <v>0.90927218344965111</v>
      </c>
      <c r="AA47" s="3">
        <f t="shared" ca="1" si="44"/>
        <v>0.97075</v>
      </c>
      <c r="AB47" s="3" t="e">
        <f t="shared" ca="1" si="44"/>
        <v>#N/A</v>
      </c>
      <c r="AC47" s="3">
        <f t="shared" ca="1" si="44"/>
        <v>0.72761287104015959</v>
      </c>
      <c r="AE47" s="3">
        <f t="shared" ca="1" si="45"/>
        <v>0.48554332876728401</v>
      </c>
      <c r="AF47" s="3">
        <f t="shared" ca="1" si="45"/>
        <v>0.73724988149479032</v>
      </c>
      <c r="AG47" s="3" t="e">
        <f t="shared" ca="1" si="45"/>
        <v>#N/A</v>
      </c>
      <c r="AH47" s="3">
        <f t="shared" ca="1" si="45"/>
        <v>0.15365424916523593</v>
      </c>
      <c r="AJ47" s="3">
        <f t="shared" ca="1" si="46"/>
        <v>2.9910269192422736</v>
      </c>
      <c r="AK47" s="3">
        <f t="shared" ca="1" si="46"/>
        <v>3</v>
      </c>
      <c r="AL47" s="3" t="e">
        <f t="shared" ca="1" si="46"/>
        <v>#N/A</v>
      </c>
      <c r="AM47" s="3">
        <f t="shared" ca="1" si="46"/>
        <v>0.99775505113494634</v>
      </c>
      <c r="AO47" s="3">
        <f t="shared" ca="1" si="47"/>
        <v>1.9940179461615157</v>
      </c>
      <c r="AP47" s="3">
        <f t="shared" ca="1" si="47"/>
        <v>0.5</v>
      </c>
      <c r="AQ47" s="3" t="e">
        <f t="shared" ca="1" si="47"/>
        <v>#N/A</v>
      </c>
      <c r="AR47" s="3">
        <f t="shared" ca="1" si="47"/>
        <v>3.7415814417560487</v>
      </c>
      <c r="AT47" s="3">
        <v>0.15099999308586121</v>
      </c>
      <c r="AU47" s="3">
        <v>1.6000000759959221E-2</v>
      </c>
      <c r="AV47" s="11" t="e">
        <v>#N/A</v>
      </c>
      <c r="AW47" s="3">
        <v>0.11500000208616257</v>
      </c>
      <c r="AY47" s="3">
        <f t="shared" ca="1" si="48"/>
        <v>7.851445663010978E-2</v>
      </c>
      <c r="AZ47" s="3">
        <f t="shared" ca="1" si="49"/>
        <v>0.65399999999999991</v>
      </c>
      <c r="BA47" s="3" t="e">
        <f t="shared" ca="1" si="50"/>
        <v>#N/A</v>
      </c>
      <c r="BB47" s="3">
        <f t="shared" ca="1" si="51"/>
        <v>0.20778248939885238</v>
      </c>
      <c r="BD47" s="3">
        <f t="shared" ca="1" si="52"/>
        <v>4.5613122960981564E-2</v>
      </c>
      <c r="BE47" s="3">
        <f t="shared" ca="1" si="53"/>
        <v>0.71224990533664823</v>
      </c>
      <c r="BF47" s="3" t="e">
        <f t="shared" ca="1" si="54"/>
        <v>#N/A</v>
      </c>
      <c r="BG47" s="3">
        <f t="shared" ca="1" si="55"/>
        <v>3.3175329758836074E-2</v>
      </c>
      <c r="BI47" s="3">
        <f t="shared" ca="1" si="56"/>
        <v>0.24925224327018947</v>
      </c>
      <c r="BJ47" s="3">
        <f t="shared" ca="1" si="57"/>
        <v>2.75</v>
      </c>
      <c r="BK47" s="3" t="e">
        <f t="shared" ca="1" si="58"/>
        <v>#N/A</v>
      </c>
      <c r="BL47" s="3">
        <f t="shared" ca="1" si="59"/>
        <v>0.24943876278373658</v>
      </c>
      <c r="BN47" s="3">
        <f t="shared" ca="1" si="60"/>
        <v>2.9910269192422736</v>
      </c>
      <c r="BO47" s="3">
        <f t="shared" ca="1" si="61"/>
        <v>3</v>
      </c>
      <c r="BP47" s="3" t="e">
        <f t="shared" ca="1" si="62"/>
        <v>#N/A</v>
      </c>
      <c r="BQ47" s="3">
        <f t="shared" ca="1" si="63"/>
        <v>4.4898977301072582</v>
      </c>
      <c r="BS47" s="3">
        <v>2.8670001029968262</v>
      </c>
      <c r="BT47" s="3">
        <v>1.6000000759959221E-2</v>
      </c>
      <c r="BU47" s="11" t="e">
        <v>#N/A</v>
      </c>
      <c r="BV47" s="3">
        <v>2.0980000495910645</v>
      </c>
      <c r="BX47" s="3">
        <f t="shared" ca="1" si="64"/>
        <v>0</v>
      </c>
      <c r="BY47" s="3">
        <f t="shared" ca="1" si="65"/>
        <v>1.6750000000000043E-2</v>
      </c>
      <c r="BZ47" s="3" t="e">
        <f t="shared" ca="1" si="66"/>
        <v>#N/A</v>
      </c>
      <c r="CA47" s="3">
        <f t="shared" ca="1" si="67"/>
        <v>0</v>
      </c>
      <c r="CC47" s="3">
        <f t="shared" ca="1" si="68"/>
        <v>0</v>
      </c>
      <c r="CD47" s="3">
        <f t="shared" ca="1" si="69"/>
        <v>0</v>
      </c>
      <c r="CE47" s="3" t="e">
        <f t="shared" ca="1" si="70"/>
        <v>#N/A</v>
      </c>
      <c r="CF47" s="3">
        <f t="shared" ca="1" si="71"/>
        <v>0</v>
      </c>
      <c r="CH47" s="3">
        <f t="shared" ca="1" si="72"/>
        <v>0</v>
      </c>
      <c r="CI47" s="3">
        <f t="shared" ca="1" si="73"/>
        <v>0</v>
      </c>
      <c r="CJ47" s="3" t="e">
        <f t="shared" ca="1" si="74"/>
        <v>#N/A</v>
      </c>
      <c r="CK47" s="3">
        <f t="shared" ca="1" si="75"/>
        <v>0</v>
      </c>
      <c r="CM47" s="3">
        <f t="shared" ca="1" si="76"/>
        <v>0</v>
      </c>
      <c r="CN47" s="3">
        <f t="shared" ca="1" si="77"/>
        <v>1</v>
      </c>
      <c r="CO47" s="3" t="e">
        <f t="shared" ca="1" si="78"/>
        <v>#N/A</v>
      </c>
      <c r="CP47" s="3">
        <f t="shared" ca="1" si="79"/>
        <v>0.49887752556747317</v>
      </c>
      <c r="CR47" s="3">
        <v>4.0119999999999996</v>
      </c>
      <c r="CS47" s="3">
        <v>4</v>
      </c>
      <c r="CT47" s="11" t="e">
        <v>#N/A</v>
      </c>
      <c r="CU47" s="3">
        <v>4.0090000000000003</v>
      </c>
      <c r="CV47" s="21">
        <f t="shared" ca="1" si="40"/>
        <v>4.0090000000000003</v>
      </c>
      <c r="CW47" s="16">
        <f t="shared" ca="1" si="39"/>
        <v>6.916666666666667</v>
      </c>
    </row>
    <row r="48" spans="1:101" s="3" customFormat="1" x14ac:dyDescent="0.35">
      <c r="A48" s="2" t="s">
        <v>88</v>
      </c>
      <c r="B48" s="2">
        <v>6.916666666666667</v>
      </c>
      <c r="C48" s="2" t="s">
        <v>168</v>
      </c>
      <c r="D48" s="2" t="s">
        <v>403</v>
      </c>
      <c r="F48" s="3">
        <v>4.0049999999999999</v>
      </c>
      <c r="G48" s="3">
        <v>4.0140000000000002</v>
      </c>
      <c r="H48" s="3">
        <v>4.0149999999999997</v>
      </c>
      <c r="I48" s="3" t="e">
        <v>#N/A</v>
      </c>
      <c r="K48" s="3">
        <f t="shared" ca="1" si="41"/>
        <v>0.99450686641697883</v>
      </c>
      <c r="L48" s="3">
        <f t="shared" ca="1" si="41"/>
        <v>0.65595416043846533</v>
      </c>
      <c r="M48" s="3">
        <f t="shared" ca="1" si="41"/>
        <v>0.99601494396014945</v>
      </c>
      <c r="N48" s="3" t="e">
        <f t="shared" ca="1" si="41"/>
        <v>#N/A</v>
      </c>
      <c r="P48" s="3">
        <f t="shared" ca="1" si="42"/>
        <v>0.95305863963195891</v>
      </c>
      <c r="Q48" s="3">
        <f t="shared" ca="1" si="42"/>
        <v>0.6223218575840157</v>
      </c>
      <c r="R48" s="3">
        <f t="shared" ca="1" si="42"/>
        <v>0.93748448149835784</v>
      </c>
      <c r="S48" s="3" t="e">
        <f t="shared" ca="1" si="42"/>
        <v>#N/A</v>
      </c>
      <c r="U48" s="3">
        <f t="shared" ca="1" si="43"/>
        <v>1.7478152309612984</v>
      </c>
      <c r="V48" s="3">
        <f t="shared" ca="1" si="43"/>
        <v>2.2421524663677128</v>
      </c>
      <c r="W48" s="3">
        <f t="shared" ca="1" si="43"/>
        <v>2.4906600249066004</v>
      </c>
      <c r="X48" s="3" t="e">
        <f t="shared" ca="1" si="43"/>
        <v>#N/A</v>
      </c>
      <c r="Z48" s="3">
        <f t="shared" ca="1" si="44"/>
        <v>0.99450686641697883</v>
      </c>
      <c r="AA48" s="3">
        <f t="shared" ca="1" si="44"/>
        <v>0.65994020926756347</v>
      </c>
      <c r="AB48" s="3">
        <f t="shared" ca="1" si="44"/>
        <v>0.99601494396014945</v>
      </c>
      <c r="AC48" s="3" t="e">
        <f t="shared" ca="1" si="44"/>
        <v>#N/A</v>
      </c>
      <c r="AE48" s="3">
        <f t="shared" ca="1" si="45"/>
        <v>0.95305863963195891</v>
      </c>
      <c r="AF48" s="3">
        <f t="shared" ca="1" si="45"/>
        <v>0.6223218575840157</v>
      </c>
      <c r="AG48" s="3">
        <f t="shared" ca="1" si="45"/>
        <v>0.93748448149835784</v>
      </c>
      <c r="AH48" s="3" t="e">
        <f t="shared" ca="1" si="45"/>
        <v>#N/A</v>
      </c>
      <c r="AJ48" s="3">
        <f t="shared" ca="1" si="46"/>
        <v>1.7478152309612984</v>
      </c>
      <c r="AK48" s="3">
        <f t="shared" ca="1" si="46"/>
        <v>2.2421524663677128</v>
      </c>
      <c r="AL48" s="3">
        <f t="shared" ca="1" si="46"/>
        <v>2.4906600249066004</v>
      </c>
      <c r="AM48" s="3" t="e">
        <f t="shared" ca="1" si="46"/>
        <v>#N/A</v>
      </c>
      <c r="AO48" s="3">
        <f t="shared" ca="1" si="47"/>
        <v>0.24968789013732834</v>
      </c>
      <c r="AP48" s="3">
        <f t="shared" ca="1" si="47"/>
        <v>0.24912805181863476</v>
      </c>
      <c r="AQ48" s="3">
        <f t="shared" ca="1" si="47"/>
        <v>0.24906600249066005</v>
      </c>
      <c r="AR48" s="3" t="e">
        <f t="shared" ca="1" si="47"/>
        <v>#N/A</v>
      </c>
      <c r="AT48" s="3">
        <v>7.0000002160668373E-3</v>
      </c>
      <c r="AU48" s="3">
        <v>0.33500000834465027</v>
      </c>
      <c r="AV48" s="3">
        <v>8.0000003799796104E-3</v>
      </c>
      <c r="AW48" s="11" t="e">
        <v>#N/A</v>
      </c>
      <c r="AY48" s="3">
        <f t="shared" ca="1" si="48"/>
        <v>0.58701622971285916</v>
      </c>
      <c r="AZ48" s="3">
        <f t="shared" ca="1" si="49"/>
        <v>0.14100647732934724</v>
      </c>
      <c r="BA48" s="3">
        <f t="shared" ca="1" si="50"/>
        <v>0.14520547945205486</v>
      </c>
      <c r="BB48" s="3" t="e">
        <f t="shared" ca="1" si="51"/>
        <v>#N/A</v>
      </c>
      <c r="BD48" s="3">
        <f t="shared" ca="1" si="52"/>
        <v>0.59101126911339541</v>
      </c>
      <c r="BE48" s="3">
        <f t="shared" ca="1" si="53"/>
        <v>0.16193325744081505</v>
      </c>
      <c r="BF48" s="3">
        <f t="shared" ca="1" si="54"/>
        <v>9.539233495111335E-2</v>
      </c>
      <c r="BG48" s="3" t="e">
        <f t="shared" ca="1" si="55"/>
        <v>#N/A</v>
      </c>
      <c r="BI48" s="3">
        <f t="shared" ca="1" si="56"/>
        <v>0.74906367041198507</v>
      </c>
      <c r="BJ48" s="3">
        <f t="shared" ca="1" si="57"/>
        <v>0.74738415545590431</v>
      </c>
      <c r="BK48" s="3">
        <f t="shared" ca="1" si="58"/>
        <v>0.74719800747198017</v>
      </c>
      <c r="BL48" s="3" t="e">
        <f t="shared" ca="1" si="59"/>
        <v>#N/A</v>
      </c>
      <c r="BN48" s="3">
        <f t="shared" ca="1" si="60"/>
        <v>0.99875156054931336</v>
      </c>
      <c r="BO48" s="3">
        <f t="shared" ca="1" si="61"/>
        <v>0.74738415545590431</v>
      </c>
      <c r="BP48" s="3">
        <f t="shared" ca="1" si="62"/>
        <v>0.74719800747198017</v>
      </c>
      <c r="BQ48" s="3" t="e">
        <f t="shared" ca="1" si="63"/>
        <v>#N/A</v>
      </c>
      <c r="BS48" s="3">
        <v>0.42399999499320984</v>
      </c>
      <c r="BT48" s="3">
        <v>0.5350000262260437</v>
      </c>
      <c r="BU48" s="3">
        <v>0.3580000102519989</v>
      </c>
      <c r="BV48" s="11" t="e">
        <v>#N/A</v>
      </c>
      <c r="BX48" s="3">
        <f t="shared" ca="1" si="64"/>
        <v>0.14157303370786517</v>
      </c>
      <c r="BY48" s="3">
        <f t="shared" ca="1" si="65"/>
        <v>0</v>
      </c>
      <c r="BZ48" s="3">
        <f t="shared" ca="1" si="66"/>
        <v>0</v>
      </c>
      <c r="CA48" s="3" t="e">
        <f t="shared" ca="1" si="67"/>
        <v>#N/A</v>
      </c>
      <c r="CC48" s="3">
        <f t="shared" ca="1" si="68"/>
        <v>0.17902618936831585</v>
      </c>
      <c r="CD48" s="3">
        <f t="shared" ca="1" si="69"/>
        <v>0</v>
      </c>
      <c r="CE48" s="3">
        <f t="shared" ca="1" si="70"/>
        <v>0</v>
      </c>
      <c r="CF48" s="3" t="e">
        <f t="shared" ca="1" si="71"/>
        <v>#N/A</v>
      </c>
      <c r="CH48" s="3">
        <f t="shared" ca="1" si="72"/>
        <v>0.24968789013732834</v>
      </c>
      <c r="CI48" s="3">
        <f t="shared" ca="1" si="73"/>
        <v>0</v>
      </c>
      <c r="CJ48" s="3">
        <f t="shared" ca="1" si="74"/>
        <v>0</v>
      </c>
      <c r="CK48" s="3" t="e">
        <f t="shared" ca="1" si="75"/>
        <v>#N/A</v>
      </c>
      <c r="CM48" s="3">
        <f t="shared" ca="1" si="76"/>
        <v>0.24968789013732834</v>
      </c>
      <c r="CN48" s="3">
        <f t="shared" ca="1" si="77"/>
        <v>0</v>
      </c>
      <c r="CO48" s="3">
        <f t="shared" ca="1" si="78"/>
        <v>0</v>
      </c>
      <c r="CP48" s="3" t="e">
        <f t="shared" ca="1" si="79"/>
        <v>#N/A</v>
      </c>
      <c r="CR48" s="3">
        <v>1.6230000257492065</v>
      </c>
      <c r="CS48" s="3">
        <v>4.0140000000000002</v>
      </c>
      <c r="CT48" s="3">
        <v>4.0149999999999997</v>
      </c>
      <c r="CU48" s="11" t="e">
        <v>#N/A</v>
      </c>
      <c r="CV48" s="21" t="e">
        <f t="shared" ca="1" si="40"/>
        <v>#N/A</v>
      </c>
      <c r="CW48" s="16">
        <f t="shared" ca="1" si="39"/>
        <v>6.916666666666667</v>
      </c>
    </row>
    <row r="49" spans="1:101" s="3" customFormat="1" x14ac:dyDescent="0.35">
      <c r="A49" s="2" t="s">
        <v>85</v>
      </c>
      <c r="B49" s="2">
        <v>7.083333333333333</v>
      </c>
      <c r="C49" s="2" t="s">
        <v>168</v>
      </c>
      <c r="D49" s="2" t="s">
        <v>403</v>
      </c>
      <c r="F49" s="3">
        <v>4.0149999999999997</v>
      </c>
      <c r="G49" s="3">
        <v>4.0309999999999997</v>
      </c>
      <c r="H49" s="3">
        <v>4.0259999999999998</v>
      </c>
      <c r="I49" s="3">
        <v>4.0149999999999997</v>
      </c>
      <c r="K49" s="3">
        <f t="shared" ca="1" si="41"/>
        <v>0.99601494396014945</v>
      </c>
      <c r="L49" s="3">
        <f t="shared" ca="1" si="41"/>
        <v>0.97147109898288275</v>
      </c>
      <c r="M49" s="3">
        <f t="shared" ca="1" si="41"/>
        <v>0.99329359165424735</v>
      </c>
      <c r="N49" s="3">
        <f t="shared" ca="1" si="41"/>
        <v>0.99601494396014945</v>
      </c>
      <c r="P49" s="3">
        <f t="shared" ca="1" si="42"/>
        <v>0.93424664357976339</v>
      </c>
      <c r="Q49" s="3">
        <f t="shared" ca="1" si="42"/>
        <v>0.93401140246666925</v>
      </c>
      <c r="R49" s="3">
        <f t="shared" ca="1" si="42"/>
        <v>0.9642324756906806</v>
      </c>
      <c r="S49" s="3">
        <f t="shared" ca="1" si="42"/>
        <v>0.94221679222390786</v>
      </c>
      <c r="U49" s="3">
        <f t="shared" ca="1" si="43"/>
        <v>1.7434620174346203</v>
      </c>
      <c r="V49" s="3">
        <f t="shared" ca="1" si="43"/>
        <v>2.2326966013396183</v>
      </c>
      <c r="W49" s="3">
        <f t="shared" ca="1" si="43"/>
        <v>1.9870839542970691</v>
      </c>
      <c r="X49" s="3">
        <f t="shared" ca="1" si="43"/>
        <v>2.9887920298879207</v>
      </c>
      <c r="Z49" s="3">
        <f t="shared" ca="1" si="44"/>
        <v>0.99601494396014945</v>
      </c>
      <c r="AA49" s="3">
        <f t="shared" ca="1" si="44"/>
        <v>0.97147109898288275</v>
      </c>
      <c r="AB49" s="3">
        <f t="shared" ca="1" si="44"/>
        <v>0.99329359165424735</v>
      </c>
      <c r="AC49" s="3">
        <f t="shared" ca="1" si="44"/>
        <v>0.99601494396014945</v>
      </c>
      <c r="AE49" s="3">
        <f t="shared" ca="1" si="45"/>
        <v>0.93424664357976339</v>
      </c>
      <c r="AF49" s="3">
        <f t="shared" ca="1" si="45"/>
        <v>0.93401140246666925</v>
      </c>
      <c r="AG49" s="3">
        <f t="shared" ca="1" si="45"/>
        <v>0.9642324756906806</v>
      </c>
      <c r="AH49" s="3">
        <f t="shared" ca="1" si="45"/>
        <v>0.94221679222390786</v>
      </c>
      <c r="AJ49" s="3">
        <f t="shared" ca="1" si="46"/>
        <v>1.7434620174346203</v>
      </c>
      <c r="AK49" s="3">
        <f t="shared" ca="1" si="46"/>
        <v>2.2326966013396183</v>
      </c>
      <c r="AL49" s="3">
        <f t="shared" ca="1" si="46"/>
        <v>1.9870839542970691</v>
      </c>
      <c r="AM49" s="3">
        <f t="shared" ca="1" si="46"/>
        <v>2.9887920298879207</v>
      </c>
      <c r="AO49" s="3">
        <f t="shared" ca="1" si="47"/>
        <v>0.24906600249066005</v>
      </c>
      <c r="AP49" s="3">
        <f t="shared" ca="1" si="47"/>
        <v>0.24807740014884647</v>
      </c>
      <c r="AQ49" s="3">
        <f t="shared" ca="1" si="47"/>
        <v>0.24838549428713363</v>
      </c>
      <c r="AR49" s="3">
        <f t="shared" ca="1" si="47"/>
        <v>0.24906600249066005</v>
      </c>
      <c r="AT49" s="3">
        <v>3.7999998778104782E-2</v>
      </c>
      <c r="AU49" s="3">
        <v>1.0999999940395355E-2</v>
      </c>
      <c r="AV49" s="3">
        <v>1.0999999940395355E-2</v>
      </c>
      <c r="AW49" s="3">
        <v>1.3000000268220901E-2</v>
      </c>
      <c r="AY49" s="3">
        <f t="shared" ca="1" si="48"/>
        <v>0.74271481942714812</v>
      </c>
      <c r="AZ49" s="3">
        <f t="shared" ca="1" si="49"/>
        <v>0.61572810716943693</v>
      </c>
      <c r="BA49" s="3">
        <f t="shared" ca="1" si="50"/>
        <v>0.56706408345752612</v>
      </c>
      <c r="BB49" s="3">
        <f t="shared" ca="1" si="51"/>
        <v>0.60149439601494392</v>
      </c>
      <c r="BD49" s="3">
        <f t="shared" ca="1" si="52"/>
        <v>0.71432136212606656</v>
      </c>
      <c r="BE49" s="3">
        <f t="shared" ca="1" si="53"/>
        <v>0.6571570302735662</v>
      </c>
      <c r="BF49" s="3">
        <f t="shared" ca="1" si="54"/>
        <v>0.53402877718550734</v>
      </c>
      <c r="BG49" s="3">
        <f t="shared" ca="1" si="55"/>
        <v>0.60199261602399368</v>
      </c>
      <c r="BI49" s="3">
        <f t="shared" ca="1" si="56"/>
        <v>1.2453300124533002</v>
      </c>
      <c r="BJ49" s="3">
        <f t="shared" ca="1" si="57"/>
        <v>1.4884644008930787</v>
      </c>
      <c r="BK49" s="3">
        <f t="shared" ca="1" si="58"/>
        <v>0.99354197714853454</v>
      </c>
      <c r="BL49" s="3">
        <f t="shared" ca="1" si="59"/>
        <v>1.9925280199252804</v>
      </c>
      <c r="BN49" s="3">
        <f t="shared" ca="1" si="60"/>
        <v>0.4981320049813201</v>
      </c>
      <c r="BO49" s="3">
        <f t="shared" ca="1" si="61"/>
        <v>0.74423220044653937</v>
      </c>
      <c r="BP49" s="3">
        <f t="shared" ca="1" si="62"/>
        <v>0.49677098857426727</v>
      </c>
      <c r="BQ49" s="3">
        <f t="shared" ca="1" si="63"/>
        <v>0.9962640099626402</v>
      </c>
      <c r="BS49" s="3">
        <v>0.53799998760223389</v>
      </c>
      <c r="BT49" s="3">
        <v>0.56099998950958252</v>
      </c>
      <c r="BU49" s="3">
        <v>0.49500000476837158</v>
      </c>
      <c r="BV49" s="3">
        <v>0.52899998426437378</v>
      </c>
      <c r="BX49" s="3">
        <f t="shared" ca="1" si="64"/>
        <v>0</v>
      </c>
      <c r="BY49" s="3">
        <f t="shared" ca="1" si="65"/>
        <v>0</v>
      </c>
      <c r="BZ49" s="3">
        <f t="shared" ca="1" si="66"/>
        <v>0</v>
      </c>
      <c r="CA49" s="3">
        <f t="shared" ca="1" si="67"/>
        <v>0</v>
      </c>
      <c r="CC49" s="3">
        <f t="shared" ca="1" si="68"/>
        <v>0</v>
      </c>
      <c r="CD49" s="3">
        <f t="shared" ca="1" si="69"/>
        <v>0</v>
      </c>
      <c r="CE49" s="3">
        <f t="shared" ca="1" si="70"/>
        <v>0</v>
      </c>
      <c r="CF49" s="3">
        <f t="shared" ca="1" si="71"/>
        <v>0</v>
      </c>
      <c r="CH49" s="3">
        <f t="shared" ca="1" si="72"/>
        <v>0</v>
      </c>
      <c r="CI49" s="3">
        <f t="shared" ca="1" si="73"/>
        <v>0</v>
      </c>
      <c r="CJ49" s="3">
        <f t="shared" ca="1" si="74"/>
        <v>0</v>
      </c>
      <c r="CK49" s="3">
        <f t="shared" ca="1" si="75"/>
        <v>0</v>
      </c>
      <c r="CM49" s="3">
        <f t="shared" ca="1" si="76"/>
        <v>0</v>
      </c>
      <c r="CN49" s="3">
        <f t="shared" ca="1" si="77"/>
        <v>0</v>
      </c>
      <c r="CO49" s="3">
        <f t="shared" ca="1" si="78"/>
        <v>0</v>
      </c>
      <c r="CP49" s="3">
        <f t="shared" ca="1" si="79"/>
        <v>0</v>
      </c>
      <c r="CR49" s="3">
        <v>4.0149999999999997</v>
      </c>
      <c r="CS49" s="3">
        <v>4.0309999999999997</v>
      </c>
      <c r="CT49" s="3">
        <v>4.0259999999999998</v>
      </c>
      <c r="CU49" s="3">
        <v>4.0149999999999997</v>
      </c>
      <c r="CV49" s="21">
        <f t="shared" ca="1" si="40"/>
        <v>4.0149999999999997</v>
      </c>
      <c r="CW49" s="16">
        <f t="shared" ca="1" si="39"/>
        <v>7.083333333333333</v>
      </c>
    </row>
    <row r="50" spans="1:101" s="3" customFormat="1" x14ac:dyDescent="0.35">
      <c r="A50" s="2" t="s">
        <v>86</v>
      </c>
      <c r="B50" s="2">
        <v>7.333333333333333</v>
      </c>
      <c r="C50" s="2" t="s">
        <v>167</v>
      </c>
      <c r="D50" s="2" t="s">
        <v>403</v>
      </c>
      <c r="F50" s="3">
        <v>4.0469999999999997</v>
      </c>
      <c r="G50" s="3">
        <v>4.016</v>
      </c>
      <c r="H50" s="3">
        <v>4.0149999999999997</v>
      </c>
      <c r="I50" s="3">
        <v>3.0479999999999996</v>
      </c>
      <c r="K50" s="3">
        <f t="shared" ca="1" si="41"/>
        <v>0.99234000494193242</v>
      </c>
      <c r="L50" s="3">
        <f t="shared" ca="1" si="41"/>
        <v>0.99576693227091639</v>
      </c>
      <c r="M50" s="3">
        <f t="shared" ca="1" si="41"/>
        <v>0.99601494396014945</v>
      </c>
      <c r="N50" s="3">
        <f t="shared" ca="1" si="41"/>
        <v>0.99475065616797897</v>
      </c>
      <c r="P50" s="3">
        <f t="shared" ca="1" si="42"/>
        <v>0.89770202527951692</v>
      </c>
      <c r="Q50" s="3">
        <f t="shared" ca="1" si="42"/>
        <v>0.96688244125524725</v>
      </c>
      <c r="R50" s="3">
        <f t="shared" ca="1" si="42"/>
        <v>0.90834375709796311</v>
      </c>
      <c r="S50" s="3">
        <f t="shared" ca="1" si="42"/>
        <v>0.68897626844290993</v>
      </c>
      <c r="U50" s="3">
        <f t="shared" ca="1" si="43"/>
        <v>3.2122559920929086</v>
      </c>
      <c r="V50" s="3">
        <f t="shared" ca="1" si="43"/>
        <v>1.9920318725099602</v>
      </c>
      <c r="W50" s="3">
        <f t="shared" ca="1" si="43"/>
        <v>1.9925280199252804</v>
      </c>
      <c r="X50" s="3">
        <f t="shared" ca="1" si="43"/>
        <v>2.2965879265091869</v>
      </c>
      <c r="Z50" s="3">
        <f t="shared" ca="1" si="44"/>
        <v>0.94292068198665679</v>
      </c>
      <c r="AA50" s="3">
        <f t="shared" ca="1" si="44"/>
        <v>0.99576693227091639</v>
      </c>
      <c r="AB50" s="3">
        <f t="shared" ca="1" si="44"/>
        <v>0.99601494396014945</v>
      </c>
      <c r="AC50" s="3">
        <f t="shared" ca="1" si="44"/>
        <v>0.55774278215223083</v>
      </c>
      <c r="AE50" s="3">
        <f t="shared" ca="1" si="45"/>
        <v>0.85643689029152559</v>
      </c>
      <c r="AF50" s="3">
        <f t="shared" ca="1" si="45"/>
        <v>0.96688244125524725</v>
      </c>
      <c r="AG50" s="3">
        <f t="shared" ca="1" si="45"/>
        <v>0.90834375709796311</v>
      </c>
      <c r="AH50" s="3">
        <f t="shared" ca="1" si="45"/>
        <v>0.49770343804296868</v>
      </c>
      <c r="AJ50" s="3">
        <f t="shared" ca="1" si="46"/>
        <v>2.9651593773165308</v>
      </c>
      <c r="AK50" s="3">
        <f t="shared" ca="1" si="46"/>
        <v>1.9920318725099602</v>
      </c>
      <c r="AL50" s="3">
        <f t="shared" ca="1" si="46"/>
        <v>1.9925280199252804</v>
      </c>
      <c r="AM50" s="3">
        <f t="shared" ca="1" si="46"/>
        <v>0.98425196850393715</v>
      </c>
      <c r="AO50" s="3">
        <f t="shared" ca="1" si="47"/>
        <v>0.24709661477637759</v>
      </c>
      <c r="AP50" s="3">
        <f t="shared" ca="1" si="47"/>
        <v>0.24900398406374502</v>
      </c>
      <c r="AQ50" s="3">
        <f t="shared" ca="1" si="47"/>
        <v>0.24906600249066005</v>
      </c>
      <c r="AR50" s="3">
        <f t="shared" ca="1" si="47"/>
        <v>0.98425196850393715</v>
      </c>
      <c r="AT50" s="3">
        <v>0.20999999344348907</v>
      </c>
      <c r="AU50" s="3">
        <v>1.0000000474974513E-3</v>
      </c>
      <c r="AV50" s="3">
        <v>3.0000000260770321E-3</v>
      </c>
      <c r="AW50" s="3">
        <v>0.3580000102519989</v>
      </c>
      <c r="AY50" s="3">
        <f t="shared" ca="1" si="48"/>
        <v>0.10279219174697309</v>
      </c>
      <c r="AZ50" s="3">
        <f t="shared" ca="1" si="49"/>
        <v>0.63471115537848599</v>
      </c>
      <c r="BA50" s="3">
        <f t="shared" ca="1" si="50"/>
        <v>0.2114570361145704</v>
      </c>
      <c r="BB50" s="3">
        <f t="shared" ca="1" si="51"/>
        <v>0.40485564304461946</v>
      </c>
      <c r="BD50" s="3">
        <f t="shared" ca="1" si="52"/>
        <v>0.12750185387264748</v>
      </c>
      <c r="BE50" s="3">
        <f t="shared" ca="1" si="53"/>
        <v>0.68476095617529875</v>
      </c>
      <c r="BF50" s="3">
        <f t="shared" ca="1" si="54"/>
        <v>0.18630136143077505</v>
      </c>
      <c r="BG50" s="3">
        <f t="shared" ca="1" si="55"/>
        <v>0.4593176165903648</v>
      </c>
      <c r="BI50" s="3">
        <f t="shared" ca="1" si="56"/>
        <v>0.24709661477637759</v>
      </c>
      <c r="BJ50" s="3">
        <f t="shared" ca="1" si="57"/>
        <v>0.99601593625498008</v>
      </c>
      <c r="BK50" s="3">
        <f t="shared" ca="1" si="58"/>
        <v>0.4981320049813201</v>
      </c>
      <c r="BL50" s="3">
        <f t="shared" ca="1" si="59"/>
        <v>0.6561679790026248</v>
      </c>
      <c r="BN50" s="3">
        <f t="shared" ca="1" si="60"/>
        <v>0.98838645910551037</v>
      </c>
      <c r="BO50" s="3">
        <f t="shared" ca="1" si="61"/>
        <v>0.74701195219123506</v>
      </c>
      <c r="BP50" s="3">
        <f t="shared" ca="1" si="62"/>
        <v>0.4981320049813201</v>
      </c>
      <c r="BQ50" s="3">
        <f t="shared" ca="1" si="63"/>
        <v>1.3123359580052496</v>
      </c>
      <c r="BS50" s="3">
        <v>0.37700000405311584</v>
      </c>
      <c r="BT50" s="3">
        <v>0.55099999904632568</v>
      </c>
      <c r="BU50" s="3">
        <v>0.95300000905990601</v>
      </c>
      <c r="BV50" s="3">
        <v>2.5569999217987061</v>
      </c>
      <c r="BX50" s="3">
        <f t="shared" ca="1" si="64"/>
        <v>0.16036570298986905</v>
      </c>
      <c r="BY50" s="3">
        <f t="shared" ca="1" si="65"/>
        <v>4.980079681274905E-2</v>
      </c>
      <c r="BZ50" s="3">
        <f t="shared" ca="1" si="66"/>
        <v>0.11606475716064751</v>
      </c>
      <c r="CA50" s="3">
        <f t="shared" ca="1" si="67"/>
        <v>0</v>
      </c>
      <c r="CC50" s="3">
        <f t="shared" ca="1" si="68"/>
        <v>0.22658760941762057</v>
      </c>
      <c r="CD50" s="3">
        <f t="shared" ca="1" si="69"/>
        <v>6.6484053771334345E-2</v>
      </c>
      <c r="CE50" s="3">
        <f t="shared" ca="1" si="70"/>
        <v>0.132752177427299</v>
      </c>
      <c r="CF50" s="3">
        <f t="shared" ca="1" si="71"/>
        <v>0</v>
      </c>
      <c r="CH50" s="3">
        <f t="shared" ca="1" si="72"/>
        <v>0.49419322955275519</v>
      </c>
      <c r="CI50" s="3">
        <f t="shared" ca="1" si="73"/>
        <v>0.24900398406374502</v>
      </c>
      <c r="CJ50" s="3">
        <f t="shared" ca="1" si="74"/>
        <v>0.4981320049813201</v>
      </c>
      <c r="CK50" s="3">
        <f t="shared" ca="1" si="75"/>
        <v>0</v>
      </c>
      <c r="CM50" s="3">
        <f t="shared" ca="1" si="76"/>
        <v>0.49419322955275519</v>
      </c>
      <c r="CN50" s="3">
        <f t="shared" ca="1" si="77"/>
        <v>0.24900398406374502</v>
      </c>
      <c r="CO50" s="3">
        <f t="shared" ca="1" si="78"/>
        <v>0.74719800747198017</v>
      </c>
      <c r="CP50" s="3">
        <f t="shared" ca="1" si="79"/>
        <v>0</v>
      </c>
      <c r="CR50" s="3">
        <v>2.9930000305175781</v>
      </c>
      <c r="CS50" s="3">
        <v>3.0499999523162842</v>
      </c>
      <c r="CT50" s="3">
        <v>3.4019999504089355</v>
      </c>
      <c r="CU50" s="3">
        <v>4.0149999999999997</v>
      </c>
      <c r="CV50" s="21">
        <f t="shared" ca="1" si="40"/>
        <v>4.0149999999999997</v>
      </c>
      <c r="CW50" s="16">
        <f t="shared" ca="1" si="39"/>
        <v>7.333333333333333</v>
      </c>
    </row>
    <row r="51" spans="1:101" s="3" customFormat="1" x14ac:dyDescent="0.35">
      <c r="A51" s="2" t="s">
        <v>23</v>
      </c>
      <c r="B51" s="2">
        <v>7.416666666666667</v>
      </c>
      <c r="C51" s="2" t="s">
        <v>168</v>
      </c>
      <c r="D51" s="2" t="s">
        <v>403</v>
      </c>
      <c r="F51" s="3">
        <v>4.016</v>
      </c>
      <c r="G51" s="3">
        <v>4.0149999999999997</v>
      </c>
      <c r="H51" s="3">
        <v>4.0149999999999997</v>
      </c>
      <c r="I51" s="3">
        <v>4.0140000000000002</v>
      </c>
      <c r="K51" s="3">
        <f t="shared" ca="1" si="41"/>
        <v>0.89616533864541825</v>
      </c>
      <c r="L51" s="3">
        <f t="shared" ca="1" si="41"/>
        <v>0.97110834371108357</v>
      </c>
      <c r="M51" s="3">
        <f t="shared" ca="1" si="41"/>
        <v>0.99601494396014967</v>
      </c>
      <c r="N51" s="3">
        <f t="shared" ca="1" si="41"/>
        <v>0.99626307922272039</v>
      </c>
      <c r="P51" s="3">
        <f t="shared" ca="1" si="42"/>
        <v>0.80876483533724375</v>
      </c>
      <c r="Q51" s="3">
        <f t="shared" ca="1" si="42"/>
        <v>0.7880449332157673</v>
      </c>
      <c r="R51" s="3">
        <f t="shared" ca="1" si="42"/>
        <v>0.85479459524674262</v>
      </c>
      <c r="S51" s="3">
        <f t="shared" ca="1" si="42"/>
        <v>0.85550569105516572</v>
      </c>
      <c r="U51" s="3">
        <f t="shared" ca="1" si="43"/>
        <v>2.9880478087649402</v>
      </c>
      <c r="V51" s="3">
        <f t="shared" ca="1" si="43"/>
        <v>2.4906600249066004</v>
      </c>
      <c r="W51" s="3">
        <f t="shared" ca="1" si="43"/>
        <v>1.9925280199252804</v>
      </c>
      <c r="X51" s="3">
        <f t="shared" ca="1" si="43"/>
        <v>3.4877927254608867</v>
      </c>
      <c r="Z51" s="3">
        <f t="shared" ca="1" si="44"/>
        <v>0.87549800796812749</v>
      </c>
      <c r="AA51" s="3">
        <f t="shared" ca="1" si="44"/>
        <v>0.96687422166874237</v>
      </c>
      <c r="AB51" s="3">
        <f t="shared" ca="1" si="44"/>
        <v>0.93773349937733508</v>
      </c>
      <c r="AC51" s="3">
        <f t="shared" ca="1" si="44"/>
        <v>0.80916791230692564</v>
      </c>
      <c r="AE51" s="3">
        <f t="shared" ca="1" si="45"/>
        <v>0.80876483533724375</v>
      </c>
      <c r="AF51" s="3">
        <f t="shared" ca="1" si="45"/>
        <v>0.7880449332157673</v>
      </c>
      <c r="AG51" s="3">
        <f t="shared" ca="1" si="45"/>
        <v>0.85479459524674262</v>
      </c>
      <c r="AH51" s="3">
        <f t="shared" ca="1" si="45"/>
        <v>0.689088147436141</v>
      </c>
      <c r="AJ51" s="3">
        <f t="shared" ca="1" si="46"/>
        <v>2.9880478087649402</v>
      </c>
      <c r="AK51" s="3">
        <f t="shared" ca="1" si="46"/>
        <v>2.4906600249066004</v>
      </c>
      <c r="AL51" s="3">
        <f t="shared" ca="1" si="46"/>
        <v>1.9925280199252804</v>
      </c>
      <c r="AM51" s="3">
        <f t="shared" ca="1" si="46"/>
        <v>2.7404085700049823</v>
      </c>
      <c r="AO51" s="3">
        <f t="shared" ca="1" si="47"/>
        <v>0.49800796812749004</v>
      </c>
      <c r="AP51" s="3">
        <f t="shared" ca="1" si="47"/>
        <v>0.24906600249066005</v>
      </c>
      <c r="AQ51" s="3">
        <f t="shared" ca="1" si="47"/>
        <v>0.4981320049813201</v>
      </c>
      <c r="AR51" s="3">
        <f t="shared" ca="1" si="47"/>
        <v>1.2456402590931739</v>
      </c>
      <c r="AT51" s="3">
        <v>0.41899999976158142</v>
      </c>
      <c r="AU51" s="3">
        <v>0.1289999932050705</v>
      </c>
      <c r="AV51" s="3">
        <v>9.9999997764825821E-3</v>
      </c>
      <c r="AW51" s="3">
        <v>0.43399998545646667</v>
      </c>
      <c r="AY51" s="3">
        <f t="shared" ca="1" si="48"/>
        <v>7.4701195219123481E-2</v>
      </c>
      <c r="AZ51" s="3">
        <f t="shared" ca="1" si="49"/>
        <v>0.53947696139476953</v>
      </c>
      <c r="BA51" s="3">
        <f t="shared" ca="1" si="50"/>
        <v>0.10809464508094645</v>
      </c>
      <c r="BB51" s="3">
        <f t="shared" ca="1" si="51"/>
        <v>0.26557050323866455</v>
      </c>
      <c r="BD51" s="3">
        <f t="shared" ca="1" si="52"/>
        <v>0</v>
      </c>
      <c r="BE51" s="3">
        <f t="shared" ca="1" si="53"/>
        <v>0.59750939662548563</v>
      </c>
      <c r="BF51" s="3">
        <f t="shared" ca="1" si="54"/>
        <v>0.12453300124533002</v>
      </c>
      <c r="BG51" s="3">
        <f t="shared" ca="1" si="55"/>
        <v>0.29870452694353561</v>
      </c>
      <c r="BI51" s="3">
        <f t="shared" ca="1" si="56"/>
        <v>0</v>
      </c>
      <c r="BJ51" s="3">
        <f t="shared" ca="1" si="57"/>
        <v>1.4943960149439603</v>
      </c>
      <c r="BK51" s="3">
        <f t="shared" ca="1" si="58"/>
        <v>0.24906600249066005</v>
      </c>
      <c r="BL51" s="3">
        <f t="shared" ca="1" si="59"/>
        <v>0.99651220727453904</v>
      </c>
      <c r="BN51" s="3">
        <f t="shared" ca="1" si="60"/>
        <v>0.49800796812749004</v>
      </c>
      <c r="BO51" s="3">
        <f t="shared" ca="1" si="61"/>
        <v>0.74719800747198017</v>
      </c>
      <c r="BP51" s="3">
        <f t="shared" ca="1" si="62"/>
        <v>0.74719800747198017</v>
      </c>
      <c r="BQ51" s="3">
        <f t="shared" ca="1" si="63"/>
        <v>1.2456402590931739</v>
      </c>
      <c r="BS51" s="3">
        <v>4.016</v>
      </c>
      <c r="BT51" s="3">
        <v>0.52899998426437378</v>
      </c>
      <c r="BU51" s="3">
        <v>3.4590001106262207</v>
      </c>
      <c r="BV51" s="3">
        <v>0.43399998545646667</v>
      </c>
      <c r="BX51" s="3">
        <f t="shared" ca="1" si="64"/>
        <v>0.14915338645418322</v>
      </c>
      <c r="BY51" s="3">
        <f t="shared" ca="1" si="65"/>
        <v>3.3125778331257787E-2</v>
      </c>
      <c r="BZ51" s="3">
        <f t="shared" ca="1" si="66"/>
        <v>6.2266500622664964E-2</v>
      </c>
      <c r="CA51" s="3">
        <f t="shared" ca="1" si="67"/>
        <v>8.7443946188340782E-2</v>
      </c>
      <c r="CC51" s="3">
        <f t="shared" ca="1" si="68"/>
        <v>0.21140437677087062</v>
      </c>
      <c r="CD51" s="3">
        <f t="shared" ca="1" si="69"/>
        <v>3.3125778657858582E-2</v>
      </c>
      <c r="CE51" s="3">
        <f t="shared" ca="1" si="70"/>
        <v>0</v>
      </c>
      <c r="CF51" s="3">
        <f t="shared" ca="1" si="71"/>
        <v>5.4060789145339939E-2</v>
      </c>
      <c r="CH51" s="3">
        <f t="shared" ca="1" si="72"/>
        <v>1.2450199203187251</v>
      </c>
      <c r="CI51" s="3">
        <f t="shared" ca="1" si="73"/>
        <v>0.24906600249066005</v>
      </c>
      <c r="CJ51" s="3">
        <f t="shared" ca="1" si="74"/>
        <v>0</v>
      </c>
      <c r="CK51" s="3">
        <f t="shared" ca="1" si="75"/>
        <v>0.49825610363726952</v>
      </c>
      <c r="CM51" s="3">
        <f t="shared" ca="1" si="76"/>
        <v>1.9920318725099602</v>
      </c>
      <c r="CN51" s="3">
        <f t="shared" ca="1" si="77"/>
        <v>0.4981320049813201</v>
      </c>
      <c r="CO51" s="3">
        <f t="shared" ca="1" si="78"/>
        <v>0.4981320049813201</v>
      </c>
      <c r="CP51" s="3">
        <f t="shared" ca="1" si="79"/>
        <v>0.99651220727453904</v>
      </c>
      <c r="CR51" s="3">
        <v>1.2690000534057617</v>
      </c>
      <c r="CS51" s="3">
        <v>0.1289999932050705</v>
      </c>
      <c r="CT51" s="3">
        <v>4.0149999999999997</v>
      </c>
      <c r="CU51" s="3">
        <v>2.3499999046325684</v>
      </c>
      <c r="CV51" s="21">
        <f t="shared" ca="1" si="40"/>
        <v>2.3499999046325684</v>
      </c>
      <c r="CW51" s="16">
        <f t="shared" ca="1" si="39"/>
        <v>7.416666666666667</v>
      </c>
    </row>
    <row r="52" spans="1:101" s="3" customFormat="1" x14ac:dyDescent="0.35">
      <c r="A52" s="2" t="s">
        <v>45</v>
      </c>
      <c r="B52" s="2">
        <v>7.583333333333333</v>
      </c>
      <c r="C52" s="2" t="s">
        <v>167</v>
      </c>
      <c r="D52" s="2" t="s">
        <v>403</v>
      </c>
      <c r="F52" s="3">
        <v>4.016</v>
      </c>
      <c r="G52" s="3">
        <v>4.016</v>
      </c>
      <c r="H52" s="3">
        <v>4.0149999999999997</v>
      </c>
      <c r="I52" s="3">
        <v>4.0309999999999997</v>
      </c>
      <c r="K52" s="3">
        <f t="shared" ca="1" si="41"/>
        <v>0.99576693227091639</v>
      </c>
      <c r="L52" s="3">
        <f t="shared" ca="1" si="41"/>
        <v>0.9957669322709165</v>
      </c>
      <c r="M52" s="3">
        <f t="shared" ca="1" si="41"/>
        <v>0.99178082191780836</v>
      </c>
      <c r="N52" s="3">
        <f t="shared" ca="1" si="41"/>
        <v>0.92185561895311341</v>
      </c>
      <c r="P52" s="3">
        <f t="shared" ca="1" si="42"/>
        <v>0.72584660497468068</v>
      </c>
      <c r="Q52" s="3">
        <f t="shared" ca="1" si="42"/>
        <v>0.9218127480304551</v>
      </c>
      <c r="R52" s="3">
        <f t="shared" ca="1" si="42"/>
        <v>0.87571599953349777</v>
      </c>
      <c r="S52" s="3">
        <f t="shared" ca="1" si="42"/>
        <v>0.81046885634970944</v>
      </c>
      <c r="U52" s="3">
        <f t="shared" ca="1" si="43"/>
        <v>1.9920318725099602</v>
      </c>
      <c r="V52" s="3">
        <f t="shared" ca="1" si="43"/>
        <v>2.241035856573705</v>
      </c>
      <c r="W52" s="3">
        <f t="shared" ca="1" si="43"/>
        <v>2.2415940224159403</v>
      </c>
      <c r="X52" s="3">
        <f t="shared" ca="1" si="43"/>
        <v>2.7288514016373111</v>
      </c>
      <c r="Z52" s="3">
        <f t="shared" ca="1" si="44"/>
        <v>0.94995019920318735</v>
      </c>
      <c r="AA52" s="3">
        <f t="shared" ca="1" si="44"/>
        <v>0.97933266932270935</v>
      </c>
      <c r="AB52" s="3">
        <f t="shared" ca="1" si="44"/>
        <v>0.99178082191780836</v>
      </c>
      <c r="AC52" s="3">
        <f t="shared" ca="1" si="44"/>
        <v>0.92185561895311341</v>
      </c>
      <c r="AE52" s="3">
        <f t="shared" ca="1" si="45"/>
        <v>0.6884959984600425</v>
      </c>
      <c r="AF52" s="3">
        <f t="shared" ca="1" si="45"/>
        <v>0.9218127480304551</v>
      </c>
      <c r="AG52" s="3">
        <f t="shared" ca="1" si="45"/>
        <v>0.87571599953349777</v>
      </c>
      <c r="AH52" s="3">
        <f t="shared" ca="1" si="45"/>
        <v>0.81046885634970944</v>
      </c>
      <c r="AJ52" s="3">
        <f t="shared" ca="1" si="46"/>
        <v>1.7430278884462151</v>
      </c>
      <c r="AK52" s="3">
        <f t="shared" ca="1" si="46"/>
        <v>2.241035856573705</v>
      </c>
      <c r="AL52" s="3">
        <f t="shared" ca="1" si="46"/>
        <v>2.2415940224159403</v>
      </c>
      <c r="AM52" s="3">
        <f t="shared" ca="1" si="46"/>
        <v>2.7288514016373111</v>
      </c>
      <c r="AO52" s="3">
        <f t="shared" ca="1" si="47"/>
        <v>0.49800796812749004</v>
      </c>
      <c r="AP52" s="3">
        <f t="shared" ca="1" si="47"/>
        <v>0.49800796812749004</v>
      </c>
      <c r="AQ52" s="3">
        <f t="shared" ca="1" si="47"/>
        <v>0.24906600249066005</v>
      </c>
      <c r="AR52" s="3">
        <f t="shared" ca="1" si="47"/>
        <v>0.24807740014884647</v>
      </c>
      <c r="AT52" s="3">
        <v>8.999999612569809E-3</v>
      </c>
      <c r="AU52" s="3">
        <v>2.0000000949949026E-3</v>
      </c>
      <c r="AV52" s="3">
        <v>3.2000001519918442E-2</v>
      </c>
      <c r="AW52" s="3">
        <v>0.33700001239776611</v>
      </c>
      <c r="AY52" s="3">
        <f t="shared" ca="1" si="48"/>
        <v>0.43152390438247001</v>
      </c>
      <c r="AZ52" s="3">
        <f t="shared" ca="1" si="49"/>
        <v>0.53934262948207168</v>
      </c>
      <c r="BA52" s="3">
        <f t="shared" ca="1" si="50"/>
        <v>0.35267745952677471</v>
      </c>
      <c r="BB52" s="3">
        <f t="shared" ca="1" si="51"/>
        <v>0.50855867030513535</v>
      </c>
      <c r="BD52" s="3">
        <f t="shared" ca="1" si="52"/>
        <v>0.42305781461476566</v>
      </c>
      <c r="BE52" s="3">
        <f t="shared" ca="1" si="53"/>
        <v>0.47758966684341431</v>
      </c>
      <c r="BF52" s="3">
        <f t="shared" ca="1" si="54"/>
        <v>0.32777084063177242</v>
      </c>
      <c r="BG52" s="3">
        <f t="shared" ca="1" si="55"/>
        <v>0.57032997866653978</v>
      </c>
      <c r="BI52" s="3">
        <f t="shared" ca="1" si="56"/>
        <v>0.74701195219123506</v>
      </c>
      <c r="BJ52" s="3">
        <f t="shared" ca="1" si="57"/>
        <v>1.2450199203187251</v>
      </c>
      <c r="BK52" s="3">
        <f t="shared" ca="1" si="58"/>
        <v>0.74719800747198017</v>
      </c>
      <c r="BL52" s="3">
        <f t="shared" ca="1" si="59"/>
        <v>1.7365418010419251</v>
      </c>
      <c r="BN52" s="3">
        <f t="shared" ca="1" si="60"/>
        <v>0.99601593625498008</v>
      </c>
      <c r="BO52" s="3">
        <f t="shared" ca="1" si="61"/>
        <v>0.74701195219123506</v>
      </c>
      <c r="BP52" s="3">
        <f t="shared" ca="1" si="62"/>
        <v>0.74719800747198017</v>
      </c>
      <c r="BQ52" s="3">
        <f t="shared" ca="1" si="63"/>
        <v>0.99230960059538587</v>
      </c>
      <c r="BS52" s="3">
        <v>8.999999612569809E-3</v>
      </c>
      <c r="BT52" s="3">
        <v>0.50099998712539673</v>
      </c>
      <c r="BU52" s="3">
        <v>0.34799998998641968</v>
      </c>
      <c r="BV52" s="3">
        <v>0.33700001239776611</v>
      </c>
      <c r="BX52" s="3">
        <f t="shared" ca="1" si="64"/>
        <v>4.980079681274905E-2</v>
      </c>
      <c r="BY52" s="3">
        <f t="shared" ca="1" si="65"/>
        <v>5.8017928286852614E-2</v>
      </c>
      <c r="BZ52" s="3">
        <f t="shared" ca="1" si="66"/>
        <v>0.17011207970112083</v>
      </c>
      <c r="CA52" s="3">
        <f t="shared" ca="1" si="67"/>
        <v>4.5398164227238746E-2</v>
      </c>
      <c r="CC52" s="3">
        <f t="shared" ca="1" si="68"/>
        <v>4.1583619744654195E-2</v>
      </c>
      <c r="CD52" s="3">
        <f t="shared" ca="1" si="69"/>
        <v>9.9601617372368431E-2</v>
      </c>
      <c r="CE52" s="3">
        <f t="shared" ca="1" si="70"/>
        <v>0.203237854231933</v>
      </c>
      <c r="CF52" s="3">
        <f t="shared" ca="1" si="71"/>
        <v>0</v>
      </c>
      <c r="CH52" s="3">
        <f t="shared" ca="1" si="72"/>
        <v>0.24900398406374502</v>
      </c>
      <c r="CI52" s="3">
        <f t="shared" ca="1" si="73"/>
        <v>0.24900398406374502</v>
      </c>
      <c r="CJ52" s="3">
        <f t="shared" ca="1" si="74"/>
        <v>0.24906600249066005</v>
      </c>
      <c r="CK52" s="3">
        <f t="shared" ca="1" si="75"/>
        <v>0</v>
      </c>
      <c r="CM52" s="3">
        <f t="shared" ca="1" si="76"/>
        <v>0.24900398406374502</v>
      </c>
      <c r="CN52" s="3">
        <f t="shared" ca="1" si="77"/>
        <v>0.49800796812749004</v>
      </c>
      <c r="CO52" s="3">
        <f t="shared" ca="1" si="78"/>
        <v>0.24906600249066005</v>
      </c>
      <c r="CP52" s="3">
        <f t="shared" ca="1" si="79"/>
        <v>0.49615480029769293</v>
      </c>
      <c r="CR52" s="3">
        <v>3.8410000801086426</v>
      </c>
      <c r="CS52" s="3">
        <v>1.9509999752044678</v>
      </c>
      <c r="CT52" s="3">
        <v>1.1150000095367432</v>
      </c>
      <c r="CU52" s="3">
        <v>4.0309999999999997</v>
      </c>
      <c r="CV52" s="21">
        <f t="shared" ca="1" si="40"/>
        <v>4.0309999999999997</v>
      </c>
      <c r="CW52" s="16">
        <f t="shared" ca="1" si="39"/>
        <v>7.583333333333333</v>
      </c>
    </row>
    <row r="53" spans="1:101" s="3" customFormat="1" x14ac:dyDescent="0.35">
      <c r="A53" s="2" t="s">
        <v>68</v>
      </c>
      <c r="B53" s="2">
        <v>7.666666666666667</v>
      </c>
      <c r="C53" s="2" t="s">
        <v>167</v>
      </c>
      <c r="D53" s="2" t="s">
        <v>403</v>
      </c>
      <c r="F53" s="3">
        <v>4.0149999999999997</v>
      </c>
      <c r="G53" s="3">
        <v>4.0110000000000001</v>
      </c>
      <c r="H53" s="3">
        <v>4.0149999999999997</v>
      </c>
      <c r="I53" s="3">
        <v>4.0110000000000001</v>
      </c>
      <c r="K53" s="3">
        <f t="shared" ca="1" si="41"/>
        <v>0.76388542963885431</v>
      </c>
      <c r="L53" s="3">
        <f t="shared" ca="1" si="41"/>
        <v>0.94714535028671165</v>
      </c>
      <c r="M53" s="3">
        <f t="shared" ca="1" si="41"/>
        <v>0.95865504358655051</v>
      </c>
      <c r="N53" s="3">
        <f t="shared" ca="1" si="41"/>
        <v>0.98878085265519822</v>
      </c>
      <c r="P53" s="3">
        <f t="shared" ca="1" si="42"/>
        <v>0.64308848579972056</v>
      </c>
      <c r="Q53" s="3">
        <f t="shared" ca="1" si="42"/>
        <v>0.26975825477258669</v>
      </c>
      <c r="R53" s="3">
        <f t="shared" ca="1" si="42"/>
        <v>0.26600249529181802</v>
      </c>
      <c r="S53" s="3">
        <f t="shared" ca="1" si="42"/>
        <v>0.41560713518471287</v>
      </c>
      <c r="U53" s="3">
        <f t="shared" ca="1" si="43"/>
        <v>1.9925280199252804</v>
      </c>
      <c r="V53" s="3">
        <f t="shared" ca="1" si="43"/>
        <v>1.9945150835203191</v>
      </c>
      <c r="W53" s="3">
        <f t="shared" ca="1" si="43"/>
        <v>1.2453300124533002</v>
      </c>
      <c r="X53" s="3">
        <f t="shared" ca="1" si="43"/>
        <v>1.9945150835203191</v>
      </c>
      <c r="Z53" s="3">
        <f t="shared" ca="1" si="44"/>
        <v>0.7887920298879203</v>
      </c>
      <c r="AA53" s="3">
        <f t="shared" ca="1" si="44"/>
        <v>0.98030416355023686</v>
      </c>
      <c r="AB53" s="3">
        <f t="shared" ca="1" si="44"/>
        <v>0.87148194271481938</v>
      </c>
      <c r="AC53" s="3">
        <f t="shared" ca="1" si="44"/>
        <v>0.93467963101470952</v>
      </c>
      <c r="AE53" s="3">
        <f t="shared" ca="1" si="45"/>
        <v>0.64308848579972056</v>
      </c>
      <c r="AF53" s="3">
        <f t="shared" ca="1" si="45"/>
        <v>0.26975825477258669</v>
      </c>
      <c r="AG53" s="3">
        <f t="shared" ca="1" si="45"/>
        <v>0.26600249529181802</v>
      </c>
      <c r="AH53" s="3">
        <f t="shared" ca="1" si="45"/>
        <v>0.41560713518471287</v>
      </c>
      <c r="AJ53" s="3">
        <f t="shared" ca="1" si="46"/>
        <v>1.9925280199252804</v>
      </c>
      <c r="AK53" s="3">
        <f t="shared" ca="1" si="46"/>
        <v>1.9945150835203191</v>
      </c>
      <c r="AL53" s="3">
        <f t="shared" ca="1" si="46"/>
        <v>1.2453300124533002</v>
      </c>
      <c r="AM53" s="3">
        <f t="shared" ca="1" si="46"/>
        <v>1.9945150835203191</v>
      </c>
      <c r="AO53" s="3">
        <f t="shared" ca="1" si="47"/>
        <v>1.2453300124533002</v>
      </c>
      <c r="AP53" s="3">
        <f t="shared" ca="1" si="47"/>
        <v>0.24931438544003989</v>
      </c>
      <c r="AQ53" s="3">
        <f t="shared" ca="1" si="47"/>
        <v>0.4981320049813201</v>
      </c>
      <c r="AR53" s="3">
        <f t="shared" ca="1" si="47"/>
        <v>0.74794315632011965</v>
      </c>
      <c r="AT53" s="3">
        <v>0.18400000035762787</v>
      </c>
      <c r="AU53" s="3">
        <v>0.10999999940395355</v>
      </c>
      <c r="AV53" s="3">
        <v>0.38400000333786011</v>
      </c>
      <c r="AW53" s="3">
        <v>4.5000001788139343E-2</v>
      </c>
      <c r="AY53" s="3">
        <f t="shared" ca="1" si="48"/>
        <v>2.0921544209215461E-2</v>
      </c>
      <c r="AZ53" s="3">
        <f t="shared" ca="1" si="49"/>
        <v>0</v>
      </c>
      <c r="BA53" s="3">
        <f t="shared" ca="1" si="50"/>
        <v>7.4719800747198029E-2</v>
      </c>
      <c r="BB53" s="3">
        <f t="shared" ca="1" si="51"/>
        <v>0.14535028671154335</v>
      </c>
      <c r="BD53" s="3">
        <f t="shared" ca="1" si="52"/>
        <v>0</v>
      </c>
      <c r="BE53" s="3">
        <f t="shared" ca="1" si="53"/>
        <v>0</v>
      </c>
      <c r="BF53" s="3">
        <f t="shared" ca="1" si="54"/>
        <v>0.11631381021787043</v>
      </c>
      <c r="BG53" s="3">
        <f t="shared" ca="1" si="55"/>
        <v>0.21590627181919339</v>
      </c>
      <c r="BI53" s="3">
        <f t="shared" ca="1" si="56"/>
        <v>0</v>
      </c>
      <c r="BJ53" s="3">
        <f t="shared" ca="1" si="57"/>
        <v>0</v>
      </c>
      <c r="BK53" s="3">
        <f t="shared" ca="1" si="58"/>
        <v>0.74719800747198017</v>
      </c>
      <c r="BL53" s="3">
        <f t="shared" ca="1" si="59"/>
        <v>0.99725754176015957</v>
      </c>
      <c r="BN53" s="3">
        <f t="shared" ca="1" si="60"/>
        <v>0.4981320049813201</v>
      </c>
      <c r="BO53" s="3">
        <f t="shared" ca="1" si="61"/>
        <v>0.24931438544003989</v>
      </c>
      <c r="BP53" s="3">
        <f t="shared" ca="1" si="62"/>
        <v>1.9925280199252804</v>
      </c>
      <c r="BQ53" s="3">
        <f t="shared" ca="1" si="63"/>
        <v>3.7397157816005984</v>
      </c>
      <c r="BS53" s="3">
        <v>4.0149999999999997</v>
      </c>
      <c r="BT53" s="3">
        <v>4.0110000000000001</v>
      </c>
      <c r="BU53" s="3">
        <v>0.38400000333786011</v>
      </c>
      <c r="BV53" s="3">
        <v>1.0279999971389771</v>
      </c>
      <c r="BX53" s="3">
        <f t="shared" ca="1" si="64"/>
        <v>0.12453300124532997</v>
      </c>
      <c r="BY53" s="3">
        <f t="shared" ca="1" si="65"/>
        <v>0.13737222637746199</v>
      </c>
      <c r="BZ53" s="3">
        <f t="shared" ca="1" si="66"/>
        <v>2.515566625155663E-2</v>
      </c>
      <c r="CA53" s="3">
        <f t="shared" ca="1" si="67"/>
        <v>3.7646472201446027E-2</v>
      </c>
      <c r="CC53" s="3">
        <f t="shared" ca="1" si="68"/>
        <v>5.3798276490321942E-2</v>
      </c>
      <c r="CD53" s="3">
        <f t="shared" ca="1" si="69"/>
        <v>7.8783341994816986E-2</v>
      </c>
      <c r="CE53" s="3">
        <f t="shared" ca="1" si="70"/>
        <v>0</v>
      </c>
      <c r="CF53" s="3">
        <f t="shared" ca="1" si="71"/>
        <v>3.3408143341437269E-2</v>
      </c>
      <c r="CH53" s="3">
        <f t="shared" ca="1" si="72"/>
        <v>0.24906600249066005</v>
      </c>
      <c r="CI53" s="3">
        <f t="shared" ca="1" si="73"/>
        <v>0.49862877088007979</v>
      </c>
      <c r="CJ53" s="3">
        <f t="shared" ca="1" si="74"/>
        <v>0</v>
      </c>
      <c r="CK53" s="3">
        <f t="shared" ca="1" si="75"/>
        <v>0.24931438544003989</v>
      </c>
      <c r="CM53" s="3">
        <f t="shared" ca="1" si="76"/>
        <v>2.4906600249066004</v>
      </c>
      <c r="CN53" s="3">
        <f t="shared" ca="1" si="77"/>
        <v>4.4876589379207177</v>
      </c>
      <c r="CO53" s="3">
        <f t="shared" ca="1" si="78"/>
        <v>1.7434620174346203</v>
      </c>
      <c r="CP53" s="3">
        <f t="shared" ca="1" si="79"/>
        <v>2.2438294689603588</v>
      </c>
      <c r="CR53" s="3">
        <v>3.75</v>
      </c>
      <c r="CS53" s="3">
        <v>1.3259999752044678</v>
      </c>
      <c r="CT53" s="3">
        <v>4.0149999999999997</v>
      </c>
      <c r="CU53" s="3">
        <v>2.7939999103546143</v>
      </c>
      <c r="CV53" s="21">
        <f t="shared" ca="1" si="40"/>
        <v>2.7939999103546143</v>
      </c>
      <c r="CW53" s="16">
        <f t="shared" ca="1" si="39"/>
        <v>7.666666666666667</v>
      </c>
    </row>
    <row r="54" spans="1:101" s="3" customFormat="1" x14ac:dyDescent="0.35">
      <c r="A54" s="2" t="s">
        <v>18</v>
      </c>
      <c r="B54" s="2">
        <v>8</v>
      </c>
      <c r="C54" s="2" t="s">
        <v>168</v>
      </c>
      <c r="D54" s="2" t="s">
        <v>403</v>
      </c>
      <c r="F54" s="3">
        <v>4.0149999999999997</v>
      </c>
      <c r="G54" s="3">
        <v>4.0149999999999997</v>
      </c>
      <c r="H54" s="3">
        <v>4.016</v>
      </c>
      <c r="I54" s="3">
        <v>4.016</v>
      </c>
      <c r="K54" s="3">
        <f t="shared" ca="1" si="41"/>
        <v>0.97509339975093412</v>
      </c>
      <c r="L54" s="3">
        <f t="shared" ca="1" si="41"/>
        <v>0.99601494396014945</v>
      </c>
      <c r="M54" s="3">
        <f t="shared" ca="1" si="41"/>
        <v>0.92953187250996017</v>
      </c>
      <c r="N54" s="3">
        <f t="shared" ca="1" si="41"/>
        <v>0.99576693227091628</v>
      </c>
      <c r="P54" s="3">
        <f t="shared" ca="1" si="42"/>
        <v>0.2276462791568761</v>
      </c>
      <c r="Q54" s="3">
        <f t="shared" ca="1" si="42"/>
        <v>0.54396012354906598</v>
      </c>
      <c r="R54" s="3">
        <f t="shared" ca="1" si="42"/>
        <v>0.34013947850442028</v>
      </c>
      <c r="S54" s="3">
        <f t="shared" ca="1" si="42"/>
        <v>0.41135451737865508</v>
      </c>
      <c r="U54" s="3">
        <f t="shared" ca="1" si="43"/>
        <v>1.2453300124533002</v>
      </c>
      <c r="V54" s="3">
        <f t="shared" ca="1" si="43"/>
        <v>2.4906600249066004</v>
      </c>
      <c r="W54" s="3">
        <f t="shared" ca="1" si="43"/>
        <v>2.241035856573705</v>
      </c>
      <c r="X54" s="3">
        <f t="shared" ca="1" si="43"/>
        <v>2.739043824701195</v>
      </c>
      <c r="Z54" s="3">
        <f t="shared" ca="1" si="44"/>
        <v>0.82141967621419687</v>
      </c>
      <c r="AA54" s="3">
        <f t="shared" ca="1" si="44"/>
        <v>0.98779576587795781</v>
      </c>
      <c r="AB54" s="3">
        <f t="shared" ca="1" si="44"/>
        <v>0.74277888446215146</v>
      </c>
      <c r="AC54" s="3">
        <f t="shared" ca="1" si="44"/>
        <v>0.99576693227091628</v>
      </c>
      <c r="AE54" s="3">
        <f t="shared" ca="1" si="45"/>
        <v>0.2276462791568761</v>
      </c>
      <c r="AF54" s="3">
        <f t="shared" ca="1" si="45"/>
        <v>0.54396012354906598</v>
      </c>
      <c r="AG54" s="3">
        <f t="shared" ca="1" si="45"/>
        <v>0.2487549907064058</v>
      </c>
      <c r="AH54" s="3">
        <f t="shared" ca="1" si="45"/>
        <v>0.41135451737865508</v>
      </c>
      <c r="AJ54" s="3">
        <f t="shared" ca="1" si="46"/>
        <v>1.2453300124533002</v>
      </c>
      <c r="AK54" s="3">
        <f t="shared" ca="1" si="46"/>
        <v>2.4906600249066004</v>
      </c>
      <c r="AL54" s="3">
        <f t="shared" ca="1" si="46"/>
        <v>1.9920318725099602</v>
      </c>
      <c r="AM54" s="3">
        <f t="shared" ca="1" si="46"/>
        <v>2.739043824701195</v>
      </c>
      <c r="AO54" s="3">
        <f t="shared" ca="1" si="47"/>
        <v>0.4981320049813201</v>
      </c>
      <c r="AP54" s="3">
        <f t="shared" ca="1" si="47"/>
        <v>0.4981320049813201</v>
      </c>
      <c r="AQ54" s="3">
        <f t="shared" ca="1" si="47"/>
        <v>1.7430278884462151</v>
      </c>
      <c r="AR54" s="3">
        <f t="shared" ca="1" si="47"/>
        <v>0.24900398406374502</v>
      </c>
      <c r="AT54" s="3">
        <v>0.17499999701976776</v>
      </c>
      <c r="AU54" s="3">
        <v>0.4440000057220459</v>
      </c>
      <c r="AV54" s="3">
        <v>0.42800000309944153</v>
      </c>
      <c r="AW54" s="3">
        <v>0.29600000381469727</v>
      </c>
      <c r="AY54" s="3">
        <f t="shared" ca="1" si="48"/>
        <v>1.2453300124533013E-2</v>
      </c>
      <c r="AZ54" s="3">
        <f t="shared" ca="1" si="49"/>
        <v>0.24458281444582816</v>
      </c>
      <c r="BA54" s="3">
        <f t="shared" ca="1" si="50"/>
        <v>2.0667330677290773E-2</v>
      </c>
      <c r="BB54" s="3">
        <f t="shared" ca="1" si="51"/>
        <v>5.8017928286852656E-2</v>
      </c>
      <c r="BD54" s="3">
        <f t="shared" ca="1" si="52"/>
        <v>0</v>
      </c>
      <c r="BE54" s="3">
        <f t="shared" ca="1" si="53"/>
        <v>0.31980075693664933</v>
      </c>
      <c r="BF54" s="3">
        <f t="shared" ca="1" si="54"/>
        <v>2.913349178207823E-2</v>
      </c>
      <c r="BG54" s="3">
        <f t="shared" ca="1" si="55"/>
        <v>5.8266946459671412E-2</v>
      </c>
      <c r="BI54" s="3">
        <f t="shared" ca="1" si="56"/>
        <v>0</v>
      </c>
      <c r="BJ54" s="3">
        <f t="shared" ca="1" si="57"/>
        <v>1.2453300124533002</v>
      </c>
      <c r="BK54" s="3">
        <f t="shared" ca="1" si="58"/>
        <v>0.24900398406374502</v>
      </c>
      <c r="BL54" s="3">
        <f t="shared" ca="1" si="59"/>
        <v>0.49800796812749004</v>
      </c>
      <c r="BN54" s="3">
        <f t="shared" ca="1" si="60"/>
        <v>1.4943960149439603</v>
      </c>
      <c r="BO54" s="3">
        <f t="shared" ca="1" si="61"/>
        <v>2.4906600249066004</v>
      </c>
      <c r="BP54" s="3">
        <f t="shared" ca="1" si="62"/>
        <v>4.7310756972111552</v>
      </c>
      <c r="BQ54" s="3">
        <f t="shared" ca="1" si="63"/>
        <v>2.241035856573705</v>
      </c>
      <c r="BS54" s="3">
        <v>4.0149999999999997</v>
      </c>
      <c r="BT54" s="3">
        <v>0.4440000057220459</v>
      </c>
      <c r="BU54" s="3">
        <v>2.2439999580383301</v>
      </c>
      <c r="BV54" s="3">
        <v>0.29600000381469727</v>
      </c>
      <c r="BX54" s="3">
        <f t="shared" ca="1" si="64"/>
        <v>2.4657534246575283E-2</v>
      </c>
      <c r="BY54" s="3">
        <f t="shared" ca="1" si="65"/>
        <v>0</v>
      </c>
      <c r="BZ54" s="3">
        <f t="shared" ca="1" si="66"/>
        <v>4.5816733067729168E-2</v>
      </c>
      <c r="CA54" s="3">
        <f t="shared" ca="1" si="67"/>
        <v>0</v>
      </c>
      <c r="CC54" s="3">
        <f t="shared" ca="1" si="68"/>
        <v>0</v>
      </c>
      <c r="CD54" s="3">
        <f t="shared" ca="1" si="69"/>
        <v>0</v>
      </c>
      <c r="CE54" s="3">
        <f t="shared" ca="1" si="70"/>
        <v>5.8017967944126204E-2</v>
      </c>
      <c r="CF54" s="3">
        <f t="shared" ca="1" si="71"/>
        <v>0</v>
      </c>
      <c r="CH54" s="3">
        <f t="shared" ca="1" si="72"/>
        <v>0</v>
      </c>
      <c r="CI54" s="3">
        <f t="shared" ca="1" si="73"/>
        <v>0</v>
      </c>
      <c r="CJ54" s="3">
        <f t="shared" ca="1" si="74"/>
        <v>0.49800796812749004</v>
      </c>
      <c r="CK54" s="3">
        <f t="shared" ca="1" si="75"/>
        <v>0</v>
      </c>
      <c r="CM54" s="3">
        <f t="shared" ca="1" si="76"/>
        <v>0.9962640099626402</v>
      </c>
      <c r="CN54" s="3">
        <f t="shared" ca="1" si="77"/>
        <v>0</v>
      </c>
      <c r="CO54" s="3">
        <f t="shared" ca="1" si="78"/>
        <v>1.9920318725099602</v>
      </c>
      <c r="CP54" s="3">
        <f t="shared" ca="1" si="79"/>
        <v>0</v>
      </c>
      <c r="CR54" s="3">
        <v>4.0149999999999997</v>
      </c>
      <c r="CS54" s="3">
        <v>4.0149999999999997</v>
      </c>
      <c r="CT54" s="3">
        <v>1.5279999971389771</v>
      </c>
      <c r="CU54" s="3">
        <v>4.016</v>
      </c>
      <c r="CV54" s="21">
        <f t="shared" ca="1" si="40"/>
        <v>4.016</v>
      </c>
      <c r="CW54" s="16">
        <f t="shared" ca="1" si="39"/>
        <v>8</v>
      </c>
    </row>
    <row r="55" spans="1:101" s="3" customFormat="1" x14ac:dyDescent="0.35">
      <c r="A55" s="2" t="s">
        <v>3</v>
      </c>
      <c r="B55" s="2">
        <v>8.0833333333333339</v>
      </c>
      <c r="C55" s="2" t="s">
        <v>168</v>
      </c>
      <c r="D55" s="2" t="s">
        <v>403</v>
      </c>
      <c r="F55" s="3" t="e">
        <v>#N/A</v>
      </c>
      <c r="G55" s="3" t="e">
        <v>#N/A</v>
      </c>
      <c r="H55" s="3">
        <v>3.0569999999999999</v>
      </c>
      <c r="I55" s="3" t="e">
        <v>#N/A</v>
      </c>
      <c r="K55" s="3" t="e">
        <f t="shared" ca="1" si="41"/>
        <v>#N/A</v>
      </c>
      <c r="L55" s="3" t="e">
        <f t="shared" ca="1" si="41"/>
        <v>#N/A</v>
      </c>
      <c r="M55" s="3">
        <f t="shared" ca="1" si="41"/>
        <v>0.43048740595354906</v>
      </c>
      <c r="N55" s="3" t="e">
        <f t="shared" ca="1" si="41"/>
        <v>#N/A</v>
      </c>
      <c r="P55" s="3" t="e">
        <f t="shared" ca="1" si="42"/>
        <v>#N/A</v>
      </c>
      <c r="Q55" s="3" t="e">
        <f t="shared" ca="1" si="42"/>
        <v>#N/A</v>
      </c>
      <c r="R55" s="3">
        <f t="shared" ca="1" si="42"/>
        <v>0.59437344266887115</v>
      </c>
      <c r="S55" s="3" t="e">
        <f t="shared" ca="1" si="42"/>
        <v>#N/A</v>
      </c>
      <c r="U55" s="3" t="e">
        <f t="shared" ca="1" si="43"/>
        <v>#N/A</v>
      </c>
      <c r="V55" s="3" t="e">
        <f t="shared" ca="1" si="43"/>
        <v>#N/A</v>
      </c>
      <c r="W55" s="3">
        <f t="shared" ca="1" si="43"/>
        <v>2.2898266274124959</v>
      </c>
      <c r="X55" s="3" t="e">
        <f t="shared" ca="1" si="43"/>
        <v>#N/A</v>
      </c>
      <c r="Z55" s="3" t="e">
        <f t="shared" ca="1" si="44"/>
        <v>#N/A</v>
      </c>
      <c r="AA55" s="3" t="e">
        <f t="shared" ca="1" si="44"/>
        <v>#N/A</v>
      </c>
      <c r="AB55" s="3">
        <f t="shared" ca="1" si="44"/>
        <v>0.30552829571475293</v>
      </c>
      <c r="AC55" s="3" t="e">
        <f t="shared" ca="1" si="44"/>
        <v>#N/A</v>
      </c>
      <c r="AE55" s="3" t="e">
        <f t="shared" ca="1" si="45"/>
        <v>#N/A</v>
      </c>
      <c r="AF55" s="3" t="e">
        <f t="shared" ca="1" si="45"/>
        <v>#N/A</v>
      </c>
      <c r="AG55" s="3">
        <f t="shared" ca="1" si="45"/>
        <v>0.24533848923173729</v>
      </c>
      <c r="AH55" s="3" t="e">
        <f t="shared" ca="1" si="45"/>
        <v>#N/A</v>
      </c>
      <c r="AJ55" s="3" t="e">
        <f t="shared" ca="1" si="46"/>
        <v>#N/A</v>
      </c>
      <c r="AK55" s="3" t="e">
        <f t="shared" ca="1" si="46"/>
        <v>#N/A</v>
      </c>
      <c r="AL55" s="3">
        <f t="shared" ca="1" si="46"/>
        <v>1.3084723585214262</v>
      </c>
      <c r="AM55" s="3" t="e">
        <f t="shared" ca="1" si="46"/>
        <v>#N/A</v>
      </c>
      <c r="AO55" s="3" t="e">
        <f t="shared" ca="1" si="47"/>
        <v>#N/A</v>
      </c>
      <c r="AP55" s="3" t="e">
        <f t="shared" ca="1" si="47"/>
        <v>#N/A</v>
      </c>
      <c r="AQ55" s="3">
        <f t="shared" ca="1" si="47"/>
        <v>1.6355904481517829</v>
      </c>
      <c r="AR55" s="3" t="e">
        <f t="shared" ca="1" si="47"/>
        <v>#N/A</v>
      </c>
      <c r="AT55" s="3">
        <v>0.29399999976158142</v>
      </c>
      <c r="AU55" s="3">
        <v>0.75499999523162842</v>
      </c>
      <c r="AV55" s="3">
        <v>2.0360000133514404</v>
      </c>
      <c r="AW55" s="11" t="e">
        <v>#N/A</v>
      </c>
      <c r="AY55" s="3" t="e">
        <f t="shared" ca="1" si="48"/>
        <v>#N/A</v>
      </c>
      <c r="AZ55" s="3" t="e">
        <f t="shared" ca="1" si="49"/>
        <v>#N/A</v>
      </c>
      <c r="BA55" s="3">
        <f t="shared" ca="1" si="50"/>
        <v>0</v>
      </c>
      <c r="BB55" s="3" t="e">
        <f t="shared" ca="1" si="51"/>
        <v>#N/A</v>
      </c>
      <c r="BD55" s="3" t="e">
        <f t="shared" ca="1" si="52"/>
        <v>#N/A</v>
      </c>
      <c r="BE55" s="3" t="e">
        <f t="shared" ca="1" si="53"/>
        <v>#N/A</v>
      </c>
      <c r="BF55" s="3">
        <f t="shared" ca="1" si="54"/>
        <v>0</v>
      </c>
      <c r="BG55" s="3" t="e">
        <f t="shared" ca="1" si="55"/>
        <v>#N/A</v>
      </c>
      <c r="BI55" s="3" t="e">
        <f t="shared" ca="1" si="56"/>
        <v>#N/A</v>
      </c>
      <c r="BJ55" s="3" t="e">
        <f t="shared" ca="1" si="57"/>
        <v>#N/A</v>
      </c>
      <c r="BK55" s="3">
        <f t="shared" ca="1" si="58"/>
        <v>0</v>
      </c>
      <c r="BL55" s="3" t="e">
        <f t="shared" ca="1" si="59"/>
        <v>#N/A</v>
      </c>
      <c r="BN55" s="3" t="e">
        <f t="shared" ca="1" si="60"/>
        <v>#N/A</v>
      </c>
      <c r="BO55" s="3" t="e">
        <f t="shared" ca="1" si="61"/>
        <v>#N/A</v>
      </c>
      <c r="BP55" s="3">
        <f t="shared" ca="1" si="62"/>
        <v>0</v>
      </c>
      <c r="BQ55" s="3" t="e">
        <f t="shared" ca="1" si="63"/>
        <v>#N/A</v>
      </c>
      <c r="BS55" s="3">
        <v>4.0010000000000003</v>
      </c>
      <c r="BT55" s="3">
        <v>4.0110000000000001</v>
      </c>
      <c r="BU55" s="3">
        <v>4.01</v>
      </c>
      <c r="BV55" s="11" t="e">
        <v>#N/A</v>
      </c>
      <c r="BX55" s="3" t="e">
        <f t="shared" ca="1" si="64"/>
        <v>#N/A</v>
      </c>
      <c r="BY55" s="3" t="e">
        <f t="shared" ca="1" si="65"/>
        <v>#N/A</v>
      </c>
      <c r="BZ55" s="3">
        <f t="shared" ca="1" si="66"/>
        <v>0.1089303238469088</v>
      </c>
      <c r="CA55" s="3" t="e">
        <f t="shared" ca="1" si="67"/>
        <v>#N/A</v>
      </c>
      <c r="CC55" s="3" t="e">
        <f t="shared" ca="1" si="68"/>
        <v>#N/A</v>
      </c>
      <c r="CD55" s="3" t="e">
        <f t="shared" ca="1" si="69"/>
        <v>#N/A</v>
      </c>
      <c r="CE55" s="3">
        <f t="shared" ca="1" si="70"/>
        <v>0.11449130017421275</v>
      </c>
      <c r="CF55" s="3" t="e">
        <f t="shared" ca="1" si="71"/>
        <v>#N/A</v>
      </c>
      <c r="CH55" s="3" t="e">
        <f t="shared" ca="1" si="72"/>
        <v>#N/A</v>
      </c>
      <c r="CI55" s="3" t="e">
        <f t="shared" ca="1" si="73"/>
        <v>#N/A</v>
      </c>
      <c r="CJ55" s="3">
        <f t="shared" ca="1" si="74"/>
        <v>0.32711808963035655</v>
      </c>
      <c r="CK55" s="3" t="e">
        <f t="shared" ca="1" si="75"/>
        <v>#N/A</v>
      </c>
      <c r="CM55" s="3" t="e">
        <f t="shared" ca="1" si="76"/>
        <v>#N/A</v>
      </c>
      <c r="CN55" s="3" t="e">
        <f t="shared" ca="1" si="77"/>
        <v>#N/A</v>
      </c>
      <c r="CO55" s="3">
        <f t="shared" ca="1" si="78"/>
        <v>0.32711808963035655</v>
      </c>
      <c r="CP55" s="3" t="e">
        <f t="shared" ca="1" si="79"/>
        <v>#N/A</v>
      </c>
      <c r="CR55" s="3">
        <v>1.2940000295639038</v>
      </c>
      <c r="CS55" s="3">
        <v>1.7050000429153442</v>
      </c>
      <c r="CT55" s="3">
        <v>3.5520000457763672</v>
      </c>
      <c r="CU55" s="11" t="e">
        <v>#N/A</v>
      </c>
      <c r="CV55" s="21" t="e">
        <f t="shared" ca="1" si="40"/>
        <v>#N/A</v>
      </c>
      <c r="CW55" s="16">
        <f t="shared" ca="1" si="39"/>
        <v>8.0833333333333339</v>
      </c>
    </row>
    <row r="56" spans="1:101" s="3" customFormat="1" x14ac:dyDescent="0.35">
      <c r="A56" s="2" t="s">
        <v>15</v>
      </c>
      <c r="B56" s="2">
        <v>8.25</v>
      </c>
      <c r="C56" s="2" t="s">
        <v>168</v>
      </c>
      <c r="D56" s="2" t="s">
        <v>403</v>
      </c>
      <c r="F56" s="3">
        <v>4.016</v>
      </c>
      <c r="G56" s="3">
        <v>4.016</v>
      </c>
      <c r="H56" s="3">
        <v>4.016</v>
      </c>
      <c r="I56" s="3">
        <v>4.0149999999999997</v>
      </c>
      <c r="K56" s="3">
        <f t="shared" ca="1" si="41"/>
        <v>0.99551792828685259</v>
      </c>
      <c r="L56" s="3">
        <f t="shared" ca="1" si="41"/>
        <v>0.95443227091633476</v>
      </c>
      <c r="M56" s="3">
        <f t="shared" ca="1" si="41"/>
        <v>0.99576693227091628</v>
      </c>
      <c r="N56" s="3">
        <f t="shared" ca="1" si="41"/>
        <v>0.99601494396014956</v>
      </c>
      <c r="P56" s="3">
        <f t="shared" ca="1" si="42"/>
        <v>0.99551796716493202</v>
      </c>
      <c r="Q56" s="3">
        <f t="shared" ca="1" si="42"/>
        <v>0.86354571941913483</v>
      </c>
      <c r="R56" s="3">
        <f t="shared" ca="1" si="42"/>
        <v>0.92529888409542371</v>
      </c>
      <c r="S56" s="3">
        <f t="shared" ca="1" si="42"/>
        <v>0.93349933599331802</v>
      </c>
      <c r="U56" s="3">
        <f t="shared" ca="1" si="43"/>
        <v>0.24900398406374502</v>
      </c>
      <c r="V56" s="3">
        <f t="shared" ca="1" si="43"/>
        <v>2.241035856573705</v>
      </c>
      <c r="W56" s="3">
        <f t="shared" ca="1" si="43"/>
        <v>1.2450199203187251</v>
      </c>
      <c r="X56" s="3">
        <f t="shared" ca="1" si="43"/>
        <v>1.9925280199252804</v>
      </c>
      <c r="Z56" s="3">
        <f t="shared" ca="1" si="44"/>
        <v>0.99551792828685259</v>
      </c>
      <c r="AA56" s="3">
        <f t="shared" ca="1" si="44"/>
        <v>0.92554780876494025</v>
      </c>
      <c r="AB56" s="3">
        <f t="shared" ca="1" si="44"/>
        <v>0.99576693227091628</v>
      </c>
      <c r="AC56" s="3">
        <f t="shared" ca="1" si="44"/>
        <v>0.82988792029887926</v>
      </c>
      <c r="AE56" s="3">
        <f t="shared" ca="1" si="45"/>
        <v>0.99551796716493202</v>
      </c>
      <c r="AF56" s="3">
        <f t="shared" ca="1" si="45"/>
        <v>0.86354571941913483</v>
      </c>
      <c r="AG56" s="3">
        <f t="shared" ca="1" si="45"/>
        <v>0.92529888409542371</v>
      </c>
      <c r="AH56" s="3">
        <f t="shared" ca="1" si="45"/>
        <v>0.78007469413590946</v>
      </c>
      <c r="AJ56" s="3">
        <f t="shared" ca="1" si="46"/>
        <v>0.24900398406374502</v>
      </c>
      <c r="AK56" s="3">
        <f t="shared" ca="1" si="46"/>
        <v>2.241035856573705</v>
      </c>
      <c r="AL56" s="3">
        <f t="shared" ca="1" si="46"/>
        <v>1.2450199203187251</v>
      </c>
      <c r="AM56" s="3">
        <f t="shared" ca="1" si="46"/>
        <v>1.7434620174346203</v>
      </c>
      <c r="AO56" s="3">
        <f t="shared" ca="1" si="47"/>
        <v>0.24900398406374502</v>
      </c>
      <c r="AP56" s="3">
        <f t="shared" ca="1" si="47"/>
        <v>0.49800796812749004</v>
      </c>
      <c r="AQ56" s="3">
        <f t="shared" ca="1" si="47"/>
        <v>0.24900398406374502</v>
      </c>
      <c r="AR56" s="3">
        <f t="shared" ca="1" si="47"/>
        <v>0.4981320049813201</v>
      </c>
      <c r="AT56" s="3">
        <v>1.3000000268220901E-2</v>
      </c>
      <c r="AU56" s="3">
        <v>1.6000000759959221E-2</v>
      </c>
      <c r="AV56" s="3">
        <v>0.22699999809265137</v>
      </c>
      <c r="AW56" s="3">
        <v>1.0000000474974513E-3</v>
      </c>
      <c r="AY56" s="3">
        <f t="shared" ca="1" si="48"/>
        <v>0.99551792828685259</v>
      </c>
      <c r="AZ56" s="3">
        <f t="shared" ca="1" si="49"/>
        <v>0.23655378486055775</v>
      </c>
      <c r="BA56" s="3">
        <f t="shared" ca="1" si="50"/>
        <v>0.88371513944223101</v>
      </c>
      <c r="BB56" s="3">
        <f t="shared" ca="1" si="51"/>
        <v>0.60572851805728523</v>
      </c>
      <c r="BD56" s="3">
        <f t="shared" ca="1" si="52"/>
        <v>0.99551796716493202</v>
      </c>
      <c r="BE56" s="3">
        <f t="shared" ca="1" si="53"/>
        <v>0.27813742436335026</v>
      </c>
      <c r="BF56" s="3">
        <f t="shared" ca="1" si="54"/>
        <v>0.85458175772689726</v>
      </c>
      <c r="BG56" s="3">
        <f t="shared" ca="1" si="55"/>
        <v>0.57683684312243244</v>
      </c>
      <c r="BI56" s="3">
        <f t="shared" ca="1" si="56"/>
        <v>0.24900398406374502</v>
      </c>
      <c r="BJ56" s="3">
        <f t="shared" ca="1" si="57"/>
        <v>0.49800796812749004</v>
      </c>
      <c r="BK56" s="3">
        <f t="shared" ca="1" si="58"/>
        <v>0.99601593625498008</v>
      </c>
      <c r="BL56" s="3">
        <f t="shared" ca="1" si="59"/>
        <v>1.2453300124533002</v>
      </c>
      <c r="BN56" s="3">
        <f t="shared" ca="1" si="60"/>
        <v>0.24900398406374502</v>
      </c>
      <c r="BO56" s="3">
        <f t="shared" ca="1" si="61"/>
        <v>0.49800796812749004</v>
      </c>
      <c r="BP56" s="3">
        <f t="shared" ca="1" si="62"/>
        <v>0.49800796812749004</v>
      </c>
      <c r="BQ56" s="3">
        <f t="shared" ca="1" si="63"/>
        <v>0.74719800747198017</v>
      </c>
      <c r="BS56" s="3">
        <v>1.3000000268220901E-2</v>
      </c>
      <c r="BT56" s="3">
        <v>1.6000000759959221E-2</v>
      </c>
      <c r="BU56" s="3">
        <v>0.52700001001358032</v>
      </c>
      <c r="BV56" s="3">
        <v>0.51800000667572021</v>
      </c>
      <c r="BX56" s="3">
        <f t="shared" ca="1" si="64"/>
        <v>0</v>
      </c>
      <c r="BY56" s="3">
        <f t="shared" ca="1" si="65"/>
        <v>2.0916334661354601E-2</v>
      </c>
      <c r="BZ56" s="3">
        <f t="shared" ca="1" si="66"/>
        <v>4.233067729083665E-3</v>
      </c>
      <c r="CA56" s="3">
        <f t="shared" ca="1" si="67"/>
        <v>0</v>
      </c>
      <c r="CC56" s="3">
        <f t="shared" ca="1" si="68"/>
        <v>0</v>
      </c>
      <c r="CD56" s="3">
        <f t="shared" ca="1" si="69"/>
        <v>2.4900374659504072E-2</v>
      </c>
      <c r="CE56" s="3">
        <f t="shared" ca="1" si="70"/>
        <v>0</v>
      </c>
      <c r="CF56" s="3">
        <f t="shared" ca="1" si="71"/>
        <v>0</v>
      </c>
      <c r="CH56" s="3">
        <f t="shared" ca="1" si="72"/>
        <v>0</v>
      </c>
      <c r="CI56" s="3">
        <f t="shared" ca="1" si="73"/>
        <v>0.24900398406374502</v>
      </c>
      <c r="CJ56" s="3">
        <f t="shared" ca="1" si="74"/>
        <v>0</v>
      </c>
      <c r="CK56" s="3">
        <f t="shared" ca="1" si="75"/>
        <v>0</v>
      </c>
      <c r="CM56" s="3">
        <f t="shared" ca="1" si="76"/>
        <v>0</v>
      </c>
      <c r="CN56" s="3">
        <f t="shared" ca="1" si="77"/>
        <v>0.24900398406374502</v>
      </c>
      <c r="CO56" s="3">
        <f t="shared" ca="1" si="78"/>
        <v>0.24900398406374502</v>
      </c>
      <c r="CP56" s="3">
        <f t="shared" ca="1" si="79"/>
        <v>0</v>
      </c>
      <c r="CR56" s="3">
        <v>4.016</v>
      </c>
      <c r="CS56" s="3">
        <v>1.9830000400543213</v>
      </c>
      <c r="CT56" s="3">
        <v>4.016</v>
      </c>
      <c r="CU56" s="3">
        <v>4.0149999999999997</v>
      </c>
      <c r="CV56" s="21">
        <f t="shared" ca="1" si="40"/>
        <v>4.0149999999999997</v>
      </c>
      <c r="CW56" s="16">
        <f t="shared" ca="1" si="39"/>
        <v>8.25</v>
      </c>
    </row>
    <row r="57" spans="1:101" s="3" customFormat="1" x14ac:dyDescent="0.35">
      <c r="A57" s="2" t="s">
        <v>29</v>
      </c>
      <c r="B57" s="2">
        <v>8.5</v>
      </c>
      <c r="C57" s="2" t="s">
        <v>168</v>
      </c>
      <c r="D57" s="2" t="s">
        <v>403</v>
      </c>
      <c r="F57" s="3">
        <v>4.0110000000000001</v>
      </c>
      <c r="G57" s="3">
        <v>4.0110000000000001</v>
      </c>
      <c r="H57" s="3">
        <v>4.0309999999999997</v>
      </c>
      <c r="I57" s="3">
        <v>4.01</v>
      </c>
      <c r="K57" s="3">
        <f t="shared" ca="1" si="41"/>
        <v>0.99675891298927943</v>
      </c>
      <c r="L57" s="3">
        <f t="shared" ca="1" si="41"/>
        <v>0.9845425081027176</v>
      </c>
      <c r="M57" s="3">
        <f t="shared" ca="1" si="41"/>
        <v>0.99627883899776737</v>
      </c>
      <c r="N57" s="3">
        <f t="shared" ca="1" si="41"/>
        <v>0.77306733167082298</v>
      </c>
      <c r="P57" s="3">
        <f t="shared" ca="1" si="42"/>
        <v>0.97132879510202386</v>
      </c>
      <c r="Q57" s="3">
        <f t="shared" ca="1" si="42"/>
        <v>0.90152080948885993</v>
      </c>
      <c r="R57" s="3">
        <f t="shared" ca="1" si="42"/>
        <v>0.83527658749265499</v>
      </c>
      <c r="S57" s="3">
        <f t="shared" ca="1" si="42"/>
        <v>0.710473869209575</v>
      </c>
      <c r="U57" s="3">
        <f t="shared" ca="1" si="43"/>
        <v>1.4958863126402393</v>
      </c>
      <c r="V57" s="3">
        <f t="shared" ca="1" si="43"/>
        <v>0.99725754176015957</v>
      </c>
      <c r="W57" s="3">
        <f t="shared" ca="1" si="43"/>
        <v>2.4807740014884647</v>
      </c>
      <c r="X57" s="3">
        <f t="shared" ca="1" si="43"/>
        <v>1.4962593516209477</v>
      </c>
      <c r="Z57" s="3">
        <f t="shared" ca="1" si="44"/>
        <v>0.99675891298927943</v>
      </c>
      <c r="AA57" s="3">
        <f t="shared" ca="1" si="44"/>
        <v>0.9845425081027176</v>
      </c>
      <c r="AB57" s="3">
        <f t="shared" ca="1" si="44"/>
        <v>0.99627883899776737</v>
      </c>
      <c r="AC57" s="3">
        <f t="shared" ca="1" si="44"/>
        <v>0.31197007481296768</v>
      </c>
      <c r="AE57" s="3">
        <f t="shared" ca="1" si="45"/>
        <v>0.97132879510202386</v>
      </c>
      <c r="AF57" s="3">
        <f t="shared" ca="1" si="45"/>
        <v>0.90152080948885993</v>
      </c>
      <c r="AG57" s="3">
        <f t="shared" ca="1" si="45"/>
        <v>0.83527658749265499</v>
      </c>
      <c r="AH57" s="3">
        <f t="shared" ca="1" si="45"/>
        <v>0.28254367466876634</v>
      </c>
      <c r="AJ57" s="3">
        <f t="shared" ca="1" si="46"/>
        <v>1.4958863126402393</v>
      </c>
      <c r="AK57" s="3">
        <f t="shared" ca="1" si="46"/>
        <v>0.99725754176015957</v>
      </c>
      <c r="AL57" s="3">
        <f t="shared" ca="1" si="46"/>
        <v>2.4807740014884647</v>
      </c>
      <c r="AM57" s="3">
        <f t="shared" ca="1" si="46"/>
        <v>0.99750623441396513</v>
      </c>
      <c r="AO57" s="3">
        <f t="shared" ca="1" si="47"/>
        <v>0.24931438544003989</v>
      </c>
      <c r="AP57" s="3">
        <f t="shared" ca="1" si="47"/>
        <v>0.24931438544003989</v>
      </c>
      <c r="AQ57" s="3">
        <f t="shared" ca="1" si="47"/>
        <v>0.24807740014884647</v>
      </c>
      <c r="AR57" s="3">
        <f t="shared" ca="1" si="47"/>
        <v>0.74812967581047385</v>
      </c>
      <c r="AT57" s="3">
        <v>4.0000001899898052E-3</v>
      </c>
      <c r="AU57" s="3">
        <v>0.125</v>
      </c>
      <c r="AV57" s="3">
        <v>0.20600000023841858</v>
      </c>
      <c r="AW57" s="3">
        <v>0.26899999380111694</v>
      </c>
      <c r="AY57" s="3">
        <f t="shared" ca="1" si="48"/>
        <v>0.56494639740713037</v>
      </c>
      <c r="AZ57" s="3">
        <f t="shared" ca="1" si="49"/>
        <v>0</v>
      </c>
      <c r="BA57" s="3">
        <f t="shared" ca="1" si="50"/>
        <v>0.59538576035723145</v>
      </c>
      <c r="BB57" s="3">
        <f t="shared" ca="1" si="51"/>
        <v>2.4688279301745632E-2</v>
      </c>
      <c r="BD57" s="3">
        <f t="shared" ca="1" si="52"/>
        <v>0.58539015965638863</v>
      </c>
      <c r="BE57" s="3">
        <f t="shared" ca="1" si="53"/>
        <v>0</v>
      </c>
      <c r="BF57" s="3">
        <f t="shared" ca="1" si="54"/>
        <v>0.6162242095661471</v>
      </c>
      <c r="BG57" s="3">
        <f t="shared" ca="1" si="55"/>
        <v>0</v>
      </c>
      <c r="BI57" s="3">
        <f t="shared" ca="1" si="56"/>
        <v>0.49862877088007979</v>
      </c>
      <c r="BJ57" s="3">
        <f t="shared" ca="1" si="57"/>
        <v>0</v>
      </c>
      <c r="BK57" s="3">
        <f t="shared" ca="1" si="58"/>
        <v>1.4884644008930787</v>
      </c>
      <c r="BL57" s="3">
        <f t="shared" ca="1" si="59"/>
        <v>0</v>
      </c>
      <c r="BN57" s="3">
        <f t="shared" ca="1" si="60"/>
        <v>0.24931438544003989</v>
      </c>
      <c r="BO57" s="3">
        <f t="shared" ca="1" si="61"/>
        <v>0.24931438544003989</v>
      </c>
      <c r="BP57" s="3">
        <f t="shared" ca="1" si="62"/>
        <v>1.2403870007442324</v>
      </c>
      <c r="BQ57" s="3">
        <f t="shared" ca="1" si="63"/>
        <v>0.49875311720698257</v>
      </c>
      <c r="BS57" s="3">
        <v>0.58700001239776611</v>
      </c>
      <c r="BT57" s="3">
        <v>4.0110000000000001</v>
      </c>
      <c r="BU57" s="3">
        <v>0.20600000023841858</v>
      </c>
      <c r="BV57" s="3">
        <v>4.01</v>
      </c>
      <c r="BX57" s="3">
        <f t="shared" ca="1" si="64"/>
        <v>0.21166791323859391</v>
      </c>
      <c r="BY57" s="3">
        <f t="shared" ca="1" si="65"/>
        <v>0.72700074794315628</v>
      </c>
      <c r="BZ57" s="3">
        <f t="shared" ca="1" si="66"/>
        <v>8.2857851649714737E-2</v>
      </c>
      <c r="CA57" s="3">
        <f t="shared" ca="1" si="67"/>
        <v>8.2294264339152125E-3</v>
      </c>
      <c r="CC57" s="3">
        <f t="shared" ca="1" si="68"/>
        <v>0.21166790753224043</v>
      </c>
      <c r="CD57" s="3">
        <f t="shared" ca="1" si="69"/>
        <v>0.5774121128748968</v>
      </c>
      <c r="CE57" s="3">
        <f t="shared" ca="1" si="70"/>
        <v>9.5013648278953963E-2</v>
      </c>
      <c r="CF57" s="3">
        <f t="shared" ca="1" si="71"/>
        <v>0</v>
      </c>
      <c r="CH57" s="3">
        <f t="shared" ca="1" si="72"/>
        <v>0.49862877088007979</v>
      </c>
      <c r="CI57" s="3">
        <f t="shared" ca="1" si="73"/>
        <v>0.49862877088007979</v>
      </c>
      <c r="CJ57" s="3">
        <f t="shared" ca="1" si="74"/>
        <v>0.24807740014884647</v>
      </c>
      <c r="CK57" s="3">
        <f t="shared" ca="1" si="75"/>
        <v>0</v>
      </c>
      <c r="CM57" s="3">
        <f t="shared" ca="1" si="76"/>
        <v>0.24931438544003989</v>
      </c>
      <c r="CN57" s="3">
        <f t="shared" ca="1" si="77"/>
        <v>0.99725754176015957</v>
      </c>
      <c r="CO57" s="3">
        <f t="shared" ca="1" si="78"/>
        <v>0.24807740014884647</v>
      </c>
      <c r="CP57" s="3">
        <f t="shared" ca="1" si="79"/>
        <v>0.24937655860349128</v>
      </c>
      <c r="CR57" s="3">
        <v>3.1189999580383301</v>
      </c>
      <c r="CS57" s="3">
        <v>0.125</v>
      </c>
      <c r="CT57" s="3">
        <v>1.1890000104904175</v>
      </c>
      <c r="CU57" s="3">
        <v>4.01</v>
      </c>
      <c r="CV57" s="21">
        <f t="shared" ca="1" si="40"/>
        <v>4.01</v>
      </c>
      <c r="CW57" s="16">
        <f t="shared" ca="1" si="39"/>
        <v>8.5</v>
      </c>
    </row>
    <row r="58" spans="1:101" s="3" customFormat="1" x14ac:dyDescent="0.35">
      <c r="A58" s="2" t="s">
        <v>71</v>
      </c>
      <c r="B58" s="2">
        <v>8.5</v>
      </c>
      <c r="C58" s="2" t="s">
        <v>167</v>
      </c>
      <c r="D58" s="2" t="s">
        <v>403</v>
      </c>
      <c r="F58" s="3" t="e">
        <v>#N/A</v>
      </c>
      <c r="G58" s="3" t="e">
        <v>#N/A</v>
      </c>
      <c r="H58" s="3">
        <v>4.0049999999999999</v>
      </c>
      <c r="I58" s="3" t="e">
        <v>#N/A</v>
      </c>
      <c r="K58" s="3" t="e">
        <f t="shared" ca="1" si="41"/>
        <v>#N/A</v>
      </c>
      <c r="L58" s="3" t="e">
        <f t="shared" ca="1" si="41"/>
        <v>#N/A</v>
      </c>
      <c r="M58" s="3">
        <f t="shared" ca="1" si="41"/>
        <v>0.99450686641697883</v>
      </c>
      <c r="N58" s="3" t="e">
        <f t="shared" ca="1" si="41"/>
        <v>#N/A</v>
      </c>
      <c r="P58" s="3" t="e">
        <f t="shared" ca="1" si="42"/>
        <v>#N/A</v>
      </c>
      <c r="Q58" s="3" t="e">
        <f t="shared" ca="1" si="42"/>
        <v>#N/A</v>
      </c>
      <c r="R58" s="3">
        <f t="shared" ca="1" si="42"/>
        <v>0.11635460657126895</v>
      </c>
      <c r="S58" s="3" t="e">
        <f t="shared" ca="1" si="42"/>
        <v>#N/A</v>
      </c>
      <c r="U58" s="3" t="e">
        <f t="shared" ca="1" si="43"/>
        <v>#N/A</v>
      </c>
      <c r="V58" s="3" t="e">
        <f t="shared" ca="1" si="43"/>
        <v>#N/A</v>
      </c>
      <c r="W58" s="3">
        <f t="shared" ca="1" si="43"/>
        <v>0.74906367041198507</v>
      </c>
      <c r="X58" s="3" t="e">
        <f t="shared" ca="1" si="43"/>
        <v>#N/A</v>
      </c>
      <c r="Z58" s="3" t="e">
        <f t="shared" ca="1" si="44"/>
        <v>#N/A</v>
      </c>
      <c r="AA58" s="3" t="e">
        <f t="shared" ca="1" si="44"/>
        <v>#N/A</v>
      </c>
      <c r="AB58" s="3">
        <f t="shared" ca="1" si="44"/>
        <v>0.85293383270911383</v>
      </c>
      <c r="AC58" s="3" t="e">
        <f t="shared" ca="1" si="44"/>
        <v>#N/A</v>
      </c>
      <c r="AE58" s="3" t="e">
        <f t="shared" ca="1" si="45"/>
        <v>#N/A</v>
      </c>
      <c r="AF58" s="3" t="e">
        <f t="shared" ca="1" si="45"/>
        <v>#N/A</v>
      </c>
      <c r="AG58" s="3">
        <f t="shared" ca="1" si="45"/>
        <v>0.11635460657126895</v>
      </c>
      <c r="AH58" s="3" t="e">
        <f t="shared" ca="1" si="45"/>
        <v>#N/A</v>
      </c>
      <c r="AJ58" s="3" t="e">
        <f t="shared" ca="1" si="46"/>
        <v>#N/A</v>
      </c>
      <c r="AK58" s="3" t="e">
        <f t="shared" ca="1" si="46"/>
        <v>#N/A</v>
      </c>
      <c r="AL58" s="3">
        <f t="shared" ca="1" si="46"/>
        <v>0.74906367041198507</v>
      </c>
      <c r="AM58" s="3" t="e">
        <f t="shared" ca="1" si="46"/>
        <v>#N/A</v>
      </c>
      <c r="AO58" s="3" t="e">
        <f t="shared" ca="1" si="47"/>
        <v>#N/A</v>
      </c>
      <c r="AP58" s="3" t="e">
        <f t="shared" ca="1" si="47"/>
        <v>#N/A</v>
      </c>
      <c r="AQ58" s="3">
        <f t="shared" ca="1" si="47"/>
        <v>1.2484394506866416</v>
      </c>
      <c r="AR58" s="3" t="e">
        <f t="shared" ca="1" si="47"/>
        <v>#N/A</v>
      </c>
      <c r="AT58" s="11" t="e">
        <v>#N/A</v>
      </c>
      <c r="AU58" s="3">
        <v>2.3059999942779541</v>
      </c>
      <c r="AV58" s="3">
        <v>1.3600000143051147</v>
      </c>
      <c r="AW58" s="3">
        <v>1.2000000104308128E-2</v>
      </c>
      <c r="AY58" s="3" t="e">
        <f t="shared" ca="1" si="48"/>
        <v>#N/A</v>
      </c>
      <c r="AZ58" s="3" t="e">
        <f t="shared" ca="1" si="49"/>
        <v>#N/A</v>
      </c>
      <c r="BA58" s="3">
        <f t="shared" ca="1" si="50"/>
        <v>5.4182272159800128E-2</v>
      </c>
      <c r="BB58" s="3" t="e">
        <f t="shared" ca="1" si="51"/>
        <v>#N/A</v>
      </c>
      <c r="BD58" s="3" t="e">
        <f t="shared" ca="1" si="52"/>
        <v>#N/A</v>
      </c>
      <c r="BE58" s="3" t="e">
        <f t="shared" ca="1" si="53"/>
        <v>#N/A</v>
      </c>
      <c r="BF58" s="3">
        <f t="shared" ca="1" si="54"/>
        <v>0</v>
      </c>
      <c r="BG58" s="3" t="e">
        <f t="shared" ca="1" si="55"/>
        <v>#N/A</v>
      </c>
      <c r="BI58" s="3" t="e">
        <f t="shared" ca="1" si="56"/>
        <v>#N/A</v>
      </c>
      <c r="BJ58" s="3" t="e">
        <f t="shared" ca="1" si="57"/>
        <v>#N/A</v>
      </c>
      <c r="BK58" s="3">
        <f t="shared" ca="1" si="58"/>
        <v>0</v>
      </c>
      <c r="BL58" s="3" t="e">
        <f t="shared" ca="1" si="59"/>
        <v>#N/A</v>
      </c>
      <c r="BN58" s="3" t="e">
        <f t="shared" ca="1" si="60"/>
        <v>#N/A</v>
      </c>
      <c r="BO58" s="3" t="e">
        <f t="shared" ca="1" si="61"/>
        <v>#N/A</v>
      </c>
      <c r="BP58" s="3">
        <f t="shared" ca="1" si="62"/>
        <v>1.7478152309612984</v>
      </c>
      <c r="BQ58" s="3" t="e">
        <f t="shared" ca="1" si="63"/>
        <v>#N/A</v>
      </c>
      <c r="BS58" s="11" t="e">
        <v>#N/A</v>
      </c>
      <c r="BT58" s="3">
        <v>3.872999906539917</v>
      </c>
      <c r="BU58" s="3">
        <v>4.0049999999999999</v>
      </c>
      <c r="BV58" s="3">
        <v>4.0110000000000001</v>
      </c>
      <c r="BX58" s="3" t="e">
        <f t="shared" ca="1" si="64"/>
        <v>#N/A</v>
      </c>
      <c r="BY58" s="3" t="e">
        <f t="shared" ca="1" si="65"/>
        <v>#N/A</v>
      </c>
      <c r="BZ58" s="3">
        <f t="shared" ca="1" si="66"/>
        <v>0</v>
      </c>
      <c r="CA58" s="3" t="e">
        <f t="shared" ca="1" si="67"/>
        <v>#N/A</v>
      </c>
      <c r="CC58" s="3" t="e">
        <f t="shared" ca="1" si="68"/>
        <v>#N/A</v>
      </c>
      <c r="CD58" s="3" t="e">
        <f t="shared" ca="1" si="69"/>
        <v>#N/A</v>
      </c>
      <c r="CE58" s="3">
        <f t="shared" ca="1" si="70"/>
        <v>0</v>
      </c>
      <c r="CF58" s="3" t="e">
        <f t="shared" ca="1" si="71"/>
        <v>#N/A</v>
      </c>
      <c r="CH58" s="3" t="e">
        <f t="shared" ca="1" si="72"/>
        <v>#N/A</v>
      </c>
      <c r="CI58" s="3" t="e">
        <f t="shared" ca="1" si="73"/>
        <v>#N/A</v>
      </c>
      <c r="CJ58" s="3">
        <f t="shared" ca="1" si="74"/>
        <v>0</v>
      </c>
      <c r="CK58" s="3" t="e">
        <f t="shared" ca="1" si="75"/>
        <v>#N/A</v>
      </c>
      <c r="CM58" s="3" t="e">
        <f t="shared" ca="1" si="76"/>
        <v>#N/A</v>
      </c>
      <c r="CN58" s="3" t="e">
        <f t="shared" ca="1" si="77"/>
        <v>#N/A</v>
      </c>
      <c r="CO58" s="3">
        <f t="shared" ca="1" si="78"/>
        <v>0.24968789013732834</v>
      </c>
      <c r="CP58" s="3" t="e">
        <f t="shared" ca="1" si="79"/>
        <v>#N/A</v>
      </c>
      <c r="CR58" s="11" t="e">
        <v>#N/A</v>
      </c>
      <c r="CS58" s="3">
        <v>4.0019999999999998</v>
      </c>
      <c r="CT58" s="3">
        <v>4.0049999999999999</v>
      </c>
      <c r="CU58" s="3">
        <v>4.0110000000000001</v>
      </c>
      <c r="CV58" s="21">
        <f t="shared" ca="1" si="40"/>
        <v>4.0110000000000001</v>
      </c>
      <c r="CW58" s="16">
        <f t="shared" ca="1" si="39"/>
        <v>8.5</v>
      </c>
    </row>
    <row r="59" spans="1:101" s="3" customFormat="1" x14ac:dyDescent="0.35">
      <c r="A59" s="2" t="s">
        <v>12</v>
      </c>
      <c r="B59" s="2">
        <v>8.5833333333333339</v>
      </c>
      <c r="C59" s="2" t="s">
        <v>168</v>
      </c>
      <c r="D59" s="2" t="s">
        <v>403</v>
      </c>
      <c r="F59" s="3">
        <v>4.0149999999999997</v>
      </c>
      <c r="G59" s="3">
        <v>4.0110000000000001</v>
      </c>
      <c r="H59" s="3">
        <v>4.0119999999999996</v>
      </c>
      <c r="I59" s="3">
        <v>4.0149999999999997</v>
      </c>
      <c r="K59" s="3">
        <f t="shared" ca="1" si="41"/>
        <v>0.99601494396014945</v>
      </c>
      <c r="L59" s="3">
        <f t="shared" ca="1" si="41"/>
        <v>0.9970082273747195</v>
      </c>
      <c r="M59" s="3">
        <f t="shared" ca="1" si="41"/>
        <v>0.99675972083748754</v>
      </c>
      <c r="N59" s="3">
        <f t="shared" ca="1" si="41"/>
        <v>0.99601494396014945</v>
      </c>
      <c r="P59" s="3">
        <f t="shared" ca="1" si="42"/>
        <v>0.92154431202046461</v>
      </c>
      <c r="Q59" s="3">
        <f t="shared" ca="1" si="42"/>
        <v>0.89778109588057764</v>
      </c>
      <c r="R59" s="3">
        <f t="shared" ca="1" si="42"/>
        <v>0.74277166927146066</v>
      </c>
      <c r="S59" s="3">
        <f t="shared" ca="1" si="42"/>
        <v>0.80074709648751241</v>
      </c>
      <c r="U59" s="3">
        <f t="shared" ca="1" si="43"/>
        <v>1.7434620174346203</v>
      </c>
      <c r="V59" s="3">
        <f t="shared" ca="1" si="43"/>
        <v>1.7452006980802792</v>
      </c>
      <c r="W59" s="3">
        <f t="shared" ca="1" si="43"/>
        <v>2.2432701894317053</v>
      </c>
      <c r="X59" s="3">
        <f t="shared" ca="1" si="43"/>
        <v>2.9887920298879207</v>
      </c>
      <c r="Z59" s="3">
        <f t="shared" ca="1" si="44"/>
        <v>0.99601494396014945</v>
      </c>
      <c r="AA59" s="3">
        <f t="shared" ca="1" si="44"/>
        <v>0.9970082273747195</v>
      </c>
      <c r="AB59" s="3">
        <f t="shared" ca="1" si="44"/>
        <v>0.99675972083748754</v>
      </c>
      <c r="AC59" s="3">
        <f t="shared" ca="1" si="44"/>
        <v>0.99601494396014945</v>
      </c>
      <c r="AE59" s="3">
        <f t="shared" ca="1" si="45"/>
        <v>0.92154431202046461</v>
      </c>
      <c r="AF59" s="3">
        <f t="shared" ca="1" si="45"/>
        <v>0.89778109588057764</v>
      </c>
      <c r="AG59" s="3">
        <f t="shared" ca="1" si="45"/>
        <v>0.74277166927146066</v>
      </c>
      <c r="AH59" s="3">
        <f t="shared" ca="1" si="45"/>
        <v>0.80074709648751241</v>
      </c>
      <c r="AJ59" s="3">
        <f t="shared" ca="1" si="46"/>
        <v>1.7434620174346203</v>
      </c>
      <c r="AK59" s="3">
        <f t="shared" ca="1" si="46"/>
        <v>1.7452006980802792</v>
      </c>
      <c r="AL59" s="3">
        <f t="shared" ca="1" si="46"/>
        <v>2.2432701894317053</v>
      </c>
      <c r="AM59" s="3">
        <f t="shared" ca="1" si="46"/>
        <v>2.9887920298879207</v>
      </c>
      <c r="AO59" s="3">
        <f t="shared" ca="1" si="47"/>
        <v>0.24906600249066005</v>
      </c>
      <c r="AP59" s="3">
        <f t="shared" ca="1" si="47"/>
        <v>0.24931438544003989</v>
      </c>
      <c r="AQ59" s="3">
        <f t="shared" ca="1" si="47"/>
        <v>0.24925224327018947</v>
      </c>
      <c r="AR59" s="3">
        <f t="shared" ca="1" si="47"/>
        <v>0.24906600249066005</v>
      </c>
      <c r="AT59" s="3">
        <v>1.0999999940395355E-2</v>
      </c>
      <c r="AU59" s="3">
        <v>1.2000000104308128E-2</v>
      </c>
      <c r="AV59" s="3">
        <v>1.0999999940395355E-2</v>
      </c>
      <c r="AW59" s="3">
        <v>3.0000000260770321E-3</v>
      </c>
      <c r="AY59" s="3">
        <f t="shared" ca="1" si="48"/>
        <v>0.73026151930261518</v>
      </c>
      <c r="AZ59" s="3">
        <f t="shared" ca="1" si="49"/>
        <v>0.77711293941660442</v>
      </c>
      <c r="BA59" s="3">
        <f t="shared" ca="1" si="50"/>
        <v>0.53539381854436685</v>
      </c>
      <c r="BB59" s="3">
        <f t="shared" ca="1" si="51"/>
        <v>0.46077210460772117</v>
      </c>
      <c r="BD59" s="3">
        <f t="shared" ca="1" si="52"/>
        <v>0.68094651696097075</v>
      </c>
      <c r="BE59" s="3">
        <f t="shared" ca="1" si="53"/>
        <v>0.77736224655022024</v>
      </c>
      <c r="BF59" s="3">
        <f t="shared" ca="1" si="54"/>
        <v>0.53938184070919948</v>
      </c>
      <c r="BG59" s="3">
        <f t="shared" ca="1" si="55"/>
        <v>0.41070974259121185</v>
      </c>
      <c r="BI59" s="3">
        <f t="shared" ca="1" si="56"/>
        <v>0.9962640099626402</v>
      </c>
      <c r="BJ59" s="3">
        <f t="shared" ca="1" si="57"/>
        <v>1.4958863126402393</v>
      </c>
      <c r="BK59" s="3">
        <f t="shared" ca="1" si="58"/>
        <v>1.4955134596211368</v>
      </c>
      <c r="BL59" s="3">
        <f t="shared" ca="1" si="59"/>
        <v>1.4943960149439603</v>
      </c>
      <c r="BN59" s="3">
        <f t="shared" ca="1" si="60"/>
        <v>0.9962640099626402</v>
      </c>
      <c r="BO59" s="3">
        <f t="shared" ca="1" si="61"/>
        <v>0.74794315632011965</v>
      </c>
      <c r="BP59" s="3">
        <f t="shared" ca="1" si="62"/>
        <v>1.2462612163509472</v>
      </c>
      <c r="BQ59" s="3">
        <f t="shared" ca="1" si="63"/>
        <v>0.9962640099626402</v>
      </c>
      <c r="BS59" s="3">
        <v>0.36100000143051147</v>
      </c>
      <c r="BT59" s="3">
        <v>0.51099997758865356</v>
      </c>
      <c r="BU59" s="3">
        <v>0.34400001168251038</v>
      </c>
      <c r="BV59" s="3">
        <v>0.18600000441074371</v>
      </c>
      <c r="BX59" s="3">
        <f t="shared" ca="1" si="64"/>
        <v>0</v>
      </c>
      <c r="BY59" s="3">
        <f t="shared" ca="1" si="65"/>
        <v>7.0555971079531279E-2</v>
      </c>
      <c r="BZ59" s="3">
        <f t="shared" ca="1" si="66"/>
        <v>0</v>
      </c>
      <c r="CA59" s="3">
        <f t="shared" ca="1" si="67"/>
        <v>9.9626400996263992E-2</v>
      </c>
      <c r="CC59" s="3">
        <f t="shared" ca="1" si="68"/>
        <v>0</v>
      </c>
      <c r="CD59" s="3">
        <f t="shared" ca="1" si="69"/>
        <v>0</v>
      </c>
      <c r="CE59" s="3">
        <f t="shared" ca="1" si="70"/>
        <v>0</v>
      </c>
      <c r="CF59" s="3">
        <f t="shared" ca="1" si="71"/>
        <v>0.10386053681522052</v>
      </c>
      <c r="CH59" s="3">
        <f t="shared" ca="1" si="72"/>
        <v>0</v>
      </c>
      <c r="CI59" s="3">
        <f t="shared" ca="1" si="73"/>
        <v>0</v>
      </c>
      <c r="CJ59" s="3">
        <f t="shared" ca="1" si="74"/>
        <v>0</v>
      </c>
      <c r="CK59" s="3">
        <f t="shared" ca="1" si="75"/>
        <v>0.24906600249066005</v>
      </c>
      <c r="CM59" s="3">
        <f t="shared" ca="1" si="76"/>
        <v>0</v>
      </c>
      <c r="CN59" s="3">
        <f t="shared" ca="1" si="77"/>
        <v>0.49862877088007979</v>
      </c>
      <c r="CO59" s="3">
        <f t="shared" ca="1" si="78"/>
        <v>0</v>
      </c>
      <c r="CP59" s="3">
        <f t="shared" ca="1" si="79"/>
        <v>0.24906600249066005</v>
      </c>
      <c r="CR59" s="3">
        <v>4.0149999999999997</v>
      </c>
      <c r="CS59" s="3">
        <v>4.0110000000000001</v>
      </c>
      <c r="CT59" s="3">
        <v>4.0119999999999996</v>
      </c>
      <c r="CU59" s="3">
        <v>2.3020000457763672</v>
      </c>
      <c r="CV59" s="21">
        <f t="shared" ca="1" si="40"/>
        <v>2.3020000457763672</v>
      </c>
      <c r="CW59" s="16">
        <f t="shared" ca="1" si="39"/>
        <v>8.5833333333333339</v>
      </c>
    </row>
    <row r="60" spans="1:101" s="3" customFormat="1" x14ac:dyDescent="0.35">
      <c r="A60" s="2" t="s">
        <v>80</v>
      </c>
      <c r="B60" s="2">
        <v>8.5833333333333339</v>
      </c>
      <c r="C60" s="2" t="s">
        <v>168</v>
      </c>
      <c r="D60" s="2" t="s">
        <v>403</v>
      </c>
      <c r="F60" s="3">
        <v>4.016</v>
      </c>
      <c r="G60" s="3">
        <v>4.016</v>
      </c>
      <c r="H60" s="3">
        <v>4.032</v>
      </c>
      <c r="I60" s="3">
        <v>4.016</v>
      </c>
      <c r="K60" s="3">
        <f t="shared" ca="1" si="41"/>
        <v>0.9957669322709165</v>
      </c>
      <c r="L60" s="3">
        <f t="shared" ca="1" si="41"/>
        <v>0.9957669322709165</v>
      </c>
      <c r="M60" s="3">
        <f t="shared" ca="1" si="41"/>
        <v>0.99603174603174605</v>
      </c>
      <c r="N60" s="3">
        <f t="shared" ca="1" si="41"/>
        <v>0.99551792828685248</v>
      </c>
      <c r="P60" s="3">
        <f t="shared" ca="1" si="42"/>
        <v>0.94646403697723769</v>
      </c>
      <c r="Q60" s="3">
        <f t="shared" ca="1" si="42"/>
        <v>0.9335158703537042</v>
      </c>
      <c r="R60" s="3">
        <f t="shared" ca="1" si="42"/>
        <v>0.963045662097607</v>
      </c>
      <c r="S60" s="3">
        <f t="shared" ca="1" si="42"/>
        <v>0.88371522179656326</v>
      </c>
      <c r="U60" s="3">
        <f t="shared" ca="1" si="43"/>
        <v>3.237051792828685</v>
      </c>
      <c r="V60" s="3">
        <f t="shared" ca="1" si="43"/>
        <v>2.241035856573705</v>
      </c>
      <c r="W60" s="3">
        <f t="shared" ca="1" si="43"/>
        <v>2.2321428571428572</v>
      </c>
      <c r="X60" s="3">
        <f t="shared" ca="1" si="43"/>
        <v>3.7350597609561751</v>
      </c>
      <c r="Z60" s="3">
        <f t="shared" ca="1" si="44"/>
        <v>0.9957669322709165</v>
      </c>
      <c r="AA60" s="3">
        <f t="shared" ca="1" si="44"/>
        <v>0.9957669322709165</v>
      </c>
      <c r="AB60" s="3">
        <f t="shared" ca="1" si="44"/>
        <v>0.99603174603174605</v>
      </c>
      <c r="AC60" s="3">
        <f t="shared" ca="1" si="44"/>
        <v>0.99551792828685248</v>
      </c>
      <c r="AE60" s="3">
        <f t="shared" ca="1" si="45"/>
        <v>0.94646403697723769</v>
      </c>
      <c r="AF60" s="3">
        <f t="shared" ca="1" si="45"/>
        <v>0.9335158703537042</v>
      </c>
      <c r="AG60" s="3">
        <f t="shared" ca="1" si="45"/>
        <v>0.963045662097607</v>
      </c>
      <c r="AH60" s="3">
        <f t="shared" ca="1" si="45"/>
        <v>0.88371522179656326</v>
      </c>
      <c r="AJ60" s="3">
        <f t="shared" ca="1" si="46"/>
        <v>3.237051792828685</v>
      </c>
      <c r="AK60" s="3">
        <f t="shared" ca="1" si="46"/>
        <v>2.241035856573705</v>
      </c>
      <c r="AL60" s="3">
        <f t="shared" ca="1" si="46"/>
        <v>2.2321428571428572</v>
      </c>
      <c r="AM60" s="3">
        <f t="shared" ca="1" si="46"/>
        <v>3.7350597609561751</v>
      </c>
      <c r="AO60" s="3">
        <f t="shared" ca="1" si="47"/>
        <v>0.24900398406374502</v>
      </c>
      <c r="AP60" s="3">
        <f t="shared" ca="1" si="47"/>
        <v>0.24900398406374502</v>
      </c>
      <c r="AQ60" s="3">
        <f t="shared" ca="1" si="47"/>
        <v>0.24801587301587302</v>
      </c>
      <c r="AR60" s="3">
        <f t="shared" ca="1" si="47"/>
        <v>0.24900398406374502</v>
      </c>
      <c r="AT60" s="3">
        <v>9.9999997764825821E-3</v>
      </c>
      <c r="AU60" s="3">
        <v>9.9999997764825821E-3</v>
      </c>
      <c r="AV60" s="3">
        <v>2.0000000949949026E-3</v>
      </c>
      <c r="AW60" s="3">
        <v>4.0000001899898052E-3</v>
      </c>
      <c r="AY60" s="3">
        <f t="shared" ca="1" si="48"/>
        <v>0.43999003984063756</v>
      </c>
      <c r="AZ60" s="3">
        <f t="shared" ca="1" si="49"/>
        <v>0.36105577689243029</v>
      </c>
      <c r="BA60" s="3">
        <f t="shared" ca="1" si="50"/>
        <v>0.42559523809523808</v>
      </c>
      <c r="BB60" s="3">
        <f t="shared" ca="1" si="51"/>
        <v>0.18251992031872513</v>
      </c>
      <c r="BD60" s="3">
        <f t="shared" ca="1" si="52"/>
        <v>0.46887450602899983</v>
      </c>
      <c r="BE60" s="3">
        <f t="shared" ca="1" si="53"/>
        <v>0.34038842733637747</v>
      </c>
      <c r="BF60" s="3">
        <f t="shared" ca="1" si="54"/>
        <v>0.47098214851021547</v>
      </c>
      <c r="BG60" s="3">
        <f t="shared" ca="1" si="55"/>
        <v>0.16982070507993735</v>
      </c>
      <c r="BI60" s="3">
        <f t="shared" ca="1" si="56"/>
        <v>1.2450199203187251</v>
      </c>
      <c r="BJ60" s="3">
        <f t="shared" ca="1" si="57"/>
        <v>0.74701195219123506</v>
      </c>
      <c r="BK60" s="3">
        <f t="shared" ca="1" si="58"/>
        <v>0.74404761904761907</v>
      </c>
      <c r="BL60" s="3">
        <f t="shared" ca="1" si="59"/>
        <v>0.99601593625498008</v>
      </c>
      <c r="BN60" s="3">
        <f t="shared" ca="1" si="60"/>
        <v>0.74701195219123506</v>
      </c>
      <c r="BO60" s="3">
        <f t="shared" ca="1" si="61"/>
        <v>0.49800796812749004</v>
      </c>
      <c r="BP60" s="3">
        <f t="shared" ca="1" si="62"/>
        <v>0.74404761904761907</v>
      </c>
      <c r="BQ60" s="3">
        <f t="shared" ca="1" si="63"/>
        <v>0.49800796812749004</v>
      </c>
      <c r="BS60" s="3">
        <v>0.57599997520446777</v>
      </c>
      <c r="BT60" s="3">
        <v>0.47699999809265137</v>
      </c>
      <c r="BU60" s="3">
        <v>2.0000000949949026E-3</v>
      </c>
      <c r="BV60" s="3">
        <v>0.41999998688697815</v>
      </c>
      <c r="BX60" s="3">
        <f t="shared" ca="1" si="64"/>
        <v>0.11628486055776906</v>
      </c>
      <c r="BY60" s="3">
        <f t="shared" ca="1" si="65"/>
        <v>4.2330677290837518E-3</v>
      </c>
      <c r="BZ60" s="3">
        <f t="shared" ca="1" si="66"/>
        <v>0</v>
      </c>
      <c r="CA60" s="3">
        <f t="shared" ca="1" si="67"/>
        <v>0</v>
      </c>
      <c r="CC60" s="3">
        <f t="shared" ca="1" si="68"/>
        <v>0.10806767351598853</v>
      </c>
      <c r="CD60" s="3">
        <f t="shared" ca="1" si="69"/>
        <v>0</v>
      </c>
      <c r="CE60" s="3">
        <f t="shared" ca="1" si="70"/>
        <v>0</v>
      </c>
      <c r="CF60" s="3">
        <f t="shared" ca="1" si="71"/>
        <v>0</v>
      </c>
      <c r="CH60" s="3">
        <f t="shared" ca="1" si="72"/>
        <v>0.49800796812749004</v>
      </c>
      <c r="CI60" s="3">
        <f t="shared" ca="1" si="73"/>
        <v>0</v>
      </c>
      <c r="CJ60" s="3">
        <f t="shared" ca="1" si="74"/>
        <v>0</v>
      </c>
      <c r="CK60" s="3">
        <f t="shared" ca="1" si="75"/>
        <v>0</v>
      </c>
      <c r="CM60" s="3">
        <f t="shared" ca="1" si="76"/>
        <v>0.49800796812749004</v>
      </c>
      <c r="CN60" s="3">
        <f t="shared" ca="1" si="77"/>
        <v>0.24900398406374502</v>
      </c>
      <c r="CO60" s="3">
        <f t="shared" ca="1" si="78"/>
        <v>0</v>
      </c>
      <c r="CP60" s="3">
        <f t="shared" ca="1" si="79"/>
        <v>0</v>
      </c>
      <c r="CR60" s="3">
        <v>3.5590000152587891</v>
      </c>
      <c r="CS60" s="3">
        <v>4.016</v>
      </c>
      <c r="CT60" s="3">
        <v>4.032</v>
      </c>
      <c r="CU60" s="3">
        <v>4.016</v>
      </c>
      <c r="CV60" s="21">
        <f t="shared" ca="1" si="40"/>
        <v>4.016</v>
      </c>
      <c r="CW60" s="16">
        <f t="shared" ca="1" si="39"/>
        <v>8.5833333333333339</v>
      </c>
    </row>
    <row r="61" spans="1:101" s="3" customFormat="1" x14ac:dyDescent="0.35">
      <c r="A61" s="2" t="s">
        <v>76</v>
      </c>
      <c r="B61" s="2">
        <v>8.6666666666666661</v>
      </c>
      <c r="C61" s="2" t="s">
        <v>167</v>
      </c>
      <c r="D61" s="2" t="s">
        <v>403</v>
      </c>
      <c r="F61" s="3" t="e">
        <v>#N/A</v>
      </c>
      <c r="G61" s="3">
        <v>4.0110000000000001</v>
      </c>
      <c r="H61" s="3">
        <v>3.056</v>
      </c>
      <c r="I61" s="3">
        <v>4.0110000000000001</v>
      </c>
      <c r="K61" s="3" t="e">
        <f t="shared" ca="1" si="41"/>
        <v>#N/A</v>
      </c>
      <c r="L61" s="3">
        <f t="shared" ca="1" si="41"/>
        <v>0.99276988282223888</v>
      </c>
      <c r="M61" s="3">
        <f t="shared" ca="1" si="41"/>
        <v>0.99770942408376961</v>
      </c>
      <c r="N61" s="3">
        <f t="shared" ca="1" si="41"/>
        <v>0.99276988282223888</v>
      </c>
      <c r="P61" s="3" t="e">
        <f t="shared" ca="1" si="42"/>
        <v>#N/A</v>
      </c>
      <c r="Q61" s="3">
        <f t="shared" ca="1" si="42"/>
        <v>0.95163303239554775</v>
      </c>
      <c r="R61" s="3">
        <f t="shared" ca="1" si="42"/>
        <v>0.90543195301744872</v>
      </c>
      <c r="S61" s="3">
        <f t="shared" ca="1" si="42"/>
        <v>0.95512338792540663</v>
      </c>
      <c r="U61" s="3" t="e">
        <f t="shared" ca="1" si="43"/>
        <v>#N/A</v>
      </c>
      <c r="V61" s="3">
        <f t="shared" ca="1" si="43"/>
        <v>2.7424582398404387</v>
      </c>
      <c r="W61" s="3">
        <f t="shared" ca="1" si="43"/>
        <v>2.9450261780104712</v>
      </c>
      <c r="X61" s="3">
        <f t="shared" ca="1" si="43"/>
        <v>2.4931438544003988</v>
      </c>
      <c r="Z61" s="3" t="e">
        <f t="shared" ca="1" si="44"/>
        <v>#N/A</v>
      </c>
      <c r="AA61" s="3">
        <f t="shared" ca="1" si="44"/>
        <v>0.99276988282223888</v>
      </c>
      <c r="AB61" s="3">
        <f t="shared" ca="1" si="44"/>
        <v>0.7634162303664922</v>
      </c>
      <c r="AC61" s="3">
        <f t="shared" ca="1" si="44"/>
        <v>0.99276988282223888</v>
      </c>
      <c r="AE61" s="3" t="e">
        <f t="shared" ca="1" si="45"/>
        <v>#N/A</v>
      </c>
      <c r="AF61" s="3">
        <f t="shared" ca="1" si="45"/>
        <v>0.95163303239554775</v>
      </c>
      <c r="AG61" s="3">
        <f t="shared" ca="1" si="45"/>
        <v>0.67637438479937728</v>
      </c>
      <c r="AH61" s="3">
        <f t="shared" ca="1" si="45"/>
        <v>0.95512338792540663</v>
      </c>
      <c r="AJ61" s="3" t="e">
        <f t="shared" ca="1" si="46"/>
        <v>#N/A</v>
      </c>
      <c r="AK61" s="3">
        <f t="shared" ca="1" si="46"/>
        <v>2.7424582398404387</v>
      </c>
      <c r="AL61" s="3">
        <f t="shared" ca="1" si="46"/>
        <v>2.6178010471204187</v>
      </c>
      <c r="AM61" s="3">
        <f t="shared" ca="1" si="46"/>
        <v>2.4931438544003988</v>
      </c>
      <c r="AO61" s="3" t="e">
        <f t="shared" ca="1" si="47"/>
        <v>#N/A</v>
      </c>
      <c r="AP61" s="3">
        <f t="shared" ca="1" si="47"/>
        <v>0.24931438544003989</v>
      </c>
      <c r="AQ61" s="3">
        <f t="shared" ca="1" si="47"/>
        <v>0.65445026178010468</v>
      </c>
      <c r="AR61" s="3">
        <f t="shared" ca="1" si="47"/>
        <v>0.24931438544003989</v>
      </c>
      <c r="AT61" s="3">
        <v>1.0000000474974513E-3</v>
      </c>
      <c r="AU61" s="3">
        <v>1.6000000759959221E-2</v>
      </c>
      <c r="AV61" s="3">
        <v>7.0000002160668373E-3</v>
      </c>
      <c r="AW61" s="3">
        <v>1.4000000432133675E-2</v>
      </c>
      <c r="AY61" s="3" t="e">
        <f t="shared" ca="1" si="48"/>
        <v>#N/A</v>
      </c>
      <c r="AZ61" s="3">
        <f t="shared" ca="1" si="49"/>
        <v>0.58140114684617306</v>
      </c>
      <c r="BA61" s="3">
        <f t="shared" ca="1" si="50"/>
        <v>0.25065445026178013</v>
      </c>
      <c r="BB61" s="3">
        <f t="shared" ca="1" si="51"/>
        <v>0.36549488905509853</v>
      </c>
      <c r="BD61" s="3" t="e">
        <f t="shared" ca="1" si="52"/>
        <v>#N/A</v>
      </c>
      <c r="BE61" s="3">
        <f t="shared" ca="1" si="53"/>
        <v>0.54450262160528273</v>
      </c>
      <c r="BF61" s="3">
        <f t="shared" ca="1" si="54"/>
        <v>0.19633512534396186</v>
      </c>
      <c r="BG61" s="3">
        <f t="shared" ca="1" si="55"/>
        <v>0.41111943371662679</v>
      </c>
      <c r="BI61" s="3" t="e">
        <f t="shared" ca="1" si="56"/>
        <v>#N/A</v>
      </c>
      <c r="BJ61" s="3">
        <f t="shared" ca="1" si="57"/>
        <v>1.4958863126402393</v>
      </c>
      <c r="BK61" s="3">
        <f t="shared" ca="1" si="58"/>
        <v>0.65445026178010468</v>
      </c>
      <c r="BL61" s="3">
        <f t="shared" ca="1" si="59"/>
        <v>0.99725754176015957</v>
      </c>
      <c r="BN61" s="3" t="e">
        <f t="shared" ca="1" si="60"/>
        <v>#N/A</v>
      </c>
      <c r="BO61" s="3">
        <f t="shared" ca="1" si="61"/>
        <v>0.74794315632011965</v>
      </c>
      <c r="BP61" s="3">
        <f t="shared" ca="1" si="62"/>
        <v>0.65445026178010468</v>
      </c>
      <c r="BQ61" s="3">
        <f t="shared" ca="1" si="63"/>
        <v>0.74794315632011965</v>
      </c>
      <c r="BS61" s="3">
        <v>0.64999997615814209</v>
      </c>
      <c r="BT61" s="3">
        <v>1.1319999694824219</v>
      </c>
      <c r="BU61" s="3">
        <v>2.122999906539917</v>
      </c>
      <c r="BV61" s="3">
        <v>0.52999997138977051</v>
      </c>
      <c r="BX61" s="3" t="e">
        <f t="shared" ca="1" si="64"/>
        <v>#N/A</v>
      </c>
      <c r="BY61" s="3">
        <f t="shared" ca="1" si="65"/>
        <v>4.9862877088007913E-2</v>
      </c>
      <c r="BZ61" s="3">
        <f t="shared" ca="1" si="66"/>
        <v>5.4646596858638825E-2</v>
      </c>
      <c r="CA61" s="3">
        <f t="shared" ca="1" si="67"/>
        <v>2.4931438544003901E-2</v>
      </c>
      <c r="CC61" s="3" t="e">
        <f t="shared" ca="1" si="68"/>
        <v>#N/A</v>
      </c>
      <c r="CD61" s="3">
        <f t="shared" ca="1" si="69"/>
        <v>0</v>
      </c>
      <c r="CE61" s="3">
        <f t="shared" ca="1" si="70"/>
        <v>4.3848188135636415E-2</v>
      </c>
      <c r="CF61" s="3">
        <f t="shared" ca="1" si="71"/>
        <v>0</v>
      </c>
      <c r="CH61" s="3" t="e">
        <f t="shared" ca="1" si="72"/>
        <v>#N/A</v>
      </c>
      <c r="CI61" s="3">
        <f t="shared" ca="1" si="73"/>
        <v>0</v>
      </c>
      <c r="CJ61" s="3">
        <f t="shared" ca="1" si="74"/>
        <v>0.32722513089005234</v>
      </c>
      <c r="CK61" s="3">
        <f t="shared" ca="1" si="75"/>
        <v>0</v>
      </c>
      <c r="CM61" s="3" t="e">
        <f t="shared" ca="1" si="76"/>
        <v>#N/A</v>
      </c>
      <c r="CN61" s="3">
        <f t="shared" ca="1" si="77"/>
        <v>0.24931438544003989</v>
      </c>
      <c r="CO61" s="3">
        <f t="shared" ca="1" si="78"/>
        <v>1.3089005235602094</v>
      </c>
      <c r="CP61" s="3">
        <f t="shared" ca="1" si="79"/>
        <v>0.24931438544003989</v>
      </c>
      <c r="CR61" s="3">
        <v>4.01</v>
      </c>
      <c r="CS61" s="3">
        <v>4.0110000000000001</v>
      </c>
      <c r="CT61" s="3">
        <v>2.9059998989105225</v>
      </c>
      <c r="CU61" s="3">
        <v>4.0110000000000001</v>
      </c>
      <c r="CV61" s="21">
        <f t="shared" ca="1" si="40"/>
        <v>4.0110000000000001</v>
      </c>
      <c r="CW61" s="16">
        <f t="shared" ca="1" si="39"/>
        <v>8.6666666666666661</v>
      </c>
    </row>
    <row r="62" spans="1:101" s="3" customFormat="1" x14ac:dyDescent="0.35">
      <c r="A62" s="2" t="s">
        <v>26</v>
      </c>
      <c r="B62" s="2">
        <v>8.75</v>
      </c>
      <c r="C62" s="2" t="s">
        <v>167</v>
      </c>
      <c r="D62" s="2" t="s">
        <v>403</v>
      </c>
      <c r="F62" s="3">
        <v>4.0129999999999999</v>
      </c>
      <c r="G62" s="3">
        <v>4.0069999999999997</v>
      </c>
      <c r="H62" s="3">
        <v>4.016</v>
      </c>
      <c r="I62" s="3">
        <v>4.0469999999999997</v>
      </c>
      <c r="K62" s="3">
        <f t="shared" ca="1" si="41"/>
        <v>0.99651133815100923</v>
      </c>
      <c r="L62" s="3">
        <f t="shared" ca="1" si="41"/>
        <v>0.99376091839281255</v>
      </c>
      <c r="M62" s="3">
        <f t="shared" ca="1" si="41"/>
        <v>0.99576693227091628</v>
      </c>
      <c r="N62" s="3">
        <f t="shared" ca="1" si="41"/>
        <v>0.99654064739313064</v>
      </c>
      <c r="P62" s="3">
        <f t="shared" ca="1" si="42"/>
        <v>0.9755793350398051</v>
      </c>
      <c r="Q62" s="3">
        <f t="shared" ca="1" si="42"/>
        <v>0.95582734454085716</v>
      </c>
      <c r="R62" s="3">
        <f t="shared" ca="1" si="42"/>
        <v>0.96638457092690278</v>
      </c>
      <c r="S62" s="3">
        <f t="shared" ca="1" si="42"/>
        <v>0.92265873364179096</v>
      </c>
      <c r="U62" s="3">
        <f t="shared" ca="1" si="43"/>
        <v>1.4951407924246201</v>
      </c>
      <c r="V62" s="3">
        <f t="shared" ca="1" si="43"/>
        <v>2.4956326428749689</v>
      </c>
      <c r="W62" s="3">
        <f t="shared" ca="1" si="43"/>
        <v>1.9920318725099602</v>
      </c>
      <c r="X62" s="3">
        <f t="shared" ca="1" si="43"/>
        <v>1.4825796886582654</v>
      </c>
      <c r="Z62" s="3">
        <f t="shared" ca="1" si="44"/>
        <v>0.99651133815100923</v>
      </c>
      <c r="AA62" s="3">
        <f t="shared" ca="1" si="44"/>
        <v>0.99376091839281255</v>
      </c>
      <c r="AB62" s="3">
        <f t="shared" ca="1" si="44"/>
        <v>0.99576693227091628</v>
      </c>
      <c r="AC62" s="3">
        <f t="shared" ca="1" si="44"/>
        <v>0.98838645910551026</v>
      </c>
      <c r="AE62" s="3">
        <f t="shared" ca="1" si="45"/>
        <v>0.9755793350398051</v>
      </c>
      <c r="AF62" s="3">
        <f t="shared" ca="1" si="45"/>
        <v>0.95582734454085716</v>
      </c>
      <c r="AG62" s="3">
        <f t="shared" ca="1" si="45"/>
        <v>0.96638457092690278</v>
      </c>
      <c r="AH62" s="3">
        <f t="shared" ca="1" si="45"/>
        <v>0.92265873364179096</v>
      </c>
      <c r="AJ62" s="3">
        <f t="shared" ca="1" si="46"/>
        <v>1.4951407924246201</v>
      </c>
      <c r="AK62" s="3">
        <f t="shared" ca="1" si="46"/>
        <v>2.4956326428749689</v>
      </c>
      <c r="AL62" s="3">
        <f t="shared" ca="1" si="46"/>
        <v>1.9920318725099602</v>
      </c>
      <c r="AM62" s="3">
        <f t="shared" ca="1" si="46"/>
        <v>1.4825796886582654</v>
      </c>
      <c r="AO62" s="3">
        <f t="shared" ca="1" si="47"/>
        <v>0.24919013207077001</v>
      </c>
      <c r="AP62" s="3">
        <f t="shared" ca="1" si="47"/>
        <v>0.24956326428749689</v>
      </c>
      <c r="AQ62" s="3">
        <f t="shared" ca="1" si="47"/>
        <v>0.24900398406374502</v>
      </c>
      <c r="AR62" s="3">
        <f t="shared" ca="1" si="47"/>
        <v>0.49419322955275519</v>
      </c>
      <c r="AT62" s="3">
        <v>7.0000002160668373E-3</v>
      </c>
      <c r="AU62" s="3">
        <v>1.0999999940395355E-2</v>
      </c>
      <c r="AV62" s="3">
        <v>1.0999999940395355E-2</v>
      </c>
      <c r="AW62" s="3">
        <v>1.0000000474974513E-3</v>
      </c>
      <c r="AY62" s="3">
        <f t="shared" ca="1" si="48"/>
        <v>0.89683528532270129</v>
      </c>
      <c r="AZ62" s="3">
        <f t="shared" ca="1" si="49"/>
        <v>0.60294484651859248</v>
      </c>
      <c r="BA62" s="3">
        <f t="shared" ca="1" si="50"/>
        <v>0.8174800796812749</v>
      </c>
      <c r="BB62" s="3">
        <f t="shared" ca="1" si="51"/>
        <v>0.41981714850506557</v>
      </c>
      <c r="BD62" s="3">
        <f t="shared" ca="1" si="52"/>
        <v>0.84276099654725445</v>
      </c>
      <c r="BE62" s="3">
        <f t="shared" ca="1" si="53"/>
        <v>0.54854005835494823</v>
      </c>
      <c r="BF62" s="3">
        <f t="shared" ca="1" si="54"/>
        <v>0.750747077033458</v>
      </c>
      <c r="BG62" s="3">
        <f t="shared" ca="1" si="55"/>
        <v>0.37064491480051343</v>
      </c>
      <c r="BI62" s="3">
        <f t="shared" ca="1" si="56"/>
        <v>0.99676052828308004</v>
      </c>
      <c r="BJ62" s="3">
        <f t="shared" ca="1" si="57"/>
        <v>1.4973795857249814</v>
      </c>
      <c r="BK62" s="3">
        <f t="shared" ca="1" si="58"/>
        <v>1.4940239043824701</v>
      </c>
      <c r="BL62" s="3">
        <f t="shared" ca="1" si="59"/>
        <v>0.98838645910551037</v>
      </c>
      <c r="BN62" s="3">
        <f t="shared" ca="1" si="60"/>
        <v>0.49838026414154002</v>
      </c>
      <c r="BO62" s="3">
        <f t="shared" ca="1" si="61"/>
        <v>0.49912652857499379</v>
      </c>
      <c r="BP62" s="3">
        <f t="shared" ca="1" si="62"/>
        <v>0.49800796812749004</v>
      </c>
      <c r="BQ62" s="3">
        <f t="shared" ca="1" si="63"/>
        <v>0.7412898443291327</v>
      </c>
      <c r="BS62" s="3">
        <v>7.0000002160668373E-3</v>
      </c>
      <c r="BT62" s="3">
        <v>0.51099997758865356</v>
      </c>
      <c r="BU62" s="3">
        <v>1.0999999940395355E-2</v>
      </c>
      <c r="BV62" s="3">
        <v>0.43399998545646667</v>
      </c>
      <c r="BX62" s="3">
        <f t="shared" ca="1" si="64"/>
        <v>0</v>
      </c>
      <c r="BY62" s="3">
        <f t="shared" ca="1" si="65"/>
        <v>0</v>
      </c>
      <c r="BZ62" s="3">
        <f t="shared" ca="1" si="66"/>
        <v>0</v>
      </c>
      <c r="CA62" s="3">
        <f t="shared" ca="1" si="67"/>
        <v>0</v>
      </c>
      <c r="CC62" s="3">
        <f t="shared" ca="1" si="68"/>
        <v>0</v>
      </c>
      <c r="CD62" s="3">
        <f t="shared" ca="1" si="69"/>
        <v>0</v>
      </c>
      <c r="CE62" s="3">
        <f t="shared" ca="1" si="70"/>
        <v>0</v>
      </c>
      <c r="CF62" s="3">
        <f t="shared" ca="1" si="71"/>
        <v>0</v>
      </c>
      <c r="CH62" s="3">
        <f t="shared" ca="1" si="72"/>
        <v>0</v>
      </c>
      <c r="CI62" s="3">
        <f t="shared" ca="1" si="73"/>
        <v>0</v>
      </c>
      <c r="CJ62" s="3">
        <f t="shared" ca="1" si="74"/>
        <v>0</v>
      </c>
      <c r="CK62" s="3">
        <f t="shared" ca="1" si="75"/>
        <v>0</v>
      </c>
      <c r="CM62" s="3">
        <f t="shared" ca="1" si="76"/>
        <v>0</v>
      </c>
      <c r="CN62" s="3">
        <f t="shared" ca="1" si="77"/>
        <v>0</v>
      </c>
      <c r="CO62" s="3">
        <f t="shared" ca="1" si="78"/>
        <v>0</v>
      </c>
      <c r="CP62" s="3">
        <f t="shared" ca="1" si="79"/>
        <v>0</v>
      </c>
      <c r="CR62" s="3">
        <v>4.0129999999999999</v>
      </c>
      <c r="CS62" s="3">
        <v>4.0069999999999997</v>
      </c>
      <c r="CT62" s="3">
        <v>4.016</v>
      </c>
      <c r="CU62" s="3">
        <v>4.0469999999999997</v>
      </c>
      <c r="CV62" s="21">
        <f t="shared" ca="1" si="40"/>
        <v>4.0469999999999997</v>
      </c>
      <c r="CW62" s="16">
        <f t="shared" ca="1" si="39"/>
        <v>8.75</v>
      </c>
    </row>
    <row r="63" spans="1:101" s="3" customFormat="1" x14ac:dyDescent="0.35">
      <c r="A63" s="2" t="s">
        <v>36</v>
      </c>
      <c r="B63" s="2">
        <v>8.8333333333333339</v>
      </c>
      <c r="C63" s="2" t="s">
        <v>168</v>
      </c>
      <c r="D63" s="2" t="s">
        <v>403</v>
      </c>
      <c r="F63" s="3">
        <v>4.0149999999999997</v>
      </c>
      <c r="G63" s="3">
        <v>4.016</v>
      </c>
      <c r="H63" s="3" t="e">
        <v>#N/A</v>
      </c>
      <c r="I63" s="3">
        <v>4.0149999999999997</v>
      </c>
      <c r="K63" s="3">
        <f t="shared" ca="1" si="41"/>
        <v>0.99601494396014956</v>
      </c>
      <c r="L63" s="3">
        <f t="shared" ca="1" si="41"/>
        <v>0.970617529880478</v>
      </c>
      <c r="M63" s="3" t="e">
        <f t="shared" ca="1" si="41"/>
        <v>#N/A</v>
      </c>
      <c r="N63" s="3">
        <f t="shared" ca="1" si="41"/>
        <v>0.98779576587795781</v>
      </c>
      <c r="P63" s="3">
        <f t="shared" ca="1" si="42"/>
        <v>0.29439609938511074</v>
      </c>
      <c r="Q63" s="3">
        <f t="shared" ca="1" si="42"/>
        <v>0.14516936830315458</v>
      </c>
      <c r="R63" s="3" t="e">
        <f t="shared" ca="1" si="42"/>
        <v>#N/A</v>
      </c>
      <c r="S63" s="3">
        <f t="shared" ca="1" si="42"/>
        <v>0.48567869446494366</v>
      </c>
      <c r="U63" s="3">
        <f t="shared" ca="1" si="43"/>
        <v>1.9925280199252804</v>
      </c>
      <c r="V63" s="3">
        <f t="shared" ca="1" si="43"/>
        <v>0.99601593625498008</v>
      </c>
      <c r="W63" s="3" t="e">
        <f t="shared" ca="1" si="43"/>
        <v>#N/A</v>
      </c>
      <c r="X63" s="3">
        <f t="shared" ca="1" si="43"/>
        <v>2.4906600249066004</v>
      </c>
      <c r="Z63" s="3">
        <f t="shared" ca="1" si="44"/>
        <v>0.63860523038605244</v>
      </c>
      <c r="AA63" s="3">
        <f t="shared" ca="1" si="44"/>
        <v>0.83441235059760943</v>
      </c>
      <c r="AB63" s="3" t="e">
        <f t="shared" ca="1" si="44"/>
        <v>#N/A</v>
      </c>
      <c r="AC63" s="3">
        <f t="shared" ca="1" si="44"/>
        <v>0.68916562889165645</v>
      </c>
      <c r="AE63" s="3">
        <f t="shared" ca="1" si="45"/>
        <v>0.1907846105202643</v>
      </c>
      <c r="AF63" s="3">
        <f t="shared" ca="1" si="45"/>
        <v>0.14516936830315458</v>
      </c>
      <c r="AG63" s="3" t="e">
        <f t="shared" ca="1" si="45"/>
        <v>#N/A</v>
      </c>
      <c r="AH63" s="3">
        <f t="shared" ca="1" si="45"/>
        <v>0.45230383445435712</v>
      </c>
      <c r="AJ63" s="3">
        <f t="shared" ca="1" si="46"/>
        <v>1.4943960149439603</v>
      </c>
      <c r="AK63" s="3">
        <f t="shared" ca="1" si="46"/>
        <v>0.99601593625498008</v>
      </c>
      <c r="AL63" s="3" t="e">
        <f t="shared" ca="1" si="46"/>
        <v>#N/A</v>
      </c>
      <c r="AM63" s="3">
        <f t="shared" ca="1" si="46"/>
        <v>2.2415940224159403</v>
      </c>
      <c r="AO63" s="3">
        <f t="shared" ca="1" si="47"/>
        <v>3.9850560398505608</v>
      </c>
      <c r="AP63" s="3">
        <f t="shared" ca="1" si="47"/>
        <v>2.4900398406374502</v>
      </c>
      <c r="AQ63" s="3" t="e">
        <f t="shared" ca="1" si="47"/>
        <v>#N/A</v>
      </c>
      <c r="AR63" s="3">
        <f t="shared" ca="1" si="47"/>
        <v>2.7397260273972606</v>
      </c>
      <c r="AT63" s="3">
        <v>0.82599997520446777</v>
      </c>
      <c r="AU63" s="3">
        <v>2.1740000247955322</v>
      </c>
      <c r="AV63" s="11" t="e">
        <v>#N/A</v>
      </c>
      <c r="AW63" s="3">
        <v>5.0999999046325684E-2</v>
      </c>
      <c r="AY63" s="3">
        <f t="shared" ca="1" si="48"/>
        <v>1.2453300124533068E-2</v>
      </c>
      <c r="AZ63" s="3">
        <f t="shared" ca="1" si="49"/>
        <v>4.9551792828685277E-2</v>
      </c>
      <c r="BA63" s="3" t="e">
        <f t="shared" ca="1" si="50"/>
        <v>#N/A</v>
      </c>
      <c r="BB63" s="3">
        <f t="shared" ca="1" si="51"/>
        <v>6.2515566625155589E-2</v>
      </c>
      <c r="BD63" s="3">
        <f t="shared" ca="1" si="52"/>
        <v>0</v>
      </c>
      <c r="BE63" s="3">
        <f t="shared" ca="1" si="53"/>
        <v>4.5567750930786133E-2</v>
      </c>
      <c r="BF63" s="3" t="e">
        <f t="shared" ca="1" si="54"/>
        <v>#N/A</v>
      </c>
      <c r="BG63" s="3">
        <f t="shared" ca="1" si="55"/>
        <v>5.4047294749714821E-2</v>
      </c>
      <c r="BI63" s="3">
        <f t="shared" ca="1" si="56"/>
        <v>0</v>
      </c>
      <c r="BJ63" s="3">
        <f t="shared" ca="1" si="57"/>
        <v>0.24900398406374502</v>
      </c>
      <c r="BK63" s="3" t="e">
        <f t="shared" ca="1" si="58"/>
        <v>#N/A</v>
      </c>
      <c r="BL63" s="3">
        <f t="shared" ca="1" si="59"/>
        <v>0.24906600249066005</v>
      </c>
      <c r="BN63" s="3">
        <f t="shared" ca="1" si="60"/>
        <v>0.4981320049813201</v>
      </c>
      <c r="BO63" s="3">
        <f t="shared" ca="1" si="61"/>
        <v>2.9880478087649402</v>
      </c>
      <c r="BP63" s="3" t="e">
        <f t="shared" ca="1" si="62"/>
        <v>#N/A</v>
      </c>
      <c r="BQ63" s="3">
        <f t="shared" ca="1" si="63"/>
        <v>0.74719800747198017</v>
      </c>
      <c r="BS63" s="3">
        <v>4.0149999999999997</v>
      </c>
      <c r="BT63" s="3">
        <v>2.1740000247955322</v>
      </c>
      <c r="BU63" s="11" t="e">
        <v>#N/A</v>
      </c>
      <c r="BV63" s="3">
        <v>1.8170000314712524</v>
      </c>
      <c r="BX63" s="3">
        <f t="shared" ca="1" si="64"/>
        <v>8.2191780821917887E-3</v>
      </c>
      <c r="BY63" s="3">
        <f t="shared" ca="1" si="65"/>
        <v>3.3117529880478197E-2</v>
      </c>
      <c r="BZ63" s="3" t="e">
        <f t="shared" ca="1" si="66"/>
        <v>#N/A</v>
      </c>
      <c r="CA63" s="3">
        <f t="shared" ca="1" si="67"/>
        <v>2.9140722291407222E-2</v>
      </c>
      <c r="CC63" s="3">
        <f t="shared" ca="1" si="68"/>
        <v>0</v>
      </c>
      <c r="CD63" s="3">
        <f t="shared" ca="1" si="69"/>
        <v>0</v>
      </c>
      <c r="CE63" s="3" t="e">
        <f t="shared" ca="1" si="70"/>
        <v>#N/A</v>
      </c>
      <c r="CF63" s="3">
        <f t="shared" ca="1" si="71"/>
        <v>4.9813152992562074E-2</v>
      </c>
      <c r="CH63" s="3">
        <f t="shared" ca="1" si="72"/>
        <v>0</v>
      </c>
      <c r="CI63" s="3">
        <f t="shared" ca="1" si="73"/>
        <v>0</v>
      </c>
      <c r="CJ63" s="3" t="e">
        <f t="shared" ca="1" si="74"/>
        <v>#N/A</v>
      </c>
      <c r="CK63" s="3">
        <f t="shared" ca="1" si="75"/>
        <v>0.24906600249066005</v>
      </c>
      <c r="CM63" s="3">
        <f t="shared" ca="1" si="76"/>
        <v>2.4906600249066004</v>
      </c>
      <c r="CN63" s="3">
        <f t="shared" ca="1" si="77"/>
        <v>1.4940239043824701</v>
      </c>
      <c r="CO63" s="3" t="e">
        <f t="shared" ca="1" si="78"/>
        <v>#N/A</v>
      </c>
      <c r="CP63" s="3">
        <f t="shared" ca="1" si="79"/>
        <v>2.4906600249066004</v>
      </c>
      <c r="CR63" s="3">
        <v>4.0149999999999997</v>
      </c>
      <c r="CS63" s="3">
        <v>4.016</v>
      </c>
      <c r="CT63" s="11" t="e">
        <v>#N/A</v>
      </c>
      <c r="CU63" s="3">
        <v>2.1500000953674316</v>
      </c>
      <c r="CV63" s="21">
        <f t="shared" ca="1" si="40"/>
        <v>2.1500000953674316</v>
      </c>
      <c r="CW63" s="16">
        <f t="shared" ca="1" si="39"/>
        <v>8.8333333333333339</v>
      </c>
    </row>
    <row r="64" spans="1:101" s="3" customFormat="1" x14ac:dyDescent="0.35">
      <c r="A64" s="2" t="s">
        <v>84</v>
      </c>
      <c r="B64" s="2">
        <v>9</v>
      </c>
      <c r="C64" s="2" t="s">
        <v>168</v>
      </c>
      <c r="D64" s="2" t="s">
        <v>403</v>
      </c>
      <c r="F64" s="3">
        <v>4.0149999999999997</v>
      </c>
      <c r="G64" s="3">
        <v>4.016</v>
      </c>
      <c r="H64" s="3">
        <v>4.0110000000000001</v>
      </c>
      <c r="I64" s="3">
        <v>4.016</v>
      </c>
      <c r="K64" s="3">
        <f t="shared" ca="1" si="41"/>
        <v>0.96687422166874237</v>
      </c>
      <c r="L64" s="3">
        <f t="shared" ca="1" si="41"/>
        <v>0.98331673306772904</v>
      </c>
      <c r="M64" s="3">
        <f t="shared" ca="1" si="41"/>
        <v>0.99725754176015957</v>
      </c>
      <c r="N64" s="3">
        <f t="shared" ca="1" si="41"/>
        <v>0.9997509960159362</v>
      </c>
      <c r="P64" s="3">
        <f t="shared" ca="1" si="42"/>
        <v>0.94171858521394092</v>
      </c>
      <c r="Q64" s="3">
        <f t="shared" ca="1" si="42"/>
        <v>0.82993028737396835</v>
      </c>
      <c r="R64" s="3">
        <f t="shared" ca="1" si="42"/>
        <v>0.94315637022858689</v>
      </c>
      <c r="S64" s="3">
        <f t="shared" ca="1" si="42"/>
        <v>0.87524898372501492</v>
      </c>
      <c r="U64" s="3">
        <f t="shared" ca="1" si="43"/>
        <v>1.7434620174346203</v>
      </c>
      <c r="V64" s="3">
        <f t="shared" ca="1" si="43"/>
        <v>1.9920318725099602</v>
      </c>
      <c r="W64" s="3">
        <f t="shared" ca="1" si="43"/>
        <v>1.9945150835203191</v>
      </c>
      <c r="X64" s="3">
        <f t="shared" ca="1" si="43"/>
        <v>2.4900398406374502</v>
      </c>
      <c r="Z64" s="3">
        <f t="shared" ca="1" si="44"/>
        <v>0.96687422166874237</v>
      </c>
      <c r="AA64" s="3">
        <f t="shared" ca="1" si="44"/>
        <v>0.98331673306772904</v>
      </c>
      <c r="AB64" s="3">
        <f t="shared" ca="1" si="44"/>
        <v>0.91822488157566684</v>
      </c>
      <c r="AC64" s="3">
        <f t="shared" ca="1" si="44"/>
        <v>0.9997509960159362</v>
      </c>
      <c r="AE64" s="3">
        <f t="shared" ca="1" si="45"/>
        <v>0.94171858521394092</v>
      </c>
      <c r="AF64" s="3">
        <f t="shared" ca="1" si="45"/>
        <v>0.82993028737396835</v>
      </c>
      <c r="AG64" s="3">
        <f t="shared" ca="1" si="45"/>
        <v>0.86836205162451585</v>
      </c>
      <c r="AH64" s="3">
        <f t="shared" ca="1" si="45"/>
        <v>0.87524898372501492</v>
      </c>
      <c r="AJ64" s="3">
        <f t="shared" ca="1" si="46"/>
        <v>1.7434620174346203</v>
      </c>
      <c r="AK64" s="3">
        <f t="shared" ca="1" si="46"/>
        <v>1.9920318725099602</v>
      </c>
      <c r="AL64" s="3">
        <f t="shared" ca="1" si="46"/>
        <v>1.7452006980802792</v>
      </c>
      <c r="AM64" s="3">
        <f t="shared" ca="1" si="46"/>
        <v>2.4900398406374502</v>
      </c>
      <c r="AO64" s="3">
        <f t="shared" ca="1" si="47"/>
        <v>0.24906600249066005</v>
      </c>
      <c r="AP64" s="3">
        <f t="shared" ca="1" si="47"/>
        <v>0.49800796812749004</v>
      </c>
      <c r="AQ64" s="3">
        <f t="shared" ca="1" si="47"/>
        <v>0.49862877088007979</v>
      </c>
      <c r="AR64" s="3">
        <f t="shared" ca="1" si="47"/>
        <v>0.24900398406374502</v>
      </c>
      <c r="AT64" s="3">
        <v>6.0000000521540642E-3</v>
      </c>
      <c r="AU64" s="3">
        <v>0</v>
      </c>
      <c r="AV64" s="3">
        <v>0</v>
      </c>
      <c r="AW64" s="3">
        <v>3.2999999821186066E-2</v>
      </c>
      <c r="AY64" s="3">
        <f t="shared" ca="1" si="48"/>
        <v>0</v>
      </c>
      <c r="AZ64" s="3">
        <f t="shared" ca="1" si="49"/>
        <v>1.6683266932270877E-2</v>
      </c>
      <c r="BA64" s="3">
        <f t="shared" ca="1" si="50"/>
        <v>7.4794315632011957E-2</v>
      </c>
      <c r="BB64" s="3">
        <f t="shared" ca="1" si="51"/>
        <v>1.2450199203187207E-2</v>
      </c>
      <c r="BD64" s="3">
        <f t="shared" ca="1" si="52"/>
        <v>0</v>
      </c>
      <c r="BE64" s="3">
        <f t="shared" ca="1" si="53"/>
        <v>0</v>
      </c>
      <c r="BF64" s="3">
        <f t="shared" ca="1" si="54"/>
        <v>7.4794318604071042E-2</v>
      </c>
      <c r="BG64" s="3">
        <f t="shared" ca="1" si="55"/>
        <v>0</v>
      </c>
      <c r="BI64" s="3">
        <f t="shared" ca="1" si="56"/>
        <v>0</v>
      </c>
      <c r="BJ64" s="3">
        <f t="shared" ca="1" si="57"/>
        <v>0</v>
      </c>
      <c r="BK64" s="3">
        <f t="shared" ca="1" si="58"/>
        <v>0.24931438544003989</v>
      </c>
      <c r="BL64" s="3">
        <f t="shared" ca="1" si="59"/>
        <v>0</v>
      </c>
      <c r="BN64" s="3">
        <f t="shared" ca="1" si="60"/>
        <v>0</v>
      </c>
      <c r="BO64" s="3">
        <f t="shared" ca="1" si="61"/>
        <v>0.49800796812749004</v>
      </c>
      <c r="BP64" s="3">
        <f t="shared" ca="1" si="62"/>
        <v>0.24931438544003989</v>
      </c>
      <c r="BQ64" s="3">
        <f t="shared" ca="1" si="63"/>
        <v>0.24900398406374502</v>
      </c>
      <c r="BS64" s="3">
        <v>4.0149999999999997</v>
      </c>
      <c r="BT64" s="3">
        <v>4.016</v>
      </c>
      <c r="BU64" s="3">
        <v>0.33300000429153442</v>
      </c>
      <c r="BV64" s="3">
        <v>4.016</v>
      </c>
      <c r="BX64" s="3">
        <f t="shared" ca="1" si="64"/>
        <v>0</v>
      </c>
      <c r="BY64" s="3">
        <f t="shared" ca="1" si="65"/>
        <v>0</v>
      </c>
      <c r="BZ64" s="3">
        <f t="shared" ca="1" si="66"/>
        <v>0</v>
      </c>
      <c r="CA64" s="3">
        <f t="shared" ca="1" si="67"/>
        <v>0</v>
      </c>
      <c r="CC64" s="3">
        <f t="shared" ca="1" si="68"/>
        <v>0</v>
      </c>
      <c r="CD64" s="3">
        <f t="shared" ca="1" si="69"/>
        <v>0</v>
      </c>
      <c r="CE64" s="3">
        <f t="shared" ca="1" si="70"/>
        <v>0</v>
      </c>
      <c r="CF64" s="3">
        <f t="shared" ca="1" si="71"/>
        <v>0</v>
      </c>
      <c r="CH64" s="3">
        <f t="shared" ca="1" si="72"/>
        <v>0</v>
      </c>
      <c r="CI64" s="3">
        <f t="shared" ca="1" si="73"/>
        <v>0</v>
      </c>
      <c r="CJ64" s="3">
        <f t="shared" ca="1" si="74"/>
        <v>0</v>
      </c>
      <c r="CK64" s="3">
        <f t="shared" ca="1" si="75"/>
        <v>0</v>
      </c>
      <c r="CM64" s="3">
        <f t="shared" ca="1" si="76"/>
        <v>0</v>
      </c>
      <c r="CN64" s="3">
        <f t="shared" ca="1" si="77"/>
        <v>0.24900398406374502</v>
      </c>
      <c r="CO64" s="3">
        <f t="shared" ca="1" si="78"/>
        <v>0</v>
      </c>
      <c r="CP64" s="3">
        <f t="shared" ca="1" si="79"/>
        <v>0</v>
      </c>
      <c r="CR64" s="3">
        <v>4.0149999999999997</v>
      </c>
      <c r="CS64" s="3">
        <v>4.016</v>
      </c>
      <c r="CT64" s="3">
        <v>4.0110000000000001</v>
      </c>
      <c r="CU64" s="3">
        <v>4.016</v>
      </c>
      <c r="CV64" s="21">
        <f t="shared" ca="1" si="40"/>
        <v>4.016</v>
      </c>
      <c r="CW64" s="16">
        <f t="shared" ca="1" si="39"/>
        <v>9</v>
      </c>
    </row>
    <row r="65" spans="1:101" s="3" customFormat="1" x14ac:dyDescent="0.35">
      <c r="A65" s="2" t="s">
        <v>56</v>
      </c>
      <c r="B65" s="2">
        <v>9.0833333333333339</v>
      </c>
      <c r="C65" s="2" t="s">
        <v>167</v>
      </c>
      <c r="D65" s="2" t="s">
        <v>403</v>
      </c>
      <c r="F65" s="3" t="e">
        <v>#N/A</v>
      </c>
      <c r="G65" s="3">
        <v>4.0019999999999998</v>
      </c>
      <c r="H65" s="3">
        <v>4.0110000000000001</v>
      </c>
      <c r="I65" s="11" t="e">
        <v>#N/A</v>
      </c>
      <c r="K65" s="3" t="e">
        <f t="shared" ca="1" si="41"/>
        <v>#N/A</v>
      </c>
      <c r="L65" s="3">
        <f t="shared" ca="1" si="41"/>
        <v>0.89505247376311847</v>
      </c>
      <c r="M65" s="3">
        <f t="shared" ca="1" si="41"/>
        <v>0.99301919720767884</v>
      </c>
      <c r="N65" s="3" t="e">
        <f t="shared" ca="1" si="41"/>
        <v>#N/A</v>
      </c>
      <c r="P65" s="3" t="e">
        <f t="shared" ca="1" si="42"/>
        <v>#N/A</v>
      </c>
      <c r="Q65" s="3">
        <f t="shared" ca="1" si="42"/>
        <v>0.83258367520103094</v>
      </c>
      <c r="R65" s="3">
        <f t="shared" ca="1" si="42"/>
        <v>0.90999748651611623</v>
      </c>
      <c r="S65" s="3" t="e">
        <f t="shared" ca="1" si="42"/>
        <v>#N/A</v>
      </c>
      <c r="U65" s="3" t="e">
        <f t="shared" ca="1" si="43"/>
        <v>#N/A</v>
      </c>
      <c r="V65" s="3">
        <f t="shared" ca="1" si="43"/>
        <v>1.4992503748125938</v>
      </c>
      <c r="W65" s="3">
        <f t="shared" ca="1" si="43"/>
        <v>2.4931438544003988</v>
      </c>
      <c r="X65" s="3" t="e">
        <f t="shared" ca="1" si="43"/>
        <v>#N/A</v>
      </c>
      <c r="Z65" s="3" t="e">
        <f t="shared" ca="1" si="44"/>
        <v>#N/A</v>
      </c>
      <c r="AA65" s="3">
        <f t="shared" ca="1" si="44"/>
        <v>0.86181909045477267</v>
      </c>
      <c r="AB65" s="3">
        <f t="shared" ca="1" si="44"/>
        <v>0.99301919720767884</v>
      </c>
      <c r="AC65" s="3" t="e">
        <f t="shared" ca="1" si="44"/>
        <v>#N/A</v>
      </c>
      <c r="AE65" s="3" t="e">
        <f t="shared" ca="1" si="45"/>
        <v>#N/A</v>
      </c>
      <c r="AF65" s="3">
        <f t="shared" ca="1" si="45"/>
        <v>0.83258367520103094</v>
      </c>
      <c r="AG65" s="3">
        <f t="shared" ca="1" si="45"/>
        <v>0.90999748651611623</v>
      </c>
      <c r="AH65" s="3" t="e">
        <f t="shared" ca="1" si="45"/>
        <v>#N/A</v>
      </c>
      <c r="AJ65" s="3" t="e">
        <f t="shared" ca="1" si="46"/>
        <v>#N/A</v>
      </c>
      <c r="AK65" s="3">
        <f t="shared" ca="1" si="46"/>
        <v>1.4992503748125938</v>
      </c>
      <c r="AL65" s="3">
        <f t="shared" ca="1" si="46"/>
        <v>2.4931438544003988</v>
      </c>
      <c r="AM65" s="3" t="e">
        <f t="shared" ca="1" si="46"/>
        <v>#N/A</v>
      </c>
      <c r="AO65" s="3" t="e">
        <f t="shared" ca="1" si="47"/>
        <v>#N/A</v>
      </c>
      <c r="AP65" s="3">
        <f t="shared" ca="1" si="47"/>
        <v>0.49975012493753124</v>
      </c>
      <c r="AQ65" s="3">
        <f t="shared" ca="1" si="47"/>
        <v>0.24931438544003989</v>
      </c>
      <c r="AR65" s="3" t="e">
        <f t="shared" ca="1" si="47"/>
        <v>#N/A</v>
      </c>
      <c r="AT65" s="11" t="e">
        <v>#N/A</v>
      </c>
      <c r="AU65" s="3">
        <v>0.40599998831748962</v>
      </c>
      <c r="AV65" s="3">
        <v>1.6000000759959221E-2</v>
      </c>
      <c r="AW65" s="11" t="e">
        <v>#N/A</v>
      </c>
      <c r="AY65" s="3" t="e">
        <f t="shared" ca="1" si="48"/>
        <v>#N/A</v>
      </c>
      <c r="AZ65" s="3">
        <f t="shared" ca="1" si="49"/>
        <v>0.19165417291354322</v>
      </c>
      <c r="BA65" s="3">
        <f t="shared" ca="1" si="50"/>
        <v>0.2742458239840439</v>
      </c>
      <c r="BB65" s="3" t="e">
        <f t="shared" ca="1" si="51"/>
        <v>#N/A</v>
      </c>
      <c r="BD65" s="3" t="e">
        <f t="shared" ca="1" si="52"/>
        <v>#N/A</v>
      </c>
      <c r="BE65" s="3">
        <f t="shared" ca="1" si="53"/>
        <v>0.16241878464721193</v>
      </c>
      <c r="BF65" s="3">
        <f t="shared" ca="1" si="54"/>
        <v>0.25779105457276424</v>
      </c>
      <c r="BG65" s="3" t="e">
        <f t="shared" ca="1" si="55"/>
        <v>#N/A</v>
      </c>
      <c r="BI65" s="3" t="e">
        <f t="shared" ca="1" si="56"/>
        <v>#N/A</v>
      </c>
      <c r="BJ65" s="3">
        <f t="shared" ca="1" si="57"/>
        <v>0.49975012493753124</v>
      </c>
      <c r="BK65" s="3">
        <f t="shared" ca="1" si="58"/>
        <v>0.74794315632011965</v>
      </c>
      <c r="BL65" s="3" t="e">
        <f t="shared" ca="1" si="59"/>
        <v>#N/A</v>
      </c>
      <c r="BN65" s="3" t="e">
        <f t="shared" ca="1" si="60"/>
        <v>#N/A</v>
      </c>
      <c r="BO65" s="3">
        <f t="shared" ca="1" si="61"/>
        <v>0.49975012493753124</v>
      </c>
      <c r="BP65" s="3">
        <f t="shared" ca="1" si="62"/>
        <v>1.2465719272001994</v>
      </c>
      <c r="BQ65" s="3" t="e">
        <f t="shared" ca="1" si="63"/>
        <v>#N/A</v>
      </c>
      <c r="BS65" s="11" t="e">
        <v>#N/A</v>
      </c>
      <c r="BT65" s="3">
        <v>0.90600001811981201</v>
      </c>
      <c r="BU65" s="3">
        <v>0.33300000429153442</v>
      </c>
      <c r="BV65" s="11" t="e">
        <v>#N/A</v>
      </c>
      <c r="BX65" s="3" t="e">
        <f t="shared" ca="1" si="64"/>
        <v>#N/A</v>
      </c>
      <c r="BY65" s="3">
        <f t="shared" ca="1" si="65"/>
        <v>0.54122938530734632</v>
      </c>
      <c r="BZ65" s="3">
        <f t="shared" ca="1" si="66"/>
        <v>3.7397157816005958E-2</v>
      </c>
      <c r="CA65" s="3" t="e">
        <f t="shared" ca="1" si="67"/>
        <v>#N/A</v>
      </c>
      <c r="CC65" s="3" t="e">
        <f t="shared" ca="1" si="68"/>
        <v>#N/A</v>
      </c>
      <c r="CD65" s="3">
        <f t="shared" ca="1" si="69"/>
        <v>0.5037481042517834</v>
      </c>
      <c r="CE65" s="3">
        <f t="shared" ca="1" si="70"/>
        <v>4.96135332197419E-2</v>
      </c>
      <c r="CF65" s="3" t="e">
        <f t="shared" ca="1" si="71"/>
        <v>#N/A</v>
      </c>
      <c r="CH65" s="3" t="e">
        <f t="shared" ca="1" si="72"/>
        <v>#N/A</v>
      </c>
      <c r="CI65" s="3">
        <f t="shared" ca="1" si="73"/>
        <v>0.24987506246876562</v>
      </c>
      <c r="CJ65" s="3">
        <f t="shared" ca="1" si="74"/>
        <v>0.24931438544003989</v>
      </c>
      <c r="CK65" s="3" t="e">
        <f t="shared" ca="1" si="75"/>
        <v>#N/A</v>
      </c>
      <c r="CM65" s="3" t="e">
        <f t="shared" ca="1" si="76"/>
        <v>#N/A</v>
      </c>
      <c r="CN65" s="3">
        <f t="shared" ca="1" si="77"/>
        <v>0.49975012493753124</v>
      </c>
      <c r="CO65" s="3">
        <f t="shared" ca="1" si="78"/>
        <v>0.24931438544003989</v>
      </c>
      <c r="CP65" s="3" t="e">
        <f t="shared" ca="1" si="79"/>
        <v>#N/A</v>
      </c>
      <c r="CR65" s="11" t="e">
        <v>#N/A</v>
      </c>
      <c r="CS65" s="3">
        <v>1.9220000505447388</v>
      </c>
      <c r="CT65" s="3">
        <v>2.7160000801086426</v>
      </c>
      <c r="CU65" s="11" t="e">
        <v>#N/A</v>
      </c>
      <c r="CV65" s="21" t="e">
        <f t="shared" ca="1" si="40"/>
        <v>#N/A</v>
      </c>
      <c r="CW65" s="16">
        <f t="shared" ca="1" si="39"/>
        <v>9.0833333333333339</v>
      </c>
    </row>
    <row r="66" spans="1:101" s="3" customFormat="1" x14ac:dyDescent="0.35">
      <c r="A66" s="2" t="s">
        <v>5</v>
      </c>
      <c r="B66" s="2">
        <v>9.1666666666666661</v>
      </c>
      <c r="C66" s="2" t="s">
        <v>167</v>
      </c>
      <c r="D66" s="2" t="s">
        <v>403</v>
      </c>
      <c r="F66" s="3">
        <v>4.0149999999999997</v>
      </c>
      <c r="G66" s="3">
        <v>4.0129999999999999</v>
      </c>
      <c r="H66" s="3">
        <v>4.0149999999999997</v>
      </c>
      <c r="I66" s="3">
        <v>4.0149999999999997</v>
      </c>
      <c r="K66" s="3">
        <f t="shared" ca="1" si="41"/>
        <v>0.99601494396014956</v>
      </c>
      <c r="L66" s="3">
        <f t="shared" ca="1" si="41"/>
        <v>0.99651133815100923</v>
      </c>
      <c r="M66" s="3">
        <f t="shared" ca="1" si="41"/>
        <v>0.992029887920299</v>
      </c>
      <c r="N66" s="3">
        <f t="shared" ca="1" si="41"/>
        <v>0.99601494396014956</v>
      </c>
      <c r="P66" s="3">
        <f t="shared" ca="1" si="42"/>
        <v>0.96313825705242939</v>
      </c>
      <c r="Q66" s="3">
        <f t="shared" ca="1" si="42"/>
        <v>0.88836286157678745</v>
      </c>
      <c r="R66" s="3">
        <f t="shared" ca="1" si="42"/>
        <v>0.95417185954443406</v>
      </c>
      <c r="S66" s="3">
        <f t="shared" ca="1" si="42"/>
        <v>0.81320055592271645</v>
      </c>
      <c r="U66" s="3">
        <f t="shared" ca="1" si="43"/>
        <v>2.2415940224159403</v>
      </c>
      <c r="V66" s="3">
        <f t="shared" ca="1" si="43"/>
        <v>2.7410914527784702</v>
      </c>
      <c r="W66" s="3">
        <f t="shared" ca="1" si="43"/>
        <v>2.4906600249066004</v>
      </c>
      <c r="X66" s="3">
        <f t="shared" ca="1" si="43"/>
        <v>2.7397260273972606</v>
      </c>
      <c r="Z66" s="3">
        <f t="shared" ca="1" si="44"/>
        <v>0.99601494396014956</v>
      </c>
      <c r="AA66" s="3">
        <f t="shared" ca="1" si="44"/>
        <v>0.99651133815100923</v>
      </c>
      <c r="AB66" s="3">
        <f t="shared" ca="1" si="44"/>
        <v>0.992029887920299</v>
      </c>
      <c r="AC66" s="3">
        <f t="shared" ca="1" si="44"/>
        <v>0.99601494396014956</v>
      </c>
      <c r="AE66" s="3">
        <f t="shared" ca="1" si="45"/>
        <v>0.96313825705242939</v>
      </c>
      <c r="AF66" s="3">
        <f t="shared" ca="1" si="45"/>
        <v>0.88836286157678745</v>
      </c>
      <c r="AG66" s="3">
        <f t="shared" ca="1" si="45"/>
        <v>0.95417185954443406</v>
      </c>
      <c r="AH66" s="3">
        <f t="shared" ca="1" si="45"/>
        <v>0.81320055592271645</v>
      </c>
      <c r="AJ66" s="3">
        <f t="shared" ca="1" si="46"/>
        <v>2.2415940224159403</v>
      </c>
      <c r="AK66" s="3">
        <f t="shared" ca="1" si="46"/>
        <v>2.7410914527784702</v>
      </c>
      <c r="AL66" s="3">
        <f t="shared" ca="1" si="46"/>
        <v>2.4906600249066004</v>
      </c>
      <c r="AM66" s="3">
        <f t="shared" ca="1" si="46"/>
        <v>2.7397260273972606</v>
      </c>
      <c r="AO66" s="3">
        <f t="shared" ca="1" si="47"/>
        <v>0.24906600249066005</v>
      </c>
      <c r="AP66" s="3">
        <f t="shared" ca="1" si="47"/>
        <v>0.24919013207077001</v>
      </c>
      <c r="AQ66" s="3">
        <f t="shared" ca="1" si="47"/>
        <v>0.24906600249066005</v>
      </c>
      <c r="AR66" s="3">
        <f t="shared" ca="1" si="47"/>
        <v>0.24906600249066005</v>
      </c>
      <c r="AT66" s="3">
        <v>7.0000002160668373E-3</v>
      </c>
      <c r="AU66" s="3">
        <v>1.0000000474974513E-3</v>
      </c>
      <c r="AV66" s="3">
        <v>1.4999999664723873E-2</v>
      </c>
      <c r="AW66" s="3">
        <v>4.0000001899898052E-3</v>
      </c>
      <c r="AY66" s="3">
        <f t="shared" ca="1" si="48"/>
        <v>0.18281444582814443</v>
      </c>
      <c r="AZ66" s="3">
        <f t="shared" ca="1" si="49"/>
        <v>0.35310241714428109</v>
      </c>
      <c r="BA66" s="3">
        <f t="shared" ca="1" si="50"/>
        <v>0.47721046077210472</v>
      </c>
      <c r="BB66" s="3">
        <f t="shared" ca="1" si="51"/>
        <v>0.40697384806973841</v>
      </c>
      <c r="BD66" s="3">
        <f t="shared" ca="1" si="52"/>
        <v>0.19526777795955522</v>
      </c>
      <c r="BE66" s="3">
        <f t="shared" ca="1" si="53"/>
        <v>0.32818336400080172</v>
      </c>
      <c r="BF66" s="3">
        <f t="shared" ca="1" si="54"/>
        <v>0.45230385324318118</v>
      </c>
      <c r="BG66" s="3">
        <f t="shared" ca="1" si="55"/>
        <v>0.34022420310736595</v>
      </c>
      <c r="BI66" s="3">
        <f t="shared" ca="1" si="56"/>
        <v>0.74719800747198017</v>
      </c>
      <c r="BJ66" s="3">
        <f t="shared" ca="1" si="57"/>
        <v>0.74757039621231003</v>
      </c>
      <c r="BK66" s="3">
        <f t="shared" ca="1" si="58"/>
        <v>0.9962640099626402</v>
      </c>
      <c r="BL66" s="3">
        <f t="shared" ca="1" si="59"/>
        <v>1.2453300124533002</v>
      </c>
      <c r="BN66" s="3">
        <f t="shared" ca="1" si="60"/>
        <v>0.74719800747198017</v>
      </c>
      <c r="BO66" s="3">
        <f t="shared" ca="1" si="61"/>
        <v>0.99676052828308004</v>
      </c>
      <c r="BP66" s="3">
        <f t="shared" ca="1" si="62"/>
        <v>1.4943960149439603</v>
      </c>
      <c r="BQ66" s="3">
        <f t="shared" ca="1" si="63"/>
        <v>0.9962640099626402</v>
      </c>
      <c r="BS66" s="3">
        <v>0.37299999594688416</v>
      </c>
      <c r="BT66" s="3">
        <v>1.0000000474974513E-3</v>
      </c>
      <c r="BU66" s="3">
        <v>1.4999999664723873E-2</v>
      </c>
      <c r="BV66" s="3">
        <v>1.753000020980835</v>
      </c>
      <c r="BX66" s="3">
        <f t="shared" ca="1" si="64"/>
        <v>0</v>
      </c>
      <c r="BY66" s="3">
        <f t="shared" ca="1" si="65"/>
        <v>0</v>
      </c>
      <c r="BZ66" s="3">
        <f t="shared" ca="1" si="66"/>
        <v>0</v>
      </c>
      <c r="CA66" s="3">
        <f t="shared" ca="1" si="67"/>
        <v>9.1407222914072231E-2</v>
      </c>
      <c r="CC66" s="3">
        <f t="shared" ca="1" si="68"/>
        <v>0</v>
      </c>
      <c r="CD66" s="3">
        <f t="shared" ca="1" si="69"/>
        <v>0</v>
      </c>
      <c r="CE66" s="3">
        <f t="shared" ca="1" si="70"/>
        <v>0</v>
      </c>
      <c r="CF66" s="3">
        <f t="shared" ca="1" si="71"/>
        <v>0.12851806536112748</v>
      </c>
      <c r="CH66" s="3">
        <f t="shared" ca="1" si="72"/>
        <v>0</v>
      </c>
      <c r="CI66" s="3">
        <f t="shared" ca="1" si="73"/>
        <v>0</v>
      </c>
      <c r="CJ66" s="3">
        <f t="shared" ca="1" si="74"/>
        <v>0</v>
      </c>
      <c r="CK66" s="3">
        <f t="shared" ca="1" si="75"/>
        <v>0.24906600249066005</v>
      </c>
      <c r="CM66" s="3">
        <f t="shared" ca="1" si="76"/>
        <v>0</v>
      </c>
      <c r="CN66" s="3">
        <f t="shared" ca="1" si="77"/>
        <v>0.24919013207077001</v>
      </c>
      <c r="CO66" s="3">
        <f t="shared" ca="1" si="78"/>
        <v>0</v>
      </c>
      <c r="CP66" s="3">
        <f t="shared" ca="1" si="79"/>
        <v>0.24906600249066005</v>
      </c>
      <c r="CR66" s="3">
        <v>4.0149999999999997</v>
      </c>
      <c r="CS66" s="3">
        <v>4.0129999999999999</v>
      </c>
      <c r="CT66" s="3">
        <v>4.0149999999999997</v>
      </c>
      <c r="CU66" s="3">
        <v>1.0870000123977661</v>
      </c>
      <c r="CV66" s="21">
        <f t="shared" ca="1" si="40"/>
        <v>1.0870000123977661</v>
      </c>
      <c r="CW66" s="16">
        <f t="shared" ca="1" si="39"/>
        <v>9.1666666666666661</v>
      </c>
    </row>
    <row r="67" spans="1:101" s="3" customFormat="1" x14ac:dyDescent="0.35">
      <c r="A67" s="2" t="s">
        <v>34</v>
      </c>
      <c r="B67" s="2">
        <v>9.25</v>
      </c>
      <c r="C67" s="2" t="s">
        <v>167</v>
      </c>
      <c r="D67" s="2" t="s">
        <v>403</v>
      </c>
      <c r="F67" s="3">
        <v>4.0140000000000002</v>
      </c>
      <c r="G67" s="3">
        <v>4.016</v>
      </c>
      <c r="H67" s="3">
        <v>4.008</v>
      </c>
      <c r="I67" s="3">
        <v>4.01</v>
      </c>
      <c r="K67" s="3">
        <f t="shared" ca="1" si="41"/>
        <v>0.9920279023418036</v>
      </c>
      <c r="L67" s="3">
        <f t="shared" ca="1" si="41"/>
        <v>0.99576693227091639</v>
      </c>
      <c r="M67" s="3">
        <f t="shared" ca="1" si="41"/>
        <v>0.99376247504990023</v>
      </c>
      <c r="N67" s="3">
        <f t="shared" ca="1" si="41"/>
        <v>0.99725685785536167</v>
      </c>
      <c r="P67" s="3">
        <f t="shared" ca="1" si="42"/>
        <v>0.93821631781626946</v>
      </c>
      <c r="Q67" s="3">
        <f t="shared" ca="1" si="42"/>
        <v>0.81299806771562455</v>
      </c>
      <c r="R67" s="3">
        <f t="shared" ca="1" si="42"/>
        <v>0.95583832294804727</v>
      </c>
      <c r="S67" s="3">
        <f t="shared" ca="1" si="42"/>
        <v>0.78528688063942587</v>
      </c>
      <c r="U67" s="3">
        <f t="shared" ca="1" si="43"/>
        <v>2.9895366218236172</v>
      </c>
      <c r="V67" s="3">
        <f t="shared" ca="1" si="43"/>
        <v>1.4940239043824701</v>
      </c>
      <c r="W67" s="3">
        <f t="shared" ca="1" si="43"/>
        <v>2.4950099800399204</v>
      </c>
      <c r="X67" s="3">
        <f t="shared" ca="1" si="43"/>
        <v>1.9950124688279303</v>
      </c>
      <c r="Z67" s="3">
        <f t="shared" ca="1" si="44"/>
        <v>0.9920279023418036</v>
      </c>
      <c r="AA67" s="3">
        <f t="shared" ca="1" si="44"/>
        <v>0.99576693227091639</v>
      </c>
      <c r="AB67" s="3">
        <f t="shared" ca="1" si="44"/>
        <v>0.99376247504990023</v>
      </c>
      <c r="AC67" s="3">
        <f t="shared" ca="1" si="44"/>
        <v>0.83915211970074821</v>
      </c>
      <c r="AE67" s="3">
        <f t="shared" ca="1" si="45"/>
        <v>0.93821631781626946</v>
      </c>
      <c r="AF67" s="3">
        <f t="shared" ca="1" si="45"/>
        <v>0.81299806771562455</v>
      </c>
      <c r="AG67" s="3">
        <f t="shared" ca="1" si="45"/>
        <v>0.95583832294804727</v>
      </c>
      <c r="AH67" s="3">
        <f t="shared" ca="1" si="45"/>
        <v>0.78528688063942587</v>
      </c>
      <c r="AJ67" s="3">
        <f t="shared" ca="1" si="46"/>
        <v>2.9895366218236172</v>
      </c>
      <c r="AK67" s="3">
        <f t="shared" ca="1" si="46"/>
        <v>1.4940239043824701</v>
      </c>
      <c r="AL67" s="3">
        <f t="shared" ca="1" si="46"/>
        <v>2.4950099800399204</v>
      </c>
      <c r="AM67" s="3">
        <f t="shared" ca="1" si="46"/>
        <v>1.9950124688279303</v>
      </c>
      <c r="AO67" s="3">
        <f t="shared" ca="1" si="47"/>
        <v>0.24912805181863476</v>
      </c>
      <c r="AP67" s="3">
        <f t="shared" ca="1" si="47"/>
        <v>0.24900398406374502</v>
      </c>
      <c r="AQ67" s="3">
        <f t="shared" ca="1" si="47"/>
        <v>0.249500998003992</v>
      </c>
      <c r="AR67" s="3">
        <f t="shared" ca="1" si="47"/>
        <v>0.49875311720698257</v>
      </c>
      <c r="AT67" s="3">
        <v>7.0000002160668373E-3</v>
      </c>
      <c r="AU67" s="3">
        <v>1.4999999664723873E-2</v>
      </c>
      <c r="AV67" s="3">
        <v>1.4000000432133675E-2</v>
      </c>
      <c r="AW67" s="3">
        <v>0</v>
      </c>
      <c r="AY67" s="3">
        <f t="shared" ca="1" si="48"/>
        <v>0.42351768809167906</v>
      </c>
      <c r="AZ67" s="3">
        <f t="shared" ca="1" si="49"/>
        <v>0.63047808764940239</v>
      </c>
      <c r="BA67" s="3">
        <f t="shared" ca="1" si="50"/>
        <v>0.64870259481037917</v>
      </c>
      <c r="BB67" s="3">
        <f t="shared" ca="1" si="51"/>
        <v>0.34039900249376553</v>
      </c>
      <c r="BD67" s="3">
        <f t="shared" ca="1" si="52"/>
        <v>0.40682614235718806</v>
      </c>
      <c r="BE67" s="3">
        <f t="shared" ca="1" si="53"/>
        <v>0.55179287831621815</v>
      </c>
      <c r="BF67" s="3">
        <f t="shared" ca="1" si="54"/>
        <v>0.73552893813022835</v>
      </c>
      <c r="BG67" s="3">
        <f t="shared" ca="1" si="55"/>
        <v>0.31995016737769072</v>
      </c>
      <c r="BI67" s="3">
        <f t="shared" ca="1" si="56"/>
        <v>0.99651220727453904</v>
      </c>
      <c r="BJ67" s="3">
        <f t="shared" ca="1" si="57"/>
        <v>0.74701195219123506</v>
      </c>
      <c r="BK67" s="3">
        <f t="shared" ca="1" si="58"/>
        <v>1.7465069860279441</v>
      </c>
      <c r="BL67" s="3">
        <f t="shared" ca="1" si="59"/>
        <v>0.99750623441396513</v>
      </c>
      <c r="BN67" s="3">
        <f t="shared" ca="1" si="60"/>
        <v>0.74738415545590431</v>
      </c>
      <c r="BO67" s="3">
        <f t="shared" ca="1" si="61"/>
        <v>0.99601593625498008</v>
      </c>
      <c r="BP67" s="3">
        <f t="shared" ca="1" si="62"/>
        <v>0.99800399201596801</v>
      </c>
      <c r="BQ67" s="3">
        <f t="shared" ca="1" si="63"/>
        <v>1.4962593516209477</v>
      </c>
      <c r="BS67" s="3">
        <v>0.52300000190734863</v>
      </c>
      <c r="BT67" s="3">
        <v>1.1139999628067017</v>
      </c>
      <c r="BU67" s="3">
        <v>0.36399999260902405</v>
      </c>
      <c r="BV67" s="3">
        <v>0.44999998807907104</v>
      </c>
      <c r="BX67" s="3">
        <f t="shared" ca="1" si="64"/>
        <v>7.0503238664673618E-2</v>
      </c>
      <c r="BY67" s="3">
        <f t="shared" ca="1" si="65"/>
        <v>0</v>
      </c>
      <c r="BZ67" s="3">
        <f t="shared" ca="1" si="66"/>
        <v>0</v>
      </c>
      <c r="CA67" s="3">
        <f t="shared" ca="1" si="67"/>
        <v>0.24912718204488771</v>
      </c>
      <c r="CC67" s="3">
        <f t="shared" ca="1" si="68"/>
        <v>0.12456402590931738</v>
      </c>
      <c r="CD67" s="3">
        <f t="shared" ca="1" si="69"/>
        <v>0</v>
      </c>
      <c r="CE67" s="3">
        <f t="shared" ca="1" si="70"/>
        <v>0</v>
      </c>
      <c r="CF67" s="3">
        <f t="shared" ca="1" si="71"/>
        <v>0.26583543739413978</v>
      </c>
      <c r="CH67" s="3">
        <f t="shared" ca="1" si="72"/>
        <v>0.24912805181863476</v>
      </c>
      <c r="CI67" s="3">
        <f t="shared" ca="1" si="73"/>
        <v>0</v>
      </c>
      <c r="CJ67" s="3">
        <f t="shared" ca="1" si="74"/>
        <v>0</v>
      </c>
      <c r="CK67" s="3">
        <f t="shared" ca="1" si="75"/>
        <v>0.24937655860349128</v>
      </c>
      <c r="CM67" s="3">
        <f t="shared" ca="1" si="76"/>
        <v>0.24912805181863476</v>
      </c>
      <c r="CN67" s="3">
        <f t="shared" ca="1" si="77"/>
        <v>0</v>
      </c>
      <c r="CO67" s="3">
        <f t="shared" ca="1" si="78"/>
        <v>0</v>
      </c>
      <c r="CP67" s="3">
        <f t="shared" ca="1" si="79"/>
        <v>0.49875311720698257</v>
      </c>
      <c r="CR67" s="3">
        <v>1.8559999465942383</v>
      </c>
      <c r="CS67" s="3">
        <v>4.016</v>
      </c>
      <c r="CT67" s="3">
        <v>4.008</v>
      </c>
      <c r="CU67" s="3">
        <v>1.8669999837875366</v>
      </c>
      <c r="CV67" s="21">
        <f t="shared" ca="1" si="40"/>
        <v>1.8669999837875366</v>
      </c>
      <c r="CW67" s="16">
        <f t="shared" ca="1" si="39"/>
        <v>9.25</v>
      </c>
    </row>
    <row r="68" spans="1:101" s="3" customFormat="1" x14ac:dyDescent="0.35">
      <c r="A68" s="2" t="s">
        <v>43</v>
      </c>
      <c r="B68" s="2">
        <v>9.25</v>
      </c>
      <c r="C68" s="2" t="s">
        <v>168</v>
      </c>
      <c r="D68" s="2" t="s">
        <v>403</v>
      </c>
      <c r="F68" s="3">
        <v>4.01</v>
      </c>
      <c r="G68" s="3">
        <v>4.0060000000000002</v>
      </c>
      <c r="H68" s="3">
        <v>4.01</v>
      </c>
      <c r="I68" s="3">
        <v>4.0149999999999997</v>
      </c>
      <c r="K68" s="3">
        <f t="shared" ref="K68:N99" ca="1" si="80">INDIRECT("'Data_Netteyage'!" &amp; LEFT(ADDRESS(1,COLUMN(),4),LEN(ADDRESS(1,COLUMN(),4))-1) &amp; ROW())/F68</f>
        <v>0.95137157107231918</v>
      </c>
      <c r="L68" s="3">
        <f t="shared" ca="1" si="80"/>
        <v>0.99400898652021963</v>
      </c>
      <c r="M68" s="3">
        <f t="shared" ca="1" si="80"/>
        <v>0.99725685785536167</v>
      </c>
      <c r="N68" s="3">
        <f t="shared" ca="1" si="80"/>
        <v>0.9962640099626402</v>
      </c>
      <c r="P68" s="3">
        <f t="shared" ref="P68:S99" ca="1" si="81">INDIRECT("'Data_Netteyage'!" &amp; LEFT(ADDRESS(1,COLUMN(),4),LEN(ADDRESS(1,COLUMN(),4))-1) &amp; ROW())/F68</f>
        <v>0.87231909600725199</v>
      </c>
      <c r="Q68" s="3">
        <f t="shared" ca="1" si="81"/>
        <v>0.88192714230379221</v>
      </c>
      <c r="R68" s="3">
        <f t="shared" ca="1" si="81"/>
        <v>0.90922692667534977</v>
      </c>
      <c r="S68" s="3">
        <f t="shared" ca="1" si="81"/>
        <v>0.9633872848222147</v>
      </c>
      <c r="U68" s="3">
        <f t="shared" ref="U68:X99" ca="1" si="82">INDIRECT("'Data_Netteyage'!" &amp; LEFT(ADDRESS(1,COLUMN(),4),LEN(ADDRESS(1,COLUMN(),4))-1) &amp; ROW())/F68</f>
        <v>2.9925187032418954</v>
      </c>
      <c r="V68" s="3">
        <f t="shared" ca="1" si="82"/>
        <v>1.7473789316025961</v>
      </c>
      <c r="W68" s="3">
        <f t="shared" ca="1" si="82"/>
        <v>3.491271820448878</v>
      </c>
      <c r="X68" s="3">
        <f t="shared" ca="1" si="82"/>
        <v>0.74719800747198017</v>
      </c>
      <c r="Z68" s="3">
        <f t="shared" ref="Z68:AC99" ca="1" si="83">INDIRECT("'Data_Netteyage'!" &amp; LEFT(ADDRESS(1,COLUMN(),4),LEN(ADDRESS(1,COLUMN(),4))-1) &amp; ROW())/F68</f>
        <v>0.99301745635910221</v>
      </c>
      <c r="AA68" s="3">
        <f t="shared" ca="1" si="83"/>
        <v>0.94408387418871687</v>
      </c>
      <c r="AB68" s="3">
        <f t="shared" ca="1" si="83"/>
        <v>0.99725685785536167</v>
      </c>
      <c r="AC68" s="3">
        <f t="shared" ca="1" si="83"/>
        <v>0.9962640099626402</v>
      </c>
      <c r="AE68" s="3">
        <f t="shared" ref="AE68:AH99" ca="1" si="84">INDIRECT("'Data_Netteyage'!" &amp; LEFT(ADDRESS(1,COLUMN(),4),LEN(ADDRESS(1,COLUMN(),4))-1) &amp; ROW())/F68</f>
        <v>0.87231909600725199</v>
      </c>
      <c r="AF68" s="3">
        <f t="shared" ca="1" si="84"/>
        <v>0.88192714230379221</v>
      </c>
      <c r="AG68" s="3">
        <f t="shared" ca="1" si="84"/>
        <v>0.90922692667534977</v>
      </c>
      <c r="AH68" s="3">
        <f t="shared" ca="1" si="84"/>
        <v>0.9633872848222147</v>
      </c>
      <c r="AJ68" s="3">
        <f t="shared" ref="AJ68:AM99" ca="1" si="85">INDIRECT("'Data_Netteyage'!" &amp; LEFT(ADDRESS(1,COLUMN(),4),LEN(ADDRESS(1,COLUMN(),4))-1) &amp; ROW())/F68</f>
        <v>2.9925187032418954</v>
      </c>
      <c r="AK68" s="3">
        <f t="shared" ca="1" si="85"/>
        <v>1.7473789316025961</v>
      </c>
      <c r="AL68" s="3">
        <f t="shared" ca="1" si="85"/>
        <v>3.491271820448878</v>
      </c>
      <c r="AM68" s="3">
        <f t="shared" ca="1" si="85"/>
        <v>0.74719800747198017</v>
      </c>
      <c r="AO68" s="3">
        <f t="shared" ref="AO68:AR99" ca="1" si="86">INDIRECT("'Data_Netteyage'!" &amp; LEFT(ADDRESS(1,COLUMN(),4),LEN(ADDRESS(1,COLUMN(),4))-1) &amp; ROW())/F68</f>
        <v>0.24937655860349128</v>
      </c>
      <c r="AP68" s="3">
        <f t="shared" ca="1" si="86"/>
        <v>0.49925112331502741</v>
      </c>
      <c r="AQ68" s="3">
        <f t="shared" ca="1" si="86"/>
        <v>0.24937655860349128</v>
      </c>
      <c r="AR68" s="3">
        <f t="shared" ca="1" si="86"/>
        <v>0.24906600249066005</v>
      </c>
      <c r="AT68" s="3">
        <v>1.9999999552965164E-2</v>
      </c>
      <c r="AU68" s="3">
        <v>9.9999997764825821E-3</v>
      </c>
      <c r="AV68" s="3">
        <v>4.0000001899898052E-3</v>
      </c>
      <c r="AW68" s="3">
        <v>1.0999999940395355E-2</v>
      </c>
      <c r="AY68" s="3">
        <f t="shared" ref="AY68:AY99" ca="1" si="87">INDIRECT("'Data_Netteyage'!" &amp; LEFT(ADDRESS(1,COLUMN(),4),LEN(ADDRESS(1,COLUMN(),4))-1) &amp; ROW())/F68</f>
        <v>0.427930174563591</v>
      </c>
      <c r="AZ68" s="3">
        <f t="shared" ref="AZ68:AZ99" ca="1" si="88">INDIRECT("'Data_Netteyage'!" &amp; LEFT(ADDRESS(1,COLUMN(),4),LEN(ADDRESS(1,COLUMN(),4))-1) &amp; ROW())/G68</f>
        <v>0.84023964053919109</v>
      </c>
      <c r="BA68" s="3">
        <f t="shared" ref="BA68:BA99" ca="1" si="89">INDIRECT("'Data_Netteyage'!" &amp; LEFT(ADDRESS(1,COLUMN(),4),LEN(ADDRESS(1,COLUMN(),4))-1) &amp; ROW())/H68</f>
        <v>0.47356608478803003</v>
      </c>
      <c r="BB68" s="3">
        <f t="shared" ref="BB68:BB99" ca="1" si="90">INDIRECT("'Data_Netteyage'!" &amp; LEFT(ADDRESS(1,COLUMN(),4),LEN(ADDRESS(1,COLUMN(),4))-1) &amp; ROW())/I68</f>
        <v>0.96737235367372365</v>
      </c>
      <c r="BD68" s="3">
        <f t="shared" ref="BD68:BD99" ca="1" si="91">INDIRECT("'Data_Netteyage'!" &amp; LEFT(ADDRESS(1,COLUMN(),4),LEN(ADDRESS(1,COLUMN(),4))-1) &amp; ROW())/F68</f>
        <v>0.39052365723988064</v>
      </c>
      <c r="BE68" s="3">
        <f t="shared" ref="BE68:BE99" ca="1" si="92">INDIRECT("'Data_Netteyage'!" &amp; LEFT(ADDRESS(1,COLUMN(),4),LEN(ADDRESS(1,COLUMN(),4))-1) &amp; ROW())/G68</f>
        <v>0.85696458018650368</v>
      </c>
      <c r="BF68" s="3">
        <f t="shared" ref="BF68:BF99" ca="1" si="93">INDIRECT("'Data_Netteyage'!" &amp; LEFT(ADDRESS(1,COLUMN(),4),LEN(ADDRESS(1,COLUMN(),4))-1) &amp; ROW())/H68</f>
        <v>0.43167085619062706</v>
      </c>
      <c r="BG68" s="3">
        <f t="shared" ref="BG68:BG99" ca="1" si="94">INDIRECT("'Data_Netteyage'!" &amp; LEFT(ADDRESS(1,COLUMN(),4),LEN(ADDRESS(1,COLUMN(),4))-1) &amp; ROW())/I68</f>
        <v>0.9633872848222147</v>
      </c>
      <c r="BI68" s="3">
        <f t="shared" ref="BI68:BI99" ca="1" si="95">INDIRECT("'Data_Netteyage'!" &amp; LEFT(ADDRESS(1,COLUMN(),4),LEN(ADDRESS(1,COLUMN(),4))-1) &amp; ROW())/F68</f>
        <v>0.99750623441396513</v>
      </c>
      <c r="BJ68" s="3">
        <f t="shared" ref="BJ68:BJ99" ca="1" si="96">INDIRECT("'Data_Netteyage'!" &amp; LEFT(ADDRESS(1,COLUMN(),4),LEN(ADDRESS(1,COLUMN(),4))-1) &amp; ROW())/G68</f>
        <v>1.4977533699450822</v>
      </c>
      <c r="BK68" s="3">
        <f t="shared" ref="BK68:BK99" ca="1" si="97">INDIRECT("'Data_Netteyage'!" &amp; LEFT(ADDRESS(1,COLUMN(),4),LEN(ADDRESS(1,COLUMN(),4))-1) &amp; ROW())/H68</f>
        <v>1.4962593516209477</v>
      </c>
      <c r="BL68" s="3">
        <f t="shared" ref="BL68:BL99" ca="1" si="98">INDIRECT("'Data_Netteyage'!" &amp; LEFT(ADDRESS(1,COLUMN(),4),LEN(ADDRESS(1,COLUMN(),4))-1) &amp; ROW())/I68</f>
        <v>0.74719800747198017</v>
      </c>
      <c r="BN68" s="3">
        <f t="shared" ref="BN68:BN99" ca="1" si="99">INDIRECT("'Data_Netteyage'!" &amp; LEFT(ADDRESS(1,COLUMN(),4),LEN(ADDRESS(1,COLUMN(),4))-1) &amp; ROW())/F68</f>
        <v>1.9950124688279303</v>
      </c>
      <c r="BO68" s="3">
        <f t="shared" ref="BO68:BO99" ca="1" si="100">INDIRECT("'Data_Netteyage'!" &amp; LEFT(ADDRESS(1,COLUMN(),4),LEN(ADDRESS(1,COLUMN(),4))-1) &amp; ROW())/G68</f>
        <v>0.99850224663005482</v>
      </c>
      <c r="BP68" s="3">
        <f t="shared" ref="BP68:BP99" ca="1" si="101">INDIRECT("'Data_Netteyage'!" &amp; LEFT(ADDRESS(1,COLUMN(),4),LEN(ADDRESS(1,COLUMN(),4))-1) &amp; ROW())/H68</f>
        <v>0.99750623441396513</v>
      </c>
      <c r="BQ68" s="3">
        <f t="shared" ref="BQ68:BQ99" ca="1" si="102">INDIRECT("'Data_Netteyage'!" &amp; LEFT(ADDRESS(1,COLUMN(),4),LEN(ADDRESS(1,COLUMN(),4))-1) &amp; ROW())/I68</f>
        <v>0.4981320049813201</v>
      </c>
      <c r="BS68" s="3">
        <v>1.1859999895095825</v>
      </c>
      <c r="BT68" s="3">
        <v>9.9999997764825821E-3</v>
      </c>
      <c r="BU68" s="3">
        <v>4.0000001899898052E-3</v>
      </c>
      <c r="BV68" s="3">
        <v>1.0999999940395355E-2</v>
      </c>
      <c r="BX68" s="3">
        <f t="shared" ref="BX68:BX99" ca="1" si="103">INDIRECT("'Data_Netteyage'!" &amp; LEFT(ADDRESS(1,COLUMN(),4),LEN(ADDRESS(1,COLUMN(),4))-1) &amp; ROW())/F68</f>
        <v>2.094763092269326E-2</v>
      </c>
      <c r="BY68" s="3">
        <f t="shared" ref="BY68:BY99" ca="1" si="104">INDIRECT("'Data_Netteyage'!" &amp; LEFT(ADDRESS(1,COLUMN(),4),LEN(ADDRESS(1,COLUMN(),4))-1) &amp; ROW())/G68</f>
        <v>0</v>
      </c>
      <c r="BZ68" s="3">
        <f t="shared" ref="BZ68:BZ99" ca="1" si="105">INDIRECT("'Data_Netteyage'!" &amp; LEFT(ADDRESS(1,COLUMN(),4),LEN(ADDRESS(1,COLUMN(),4))-1) &amp; ROW())/H68</f>
        <v>0.13291770573566095</v>
      </c>
      <c r="CA68" s="3">
        <f t="shared" ref="CA68:CA99" ca="1" si="106">INDIRECT("'Data_Netteyage'!" &amp; LEFT(ADDRESS(1,COLUMN(),4),LEN(ADDRESS(1,COLUMN(),4))-1) &amp; ROW())/I68</f>
        <v>0</v>
      </c>
      <c r="CC68" s="3">
        <f t="shared" ref="CC68:CC99" ca="1" si="107">INDIRECT("'Data_Netteyage'!" &amp; LEFT(ADDRESS(1,COLUMN(),4),LEN(ADDRESS(1,COLUMN(),4))-1) &amp; ROW())/F68</f>
        <v>0</v>
      </c>
      <c r="CD68" s="3">
        <f t="shared" ref="CD68:CD99" ca="1" si="108">INDIRECT("'Data_Netteyage'!" &amp; LEFT(ADDRESS(1,COLUMN(),4),LEN(ADDRESS(1,COLUMN(),4))-1) &amp; ROW())/G68</f>
        <v>0</v>
      </c>
      <c r="CE68" s="3">
        <f t="shared" ref="CE68:CE99" ca="1" si="109">INDIRECT("'Data_Netteyage'!" &amp; LEFT(ADDRESS(1,COLUMN(),4),LEN(ADDRESS(1,COLUMN(),4))-1) &amp; ROW())/H68</f>
        <v>0.15785527645501116</v>
      </c>
      <c r="CF68" s="3">
        <f t="shared" ref="CF68:CF99" ca="1" si="110">INDIRECT("'Data_Netteyage'!" &amp; LEFT(ADDRESS(1,COLUMN(),4),LEN(ADDRESS(1,COLUMN(),4))-1) &amp; ROW())/I68</f>
        <v>0</v>
      </c>
      <c r="CH68" s="3">
        <f t="shared" ref="CH68:CH99" ca="1" si="111">INDIRECT("'Data_Netteyage'!" &amp; LEFT(ADDRESS(1,COLUMN(),4),LEN(ADDRESS(1,COLUMN(),4))-1) &amp; ROW())/F68</f>
        <v>0</v>
      </c>
      <c r="CI68" s="3">
        <f t="shared" ref="CI68:CI99" ca="1" si="112">INDIRECT("'Data_Netteyage'!" &amp; LEFT(ADDRESS(1,COLUMN(),4),LEN(ADDRESS(1,COLUMN(),4))-1) &amp; ROW())/G68</f>
        <v>0</v>
      </c>
      <c r="CJ68" s="3">
        <f t="shared" ref="CJ68:CJ99" ca="1" si="113">INDIRECT("'Data_Netteyage'!" &amp; LEFT(ADDRESS(1,COLUMN(),4),LEN(ADDRESS(1,COLUMN(),4))-1) &amp; ROW())/H68</f>
        <v>0.74812967581047385</v>
      </c>
      <c r="CK68" s="3">
        <f t="shared" ref="CK68:CK99" ca="1" si="114">INDIRECT("'Data_Netteyage'!" &amp; LEFT(ADDRESS(1,COLUMN(),4),LEN(ADDRESS(1,COLUMN(),4))-1) &amp; ROW())/I68</f>
        <v>0</v>
      </c>
      <c r="CM68" s="3">
        <f t="shared" ref="CM68:CM99" ca="1" si="115">INDIRECT("'Data_Netteyage'!" &amp; LEFT(ADDRESS(1,COLUMN(),4),LEN(ADDRESS(1,COLUMN(),4))-1) &amp; ROW())/F68</f>
        <v>0.24937655860349128</v>
      </c>
      <c r="CN68" s="3">
        <f t="shared" ref="CN68:CN99" ca="1" si="116">INDIRECT("'Data_Netteyage'!" &amp; LEFT(ADDRESS(1,COLUMN(),4),LEN(ADDRESS(1,COLUMN(),4))-1) &amp; ROW())/G68</f>
        <v>0</v>
      </c>
      <c r="CO68" s="3">
        <f t="shared" ref="CO68:CO99" ca="1" si="117">INDIRECT("'Data_Netteyage'!" &amp; LEFT(ADDRESS(1,COLUMN(),4),LEN(ADDRESS(1,COLUMN(),4))-1) &amp; ROW())/H68</f>
        <v>0.49875311720698257</v>
      </c>
      <c r="CP68" s="3">
        <f t="shared" ref="CP68:CP99" ca="1" si="118">INDIRECT("'Data_Netteyage'!" &amp; LEFT(ADDRESS(1,COLUMN(),4),LEN(ADDRESS(1,COLUMN(),4))-1) &amp; ROW())/I68</f>
        <v>0</v>
      </c>
      <c r="CR68" s="3">
        <v>4.01</v>
      </c>
      <c r="CS68" s="3">
        <v>4.0060000000000002</v>
      </c>
      <c r="CT68" s="3">
        <v>1.6369999647140503</v>
      </c>
      <c r="CU68" s="3">
        <v>4.0149999999999997</v>
      </c>
      <c r="CV68" s="21">
        <f t="shared" ca="1" si="40"/>
        <v>4.0149999999999997</v>
      </c>
      <c r="CW68" s="16">
        <f t="shared" ca="1" si="39"/>
        <v>9.25</v>
      </c>
    </row>
    <row r="69" spans="1:101" s="3" customFormat="1" x14ac:dyDescent="0.35">
      <c r="A69" s="2" t="s">
        <v>46</v>
      </c>
      <c r="B69" s="2">
        <v>9.4166666666666661</v>
      </c>
      <c r="C69" s="2" t="s">
        <v>168</v>
      </c>
      <c r="D69" s="2" t="s">
        <v>403</v>
      </c>
      <c r="F69" s="3">
        <v>4.0110000000000001</v>
      </c>
      <c r="G69" s="3">
        <v>4.0019999999999998</v>
      </c>
      <c r="H69" s="3">
        <v>4.0049999999999999</v>
      </c>
      <c r="I69" s="3">
        <v>4.0110000000000001</v>
      </c>
      <c r="K69" s="3">
        <f t="shared" ca="1" si="80"/>
        <v>0.99700822737471939</v>
      </c>
      <c r="L69" s="3">
        <f t="shared" ca="1" si="80"/>
        <v>0.99500249875062463</v>
      </c>
      <c r="M69" s="3">
        <f t="shared" ca="1" si="80"/>
        <v>0.99450686641697883</v>
      </c>
      <c r="N69" s="3">
        <f t="shared" ca="1" si="80"/>
        <v>0.88481675392670167</v>
      </c>
      <c r="P69" s="3">
        <f t="shared" ca="1" si="81"/>
        <v>0.89728245785637728</v>
      </c>
      <c r="Q69" s="3">
        <f t="shared" ca="1" si="81"/>
        <v>0.89105453783425614</v>
      </c>
      <c r="R69" s="3">
        <f t="shared" ca="1" si="81"/>
        <v>0.83171037884984866</v>
      </c>
      <c r="S69" s="3">
        <f t="shared" ca="1" si="81"/>
        <v>0.79705801517759522</v>
      </c>
      <c r="U69" s="3">
        <f t="shared" ca="1" si="82"/>
        <v>2.2438294689603588</v>
      </c>
      <c r="V69" s="3">
        <f t="shared" ca="1" si="82"/>
        <v>2.4987506246876565</v>
      </c>
      <c r="W69" s="3">
        <f t="shared" ca="1" si="82"/>
        <v>1.9975031210986267</v>
      </c>
      <c r="X69" s="3">
        <f t="shared" ca="1" si="82"/>
        <v>1.4958863126402393</v>
      </c>
      <c r="Z69" s="3">
        <f t="shared" ca="1" si="83"/>
        <v>0.95113438045375209</v>
      </c>
      <c r="AA69" s="3">
        <f t="shared" ca="1" si="83"/>
        <v>0.97001499250374812</v>
      </c>
      <c r="AB69" s="3">
        <f t="shared" ca="1" si="83"/>
        <v>0.97378277153558068</v>
      </c>
      <c r="AC69" s="3">
        <f t="shared" ca="1" si="83"/>
        <v>0.88481675392670167</v>
      </c>
      <c r="AE69" s="3">
        <f t="shared" ca="1" si="84"/>
        <v>0.89728245785637728</v>
      </c>
      <c r="AF69" s="3">
        <f t="shared" ca="1" si="84"/>
        <v>0.89105453783425614</v>
      </c>
      <c r="AG69" s="3">
        <f t="shared" ca="1" si="84"/>
        <v>0.83171037884984866</v>
      </c>
      <c r="AH69" s="3">
        <f t="shared" ca="1" si="84"/>
        <v>0.79705801517759522</v>
      </c>
      <c r="AJ69" s="3">
        <f t="shared" ca="1" si="85"/>
        <v>2.2438294689603588</v>
      </c>
      <c r="AK69" s="3">
        <f t="shared" ca="1" si="85"/>
        <v>2.4987506246876565</v>
      </c>
      <c r="AL69" s="3">
        <f t="shared" ca="1" si="85"/>
        <v>1.9975031210986267</v>
      </c>
      <c r="AM69" s="3">
        <f t="shared" ca="1" si="85"/>
        <v>1.4958863126402393</v>
      </c>
      <c r="AO69" s="3">
        <f t="shared" ca="1" si="86"/>
        <v>0.74794315632011965</v>
      </c>
      <c r="AP69" s="3">
        <f t="shared" ca="1" si="86"/>
        <v>0.49975012493753124</v>
      </c>
      <c r="AQ69" s="3">
        <f t="shared" ca="1" si="86"/>
        <v>0.49937578027465668</v>
      </c>
      <c r="AR69" s="3">
        <f t="shared" ca="1" si="86"/>
        <v>0.24931438544003989</v>
      </c>
      <c r="AT69" s="3">
        <v>3.0000000260770321E-3</v>
      </c>
      <c r="AU69" s="3">
        <v>1.0999999940395355E-2</v>
      </c>
      <c r="AV69" s="3">
        <v>1.0999999940395355E-2</v>
      </c>
      <c r="AW69" s="3">
        <v>0.40599998831748962</v>
      </c>
      <c r="AY69" s="3">
        <f t="shared" ca="1" si="87"/>
        <v>0.56893542757417093</v>
      </c>
      <c r="AZ69" s="3">
        <f t="shared" ca="1" si="88"/>
        <v>0.63693153423288362</v>
      </c>
      <c r="BA69" s="3">
        <f t="shared" ca="1" si="89"/>
        <v>0.31210986267166052</v>
      </c>
      <c r="BB69" s="3">
        <f t="shared" ca="1" si="90"/>
        <v>0.51084517576664179</v>
      </c>
      <c r="BD69" s="3">
        <f t="shared" ca="1" si="91"/>
        <v>0.53203689936122167</v>
      </c>
      <c r="BE69" s="3">
        <f t="shared" ca="1" si="92"/>
        <v>0.73738137203297105</v>
      </c>
      <c r="BF69" s="3">
        <f t="shared" ca="1" si="93"/>
        <v>0.34531835610798089</v>
      </c>
      <c r="BG69" s="3">
        <f t="shared" ca="1" si="94"/>
        <v>0.53976561267665424</v>
      </c>
      <c r="BI69" s="3">
        <f t="shared" ca="1" si="95"/>
        <v>1.2465719272001994</v>
      </c>
      <c r="BJ69" s="3">
        <f t="shared" ca="1" si="96"/>
        <v>1.7491254372813594</v>
      </c>
      <c r="BK69" s="3">
        <f t="shared" ca="1" si="97"/>
        <v>0.49937578027465668</v>
      </c>
      <c r="BL69" s="3">
        <f t="shared" ca="1" si="98"/>
        <v>0.99725754176015957</v>
      </c>
      <c r="BN69" s="3">
        <f t="shared" ca="1" si="99"/>
        <v>1.2465719272001994</v>
      </c>
      <c r="BO69" s="3">
        <f t="shared" ca="1" si="100"/>
        <v>1.2493753123438283</v>
      </c>
      <c r="BP69" s="3">
        <f t="shared" ca="1" si="101"/>
        <v>1.4981273408239701</v>
      </c>
      <c r="BQ69" s="3">
        <f t="shared" ca="1" si="102"/>
        <v>0.74794315632011965</v>
      </c>
      <c r="BS69" s="3">
        <v>0.28600001335144043</v>
      </c>
      <c r="BT69" s="3">
        <v>1.0999999940395355E-2</v>
      </c>
      <c r="BU69" s="3">
        <v>1.8609999418258667</v>
      </c>
      <c r="BV69" s="3">
        <v>0.40599998831748962</v>
      </c>
      <c r="BX69" s="3">
        <f t="shared" ca="1" si="103"/>
        <v>0</v>
      </c>
      <c r="BY69" s="3">
        <f t="shared" ca="1" si="104"/>
        <v>0</v>
      </c>
      <c r="BZ69" s="3">
        <f t="shared" ca="1" si="105"/>
        <v>9.5630461922596763E-2</v>
      </c>
      <c r="CA69" s="3">
        <f t="shared" ca="1" si="106"/>
        <v>0</v>
      </c>
      <c r="CC69" s="3">
        <f t="shared" ca="1" si="107"/>
        <v>0</v>
      </c>
      <c r="CD69" s="3">
        <f t="shared" ca="1" si="108"/>
        <v>0</v>
      </c>
      <c r="CE69" s="3">
        <f t="shared" ca="1" si="109"/>
        <v>8.7141067943025327E-2</v>
      </c>
      <c r="CF69" s="3">
        <f t="shared" ca="1" si="110"/>
        <v>0</v>
      </c>
      <c r="CH69" s="3">
        <f t="shared" ca="1" si="111"/>
        <v>0</v>
      </c>
      <c r="CI69" s="3">
        <f t="shared" ca="1" si="112"/>
        <v>0</v>
      </c>
      <c r="CJ69" s="3">
        <f t="shared" ca="1" si="113"/>
        <v>0.24968789013732834</v>
      </c>
      <c r="CK69" s="3">
        <f t="shared" ca="1" si="114"/>
        <v>0</v>
      </c>
      <c r="CM69" s="3">
        <f t="shared" ca="1" si="115"/>
        <v>0</v>
      </c>
      <c r="CN69" s="3">
        <f t="shared" ca="1" si="116"/>
        <v>0</v>
      </c>
      <c r="CO69" s="3">
        <f t="shared" ca="1" si="117"/>
        <v>0.49937578027465668</v>
      </c>
      <c r="CP69" s="3">
        <f t="shared" ca="1" si="118"/>
        <v>0</v>
      </c>
      <c r="CR69" s="3">
        <v>4.0110000000000001</v>
      </c>
      <c r="CS69" s="3">
        <v>4.0019999999999998</v>
      </c>
      <c r="CT69" s="3">
        <v>0.77799999713897705</v>
      </c>
      <c r="CU69" s="3">
        <v>4.0110000000000001</v>
      </c>
      <c r="CV69" s="21">
        <f t="shared" ca="1" si="40"/>
        <v>4.0110000000000001</v>
      </c>
      <c r="CW69" s="16">
        <f t="shared" ref="CW69:CW132" ca="1" si="119">INDIRECT("Graphique_interactif_Param"&amp;"!B"&amp;ROW())</f>
        <v>9.4166666666666661</v>
      </c>
    </row>
    <row r="70" spans="1:101" s="3" customFormat="1" x14ac:dyDescent="0.35">
      <c r="A70" s="2" t="s">
        <v>8</v>
      </c>
      <c r="B70" s="2">
        <v>9.5</v>
      </c>
      <c r="C70" s="2" t="s">
        <v>168</v>
      </c>
      <c r="D70" s="2" t="s">
        <v>403</v>
      </c>
      <c r="F70" s="3">
        <v>4.032</v>
      </c>
      <c r="G70" s="3">
        <v>4.0149999999999997</v>
      </c>
      <c r="H70" s="11" t="e">
        <v>#N/A</v>
      </c>
      <c r="I70" s="3">
        <v>4.016</v>
      </c>
      <c r="K70" s="3">
        <f t="shared" ca="1" si="80"/>
        <v>0.99578373015873012</v>
      </c>
      <c r="L70" s="3">
        <f t="shared" ca="1" si="80"/>
        <v>0.99601494396014945</v>
      </c>
      <c r="M70" s="3" t="e">
        <f t="shared" ca="1" si="80"/>
        <v>#N/A</v>
      </c>
      <c r="N70" s="3">
        <f t="shared" ca="1" si="80"/>
        <v>0.99178286852589637</v>
      </c>
      <c r="P70" s="3">
        <f t="shared" ca="1" si="81"/>
        <v>0.50843256897115641</v>
      </c>
      <c r="Q70" s="3">
        <f t="shared" ca="1" si="81"/>
        <v>0.73399748282036192</v>
      </c>
      <c r="R70" s="3" t="e">
        <f t="shared" ca="1" si="81"/>
        <v>#N/A</v>
      </c>
      <c r="S70" s="3">
        <f t="shared" ca="1" si="81"/>
        <v>0.32793825484841943</v>
      </c>
      <c r="U70" s="3">
        <f t="shared" ca="1" si="82"/>
        <v>2.9761904761904763</v>
      </c>
      <c r="V70" s="3">
        <f t="shared" ca="1" si="82"/>
        <v>3.4869240348692405</v>
      </c>
      <c r="W70" s="3" t="e">
        <f t="shared" ca="1" si="82"/>
        <v>#N/A</v>
      </c>
      <c r="X70" s="3">
        <f t="shared" ca="1" si="82"/>
        <v>1.9920318725099602</v>
      </c>
      <c r="Z70" s="3">
        <f t="shared" ca="1" si="83"/>
        <v>0.99578373015873012</v>
      </c>
      <c r="AA70" s="3">
        <f t="shared" ca="1" si="83"/>
        <v>0.9628891656288916</v>
      </c>
      <c r="AB70" s="3" t="e">
        <f t="shared" ca="1" si="83"/>
        <v>#N/A</v>
      </c>
      <c r="AC70" s="3">
        <f t="shared" ca="1" si="83"/>
        <v>0.9711155378486056</v>
      </c>
      <c r="AE70" s="3">
        <f t="shared" ca="1" si="84"/>
        <v>0.50843256897115641</v>
      </c>
      <c r="AF70" s="3">
        <f t="shared" ca="1" si="84"/>
        <v>0.73399748282036192</v>
      </c>
      <c r="AG70" s="3" t="e">
        <f t="shared" ca="1" si="84"/>
        <v>#N/A</v>
      </c>
      <c r="AH70" s="3">
        <f t="shared" ca="1" si="84"/>
        <v>0.32793825484841943</v>
      </c>
      <c r="AJ70" s="3">
        <f t="shared" ca="1" si="85"/>
        <v>2.9761904761904763</v>
      </c>
      <c r="AK70" s="3">
        <f t="shared" ca="1" si="85"/>
        <v>3.4869240348692405</v>
      </c>
      <c r="AL70" s="3" t="e">
        <f t="shared" ca="1" si="85"/>
        <v>#N/A</v>
      </c>
      <c r="AM70" s="3">
        <f t="shared" ca="1" si="85"/>
        <v>1.9920318725099602</v>
      </c>
      <c r="AO70" s="3">
        <f t="shared" ca="1" si="86"/>
        <v>0.24801587301587302</v>
      </c>
      <c r="AP70" s="3">
        <f t="shared" ca="1" si="86"/>
        <v>1.2453300124533002</v>
      </c>
      <c r="AQ70" s="3" t="e">
        <f t="shared" ca="1" si="86"/>
        <v>#N/A</v>
      </c>
      <c r="AR70" s="3">
        <f t="shared" ca="1" si="86"/>
        <v>0.74701195219123506</v>
      </c>
      <c r="AT70" s="3">
        <v>1.6000000759959221E-2</v>
      </c>
      <c r="AU70" s="3">
        <v>8.0000003799796104E-3</v>
      </c>
      <c r="AV70" s="11" t="e">
        <v>#N/A</v>
      </c>
      <c r="AW70" s="3">
        <v>0.34099999070167542</v>
      </c>
      <c r="AY70" s="3">
        <f t="shared" ca="1" si="87"/>
        <v>0.20287698412698402</v>
      </c>
      <c r="AZ70" s="3">
        <f t="shared" ca="1" si="88"/>
        <v>0.19900373599003734</v>
      </c>
      <c r="BA70" s="3" t="e">
        <f t="shared" ca="1" si="89"/>
        <v>#N/A</v>
      </c>
      <c r="BB70" s="3">
        <f t="shared" ca="1" si="90"/>
        <v>0.14143426294820724</v>
      </c>
      <c r="BD70" s="3">
        <f t="shared" ca="1" si="91"/>
        <v>0.11979167660077412</v>
      </c>
      <c r="BE70" s="3">
        <f t="shared" ca="1" si="92"/>
        <v>0.19476963009958992</v>
      </c>
      <c r="BF70" s="3" t="e">
        <f t="shared" ca="1" si="93"/>
        <v>#N/A</v>
      </c>
      <c r="BG70" s="3">
        <f t="shared" ca="1" si="94"/>
        <v>0.13296816690984475</v>
      </c>
      <c r="BI70" s="3">
        <f t="shared" ca="1" si="95"/>
        <v>0.49603174603174605</v>
      </c>
      <c r="BJ70" s="3">
        <f t="shared" ca="1" si="96"/>
        <v>0.9962640099626402</v>
      </c>
      <c r="BK70" s="3" t="e">
        <f t="shared" ca="1" si="97"/>
        <v>#N/A</v>
      </c>
      <c r="BL70" s="3">
        <f t="shared" ca="1" si="98"/>
        <v>0.74701195219123506</v>
      </c>
      <c r="BN70" s="3">
        <f t="shared" ca="1" si="99"/>
        <v>4.9603174603174605</v>
      </c>
      <c r="BO70" s="3">
        <f t="shared" ca="1" si="100"/>
        <v>2.7397260273972606</v>
      </c>
      <c r="BP70" s="3" t="e">
        <f t="shared" ca="1" si="101"/>
        <v>#N/A</v>
      </c>
      <c r="BQ70" s="3">
        <f t="shared" ca="1" si="102"/>
        <v>2.9880478087649402</v>
      </c>
      <c r="BS70" s="3">
        <v>1.1150000095367432</v>
      </c>
      <c r="BT70" s="3">
        <v>0.45800000429153442</v>
      </c>
      <c r="BU70" s="11" t="e">
        <v>#N/A</v>
      </c>
      <c r="BV70" s="3">
        <v>2.5739998817443848</v>
      </c>
      <c r="BX70" s="3">
        <f t="shared" ca="1" si="103"/>
        <v>5.7787698412698325E-2</v>
      </c>
      <c r="BY70" s="3">
        <f t="shared" ca="1" si="104"/>
        <v>0</v>
      </c>
      <c r="BZ70" s="3" t="e">
        <f t="shared" ca="1" si="105"/>
        <v>#N/A</v>
      </c>
      <c r="CA70" s="3">
        <f t="shared" ca="1" si="106"/>
        <v>0</v>
      </c>
      <c r="CC70" s="3">
        <f t="shared" ca="1" si="107"/>
        <v>3.7202404605017766E-2</v>
      </c>
      <c r="CD70" s="3">
        <f t="shared" ca="1" si="108"/>
        <v>0</v>
      </c>
      <c r="CE70" s="3" t="e">
        <f t="shared" ca="1" si="109"/>
        <v>#N/A</v>
      </c>
      <c r="CF70" s="3">
        <f t="shared" ca="1" si="110"/>
        <v>0</v>
      </c>
      <c r="CH70" s="3">
        <f t="shared" ca="1" si="111"/>
        <v>0.24801587301587302</v>
      </c>
      <c r="CI70" s="3">
        <f t="shared" ca="1" si="112"/>
        <v>0</v>
      </c>
      <c r="CJ70" s="3" t="e">
        <f t="shared" ca="1" si="113"/>
        <v>#N/A</v>
      </c>
      <c r="CK70" s="3">
        <f t="shared" ca="1" si="114"/>
        <v>0</v>
      </c>
      <c r="CM70" s="3">
        <f t="shared" ca="1" si="115"/>
        <v>0.99206349206349209</v>
      </c>
      <c r="CN70" s="3">
        <f t="shared" ca="1" si="116"/>
        <v>0</v>
      </c>
      <c r="CO70" s="3" t="e">
        <f t="shared" ca="1" si="117"/>
        <v>#N/A</v>
      </c>
      <c r="CP70" s="3">
        <f t="shared" ca="1" si="118"/>
        <v>0</v>
      </c>
      <c r="CR70" s="3">
        <v>2.497999906539917</v>
      </c>
      <c r="CS70" s="3">
        <v>4.0149999999999997</v>
      </c>
      <c r="CT70" s="11" t="e">
        <v>#N/A</v>
      </c>
      <c r="CU70" s="3">
        <v>4.016</v>
      </c>
      <c r="CV70" s="21">
        <f t="shared" ref="CV70:CV133" ca="1" si="120">INDIRECT("Graphique_interactif_Param!"&amp;$DG$12 &amp; ROW() )</f>
        <v>4.016</v>
      </c>
      <c r="CW70" s="16">
        <f t="shared" ca="1" si="119"/>
        <v>9.5</v>
      </c>
    </row>
    <row r="71" spans="1:101" s="3" customFormat="1" x14ac:dyDescent="0.35">
      <c r="A71" s="2" t="s">
        <v>32</v>
      </c>
      <c r="B71" s="2">
        <v>9.5</v>
      </c>
      <c r="C71" s="2" t="s">
        <v>167</v>
      </c>
      <c r="D71" s="2" t="s">
        <v>403</v>
      </c>
      <c r="F71" s="3">
        <v>4.0110000000000001</v>
      </c>
      <c r="G71" s="3">
        <v>4.0149999999999997</v>
      </c>
      <c r="H71" s="3">
        <v>4.01</v>
      </c>
      <c r="I71" s="3">
        <v>4.01</v>
      </c>
      <c r="K71" s="3">
        <f t="shared" ca="1" si="80"/>
        <v>0.97631513338319609</v>
      </c>
      <c r="L71" s="3">
        <f t="shared" ca="1" si="80"/>
        <v>0.90460772104607734</v>
      </c>
      <c r="M71" s="3">
        <f t="shared" ca="1" si="80"/>
        <v>0.98054862842892776</v>
      </c>
      <c r="N71" s="3">
        <f t="shared" ca="1" si="80"/>
        <v>0.99750623441396513</v>
      </c>
      <c r="P71" s="3">
        <f t="shared" ca="1" si="81"/>
        <v>0.80603349055770745</v>
      </c>
      <c r="Q71" s="3">
        <f t="shared" ca="1" si="81"/>
        <v>0.70485681258281174</v>
      </c>
      <c r="R71" s="3">
        <f t="shared" ca="1" si="81"/>
        <v>0.90548629661153379</v>
      </c>
      <c r="S71" s="3">
        <f t="shared" ca="1" si="81"/>
        <v>0.91097255393008048</v>
      </c>
      <c r="U71" s="3">
        <f t="shared" ca="1" si="82"/>
        <v>2.4931438544003988</v>
      </c>
      <c r="V71" s="3">
        <f t="shared" ca="1" si="82"/>
        <v>2.7397260273972606</v>
      </c>
      <c r="W71" s="3">
        <f t="shared" ca="1" si="82"/>
        <v>3.2418952618453867</v>
      </c>
      <c r="X71" s="3">
        <f t="shared" ca="1" si="82"/>
        <v>3.2418952618453867</v>
      </c>
      <c r="Z71" s="3">
        <f t="shared" ca="1" si="83"/>
        <v>0.97631513338319609</v>
      </c>
      <c r="AA71" s="3">
        <f t="shared" ca="1" si="83"/>
        <v>0.8672478206724783</v>
      </c>
      <c r="AB71" s="3">
        <f t="shared" ca="1" si="83"/>
        <v>0.98054862842892776</v>
      </c>
      <c r="AC71" s="3">
        <f t="shared" ca="1" si="83"/>
        <v>0.99750623441396513</v>
      </c>
      <c r="AE71" s="3">
        <f t="shared" ca="1" si="84"/>
        <v>0.80603349055770745</v>
      </c>
      <c r="AF71" s="3">
        <f t="shared" ca="1" si="84"/>
        <v>0.70485681258281174</v>
      </c>
      <c r="AG71" s="3">
        <f t="shared" ca="1" si="84"/>
        <v>0.90548629661153379</v>
      </c>
      <c r="AH71" s="3">
        <f t="shared" ca="1" si="84"/>
        <v>0.91097255393008048</v>
      </c>
      <c r="AJ71" s="3">
        <f t="shared" ca="1" si="85"/>
        <v>2.4931438544003988</v>
      </c>
      <c r="AK71" s="3">
        <f t="shared" ca="1" si="85"/>
        <v>2.7397260273972606</v>
      </c>
      <c r="AL71" s="3">
        <f t="shared" ca="1" si="85"/>
        <v>3.2418952618453867</v>
      </c>
      <c r="AM71" s="3">
        <f t="shared" ca="1" si="85"/>
        <v>3.2418952618453867</v>
      </c>
      <c r="AO71" s="3">
        <f t="shared" ca="1" si="86"/>
        <v>0.24931438544003989</v>
      </c>
      <c r="AP71" s="3">
        <f t="shared" ca="1" si="86"/>
        <v>0.4981320049813201</v>
      </c>
      <c r="AQ71" s="3">
        <f t="shared" ca="1" si="86"/>
        <v>0.24937655860349128</v>
      </c>
      <c r="AR71" s="3">
        <f t="shared" ca="1" si="86"/>
        <v>0.24937655860349128</v>
      </c>
      <c r="AT71" s="3">
        <v>9.0999998152256012E-2</v>
      </c>
      <c r="AU71" s="3">
        <v>0.46799999475479126</v>
      </c>
      <c r="AV71" s="3">
        <v>1.0999999940395355E-2</v>
      </c>
      <c r="AW71" s="3">
        <v>8.999999612569809E-3</v>
      </c>
      <c r="AY71" s="3">
        <f t="shared" ca="1" si="87"/>
        <v>0.49015208177511838</v>
      </c>
      <c r="AZ71" s="3">
        <f t="shared" ca="1" si="88"/>
        <v>0.39825653798256549</v>
      </c>
      <c r="BA71" s="3">
        <f t="shared" ca="1" si="89"/>
        <v>0.486284289276808</v>
      </c>
      <c r="BB71" s="3">
        <f t="shared" ca="1" si="90"/>
        <v>0.61920199501246875</v>
      </c>
      <c r="BD71" s="3">
        <f t="shared" ca="1" si="91"/>
        <v>0.47344807465752292</v>
      </c>
      <c r="BE71" s="3">
        <f t="shared" ca="1" si="92"/>
        <v>0.45628893568388113</v>
      </c>
      <c r="BF71" s="3">
        <f t="shared" ca="1" si="93"/>
        <v>0.53167084691827737</v>
      </c>
      <c r="BG71" s="3">
        <f t="shared" ca="1" si="94"/>
        <v>0.60698248799007737</v>
      </c>
      <c r="BI71" s="3">
        <f t="shared" ca="1" si="95"/>
        <v>1.2465719272001994</v>
      </c>
      <c r="BJ71" s="3">
        <f t="shared" ca="1" si="96"/>
        <v>1.7434620174346203</v>
      </c>
      <c r="BK71" s="3">
        <f t="shared" ca="1" si="97"/>
        <v>1.4962593516209477</v>
      </c>
      <c r="BL71" s="3">
        <f t="shared" ca="1" si="98"/>
        <v>2.2443890274314215</v>
      </c>
      <c r="BN71" s="3">
        <f t="shared" ca="1" si="99"/>
        <v>0.99725754176015957</v>
      </c>
      <c r="BO71" s="3">
        <f t="shared" ca="1" si="100"/>
        <v>1.2453300124533002</v>
      </c>
      <c r="BP71" s="3">
        <f t="shared" ca="1" si="101"/>
        <v>1.2468827930174564</v>
      </c>
      <c r="BQ71" s="3">
        <f t="shared" ca="1" si="102"/>
        <v>0.99750623441396513</v>
      </c>
      <c r="BS71" s="3">
        <v>0.42500001192092896</v>
      </c>
      <c r="BT71" s="3">
        <v>0.46799999475479126</v>
      </c>
      <c r="BU71" s="3">
        <v>1.0999999940395355E-2</v>
      </c>
      <c r="BV71" s="3">
        <v>0.55900001525878906</v>
      </c>
      <c r="BX71" s="3">
        <f t="shared" ca="1" si="103"/>
        <v>8.2273747195213097E-3</v>
      </c>
      <c r="BY71" s="3">
        <f t="shared" ca="1" si="104"/>
        <v>0</v>
      </c>
      <c r="BZ71" s="3">
        <f t="shared" ca="1" si="105"/>
        <v>3.3167082294264343E-2</v>
      </c>
      <c r="CA71" s="3">
        <f t="shared" ca="1" si="106"/>
        <v>0</v>
      </c>
      <c r="CC71" s="3">
        <f t="shared" ca="1" si="107"/>
        <v>0</v>
      </c>
      <c r="CD71" s="3">
        <f t="shared" ca="1" si="108"/>
        <v>0</v>
      </c>
      <c r="CE71" s="3">
        <f t="shared" ca="1" si="109"/>
        <v>4.5635932104248655E-2</v>
      </c>
      <c r="CF71" s="3">
        <f t="shared" ca="1" si="110"/>
        <v>0</v>
      </c>
      <c r="CH71" s="3">
        <f t="shared" ca="1" si="111"/>
        <v>0</v>
      </c>
      <c r="CI71" s="3">
        <f t="shared" ca="1" si="112"/>
        <v>0</v>
      </c>
      <c r="CJ71" s="3">
        <f t="shared" ca="1" si="113"/>
        <v>0.24937655860349128</v>
      </c>
      <c r="CK71" s="3">
        <f t="shared" ca="1" si="114"/>
        <v>0</v>
      </c>
      <c r="CM71" s="3">
        <f t="shared" ca="1" si="115"/>
        <v>0.74794315632011965</v>
      </c>
      <c r="CN71" s="3">
        <f t="shared" ca="1" si="116"/>
        <v>0.24906600249066005</v>
      </c>
      <c r="CO71" s="3">
        <f t="shared" ca="1" si="117"/>
        <v>0.49875311720698257</v>
      </c>
      <c r="CP71" s="3">
        <f t="shared" ca="1" si="118"/>
        <v>0</v>
      </c>
      <c r="CR71" s="3">
        <v>4.0110000000000001</v>
      </c>
      <c r="CS71" s="3">
        <v>4.0149999999999997</v>
      </c>
      <c r="CT71" s="3">
        <v>1.6599999666213989</v>
      </c>
      <c r="CU71" s="3">
        <v>4.01</v>
      </c>
      <c r="CV71" s="21">
        <f t="shared" ca="1" si="120"/>
        <v>4.01</v>
      </c>
      <c r="CW71" s="16">
        <f t="shared" ca="1" si="119"/>
        <v>9.5</v>
      </c>
    </row>
    <row r="72" spans="1:101" s="3" customFormat="1" x14ac:dyDescent="0.35">
      <c r="A72" s="2" t="s">
        <v>57</v>
      </c>
      <c r="B72" s="2">
        <v>9.5</v>
      </c>
      <c r="C72" s="2" t="s">
        <v>168</v>
      </c>
      <c r="D72" s="2" t="s">
        <v>403</v>
      </c>
      <c r="F72" s="3" t="e">
        <v>#N/A</v>
      </c>
      <c r="G72" s="3">
        <v>4.024</v>
      </c>
      <c r="H72" s="3">
        <v>4.0110000000000001</v>
      </c>
      <c r="I72" s="3">
        <v>4.0129999999999999</v>
      </c>
      <c r="K72" s="3" t="e">
        <f t="shared" ca="1" si="80"/>
        <v>#N/A</v>
      </c>
      <c r="L72" s="3">
        <f t="shared" ca="1" si="80"/>
        <v>0.94408548707753492</v>
      </c>
      <c r="M72" s="3">
        <f t="shared" ca="1" si="80"/>
        <v>0.98878085265519822</v>
      </c>
      <c r="N72" s="3">
        <f t="shared" ca="1" si="80"/>
        <v>0.92175429852977808</v>
      </c>
      <c r="P72" s="3" t="e">
        <f t="shared" ca="1" si="81"/>
        <v>#N/A</v>
      </c>
      <c r="Q72" s="3">
        <f t="shared" ca="1" si="81"/>
        <v>0.77410543681850019</v>
      </c>
      <c r="R72" s="3">
        <f t="shared" ca="1" si="81"/>
        <v>0.83495389667347286</v>
      </c>
      <c r="S72" s="3">
        <f t="shared" ca="1" si="81"/>
        <v>0.7221530626279411</v>
      </c>
      <c r="U72" s="3" t="e">
        <f t="shared" ca="1" si="82"/>
        <v>#N/A</v>
      </c>
      <c r="V72" s="3">
        <f t="shared" ca="1" si="82"/>
        <v>1.7395626242544731</v>
      </c>
      <c r="W72" s="3">
        <f t="shared" ca="1" si="82"/>
        <v>2.7424582398404387</v>
      </c>
      <c r="X72" s="3">
        <f t="shared" ca="1" si="82"/>
        <v>3.4886618489907799</v>
      </c>
      <c r="Z72" s="3" t="e">
        <f t="shared" ca="1" si="83"/>
        <v>#N/A</v>
      </c>
      <c r="AA72" s="3">
        <f t="shared" ca="1" si="83"/>
        <v>0.80318091451292251</v>
      </c>
      <c r="AB72" s="3">
        <f t="shared" ca="1" si="83"/>
        <v>0.83495387683869349</v>
      </c>
      <c r="AC72" s="3">
        <f t="shared" ca="1" si="83"/>
        <v>0.71841515076002982</v>
      </c>
      <c r="AE72" s="3" t="e">
        <f t="shared" ca="1" si="84"/>
        <v>#N/A</v>
      </c>
      <c r="AF72" s="3">
        <f t="shared" ca="1" si="84"/>
        <v>0.74502988672161674</v>
      </c>
      <c r="AG72" s="3">
        <f t="shared" ca="1" si="84"/>
        <v>0.76838693277582026</v>
      </c>
      <c r="AH72" s="3">
        <f t="shared" ca="1" si="84"/>
        <v>0.56890112902795531</v>
      </c>
      <c r="AJ72" s="3" t="e">
        <f t="shared" ca="1" si="85"/>
        <v>#N/A</v>
      </c>
      <c r="AK72" s="3">
        <f t="shared" ca="1" si="85"/>
        <v>1.4910536779324055</v>
      </c>
      <c r="AL72" s="3">
        <f t="shared" ca="1" si="85"/>
        <v>2.2438294689603588</v>
      </c>
      <c r="AM72" s="3">
        <f t="shared" ca="1" si="85"/>
        <v>2.7410914527784702</v>
      </c>
      <c r="AO72" s="3" t="e">
        <f t="shared" ca="1" si="86"/>
        <v>#N/A</v>
      </c>
      <c r="AP72" s="3">
        <f t="shared" ca="1" si="86"/>
        <v>0.74552683896620275</v>
      </c>
      <c r="AQ72" s="3">
        <f t="shared" ca="1" si="86"/>
        <v>0.74794315632011965</v>
      </c>
      <c r="AR72" s="3">
        <f t="shared" ca="1" si="86"/>
        <v>0.49838026414154002</v>
      </c>
      <c r="AT72" s="3">
        <v>0.40299999713897705</v>
      </c>
      <c r="AU72" s="3">
        <v>0.35100001096725464</v>
      </c>
      <c r="AV72" s="3">
        <v>0.24799999594688416</v>
      </c>
      <c r="AW72" s="3">
        <v>0.30500000715255737</v>
      </c>
      <c r="AY72" s="3" t="e">
        <f t="shared" ca="1" si="87"/>
        <v>#N/A</v>
      </c>
      <c r="AZ72" s="3">
        <f t="shared" ca="1" si="88"/>
        <v>5.7902584493041774E-2</v>
      </c>
      <c r="BA72" s="3">
        <f t="shared" ca="1" si="89"/>
        <v>3.9890301670406419E-3</v>
      </c>
      <c r="BB72" s="3">
        <f t="shared" ca="1" si="90"/>
        <v>0.30725143284325945</v>
      </c>
      <c r="BD72" s="3" t="e">
        <f t="shared" ca="1" si="91"/>
        <v>#N/A</v>
      </c>
      <c r="BE72" s="3">
        <f t="shared" ca="1" si="92"/>
        <v>0</v>
      </c>
      <c r="BF72" s="3">
        <f t="shared" ca="1" si="93"/>
        <v>0</v>
      </c>
      <c r="BG72" s="3">
        <f t="shared" ca="1" si="94"/>
        <v>0.30725139826573311</v>
      </c>
      <c r="BI72" s="3" t="e">
        <f t="shared" ca="1" si="95"/>
        <v>#N/A</v>
      </c>
      <c r="BJ72" s="3">
        <f t="shared" ca="1" si="96"/>
        <v>0</v>
      </c>
      <c r="BK72" s="3">
        <f t="shared" ca="1" si="97"/>
        <v>0</v>
      </c>
      <c r="BL72" s="3">
        <f t="shared" ca="1" si="98"/>
        <v>1.4951407924246201</v>
      </c>
      <c r="BN72" s="3" t="e">
        <f t="shared" ca="1" si="99"/>
        <v>#N/A</v>
      </c>
      <c r="BO72" s="3">
        <f t="shared" ca="1" si="100"/>
        <v>0.2485089463220676</v>
      </c>
      <c r="BP72" s="3">
        <f t="shared" ca="1" si="101"/>
        <v>0.24931438544003989</v>
      </c>
      <c r="BQ72" s="3">
        <f t="shared" ca="1" si="102"/>
        <v>0.74757039621231003</v>
      </c>
      <c r="BS72" s="3">
        <v>4.0209999999999999</v>
      </c>
      <c r="BT72" s="3">
        <v>4.024</v>
      </c>
      <c r="BU72" s="3">
        <v>4.0110000000000001</v>
      </c>
      <c r="BV72" s="3">
        <v>0.58799999952316284</v>
      </c>
      <c r="BX72" s="3" t="e">
        <f t="shared" ca="1" si="103"/>
        <v>#N/A</v>
      </c>
      <c r="BY72" s="3">
        <f t="shared" ca="1" si="104"/>
        <v>0</v>
      </c>
      <c r="BZ72" s="3">
        <f t="shared" ca="1" si="105"/>
        <v>0</v>
      </c>
      <c r="CA72" s="3">
        <f t="shared" ca="1" si="106"/>
        <v>0</v>
      </c>
      <c r="CC72" s="3" t="e">
        <f t="shared" ca="1" si="107"/>
        <v>#N/A</v>
      </c>
      <c r="CD72" s="3">
        <f t="shared" ca="1" si="108"/>
        <v>0</v>
      </c>
      <c r="CE72" s="3">
        <f t="shared" ca="1" si="109"/>
        <v>0</v>
      </c>
      <c r="CF72" s="3">
        <f t="shared" ca="1" si="110"/>
        <v>0</v>
      </c>
      <c r="CH72" s="3" t="e">
        <f t="shared" ca="1" si="111"/>
        <v>#N/A</v>
      </c>
      <c r="CI72" s="3">
        <f t="shared" ca="1" si="112"/>
        <v>0</v>
      </c>
      <c r="CJ72" s="3">
        <f t="shared" ca="1" si="113"/>
        <v>0</v>
      </c>
      <c r="CK72" s="3">
        <f t="shared" ca="1" si="114"/>
        <v>0</v>
      </c>
      <c r="CM72" s="3" t="e">
        <f t="shared" ca="1" si="115"/>
        <v>#N/A</v>
      </c>
      <c r="CN72" s="3">
        <f t="shared" ca="1" si="116"/>
        <v>0</v>
      </c>
      <c r="CO72" s="3">
        <f t="shared" ca="1" si="117"/>
        <v>0</v>
      </c>
      <c r="CP72" s="3">
        <f t="shared" ca="1" si="118"/>
        <v>0</v>
      </c>
      <c r="CR72" s="3">
        <v>4.0209999999999999</v>
      </c>
      <c r="CS72" s="3">
        <v>4.024</v>
      </c>
      <c r="CT72" s="3">
        <v>4.0110000000000001</v>
      </c>
      <c r="CU72" s="3">
        <v>4.0129999999999999</v>
      </c>
      <c r="CV72" s="21">
        <f t="shared" ca="1" si="120"/>
        <v>4.0129999999999999</v>
      </c>
      <c r="CW72" s="16">
        <f t="shared" ca="1" si="119"/>
        <v>9.5</v>
      </c>
    </row>
    <row r="73" spans="1:101" s="3" customFormat="1" x14ac:dyDescent="0.35">
      <c r="A73" s="2" t="s">
        <v>82</v>
      </c>
      <c r="B73" s="2">
        <v>9.5</v>
      </c>
      <c r="C73" s="2" t="s">
        <v>167</v>
      </c>
      <c r="D73" s="2" t="s">
        <v>403</v>
      </c>
      <c r="F73" s="3">
        <v>4.016</v>
      </c>
      <c r="G73" s="3">
        <v>4.0060000000000002</v>
      </c>
      <c r="H73" s="3" t="e">
        <v>#N/A</v>
      </c>
      <c r="I73" s="3">
        <v>4.016</v>
      </c>
      <c r="K73" s="3">
        <f t="shared" ca="1" si="80"/>
        <v>0.92953187250996006</v>
      </c>
      <c r="L73" s="3">
        <f t="shared" ca="1" si="80"/>
        <v>0.83599600599101354</v>
      </c>
      <c r="M73" s="3" t="e">
        <f t="shared" ca="1" si="80"/>
        <v>#N/A</v>
      </c>
      <c r="N73" s="3">
        <f t="shared" ca="1" si="80"/>
        <v>0.99576693227091639</v>
      </c>
      <c r="P73" s="3">
        <f t="shared" ca="1" si="81"/>
        <v>0.45667328979389599</v>
      </c>
      <c r="Q73" s="3">
        <f t="shared" ca="1" si="81"/>
        <v>0.33699455092132419</v>
      </c>
      <c r="R73" s="3" t="e">
        <f t="shared" ca="1" si="81"/>
        <v>#N/A</v>
      </c>
      <c r="S73" s="3">
        <f t="shared" ca="1" si="81"/>
        <v>0.88819723580481547</v>
      </c>
      <c r="U73" s="3">
        <f t="shared" ca="1" si="82"/>
        <v>2.4900398406374502</v>
      </c>
      <c r="V73" s="3">
        <f t="shared" ca="1" si="82"/>
        <v>0.99850224663005482</v>
      </c>
      <c r="W73" s="3" t="e">
        <f t="shared" ca="1" si="82"/>
        <v>#N/A</v>
      </c>
      <c r="X73" s="3">
        <f t="shared" ca="1" si="82"/>
        <v>2.241035856573705</v>
      </c>
      <c r="Z73" s="3">
        <f t="shared" ca="1" si="83"/>
        <v>0.70941235059760965</v>
      </c>
      <c r="AA73" s="3">
        <f t="shared" ca="1" si="83"/>
        <v>0.82750873689465798</v>
      </c>
      <c r="AB73" s="3" t="e">
        <f t="shared" ca="1" si="83"/>
        <v>#N/A</v>
      </c>
      <c r="AC73" s="3">
        <f t="shared" ca="1" si="83"/>
        <v>0.85458167330677304</v>
      </c>
      <c r="AE73" s="3">
        <f t="shared" ca="1" si="84"/>
        <v>0.42753982769540583</v>
      </c>
      <c r="AF73" s="3">
        <f t="shared" ca="1" si="84"/>
        <v>0.33699455092132419</v>
      </c>
      <c r="AG73" s="3" t="e">
        <f t="shared" ca="1" si="84"/>
        <v>#N/A</v>
      </c>
      <c r="AH73" s="3">
        <f t="shared" ca="1" si="84"/>
        <v>0.77614543110269507</v>
      </c>
      <c r="AJ73" s="3">
        <f t="shared" ca="1" si="85"/>
        <v>2.241035856573705</v>
      </c>
      <c r="AK73" s="3">
        <f t="shared" ca="1" si="85"/>
        <v>0.99850224663005482</v>
      </c>
      <c r="AL73" s="3" t="e">
        <f t="shared" ca="1" si="85"/>
        <v>#N/A</v>
      </c>
      <c r="AM73" s="3">
        <f t="shared" ca="1" si="85"/>
        <v>1.9920318725099602</v>
      </c>
      <c r="AO73" s="3">
        <f t="shared" ca="1" si="86"/>
        <v>0.99601593625498008</v>
      </c>
      <c r="AP73" s="3">
        <f t="shared" ca="1" si="86"/>
        <v>0.74887668497254112</v>
      </c>
      <c r="AQ73" s="3" t="e">
        <f t="shared" ca="1" si="86"/>
        <v>#N/A</v>
      </c>
      <c r="AR73" s="3">
        <f t="shared" ca="1" si="86"/>
        <v>0.74701195219123506</v>
      </c>
      <c r="AT73" s="3">
        <v>0.30099999904632568</v>
      </c>
      <c r="AU73" s="3">
        <v>1.4000000432133675E-2</v>
      </c>
      <c r="AV73" s="3">
        <v>1.3839999437332153</v>
      </c>
      <c r="AW73" s="3">
        <v>4.0000001899898052E-3</v>
      </c>
      <c r="AY73" s="3">
        <f t="shared" ca="1" si="87"/>
        <v>0</v>
      </c>
      <c r="AZ73" s="3">
        <f t="shared" ca="1" si="88"/>
        <v>2.4712930604093797E-2</v>
      </c>
      <c r="BA73" s="3" t="e">
        <f t="shared" ca="1" si="89"/>
        <v>#N/A</v>
      </c>
      <c r="BB73" s="3">
        <f t="shared" ca="1" si="90"/>
        <v>0</v>
      </c>
      <c r="BD73" s="3">
        <f t="shared" ca="1" si="91"/>
        <v>0</v>
      </c>
      <c r="BE73" s="3">
        <f t="shared" ca="1" si="92"/>
        <v>0</v>
      </c>
      <c r="BF73" s="3" t="e">
        <f t="shared" ca="1" si="93"/>
        <v>#N/A</v>
      </c>
      <c r="BG73" s="3">
        <f t="shared" ca="1" si="94"/>
        <v>0</v>
      </c>
      <c r="BI73" s="3">
        <f t="shared" ca="1" si="95"/>
        <v>0</v>
      </c>
      <c r="BJ73" s="3">
        <f t="shared" ca="1" si="96"/>
        <v>0</v>
      </c>
      <c r="BK73" s="3" t="e">
        <f t="shared" ca="1" si="97"/>
        <v>#N/A</v>
      </c>
      <c r="BL73" s="3">
        <f t="shared" ca="1" si="98"/>
        <v>0</v>
      </c>
      <c r="BN73" s="3">
        <f t="shared" ca="1" si="99"/>
        <v>0.24900398406374502</v>
      </c>
      <c r="BO73" s="3">
        <f t="shared" ca="1" si="100"/>
        <v>1.4977533699450822</v>
      </c>
      <c r="BP73" s="3" t="e">
        <f t="shared" ca="1" si="101"/>
        <v>#N/A</v>
      </c>
      <c r="BQ73" s="3">
        <f t="shared" ca="1" si="102"/>
        <v>0</v>
      </c>
      <c r="BS73" s="3">
        <v>4.016</v>
      </c>
      <c r="BT73" s="3">
        <v>4.0060000000000002</v>
      </c>
      <c r="BU73" s="3">
        <v>2.7170000076293945</v>
      </c>
      <c r="BV73" s="3">
        <v>4.016</v>
      </c>
      <c r="BX73" s="3">
        <f t="shared" ca="1" si="103"/>
        <v>9.9601593625497878E-2</v>
      </c>
      <c r="BY73" s="3">
        <f t="shared" ca="1" si="104"/>
        <v>0</v>
      </c>
      <c r="BZ73" s="3" t="e">
        <f t="shared" ca="1" si="105"/>
        <v>#N/A</v>
      </c>
      <c r="CA73" s="3">
        <f t="shared" ca="1" si="106"/>
        <v>0</v>
      </c>
      <c r="CC73" s="3">
        <f t="shared" ca="1" si="107"/>
        <v>0.10806773288316461</v>
      </c>
      <c r="CD73" s="3">
        <f t="shared" ca="1" si="108"/>
        <v>0</v>
      </c>
      <c r="CE73" s="3" t="e">
        <f t="shared" ca="1" si="109"/>
        <v>#N/A</v>
      </c>
      <c r="CF73" s="3">
        <f t="shared" ca="1" si="110"/>
        <v>0</v>
      </c>
      <c r="CH73" s="3">
        <f t="shared" ca="1" si="111"/>
        <v>0.74701195219123506</v>
      </c>
      <c r="CI73" s="3">
        <f t="shared" ca="1" si="112"/>
        <v>0</v>
      </c>
      <c r="CJ73" s="3" t="e">
        <f t="shared" ca="1" si="113"/>
        <v>#N/A</v>
      </c>
      <c r="CK73" s="3">
        <f t="shared" ca="1" si="114"/>
        <v>0</v>
      </c>
      <c r="CM73" s="3">
        <f t="shared" ca="1" si="115"/>
        <v>1.7430278884462151</v>
      </c>
      <c r="CN73" s="3">
        <f t="shared" ca="1" si="116"/>
        <v>0</v>
      </c>
      <c r="CO73" s="3" t="e">
        <f t="shared" ca="1" si="117"/>
        <v>#N/A</v>
      </c>
      <c r="CP73" s="3">
        <f t="shared" ca="1" si="118"/>
        <v>0</v>
      </c>
      <c r="CR73" s="3">
        <v>2.8010001182556152</v>
      </c>
      <c r="CS73" s="3">
        <v>4.0060000000000002</v>
      </c>
      <c r="CT73" s="3">
        <v>4.016</v>
      </c>
      <c r="CU73" s="3">
        <v>4.016</v>
      </c>
      <c r="CV73" s="21">
        <f t="shared" ca="1" si="120"/>
        <v>4.016</v>
      </c>
      <c r="CW73" s="16">
        <f t="shared" ca="1" si="119"/>
        <v>9.5</v>
      </c>
    </row>
    <row r="74" spans="1:101" s="3" customFormat="1" x14ac:dyDescent="0.35">
      <c r="A74" s="2" t="s">
        <v>89</v>
      </c>
      <c r="B74" s="2">
        <v>9.5</v>
      </c>
      <c r="C74" s="2" t="s">
        <v>167</v>
      </c>
      <c r="D74" s="2" t="s">
        <v>403</v>
      </c>
      <c r="F74" s="3">
        <v>4.0110000000000001</v>
      </c>
      <c r="G74" s="3">
        <v>4.016</v>
      </c>
      <c r="H74" s="3">
        <v>4.01</v>
      </c>
      <c r="I74" s="3">
        <v>4.0110000000000001</v>
      </c>
      <c r="K74" s="3">
        <f t="shared" ca="1" si="80"/>
        <v>0.97207678883071558</v>
      </c>
      <c r="L74" s="3">
        <f t="shared" ca="1" si="80"/>
        <v>0.99576693227091639</v>
      </c>
      <c r="M74" s="3">
        <f t="shared" ca="1" si="80"/>
        <v>0.99301745635910232</v>
      </c>
      <c r="N74" s="3">
        <f t="shared" ca="1" si="80"/>
        <v>0.99700822737471939</v>
      </c>
      <c r="P74" s="3">
        <f t="shared" ca="1" si="81"/>
        <v>0.91323852390459548</v>
      </c>
      <c r="Q74" s="3">
        <f t="shared" ca="1" si="81"/>
        <v>0.94995020579850942</v>
      </c>
      <c r="R74" s="3">
        <f t="shared" ca="1" si="81"/>
        <v>0.90573585250802768</v>
      </c>
      <c r="S74" s="3">
        <f t="shared" ca="1" si="81"/>
        <v>0.87210180725957109</v>
      </c>
      <c r="U74" s="3">
        <f t="shared" ca="1" si="82"/>
        <v>2.2438294689603588</v>
      </c>
      <c r="V74" s="3">
        <f t="shared" ca="1" si="82"/>
        <v>1.7430278884462151</v>
      </c>
      <c r="W74" s="3">
        <f t="shared" ca="1" si="82"/>
        <v>3.2418952618453867</v>
      </c>
      <c r="X74" s="3">
        <f t="shared" ca="1" si="82"/>
        <v>1.9945150835203191</v>
      </c>
      <c r="Z74" s="3">
        <f t="shared" ca="1" si="83"/>
        <v>0.95961106955871356</v>
      </c>
      <c r="AA74" s="3">
        <f t="shared" ca="1" si="83"/>
        <v>0.97933266932270913</v>
      </c>
      <c r="AB74" s="3">
        <f t="shared" ca="1" si="83"/>
        <v>0.99301745635910232</v>
      </c>
      <c r="AC74" s="3">
        <f t="shared" ca="1" si="83"/>
        <v>0.92645225629518801</v>
      </c>
      <c r="AE74" s="3">
        <f t="shared" ca="1" si="84"/>
        <v>0.91323852390459548</v>
      </c>
      <c r="AF74" s="3">
        <f t="shared" ca="1" si="84"/>
        <v>0.94995020579850942</v>
      </c>
      <c r="AG74" s="3">
        <f t="shared" ca="1" si="84"/>
        <v>0.90573585250802768</v>
      </c>
      <c r="AH74" s="3">
        <f t="shared" ca="1" si="84"/>
        <v>0.87210180725957109</v>
      </c>
      <c r="AJ74" s="3">
        <f t="shared" ca="1" si="85"/>
        <v>2.2438294689603588</v>
      </c>
      <c r="AK74" s="3">
        <f t="shared" ca="1" si="85"/>
        <v>1.7430278884462151</v>
      </c>
      <c r="AL74" s="3">
        <f t="shared" ca="1" si="85"/>
        <v>3.2418952618453867</v>
      </c>
      <c r="AM74" s="3">
        <f t="shared" ca="1" si="85"/>
        <v>1.9945150835203191</v>
      </c>
      <c r="AO74" s="3">
        <f t="shared" ca="1" si="86"/>
        <v>0.49862877088007979</v>
      </c>
      <c r="AP74" s="3">
        <f t="shared" ca="1" si="86"/>
        <v>0.49800796812749004</v>
      </c>
      <c r="AQ74" s="3">
        <f t="shared" ca="1" si="86"/>
        <v>0.24937655860349128</v>
      </c>
      <c r="AR74" s="3">
        <f t="shared" ca="1" si="86"/>
        <v>0.49862877088007979</v>
      </c>
      <c r="AT74" s="3">
        <v>0.14300000667572021</v>
      </c>
      <c r="AU74" s="3">
        <v>7.0000002160668373E-3</v>
      </c>
      <c r="AV74" s="3">
        <v>1.2000000104308128E-2</v>
      </c>
      <c r="AW74" s="3">
        <v>4.999999888241291E-3</v>
      </c>
      <c r="AY74" s="3">
        <f t="shared" ca="1" si="87"/>
        <v>0.2909498878085266</v>
      </c>
      <c r="AZ74" s="3">
        <f t="shared" ca="1" si="88"/>
        <v>0.54357569721115528</v>
      </c>
      <c r="BA74" s="3">
        <f t="shared" ca="1" si="89"/>
        <v>0.40723192019950127</v>
      </c>
      <c r="BB74" s="3">
        <f t="shared" ca="1" si="90"/>
        <v>0.47793567688855643</v>
      </c>
      <c r="BD74" s="3">
        <f t="shared" ca="1" si="91"/>
        <v>0.30316629037688242</v>
      </c>
      <c r="BE74" s="3">
        <f t="shared" ca="1" si="92"/>
        <v>0.50199206963003395</v>
      </c>
      <c r="BF74" s="3">
        <f t="shared" ca="1" si="93"/>
        <v>0.34912729501129686</v>
      </c>
      <c r="BG74" s="3">
        <f t="shared" ca="1" si="94"/>
        <v>0.59386688823029454</v>
      </c>
      <c r="BI74" s="3">
        <f t="shared" ca="1" si="95"/>
        <v>0.74794315632011965</v>
      </c>
      <c r="BJ74" s="3">
        <f t="shared" ca="1" si="96"/>
        <v>1.2450199203187251</v>
      </c>
      <c r="BK74" s="3">
        <f t="shared" ca="1" si="97"/>
        <v>1.2468827930174564</v>
      </c>
      <c r="BL74" s="3">
        <f t="shared" ca="1" si="98"/>
        <v>0.99725754176015957</v>
      </c>
      <c r="BN74" s="3">
        <f t="shared" ca="1" si="99"/>
        <v>0.74794315632011965</v>
      </c>
      <c r="BO74" s="3">
        <f t="shared" ca="1" si="100"/>
        <v>0.74701195219123506</v>
      </c>
      <c r="BP74" s="3">
        <f t="shared" ca="1" si="101"/>
        <v>1.2468827930174564</v>
      </c>
      <c r="BQ74" s="3">
        <f t="shared" ca="1" si="102"/>
        <v>0.99725754176015957</v>
      </c>
      <c r="BS74" s="3">
        <v>0.29300001263618469</v>
      </c>
      <c r="BT74" s="3">
        <v>0.87300002574920654</v>
      </c>
      <c r="BU74" s="3">
        <v>0.67799997329711914</v>
      </c>
      <c r="BV74" s="3">
        <v>0.50499999523162842</v>
      </c>
      <c r="BX74" s="3">
        <f t="shared" ca="1" si="103"/>
        <v>0.27798553976564444</v>
      </c>
      <c r="BY74" s="3">
        <f t="shared" ca="1" si="104"/>
        <v>0</v>
      </c>
      <c r="BZ74" s="3">
        <f t="shared" ca="1" si="105"/>
        <v>0</v>
      </c>
      <c r="CA74" s="3">
        <f t="shared" ca="1" si="106"/>
        <v>0</v>
      </c>
      <c r="CC74" s="3">
        <f t="shared" ca="1" si="107"/>
        <v>0.31139365576413824</v>
      </c>
      <c r="CD74" s="3">
        <f t="shared" ca="1" si="108"/>
        <v>0</v>
      </c>
      <c r="CE74" s="3">
        <f t="shared" ca="1" si="109"/>
        <v>0</v>
      </c>
      <c r="CF74" s="3">
        <f t="shared" ca="1" si="110"/>
        <v>0</v>
      </c>
      <c r="CH74" s="3">
        <f t="shared" ca="1" si="111"/>
        <v>0.49862877088007979</v>
      </c>
      <c r="CI74" s="3">
        <f t="shared" ca="1" si="112"/>
        <v>0</v>
      </c>
      <c r="CJ74" s="3">
        <f t="shared" ca="1" si="113"/>
        <v>0</v>
      </c>
      <c r="CK74" s="3">
        <f t="shared" ca="1" si="114"/>
        <v>0</v>
      </c>
      <c r="CM74" s="3">
        <f t="shared" ca="1" si="115"/>
        <v>0.74794315632011965</v>
      </c>
      <c r="CN74" s="3">
        <f t="shared" ca="1" si="116"/>
        <v>0</v>
      </c>
      <c r="CO74" s="3">
        <f t="shared" ca="1" si="117"/>
        <v>0</v>
      </c>
      <c r="CP74" s="3">
        <f t="shared" ca="1" si="118"/>
        <v>0</v>
      </c>
      <c r="CR74" s="3">
        <v>1.9759999513626099</v>
      </c>
      <c r="CS74" s="3">
        <v>4.016</v>
      </c>
      <c r="CT74" s="3">
        <v>4.01</v>
      </c>
      <c r="CU74" s="3">
        <v>4.0110000000000001</v>
      </c>
      <c r="CV74" s="21">
        <f t="shared" ca="1" si="120"/>
        <v>4.0110000000000001</v>
      </c>
      <c r="CW74" s="16">
        <f t="shared" ca="1" si="119"/>
        <v>9.5</v>
      </c>
    </row>
    <row r="75" spans="1:101" s="3" customFormat="1" x14ac:dyDescent="0.35">
      <c r="A75" s="2" t="s">
        <v>20</v>
      </c>
      <c r="B75" s="2">
        <v>9.5833333333333339</v>
      </c>
      <c r="C75" s="2" t="s">
        <v>167</v>
      </c>
      <c r="D75" s="2" t="s">
        <v>403</v>
      </c>
      <c r="F75" s="3">
        <v>4.008</v>
      </c>
      <c r="G75" s="3">
        <v>4.0010000000000003</v>
      </c>
      <c r="H75" s="3" t="e">
        <v>#N/A</v>
      </c>
      <c r="I75" s="3">
        <v>4.016</v>
      </c>
      <c r="K75" s="3">
        <f t="shared" ca="1" si="80"/>
        <v>0.85628742514970058</v>
      </c>
      <c r="L75" s="3">
        <f t="shared" ca="1" si="80"/>
        <v>0.99525118720319916</v>
      </c>
      <c r="M75" s="3" t="e">
        <f t="shared" ca="1" si="80"/>
        <v>#N/A</v>
      </c>
      <c r="N75" s="3">
        <f t="shared" ca="1" si="80"/>
        <v>0.98331673306772904</v>
      </c>
      <c r="P75" s="3">
        <f t="shared" ca="1" si="81"/>
        <v>0.49051895975590704</v>
      </c>
      <c r="Q75" s="3">
        <f t="shared" ca="1" si="81"/>
        <v>0.3294176483744235</v>
      </c>
      <c r="R75" s="3" t="e">
        <f t="shared" ca="1" si="81"/>
        <v>#N/A</v>
      </c>
      <c r="S75" s="3">
        <f t="shared" ca="1" si="81"/>
        <v>0.51942218950322538</v>
      </c>
      <c r="U75" s="3">
        <f t="shared" ca="1" si="82"/>
        <v>2.7445109780439121</v>
      </c>
      <c r="V75" s="3">
        <f t="shared" ca="1" si="82"/>
        <v>2.2494376405898522</v>
      </c>
      <c r="W75" s="3" t="e">
        <f t="shared" ca="1" si="82"/>
        <v>#N/A</v>
      </c>
      <c r="X75" s="3">
        <f t="shared" ca="1" si="82"/>
        <v>2.4900398406374502</v>
      </c>
      <c r="Z75" s="3">
        <f t="shared" ca="1" si="83"/>
        <v>0.79391217564870253</v>
      </c>
      <c r="AA75" s="3">
        <f t="shared" ca="1" si="83"/>
        <v>0.99525118720319916</v>
      </c>
      <c r="AB75" s="3" t="e">
        <f t="shared" ca="1" si="83"/>
        <v>#N/A</v>
      </c>
      <c r="AC75" s="3">
        <f t="shared" ca="1" si="83"/>
        <v>0.86703187250996017</v>
      </c>
      <c r="AE75" s="3">
        <f t="shared" ca="1" si="84"/>
        <v>0.44885233877423758</v>
      </c>
      <c r="AF75" s="3">
        <f t="shared" ca="1" si="84"/>
        <v>0.3294176483744235</v>
      </c>
      <c r="AG75" s="3" t="e">
        <f t="shared" ca="1" si="84"/>
        <v>#N/A</v>
      </c>
      <c r="AH75" s="3">
        <f t="shared" ca="1" si="84"/>
        <v>0.51942218950322538</v>
      </c>
      <c r="AJ75" s="3">
        <f t="shared" ca="1" si="85"/>
        <v>2.4950099800399204</v>
      </c>
      <c r="AK75" s="3">
        <f t="shared" ca="1" si="85"/>
        <v>2.2494376405898522</v>
      </c>
      <c r="AL75" s="3" t="e">
        <f t="shared" ca="1" si="85"/>
        <v>#N/A</v>
      </c>
      <c r="AM75" s="3">
        <f t="shared" ca="1" si="85"/>
        <v>2.4900398406374502</v>
      </c>
      <c r="AO75" s="3">
        <f t="shared" ca="1" si="86"/>
        <v>0.74850299401197606</v>
      </c>
      <c r="AP75" s="3">
        <f t="shared" ca="1" si="86"/>
        <v>0.2499375156210947</v>
      </c>
      <c r="AQ75" s="3" t="e">
        <f t="shared" ca="1" si="86"/>
        <v>#N/A</v>
      </c>
      <c r="AR75" s="3">
        <f t="shared" ca="1" si="86"/>
        <v>0.74701195219123506</v>
      </c>
      <c r="AT75" s="3">
        <v>0.460999995470047</v>
      </c>
      <c r="AU75" s="3">
        <v>1.7999999225139618E-2</v>
      </c>
      <c r="AV75" s="11" t="e">
        <v>#N/A</v>
      </c>
      <c r="AW75" s="3">
        <v>1.2000000104308128E-2</v>
      </c>
      <c r="AY75" s="3">
        <f t="shared" ca="1" si="87"/>
        <v>7.5099800399201666E-2</v>
      </c>
      <c r="AZ75" s="3">
        <f t="shared" ca="1" si="88"/>
        <v>6.2484378905273731E-2</v>
      </c>
      <c r="BA75" s="3" t="e">
        <f t="shared" ca="1" si="89"/>
        <v>#N/A</v>
      </c>
      <c r="BB75" s="3">
        <f t="shared" ca="1" si="90"/>
        <v>9.5368525896414369E-2</v>
      </c>
      <c r="BD75" s="3">
        <f t="shared" ca="1" si="91"/>
        <v>7.0608780531588186E-2</v>
      </c>
      <c r="BE75" s="3">
        <f t="shared" ca="1" si="92"/>
        <v>2.4993787315957874E-2</v>
      </c>
      <c r="BF75" s="3" t="e">
        <f t="shared" ca="1" si="93"/>
        <v>#N/A</v>
      </c>
      <c r="BG75" s="3">
        <f t="shared" ca="1" si="94"/>
        <v>3.7350561989256112E-2</v>
      </c>
      <c r="BI75" s="3">
        <f t="shared" ca="1" si="95"/>
        <v>0.49900199600798401</v>
      </c>
      <c r="BJ75" s="3">
        <f t="shared" ca="1" si="96"/>
        <v>0.2499375156210947</v>
      </c>
      <c r="BK75" s="3" t="e">
        <f t="shared" ca="1" si="97"/>
        <v>#N/A</v>
      </c>
      <c r="BL75" s="3">
        <f t="shared" ca="1" si="98"/>
        <v>0.24900398406374502</v>
      </c>
      <c r="BN75" s="3">
        <f t="shared" ca="1" si="99"/>
        <v>1.7465069860279441</v>
      </c>
      <c r="BO75" s="3">
        <f t="shared" ca="1" si="100"/>
        <v>2.2494376405898522</v>
      </c>
      <c r="BP75" s="3" t="e">
        <f t="shared" ca="1" si="101"/>
        <v>#N/A</v>
      </c>
      <c r="BQ75" s="3">
        <f t="shared" ca="1" si="102"/>
        <v>1.9920318725099602</v>
      </c>
      <c r="BS75" s="3">
        <v>1.593999981880188</v>
      </c>
      <c r="BT75" s="3">
        <v>2.0169999599456787</v>
      </c>
      <c r="BU75" s="11" t="e">
        <v>#N/A</v>
      </c>
      <c r="BV75" s="3">
        <v>2.0950000286102295</v>
      </c>
      <c r="BX75" s="3">
        <f t="shared" ca="1" si="103"/>
        <v>6.6367265469061881E-2</v>
      </c>
      <c r="BY75" s="3">
        <f t="shared" ca="1" si="104"/>
        <v>0.10847288177955529</v>
      </c>
      <c r="BZ75" s="3" t="e">
        <f t="shared" ca="1" si="105"/>
        <v>#N/A</v>
      </c>
      <c r="CA75" s="3">
        <f t="shared" ca="1" si="106"/>
        <v>0.22011952191235068</v>
      </c>
      <c r="CC75" s="3">
        <f t="shared" ca="1" si="107"/>
        <v>7.0608780531588186E-2</v>
      </c>
      <c r="CD75" s="3">
        <f t="shared" ca="1" si="108"/>
        <v>6.2484377043094071E-2</v>
      </c>
      <c r="CE75" s="3" t="e">
        <f t="shared" ca="1" si="109"/>
        <v>#N/A</v>
      </c>
      <c r="CF75" s="3">
        <f t="shared" ca="1" si="110"/>
        <v>0.23680272933273794</v>
      </c>
      <c r="CH75" s="3">
        <f t="shared" ca="1" si="111"/>
        <v>0.249500998003992</v>
      </c>
      <c r="CI75" s="3">
        <f t="shared" ca="1" si="112"/>
        <v>0.4998750312421894</v>
      </c>
      <c r="CJ75" s="3" t="e">
        <f t="shared" ca="1" si="113"/>
        <v>#N/A</v>
      </c>
      <c r="CK75" s="3">
        <f t="shared" ca="1" si="114"/>
        <v>0.99601593625498008</v>
      </c>
      <c r="CM75" s="3">
        <f t="shared" ca="1" si="115"/>
        <v>0.74850299401197606</v>
      </c>
      <c r="CN75" s="3">
        <f t="shared" ca="1" si="116"/>
        <v>2.9992501874531365</v>
      </c>
      <c r="CO75" s="3" t="e">
        <f t="shared" ca="1" si="117"/>
        <v>#N/A</v>
      </c>
      <c r="CP75" s="3">
        <f t="shared" ca="1" si="118"/>
        <v>1.9920318725099602</v>
      </c>
      <c r="CR75" s="3">
        <v>0.77799999713897705</v>
      </c>
      <c r="CS75" s="3">
        <v>1.7999999225139618E-2</v>
      </c>
      <c r="CT75" s="11" t="e">
        <v>#N/A</v>
      </c>
      <c r="CU75" s="3">
        <v>1.2000000104308128E-2</v>
      </c>
      <c r="CV75" s="21">
        <f t="shared" ca="1" si="120"/>
        <v>1.2000000104308128E-2</v>
      </c>
      <c r="CW75" s="16">
        <f t="shared" ca="1" si="119"/>
        <v>9.5833333333333339</v>
      </c>
    </row>
    <row r="76" spans="1:101" s="3" customFormat="1" x14ac:dyDescent="0.35">
      <c r="A76" s="2" t="s">
        <v>58</v>
      </c>
      <c r="B76" s="2">
        <v>9.5833333333333339</v>
      </c>
      <c r="C76" s="2" t="s">
        <v>168</v>
      </c>
      <c r="D76" s="2" t="s">
        <v>403</v>
      </c>
      <c r="F76" s="3">
        <v>4.0090000000000003</v>
      </c>
      <c r="G76" s="3">
        <v>4.0019999999999998</v>
      </c>
      <c r="H76" s="3">
        <v>4.0110000000000001</v>
      </c>
      <c r="I76" s="3">
        <v>4.0199999999999996</v>
      </c>
      <c r="K76" s="3">
        <f t="shared" ca="1" si="80"/>
        <v>0.99750561237216251</v>
      </c>
      <c r="L76" s="3">
        <f t="shared" ca="1" si="80"/>
        <v>0.99925037481259393</v>
      </c>
      <c r="M76" s="3">
        <f t="shared" ca="1" si="80"/>
        <v>0.9970082273747195</v>
      </c>
      <c r="N76" s="3">
        <f t="shared" ca="1" si="80"/>
        <v>0.99477611940298516</v>
      </c>
      <c r="P76" s="3">
        <f t="shared" ca="1" si="81"/>
        <v>0.79820406766983298</v>
      </c>
      <c r="Q76" s="3">
        <f t="shared" ca="1" si="81"/>
        <v>0.97451273121287874</v>
      </c>
      <c r="R76" s="3">
        <f t="shared" ca="1" si="81"/>
        <v>0.97182751950169111</v>
      </c>
      <c r="S76" s="3">
        <f t="shared" ca="1" si="81"/>
        <v>0.90796015461656598</v>
      </c>
      <c r="U76" s="3">
        <f t="shared" ca="1" si="82"/>
        <v>1.4966325767024193</v>
      </c>
      <c r="V76" s="3">
        <f t="shared" ca="1" si="82"/>
        <v>0.99950024987506247</v>
      </c>
      <c r="W76" s="3">
        <f t="shared" ca="1" si="82"/>
        <v>1.7452006980802792</v>
      </c>
      <c r="X76" s="3">
        <f t="shared" ca="1" si="82"/>
        <v>2.4875621890547266</v>
      </c>
      <c r="Z76" s="3">
        <f t="shared" ca="1" si="83"/>
        <v>0.99750561237216251</v>
      </c>
      <c r="AA76" s="3">
        <f t="shared" ca="1" si="83"/>
        <v>0.99925037481259393</v>
      </c>
      <c r="AB76" s="3">
        <f t="shared" ca="1" si="83"/>
        <v>0.9970082273747195</v>
      </c>
      <c r="AC76" s="3">
        <f t="shared" ca="1" si="83"/>
        <v>0.92437810945273646</v>
      </c>
      <c r="AE76" s="3">
        <f t="shared" ca="1" si="84"/>
        <v>0.79820406766983298</v>
      </c>
      <c r="AF76" s="3">
        <f t="shared" ca="1" si="84"/>
        <v>0.97451273121287874</v>
      </c>
      <c r="AG76" s="3">
        <f t="shared" ca="1" si="84"/>
        <v>0.97182751950169111</v>
      </c>
      <c r="AH76" s="3">
        <f t="shared" ca="1" si="84"/>
        <v>0.8539800546062527</v>
      </c>
      <c r="AJ76" s="3">
        <f t="shared" ca="1" si="85"/>
        <v>1.4966325767024193</v>
      </c>
      <c r="AK76" s="3">
        <f t="shared" ca="1" si="85"/>
        <v>0.99950024987506247</v>
      </c>
      <c r="AL76" s="3">
        <f t="shared" ca="1" si="85"/>
        <v>1.7452006980802792</v>
      </c>
      <c r="AM76" s="3">
        <f t="shared" ca="1" si="85"/>
        <v>2.238805970149254</v>
      </c>
      <c r="AO76" s="3">
        <f t="shared" ca="1" si="86"/>
        <v>0.24943876278373658</v>
      </c>
      <c r="AP76" s="3">
        <f t="shared" ca="1" si="86"/>
        <v>0.24987506246876562</v>
      </c>
      <c r="AQ76" s="3">
        <f t="shared" ca="1" si="86"/>
        <v>0.24931438544003989</v>
      </c>
      <c r="AR76" s="3">
        <f t="shared" ca="1" si="86"/>
        <v>0.49751243781094534</v>
      </c>
      <c r="AT76" s="3">
        <v>0.17100000381469727</v>
      </c>
      <c r="AU76" s="3">
        <v>2.0000000949949026E-3</v>
      </c>
      <c r="AV76" s="3">
        <v>0</v>
      </c>
      <c r="AW76" s="3">
        <v>0.31200000643730164</v>
      </c>
      <c r="AY76" s="3">
        <f t="shared" ca="1" si="87"/>
        <v>0.24170616113744053</v>
      </c>
      <c r="AZ76" s="3">
        <f t="shared" ca="1" si="88"/>
        <v>0.23738130934532739</v>
      </c>
      <c r="BA76" s="3">
        <f t="shared" ca="1" si="89"/>
        <v>0.46522064323111451</v>
      </c>
      <c r="BB76" s="3">
        <f t="shared" ca="1" si="90"/>
        <v>0.31915422885572148</v>
      </c>
      <c r="BD76" s="3">
        <f t="shared" ca="1" si="91"/>
        <v>0.14143181608394662</v>
      </c>
      <c r="BE76" s="3">
        <f t="shared" ca="1" si="92"/>
        <v>0.40804595127515592</v>
      </c>
      <c r="BF76" s="3">
        <f t="shared" ca="1" si="93"/>
        <v>0.44028924249170187</v>
      </c>
      <c r="BG76" s="3">
        <f t="shared" ca="1" si="94"/>
        <v>0.46417908140675945</v>
      </c>
      <c r="BI76" s="3">
        <f t="shared" ca="1" si="95"/>
        <v>0.24943876278373658</v>
      </c>
      <c r="BJ76" s="3">
        <f t="shared" ca="1" si="96"/>
        <v>0.24987506246876562</v>
      </c>
      <c r="BK76" s="3">
        <f t="shared" ca="1" si="97"/>
        <v>0.49862877088007979</v>
      </c>
      <c r="BL76" s="3">
        <f t="shared" ca="1" si="98"/>
        <v>0.74626865671641796</v>
      </c>
      <c r="BN76" s="3">
        <f t="shared" ca="1" si="99"/>
        <v>2.2449488650536291</v>
      </c>
      <c r="BO76" s="3">
        <f t="shared" ca="1" si="100"/>
        <v>0.24987506246876562</v>
      </c>
      <c r="BP76" s="3">
        <f t="shared" ca="1" si="101"/>
        <v>0.74794315632011965</v>
      </c>
      <c r="BQ76" s="3">
        <f t="shared" ca="1" si="102"/>
        <v>0.99502487562189068</v>
      </c>
      <c r="BS76" s="3">
        <v>3.437000036239624</v>
      </c>
      <c r="BT76" s="3">
        <v>2.1010000705718994</v>
      </c>
      <c r="BU76" s="3">
        <v>1.715999960899353</v>
      </c>
      <c r="BV76" s="3">
        <v>0.31200000643730164</v>
      </c>
      <c r="BX76" s="3">
        <f t="shared" ca="1" si="103"/>
        <v>3.7415814417560492E-2</v>
      </c>
      <c r="BY76" s="3">
        <f t="shared" ca="1" si="104"/>
        <v>0</v>
      </c>
      <c r="BZ76" s="3">
        <f t="shared" ca="1" si="105"/>
        <v>2.8920468711044651E-2</v>
      </c>
      <c r="CA76" s="3">
        <f t="shared" ca="1" si="106"/>
        <v>0</v>
      </c>
      <c r="CC76" s="3">
        <f t="shared" ca="1" si="107"/>
        <v>0</v>
      </c>
      <c r="CD76" s="3">
        <f t="shared" ca="1" si="108"/>
        <v>0</v>
      </c>
      <c r="CE76" s="3">
        <f t="shared" ca="1" si="109"/>
        <v>0</v>
      </c>
      <c r="CF76" s="3">
        <f t="shared" ca="1" si="110"/>
        <v>0</v>
      </c>
      <c r="CH76" s="3">
        <f t="shared" ca="1" si="111"/>
        <v>0</v>
      </c>
      <c r="CI76" s="3">
        <f t="shared" ca="1" si="112"/>
        <v>0</v>
      </c>
      <c r="CJ76" s="3">
        <f t="shared" ca="1" si="113"/>
        <v>0</v>
      </c>
      <c r="CK76" s="3">
        <f t="shared" ca="1" si="114"/>
        <v>0</v>
      </c>
      <c r="CM76" s="3">
        <f t="shared" ca="1" si="115"/>
        <v>1.746071339486156</v>
      </c>
      <c r="CN76" s="3">
        <f t="shared" ca="1" si="116"/>
        <v>0</v>
      </c>
      <c r="CO76" s="3">
        <f t="shared" ca="1" si="117"/>
        <v>0.24931438544003989</v>
      </c>
      <c r="CP76" s="3">
        <f t="shared" ca="1" si="118"/>
        <v>0</v>
      </c>
      <c r="CR76" s="3">
        <v>4.0090000000000003</v>
      </c>
      <c r="CS76" s="3">
        <v>4.0019999999999998</v>
      </c>
      <c r="CT76" s="3">
        <v>4.0110000000000001</v>
      </c>
      <c r="CU76" s="3">
        <v>4.0199999999999996</v>
      </c>
      <c r="CV76" s="21">
        <f t="shared" ca="1" si="120"/>
        <v>4.0199999999999996</v>
      </c>
      <c r="CW76" s="16">
        <f t="shared" ca="1" si="119"/>
        <v>9.5833333333333339</v>
      </c>
    </row>
    <row r="77" spans="1:101" s="3" customFormat="1" x14ac:dyDescent="0.35">
      <c r="A77" s="2" t="s">
        <v>41</v>
      </c>
      <c r="B77" s="2">
        <v>9.6666666666666661</v>
      </c>
      <c r="C77" s="2" t="s">
        <v>167</v>
      </c>
      <c r="D77" s="2" t="s">
        <v>403</v>
      </c>
      <c r="F77" s="3">
        <v>4.01</v>
      </c>
      <c r="G77" s="3">
        <v>4.0149999999999997</v>
      </c>
      <c r="H77" s="3">
        <v>4.0140000000000002</v>
      </c>
      <c r="I77" s="3" t="e">
        <v>#N/A</v>
      </c>
      <c r="K77" s="3">
        <f t="shared" ca="1" si="80"/>
        <v>0.94314214463840407</v>
      </c>
      <c r="L77" s="3">
        <f t="shared" ca="1" si="80"/>
        <v>0.99601494396014956</v>
      </c>
      <c r="M77" s="3">
        <f t="shared" ca="1" si="80"/>
        <v>0.99626307922272028</v>
      </c>
      <c r="N77" s="3" t="e">
        <f t="shared" ca="1" si="80"/>
        <v>#N/A</v>
      </c>
      <c r="P77" s="3">
        <f t="shared" ca="1" si="81"/>
        <v>0.93940158474475077</v>
      </c>
      <c r="Q77" s="3">
        <f t="shared" ca="1" si="81"/>
        <v>0.81369850139689182</v>
      </c>
      <c r="R77" s="3">
        <f t="shared" ca="1" si="81"/>
        <v>0.80991535044753638</v>
      </c>
      <c r="S77" s="3" t="e">
        <f t="shared" ca="1" si="81"/>
        <v>#N/A</v>
      </c>
      <c r="U77" s="3">
        <f t="shared" ca="1" si="82"/>
        <v>2.2443890274314215</v>
      </c>
      <c r="V77" s="3">
        <f t="shared" ca="1" si="82"/>
        <v>3.2378580323785804</v>
      </c>
      <c r="W77" s="3">
        <f t="shared" ca="1" si="82"/>
        <v>3.4877927254608867</v>
      </c>
      <c r="X77" s="3" t="e">
        <f t="shared" ca="1" si="82"/>
        <v>#N/A</v>
      </c>
      <c r="Z77" s="3">
        <f t="shared" ca="1" si="83"/>
        <v>0.9306733167082295</v>
      </c>
      <c r="AA77" s="3">
        <f t="shared" ca="1" si="83"/>
        <v>0.99601494396014956</v>
      </c>
      <c r="AB77" s="3">
        <f t="shared" ca="1" si="83"/>
        <v>0.9090682610861982</v>
      </c>
      <c r="AC77" s="3" t="e">
        <f t="shared" ca="1" si="83"/>
        <v>#N/A</v>
      </c>
      <c r="AE77" s="3">
        <f t="shared" ca="1" si="84"/>
        <v>0.93940158474475077</v>
      </c>
      <c r="AF77" s="3">
        <f t="shared" ca="1" si="84"/>
        <v>0.81369850139689182</v>
      </c>
      <c r="AG77" s="3">
        <f t="shared" ca="1" si="84"/>
        <v>0.7311908846538222</v>
      </c>
      <c r="AH77" s="3" t="e">
        <f t="shared" ca="1" si="84"/>
        <v>#N/A</v>
      </c>
      <c r="AJ77" s="3">
        <f t="shared" ca="1" si="85"/>
        <v>2.2443890274314215</v>
      </c>
      <c r="AK77" s="3">
        <f t="shared" ca="1" si="85"/>
        <v>3.2378580323785804</v>
      </c>
      <c r="AL77" s="3">
        <f t="shared" ca="1" si="85"/>
        <v>3.2386646736422517</v>
      </c>
      <c r="AM77" s="3" t="e">
        <f t="shared" ca="1" si="85"/>
        <v>#N/A</v>
      </c>
      <c r="AO77" s="3">
        <f t="shared" ca="1" si="86"/>
        <v>0.49875311720698257</v>
      </c>
      <c r="AP77" s="3">
        <f t="shared" ca="1" si="86"/>
        <v>0.24906600249066005</v>
      </c>
      <c r="AQ77" s="3">
        <f t="shared" ca="1" si="86"/>
        <v>0.24912805181863476</v>
      </c>
      <c r="AR77" s="3" t="e">
        <f t="shared" ca="1" si="86"/>
        <v>#N/A</v>
      </c>
      <c r="AT77" s="3">
        <v>1.0999999940395355E-2</v>
      </c>
      <c r="AU77" s="3">
        <v>0.29800000786781311</v>
      </c>
      <c r="AV77" s="3">
        <v>0.36899998784065247</v>
      </c>
      <c r="AW77" s="3">
        <v>6.0000000521540642E-3</v>
      </c>
      <c r="AY77" s="3">
        <f t="shared" ca="1" si="87"/>
        <v>2.4688279301745632E-2</v>
      </c>
      <c r="AZ77" s="3">
        <f t="shared" ca="1" si="88"/>
        <v>0.18679950186799493</v>
      </c>
      <c r="BA77" s="3">
        <f t="shared" ca="1" si="89"/>
        <v>0.133034379671151</v>
      </c>
      <c r="BB77" s="3" t="e">
        <f t="shared" ca="1" si="90"/>
        <v>#N/A</v>
      </c>
      <c r="BD77" s="3">
        <f t="shared" ca="1" si="91"/>
        <v>0</v>
      </c>
      <c r="BE77" s="3">
        <f t="shared" ca="1" si="92"/>
        <v>0.21594020527593821</v>
      </c>
      <c r="BF77" s="3">
        <f t="shared" ca="1" si="93"/>
        <v>0.13702042404549242</v>
      </c>
      <c r="BG77" s="3" t="e">
        <f t="shared" ca="1" si="94"/>
        <v>#N/A</v>
      </c>
      <c r="BI77" s="3">
        <f t="shared" ca="1" si="95"/>
        <v>0</v>
      </c>
      <c r="BJ77" s="3">
        <f t="shared" ca="1" si="96"/>
        <v>0.9962640099626402</v>
      </c>
      <c r="BK77" s="3">
        <f t="shared" ca="1" si="97"/>
        <v>0.49825610363726952</v>
      </c>
      <c r="BL77" s="3" t="e">
        <f t="shared" ca="1" si="98"/>
        <v>#N/A</v>
      </c>
      <c r="BN77" s="3">
        <f t="shared" ca="1" si="99"/>
        <v>0.49875311720698257</v>
      </c>
      <c r="BO77" s="3">
        <f t="shared" ca="1" si="100"/>
        <v>1.2453300124533002</v>
      </c>
      <c r="BP77" s="3">
        <f t="shared" ca="1" si="101"/>
        <v>0.74738415545590431</v>
      </c>
      <c r="BQ77" s="3" t="e">
        <f t="shared" ca="1" si="102"/>
        <v>#N/A</v>
      </c>
      <c r="BS77" s="3">
        <v>4.01</v>
      </c>
      <c r="BT77" s="3">
        <v>0.48199999332427979</v>
      </c>
      <c r="BU77" s="3">
        <v>0.36899998784065247</v>
      </c>
      <c r="BV77" s="3">
        <v>4.0110000000000001</v>
      </c>
      <c r="BX77" s="3">
        <f t="shared" ca="1" si="103"/>
        <v>0.33241895261845383</v>
      </c>
      <c r="BY77" s="3">
        <f t="shared" ca="1" si="104"/>
        <v>2.0921544209215374E-2</v>
      </c>
      <c r="BZ77" s="3">
        <f t="shared" ca="1" si="105"/>
        <v>0.15819631290483308</v>
      </c>
      <c r="CA77" s="3" t="e">
        <f t="shared" ca="1" si="106"/>
        <v>#N/A</v>
      </c>
      <c r="CC77" s="3">
        <f t="shared" ca="1" si="107"/>
        <v>0.2369076831085129</v>
      </c>
      <c r="CD77" s="3">
        <f t="shared" ca="1" si="108"/>
        <v>0</v>
      </c>
      <c r="CE77" s="3">
        <f t="shared" ca="1" si="109"/>
        <v>0.1576980905385533</v>
      </c>
      <c r="CF77" s="3" t="e">
        <f t="shared" ca="1" si="110"/>
        <v>#N/A</v>
      </c>
      <c r="CH77" s="3">
        <f t="shared" ca="1" si="111"/>
        <v>0.74812967581047385</v>
      </c>
      <c r="CI77" s="3">
        <f t="shared" ca="1" si="112"/>
        <v>0</v>
      </c>
      <c r="CJ77" s="3">
        <f t="shared" ca="1" si="113"/>
        <v>0.49825610363726952</v>
      </c>
      <c r="CK77" s="3" t="e">
        <f t="shared" ca="1" si="114"/>
        <v>#N/A</v>
      </c>
      <c r="CM77" s="3">
        <f t="shared" ca="1" si="115"/>
        <v>0.74812967581047385</v>
      </c>
      <c r="CN77" s="3">
        <f t="shared" ca="1" si="116"/>
        <v>0.4981320049813201</v>
      </c>
      <c r="CO77" s="3">
        <f t="shared" ca="1" si="117"/>
        <v>0.99651220727453904</v>
      </c>
      <c r="CP77" s="3" t="e">
        <f t="shared" ca="1" si="118"/>
        <v>#N/A</v>
      </c>
      <c r="CR77" s="3">
        <v>2.8610000610351563</v>
      </c>
      <c r="CS77" s="3">
        <v>4.0149999999999997</v>
      </c>
      <c r="CT77" s="3">
        <v>1.5360000133514404</v>
      </c>
      <c r="CU77" s="3">
        <v>6.0000000521540642E-3</v>
      </c>
      <c r="CV77" s="21">
        <f t="shared" ca="1" si="120"/>
        <v>6.0000000521540642E-3</v>
      </c>
      <c r="CW77" s="16">
        <f t="shared" ca="1" si="119"/>
        <v>9.6666666666666661</v>
      </c>
    </row>
    <row r="78" spans="1:101" s="3" customFormat="1" x14ac:dyDescent="0.35">
      <c r="A78" s="2" t="s">
        <v>52</v>
      </c>
      <c r="B78" s="2">
        <v>9.6666666666666661</v>
      </c>
      <c r="C78" s="2" t="s">
        <v>168</v>
      </c>
      <c r="D78" s="2" t="s">
        <v>403</v>
      </c>
      <c r="F78" s="3">
        <v>4.01</v>
      </c>
      <c r="G78" s="3">
        <v>4.016</v>
      </c>
      <c r="H78" s="3">
        <v>4.016</v>
      </c>
      <c r="I78" s="3">
        <v>4.0149999999999997</v>
      </c>
      <c r="K78" s="3">
        <f t="shared" ca="1" si="80"/>
        <v>0.99326683291770579</v>
      </c>
      <c r="L78" s="3">
        <f t="shared" ca="1" si="80"/>
        <v>0.99576693227091639</v>
      </c>
      <c r="M78" s="3">
        <f t="shared" ca="1" si="80"/>
        <v>0.99601593625498008</v>
      </c>
      <c r="N78" s="3">
        <f t="shared" ca="1" si="80"/>
        <v>0.99601494396014956</v>
      </c>
      <c r="P78" s="3">
        <f t="shared" ca="1" si="81"/>
        <v>0.96433913971569185</v>
      </c>
      <c r="Q78" s="3">
        <f t="shared" ca="1" si="81"/>
        <v>0.97933266241385408</v>
      </c>
      <c r="R78" s="3">
        <f t="shared" ca="1" si="81"/>
        <v>0.95069723584563048</v>
      </c>
      <c r="S78" s="3">
        <f t="shared" ca="1" si="81"/>
        <v>0.84209212775842046</v>
      </c>
      <c r="U78" s="3">
        <f t="shared" ca="1" si="82"/>
        <v>1.4962593516209477</v>
      </c>
      <c r="V78" s="3">
        <f t="shared" ca="1" si="82"/>
        <v>1.2450199203187251</v>
      </c>
      <c r="W78" s="3">
        <f t="shared" ca="1" si="82"/>
        <v>2.9880478087649402</v>
      </c>
      <c r="X78" s="3">
        <f t="shared" ca="1" si="82"/>
        <v>2.9887920298879207</v>
      </c>
      <c r="Z78" s="3">
        <f t="shared" ca="1" si="83"/>
        <v>0.99326683291770579</v>
      </c>
      <c r="AA78" s="3">
        <f t="shared" ca="1" si="83"/>
        <v>0.99576693227091639</v>
      </c>
      <c r="AB78" s="3">
        <f t="shared" ca="1" si="83"/>
        <v>0.99601593625498008</v>
      </c>
      <c r="AC78" s="3">
        <f t="shared" ca="1" si="83"/>
        <v>0.99601494396014956</v>
      </c>
      <c r="AE78" s="3">
        <f t="shared" ca="1" si="84"/>
        <v>0.96433913971569185</v>
      </c>
      <c r="AF78" s="3">
        <f t="shared" ca="1" si="84"/>
        <v>0.97933266241385408</v>
      </c>
      <c r="AG78" s="3">
        <f t="shared" ca="1" si="84"/>
        <v>0.95069723584563048</v>
      </c>
      <c r="AH78" s="3">
        <f t="shared" ca="1" si="84"/>
        <v>0.84209212775842046</v>
      </c>
      <c r="AJ78" s="3">
        <f t="shared" ca="1" si="85"/>
        <v>1.4962593516209477</v>
      </c>
      <c r="AK78" s="3">
        <f t="shared" ca="1" si="85"/>
        <v>1.2450199203187251</v>
      </c>
      <c r="AL78" s="3">
        <f t="shared" ca="1" si="85"/>
        <v>2.9880478087649402</v>
      </c>
      <c r="AM78" s="3">
        <f t="shared" ca="1" si="85"/>
        <v>2.9887920298879207</v>
      </c>
      <c r="AO78" s="3">
        <f t="shared" ca="1" si="86"/>
        <v>0.24937655860349128</v>
      </c>
      <c r="AP78" s="3">
        <f t="shared" ca="1" si="86"/>
        <v>0.24900398406374502</v>
      </c>
      <c r="AQ78" s="3">
        <f t="shared" ca="1" si="86"/>
        <v>0.24900398406374502</v>
      </c>
      <c r="AR78" s="3">
        <f t="shared" ca="1" si="86"/>
        <v>0.24906600249066005</v>
      </c>
      <c r="AT78" s="3">
        <v>1.3000000268220901E-2</v>
      </c>
      <c r="AU78" s="3">
        <v>8.999999612569809E-3</v>
      </c>
      <c r="AV78" s="3">
        <v>3.0000000260770321E-3</v>
      </c>
      <c r="AW78" s="3">
        <v>0.26399999856948853</v>
      </c>
      <c r="AY78" s="3">
        <f t="shared" ca="1" si="87"/>
        <v>0.86034912718204493</v>
      </c>
      <c r="AZ78" s="3">
        <f t="shared" ca="1" si="88"/>
        <v>0.78834661354581681</v>
      </c>
      <c r="BA78" s="3">
        <f t="shared" ca="1" si="89"/>
        <v>0.56847609561752999</v>
      </c>
      <c r="BB78" s="3">
        <f t="shared" ca="1" si="90"/>
        <v>0.59750933997509348</v>
      </c>
      <c r="BD78" s="3">
        <f t="shared" ca="1" si="91"/>
        <v>0.86433911914391415</v>
      </c>
      <c r="BE78" s="3">
        <f t="shared" ca="1" si="92"/>
        <v>0.73032869226429087</v>
      </c>
      <c r="BF78" s="3">
        <f t="shared" ca="1" si="93"/>
        <v>0.630976110571565</v>
      </c>
      <c r="BG78" s="3">
        <f t="shared" ca="1" si="94"/>
        <v>0.60149437166833941</v>
      </c>
      <c r="BI78" s="3">
        <f t="shared" ca="1" si="95"/>
        <v>0.99750623441396513</v>
      </c>
      <c r="BJ78" s="3">
        <f t="shared" ca="1" si="96"/>
        <v>0.74701195219123506</v>
      </c>
      <c r="BK78" s="3">
        <f t="shared" ca="1" si="97"/>
        <v>1.7430278884462151</v>
      </c>
      <c r="BL78" s="3">
        <f t="shared" ca="1" si="98"/>
        <v>1.7434620174346203</v>
      </c>
      <c r="BN78" s="3">
        <f t="shared" ca="1" si="99"/>
        <v>0.49875311720698257</v>
      </c>
      <c r="BO78" s="3">
        <f t="shared" ca="1" si="100"/>
        <v>0.49800796812749004</v>
      </c>
      <c r="BP78" s="3">
        <f t="shared" ca="1" si="101"/>
        <v>0.99601593625498008</v>
      </c>
      <c r="BQ78" s="3">
        <f t="shared" ca="1" si="102"/>
        <v>0.4981320049813201</v>
      </c>
      <c r="BS78" s="3">
        <v>1.3000000268220901E-2</v>
      </c>
      <c r="BT78" s="3">
        <v>0.57499998807907104</v>
      </c>
      <c r="BU78" s="3">
        <v>3.0000000260770321E-3</v>
      </c>
      <c r="BV78" s="3">
        <v>0.48100000619888306</v>
      </c>
      <c r="BX78" s="3">
        <f t="shared" ca="1" si="103"/>
        <v>0</v>
      </c>
      <c r="BY78" s="3">
        <f t="shared" ca="1" si="104"/>
        <v>0</v>
      </c>
      <c r="BZ78" s="3">
        <f t="shared" ca="1" si="105"/>
        <v>0</v>
      </c>
      <c r="CA78" s="3">
        <f t="shared" ca="1" si="106"/>
        <v>0</v>
      </c>
      <c r="CC78" s="3">
        <f t="shared" ca="1" si="107"/>
        <v>0</v>
      </c>
      <c r="CD78" s="3">
        <f t="shared" ca="1" si="108"/>
        <v>0</v>
      </c>
      <c r="CE78" s="3">
        <f t="shared" ca="1" si="109"/>
        <v>0</v>
      </c>
      <c r="CF78" s="3">
        <f t="shared" ca="1" si="110"/>
        <v>0</v>
      </c>
      <c r="CH78" s="3">
        <f t="shared" ca="1" si="111"/>
        <v>0</v>
      </c>
      <c r="CI78" s="3">
        <f t="shared" ca="1" si="112"/>
        <v>0</v>
      </c>
      <c r="CJ78" s="3">
        <f t="shared" ca="1" si="113"/>
        <v>0</v>
      </c>
      <c r="CK78" s="3">
        <f t="shared" ca="1" si="114"/>
        <v>0</v>
      </c>
      <c r="CM78" s="3">
        <f t="shared" ca="1" si="115"/>
        <v>0</v>
      </c>
      <c r="CN78" s="3">
        <f t="shared" ca="1" si="116"/>
        <v>0</v>
      </c>
      <c r="CO78" s="3">
        <f t="shared" ca="1" si="117"/>
        <v>0</v>
      </c>
      <c r="CP78" s="3">
        <f t="shared" ca="1" si="118"/>
        <v>0</v>
      </c>
      <c r="CR78" s="3">
        <v>4.01</v>
      </c>
      <c r="CS78" s="3">
        <v>4.016</v>
      </c>
      <c r="CT78" s="3">
        <v>4.016</v>
      </c>
      <c r="CU78" s="3">
        <v>4.0149999999999997</v>
      </c>
      <c r="CV78" s="21">
        <f t="shared" ca="1" si="120"/>
        <v>4.0149999999999997</v>
      </c>
      <c r="CW78" s="16">
        <f t="shared" ca="1" si="119"/>
        <v>9.6666666666666661</v>
      </c>
    </row>
    <row r="79" spans="1:101" s="3" customFormat="1" x14ac:dyDescent="0.35">
      <c r="A79" s="2" t="s">
        <v>61</v>
      </c>
      <c r="B79" s="2">
        <v>9.8333333333333339</v>
      </c>
      <c r="C79" s="2" t="s">
        <v>168</v>
      </c>
      <c r="D79" s="2" t="s">
        <v>403</v>
      </c>
      <c r="F79" s="3">
        <v>4.0090000000000003</v>
      </c>
      <c r="G79" s="3">
        <v>4.0149999999999997</v>
      </c>
      <c r="H79" s="3">
        <v>4.0060000000000002</v>
      </c>
      <c r="I79" s="3">
        <v>4.0110000000000001</v>
      </c>
      <c r="K79" s="3">
        <f t="shared" ca="1" si="80"/>
        <v>0.99351459216762283</v>
      </c>
      <c r="L79" s="3">
        <f t="shared" ca="1" si="80"/>
        <v>0.99601494396014956</v>
      </c>
      <c r="M79" s="3">
        <f t="shared" ca="1" si="80"/>
        <v>0.99825262106839752</v>
      </c>
      <c r="N79" s="3">
        <f t="shared" ca="1" si="80"/>
        <v>0.94714535028671154</v>
      </c>
      <c r="P79" s="3">
        <f t="shared" ca="1" si="81"/>
        <v>0.89324021516342234</v>
      </c>
      <c r="Q79" s="3">
        <f t="shared" ca="1" si="81"/>
        <v>0.91307613659988762</v>
      </c>
      <c r="R79" s="3">
        <f t="shared" ca="1" si="81"/>
        <v>0.87343981468383292</v>
      </c>
      <c r="S79" s="3">
        <f t="shared" ca="1" si="81"/>
        <v>0.83470453766628083</v>
      </c>
      <c r="U79" s="3">
        <f t="shared" ca="1" si="82"/>
        <v>1.9955101022698927</v>
      </c>
      <c r="V79" s="3">
        <f t="shared" ca="1" si="82"/>
        <v>3.4869240348692405</v>
      </c>
      <c r="W79" s="3">
        <f t="shared" ca="1" si="82"/>
        <v>3.4947578632051921</v>
      </c>
      <c r="X79" s="3">
        <f t="shared" ca="1" si="82"/>
        <v>2.2438294689603588</v>
      </c>
      <c r="Z79" s="3">
        <f t="shared" ca="1" si="83"/>
        <v>0.99351459216762283</v>
      </c>
      <c r="AA79" s="3">
        <f t="shared" ca="1" si="83"/>
        <v>0.99601494396014956</v>
      </c>
      <c r="AB79" s="3">
        <f t="shared" ca="1" si="83"/>
        <v>0.99825262106839752</v>
      </c>
      <c r="AC79" s="3">
        <f t="shared" ca="1" si="83"/>
        <v>0.9222139117427075</v>
      </c>
      <c r="AE79" s="3">
        <f t="shared" ca="1" si="84"/>
        <v>0.89324021516342234</v>
      </c>
      <c r="AF79" s="3">
        <f t="shared" ca="1" si="84"/>
        <v>0.91307613659988762</v>
      </c>
      <c r="AG79" s="3">
        <f t="shared" ca="1" si="84"/>
        <v>0.87343981468383292</v>
      </c>
      <c r="AH79" s="3">
        <f t="shared" ca="1" si="84"/>
        <v>0.83470453766628083</v>
      </c>
      <c r="AJ79" s="3">
        <f t="shared" ca="1" si="85"/>
        <v>1.9955101022698927</v>
      </c>
      <c r="AK79" s="3">
        <f t="shared" ca="1" si="85"/>
        <v>3.4869240348692405</v>
      </c>
      <c r="AL79" s="3">
        <f t="shared" ca="1" si="85"/>
        <v>3.4947578632051921</v>
      </c>
      <c r="AM79" s="3">
        <f t="shared" ca="1" si="85"/>
        <v>2.2438294689603588</v>
      </c>
      <c r="AO79" s="3">
        <f t="shared" ca="1" si="86"/>
        <v>0.24943876278373658</v>
      </c>
      <c r="AP79" s="3">
        <f t="shared" ca="1" si="86"/>
        <v>0.24906600249066005</v>
      </c>
      <c r="AQ79" s="3">
        <f t="shared" ca="1" si="86"/>
        <v>0.24962556165751371</v>
      </c>
      <c r="AR79" s="3">
        <f t="shared" ca="1" si="86"/>
        <v>0.49862877088007979</v>
      </c>
      <c r="AT79" s="3">
        <v>6.3000001013278961E-2</v>
      </c>
      <c r="AU79" s="3">
        <v>1.2000000104308128E-2</v>
      </c>
      <c r="AV79" s="3">
        <v>2.0000000949949026E-3</v>
      </c>
      <c r="AW79" s="3">
        <v>0.35899999737739563</v>
      </c>
      <c r="AY79" s="3">
        <f t="shared" ca="1" si="87"/>
        <v>0.46121227238712881</v>
      </c>
      <c r="AZ79" s="3">
        <f t="shared" ca="1" si="88"/>
        <v>0.39053549190535497</v>
      </c>
      <c r="BA79" s="3">
        <f t="shared" ca="1" si="89"/>
        <v>0.58237643534697958</v>
      </c>
      <c r="BB79" s="3">
        <f t="shared" ca="1" si="90"/>
        <v>0.3737222637746197</v>
      </c>
      <c r="BD79" s="3">
        <f t="shared" ca="1" si="91"/>
        <v>0.4195560092312286</v>
      </c>
      <c r="BE79" s="3">
        <f t="shared" ca="1" si="92"/>
        <v>0.46077217735062503</v>
      </c>
      <c r="BF79" s="3">
        <f t="shared" ca="1" si="93"/>
        <v>0.51997006832214221</v>
      </c>
      <c r="BG79" s="3">
        <f t="shared" ca="1" si="94"/>
        <v>0.36549490159718778</v>
      </c>
      <c r="BI79" s="3">
        <f t="shared" ca="1" si="95"/>
        <v>0.74831628835120967</v>
      </c>
      <c r="BJ79" s="3">
        <f t="shared" ca="1" si="96"/>
        <v>1.7434620174346203</v>
      </c>
      <c r="BK79" s="3">
        <f t="shared" ca="1" si="97"/>
        <v>1.9970044932601096</v>
      </c>
      <c r="BL79" s="3">
        <f t="shared" ca="1" si="98"/>
        <v>1.2465719272001994</v>
      </c>
      <c r="BN79" s="3">
        <f t="shared" ca="1" si="99"/>
        <v>0.99775505113494634</v>
      </c>
      <c r="BO79" s="3">
        <f t="shared" ca="1" si="100"/>
        <v>1.2453300124533002</v>
      </c>
      <c r="BP79" s="3">
        <f t="shared" ca="1" si="101"/>
        <v>1.4977533699450822</v>
      </c>
      <c r="BQ79" s="3">
        <f t="shared" ca="1" si="102"/>
        <v>0.49862877088007979</v>
      </c>
      <c r="BS79" s="3">
        <v>0.71299999952316284</v>
      </c>
      <c r="BT79" s="3">
        <v>0.39500001072883606</v>
      </c>
      <c r="BU79" s="3">
        <v>0.45199999213218689</v>
      </c>
      <c r="BV79" s="3">
        <v>0.35899999737739563</v>
      </c>
      <c r="BX79" s="3">
        <f t="shared" ca="1" si="103"/>
        <v>4.589673235220746E-2</v>
      </c>
      <c r="BY79" s="3">
        <f t="shared" ca="1" si="104"/>
        <v>0</v>
      </c>
      <c r="BZ79" s="3">
        <f t="shared" ca="1" si="105"/>
        <v>1.2481278082875642E-2</v>
      </c>
      <c r="CA79" s="3">
        <f t="shared" ca="1" si="106"/>
        <v>0.11618050361505852</v>
      </c>
      <c r="CC79" s="3">
        <f t="shared" ca="1" si="107"/>
        <v>0</v>
      </c>
      <c r="CD79" s="3">
        <f t="shared" ca="1" si="108"/>
        <v>0</v>
      </c>
      <c r="CE79" s="3">
        <f t="shared" ca="1" si="109"/>
        <v>7.4887656594179772E-2</v>
      </c>
      <c r="CF79" s="3">
        <f t="shared" ca="1" si="110"/>
        <v>0.11194218902093339</v>
      </c>
      <c r="CH79" s="3">
        <f t="shared" ca="1" si="111"/>
        <v>0</v>
      </c>
      <c r="CI79" s="3">
        <f t="shared" ca="1" si="112"/>
        <v>0</v>
      </c>
      <c r="CJ79" s="3">
        <f t="shared" ca="1" si="113"/>
        <v>0.24962556165751371</v>
      </c>
      <c r="CK79" s="3">
        <f t="shared" ca="1" si="114"/>
        <v>0.24931438544003989</v>
      </c>
      <c r="CM79" s="3">
        <f t="shared" ca="1" si="115"/>
        <v>0.24943876278373658</v>
      </c>
      <c r="CN79" s="3">
        <f t="shared" ca="1" si="116"/>
        <v>0.24906600249066005</v>
      </c>
      <c r="CO79" s="3">
        <f t="shared" ca="1" si="117"/>
        <v>0.74887668497254112</v>
      </c>
      <c r="CP79" s="3">
        <f t="shared" ca="1" si="118"/>
        <v>0.24931438544003989</v>
      </c>
      <c r="CR79" s="3">
        <v>4.0090000000000003</v>
      </c>
      <c r="CS79" s="3">
        <v>4.0149999999999997</v>
      </c>
      <c r="CT79" s="3">
        <v>3.6840000152587891</v>
      </c>
      <c r="CU79" s="3">
        <v>1.6089999675750732</v>
      </c>
      <c r="CV79" s="21">
        <f t="shared" ca="1" si="120"/>
        <v>1.6089999675750732</v>
      </c>
      <c r="CW79" s="16">
        <f t="shared" ca="1" si="119"/>
        <v>9.8333333333333339</v>
      </c>
    </row>
    <row r="80" spans="1:101" s="3" customFormat="1" x14ac:dyDescent="0.35">
      <c r="A80" s="2" t="s">
        <v>62</v>
      </c>
      <c r="B80" s="2">
        <v>9.8333333333333339</v>
      </c>
      <c r="C80" s="2" t="s">
        <v>167</v>
      </c>
      <c r="D80" s="2" t="s">
        <v>403</v>
      </c>
      <c r="F80" s="3">
        <v>4.0090000000000003</v>
      </c>
      <c r="G80" s="3">
        <v>4.0110000000000001</v>
      </c>
      <c r="H80" s="3">
        <v>4.016</v>
      </c>
      <c r="I80" s="3">
        <v>4.0010000000000003</v>
      </c>
      <c r="K80" s="3">
        <f t="shared" ca="1" si="80"/>
        <v>0.98902469443751562</v>
      </c>
      <c r="L80" s="3">
        <f t="shared" ca="1" si="80"/>
        <v>0.99700822737471939</v>
      </c>
      <c r="M80" s="3">
        <f t="shared" ca="1" si="80"/>
        <v>0.9957669322709165</v>
      </c>
      <c r="N80" s="3">
        <f t="shared" ca="1" si="80"/>
        <v>0.99550112471882024</v>
      </c>
      <c r="P80" s="3">
        <f t="shared" ca="1" si="81"/>
        <v>0.8271389679663137</v>
      </c>
      <c r="Q80" s="3">
        <f t="shared" ca="1" si="81"/>
        <v>0.86362509656445818</v>
      </c>
      <c r="R80" s="3">
        <f t="shared" ca="1" si="81"/>
        <v>0.93426295762289824</v>
      </c>
      <c r="S80" s="3">
        <f t="shared" ca="1" si="81"/>
        <v>0.8922768244647854</v>
      </c>
      <c r="U80" s="3">
        <f t="shared" ca="1" si="82"/>
        <v>2.2449488650536291</v>
      </c>
      <c r="V80" s="3">
        <f t="shared" ca="1" si="82"/>
        <v>1.7452006980802792</v>
      </c>
      <c r="W80" s="3">
        <f t="shared" ca="1" si="82"/>
        <v>3.237051792828685</v>
      </c>
      <c r="X80" s="3">
        <f t="shared" ca="1" si="82"/>
        <v>2.499375156210947</v>
      </c>
      <c r="Z80" s="3">
        <f t="shared" ca="1" si="83"/>
        <v>0.98902469443751562</v>
      </c>
      <c r="AA80" s="3">
        <f t="shared" ca="1" si="83"/>
        <v>0.99700822737471939</v>
      </c>
      <c r="AB80" s="3">
        <f t="shared" ca="1" si="83"/>
        <v>0.9957669322709165</v>
      </c>
      <c r="AC80" s="3">
        <f t="shared" ca="1" si="83"/>
        <v>0.99550112471882024</v>
      </c>
      <c r="AE80" s="3">
        <f t="shared" ca="1" si="84"/>
        <v>0.8271389679663137</v>
      </c>
      <c r="AF80" s="3">
        <f t="shared" ca="1" si="84"/>
        <v>0.86362509656445818</v>
      </c>
      <c r="AG80" s="3">
        <f t="shared" ca="1" si="84"/>
        <v>0.93426295762289824</v>
      </c>
      <c r="AH80" s="3">
        <f t="shared" ca="1" si="84"/>
        <v>0.8922768244647854</v>
      </c>
      <c r="AJ80" s="3">
        <f t="shared" ca="1" si="85"/>
        <v>2.2449488650536291</v>
      </c>
      <c r="AK80" s="3">
        <f t="shared" ca="1" si="85"/>
        <v>1.7452006980802792</v>
      </c>
      <c r="AL80" s="3">
        <f t="shared" ca="1" si="85"/>
        <v>3.237051792828685</v>
      </c>
      <c r="AM80" s="3">
        <f t="shared" ca="1" si="85"/>
        <v>2.499375156210947</v>
      </c>
      <c r="AO80" s="3">
        <f t="shared" ca="1" si="86"/>
        <v>0.24943876278373658</v>
      </c>
      <c r="AP80" s="3">
        <f t="shared" ca="1" si="86"/>
        <v>0.24931438544003989</v>
      </c>
      <c r="AQ80" s="3">
        <f t="shared" ca="1" si="86"/>
        <v>0.24900398406374502</v>
      </c>
      <c r="AR80" s="3">
        <f t="shared" ca="1" si="86"/>
        <v>0.2499375156210947</v>
      </c>
      <c r="AT80" s="3">
        <v>3.7999998778104782E-2</v>
      </c>
      <c r="AU80" s="3">
        <v>1.0999999940395355E-2</v>
      </c>
      <c r="AV80" s="3">
        <v>2.0000000949949026E-3</v>
      </c>
      <c r="AW80" s="3">
        <v>7.0000002160668373E-3</v>
      </c>
      <c r="AY80" s="3">
        <f t="shared" ca="1" si="87"/>
        <v>0.7151409329009728</v>
      </c>
      <c r="AZ80" s="3">
        <f t="shared" ca="1" si="88"/>
        <v>0.40314136125654448</v>
      </c>
      <c r="BA80" s="3">
        <f t="shared" ca="1" si="89"/>
        <v>0.21987051792828682</v>
      </c>
      <c r="BB80" s="3">
        <f t="shared" ca="1" si="90"/>
        <v>0.28342914271432146</v>
      </c>
      <c r="BD80" s="3">
        <f t="shared" ca="1" si="91"/>
        <v>0.71913193206027071</v>
      </c>
      <c r="BE80" s="3">
        <f t="shared" ca="1" si="92"/>
        <v>0.45674394354562275</v>
      </c>
      <c r="BF80" s="3">
        <f t="shared" ca="1" si="93"/>
        <v>0.24501991224478914</v>
      </c>
      <c r="BG80" s="3">
        <f t="shared" ca="1" si="94"/>
        <v>0.30467384935944891</v>
      </c>
      <c r="BI80" s="3">
        <f t="shared" ca="1" si="95"/>
        <v>1.4966325767024193</v>
      </c>
      <c r="BJ80" s="3">
        <f t="shared" ca="1" si="96"/>
        <v>0.74794315632011965</v>
      </c>
      <c r="BK80" s="3">
        <f t="shared" ca="1" si="97"/>
        <v>0.74701195219123506</v>
      </c>
      <c r="BL80" s="3">
        <f t="shared" ca="1" si="98"/>
        <v>0.74981254686328414</v>
      </c>
      <c r="BN80" s="3">
        <f t="shared" ca="1" si="99"/>
        <v>0.74831628835120967</v>
      </c>
      <c r="BO80" s="3">
        <f t="shared" ca="1" si="100"/>
        <v>0.49862877088007979</v>
      </c>
      <c r="BP80" s="3">
        <f t="shared" ca="1" si="101"/>
        <v>0.24900398406374502</v>
      </c>
      <c r="BQ80" s="3">
        <f t="shared" ca="1" si="102"/>
        <v>0.74981254686328414</v>
      </c>
      <c r="BS80" s="3">
        <v>3.7999998778104782E-2</v>
      </c>
      <c r="BT80" s="3">
        <v>0.41100001335144043</v>
      </c>
      <c r="BU80" s="3">
        <v>0.43500000238418579</v>
      </c>
      <c r="BV80" s="3">
        <v>0.37299999594688416</v>
      </c>
      <c r="BX80" s="3">
        <f t="shared" ca="1" si="103"/>
        <v>6.6600149663257641E-2</v>
      </c>
      <c r="BY80" s="3">
        <f t="shared" ca="1" si="104"/>
        <v>0.11618050361505863</v>
      </c>
      <c r="BZ80" s="3">
        <f t="shared" ca="1" si="105"/>
        <v>7.4701195219123578E-2</v>
      </c>
      <c r="CA80" s="3">
        <f t="shared" ca="1" si="106"/>
        <v>0.1289677580604848</v>
      </c>
      <c r="CC80" s="3">
        <f t="shared" ca="1" si="107"/>
        <v>4.988776445091439E-2</v>
      </c>
      <c r="CD80" s="3">
        <f t="shared" ca="1" si="108"/>
        <v>0.13687360378846478</v>
      </c>
      <c r="CE80" s="3">
        <f t="shared" ca="1" si="109"/>
        <v>6.6484113138510409E-2</v>
      </c>
      <c r="CF80" s="3">
        <f t="shared" ca="1" si="110"/>
        <v>0.1164708427118379</v>
      </c>
      <c r="CH80" s="3">
        <f t="shared" ca="1" si="111"/>
        <v>0.24943876278373658</v>
      </c>
      <c r="CI80" s="3">
        <f t="shared" ca="1" si="112"/>
        <v>0.24931438544003989</v>
      </c>
      <c r="CJ80" s="3">
        <f t="shared" ca="1" si="113"/>
        <v>0.49800796812749004</v>
      </c>
      <c r="CK80" s="3">
        <f t="shared" ca="1" si="114"/>
        <v>0.2499375156210947</v>
      </c>
      <c r="CM80" s="3">
        <f t="shared" ca="1" si="115"/>
        <v>0.24943876278373658</v>
      </c>
      <c r="CN80" s="3">
        <f t="shared" ca="1" si="116"/>
        <v>0.49862877088007979</v>
      </c>
      <c r="CO80" s="3">
        <f t="shared" ca="1" si="117"/>
        <v>0.74701195219123506</v>
      </c>
      <c r="CP80" s="3">
        <f t="shared" ca="1" si="118"/>
        <v>0.74981254686328414</v>
      </c>
      <c r="CR80" s="3">
        <v>1.1710000038146973</v>
      </c>
      <c r="CS80" s="3">
        <v>2.9769999980926514</v>
      </c>
      <c r="CT80" s="3">
        <v>2.5179998874664307</v>
      </c>
      <c r="CU80" s="3">
        <v>2.6070001125335693</v>
      </c>
      <c r="CV80" s="21">
        <f t="shared" ca="1" si="120"/>
        <v>2.6070001125335693</v>
      </c>
      <c r="CW80" s="16">
        <f t="shared" ca="1" si="119"/>
        <v>9.8333333333333339</v>
      </c>
    </row>
    <row r="81" spans="1:101" s="3" customFormat="1" x14ac:dyDescent="0.35">
      <c r="A81" s="2" t="s">
        <v>2</v>
      </c>
      <c r="B81" s="2">
        <v>10.083333333333334</v>
      </c>
      <c r="C81" s="2" t="s">
        <v>167</v>
      </c>
      <c r="D81" s="2" t="s">
        <v>403</v>
      </c>
      <c r="F81" s="3">
        <v>4.0149999999999997</v>
      </c>
      <c r="G81" s="3">
        <v>4.016</v>
      </c>
      <c r="H81" s="3">
        <v>4.016</v>
      </c>
      <c r="I81" s="3">
        <v>4.016</v>
      </c>
      <c r="K81" s="3">
        <f t="shared" ca="1" si="80"/>
        <v>0.99626400996264008</v>
      </c>
      <c r="L81" s="3">
        <f t="shared" ca="1" si="80"/>
        <v>0.99601593625498008</v>
      </c>
      <c r="M81" s="3">
        <f t="shared" ca="1" si="80"/>
        <v>0.93376494023904366</v>
      </c>
      <c r="N81" s="3">
        <f t="shared" ca="1" si="80"/>
        <v>0.8219621513944223</v>
      </c>
      <c r="P81" s="3">
        <f t="shared" ca="1" si="81"/>
        <v>0.54794529158329763</v>
      </c>
      <c r="Q81" s="3">
        <f t="shared" ca="1" si="81"/>
        <v>0.63072714539044406</v>
      </c>
      <c r="R81" s="3">
        <f t="shared" ca="1" si="81"/>
        <v>0.90413361572590012</v>
      </c>
      <c r="S81" s="3">
        <f t="shared" ca="1" si="81"/>
        <v>0.61852575128571508</v>
      </c>
      <c r="U81" s="3">
        <f t="shared" ca="1" si="82"/>
        <v>2.7397260273972606</v>
      </c>
      <c r="V81" s="3">
        <f t="shared" ca="1" si="82"/>
        <v>3.7350597609561751</v>
      </c>
      <c r="W81" s="3">
        <f t="shared" ca="1" si="82"/>
        <v>2.9880478087649402</v>
      </c>
      <c r="X81" s="3">
        <f t="shared" ca="1" si="82"/>
        <v>1.9920318725099602</v>
      </c>
      <c r="Z81" s="3">
        <f t="shared" ca="1" si="83"/>
        <v>0.21195516811955153</v>
      </c>
      <c r="AA81" s="3">
        <f t="shared" ca="1" si="83"/>
        <v>0.34810756972111551</v>
      </c>
      <c r="AB81" s="3">
        <f t="shared" ca="1" si="83"/>
        <v>0.20742031872509958</v>
      </c>
      <c r="AC81" s="3">
        <f t="shared" ca="1" si="83"/>
        <v>0.2739043824701195</v>
      </c>
      <c r="AE81" s="3">
        <f t="shared" ca="1" si="84"/>
        <v>0.20772114785789406</v>
      </c>
      <c r="AF81" s="3">
        <f t="shared" ca="1" si="84"/>
        <v>0.34437255110161236</v>
      </c>
      <c r="AG81" s="3">
        <f t="shared" ca="1" si="84"/>
        <v>0.24900401931300581</v>
      </c>
      <c r="AH81" s="3">
        <f t="shared" ca="1" si="84"/>
        <v>0.15786851188576079</v>
      </c>
      <c r="AJ81" s="3">
        <f t="shared" ca="1" si="85"/>
        <v>0.74719800747198017</v>
      </c>
      <c r="AK81" s="3">
        <f t="shared" ca="1" si="85"/>
        <v>1.9920318725099602</v>
      </c>
      <c r="AL81" s="3">
        <f t="shared" ca="1" si="85"/>
        <v>0.99601593625498008</v>
      </c>
      <c r="AM81" s="3">
        <f t="shared" ca="1" si="85"/>
        <v>0.49800796812749004</v>
      </c>
      <c r="AO81" s="3">
        <f t="shared" ca="1" si="86"/>
        <v>2.2415940224159403</v>
      </c>
      <c r="AP81" s="3">
        <f t="shared" ca="1" si="86"/>
        <v>2.739043824701195</v>
      </c>
      <c r="AQ81" s="3">
        <f t="shared" ca="1" si="86"/>
        <v>0.99601593625498008</v>
      </c>
      <c r="AR81" s="3">
        <f t="shared" ca="1" si="86"/>
        <v>1.4940239043824701</v>
      </c>
      <c r="AT81" s="3">
        <v>0.87099999189376831</v>
      </c>
      <c r="AU81" s="3">
        <v>0.36700001358985901</v>
      </c>
      <c r="AV81" s="3">
        <v>0.12099999934434891</v>
      </c>
      <c r="AW81" s="3">
        <v>1.0249999761581421</v>
      </c>
      <c r="AY81" s="3">
        <f t="shared" ca="1" si="87"/>
        <v>0</v>
      </c>
      <c r="AZ81" s="3">
        <f t="shared" ca="1" si="88"/>
        <v>0</v>
      </c>
      <c r="BA81" s="3">
        <f t="shared" ca="1" si="89"/>
        <v>0</v>
      </c>
      <c r="BB81" s="3">
        <f t="shared" ca="1" si="90"/>
        <v>0</v>
      </c>
      <c r="BD81" s="3">
        <f t="shared" ca="1" si="91"/>
        <v>0</v>
      </c>
      <c r="BE81" s="3">
        <f t="shared" ca="1" si="92"/>
        <v>0</v>
      </c>
      <c r="BF81" s="3">
        <f t="shared" ca="1" si="93"/>
        <v>0</v>
      </c>
      <c r="BG81" s="3">
        <f t="shared" ca="1" si="94"/>
        <v>0</v>
      </c>
      <c r="BI81" s="3">
        <f t="shared" ca="1" si="95"/>
        <v>0</v>
      </c>
      <c r="BJ81" s="3">
        <f t="shared" ca="1" si="96"/>
        <v>0</v>
      </c>
      <c r="BK81" s="3">
        <f t="shared" ca="1" si="97"/>
        <v>0</v>
      </c>
      <c r="BL81" s="3">
        <f t="shared" ca="1" si="98"/>
        <v>0</v>
      </c>
      <c r="BN81" s="3">
        <f t="shared" ca="1" si="99"/>
        <v>0</v>
      </c>
      <c r="BO81" s="3">
        <f t="shared" ca="1" si="100"/>
        <v>0</v>
      </c>
      <c r="BP81" s="3">
        <f t="shared" ca="1" si="101"/>
        <v>0</v>
      </c>
      <c r="BQ81" s="3">
        <f t="shared" ca="1" si="102"/>
        <v>0</v>
      </c>
      <c r="BS81" s="3">
        <v>4.0149999999999997</v>
      </c>
      <c r="BT81" s="3">
        <v>4.016</v>
      </c>
      <c r="BU81" s="3">
        <v>4.016</v>
      </c>
      <c r="BV81" s="3">
        <v>4.016</v>
      </c>
      <c r="BX81" s="3">
        <f t="shared" ca="1" si="103"/>
        <v>4.58281444582814E-2</v>
      </c>
      <c r="BY81" s="3">
        <f t="shared" ca="1" si="104"/>
        <v>8.6653386454183232E-2</v>
      </c>
      <c r="BZ81" s="3">
        <f t="shared" ca="1" si="105"/>
        <v>0.14965139442231071</v>
      </c>
      <c r="CA81" s="3">
        <f t="shared" ca="1" si="106"/>
        <v>9.1384462151394424E-2</v>
      </c>
      <c r="CC81" s="3">
        <f t="shared" ca="1" si="107"/>
        <v>4.9813271756486907E-2</v>
      </c>
      <c r="CD81" s="3">
        <f t="shared" ca="1" si="108"/>
        <v>0.1162848921411066</v>
      </c>
      <c r="CE81" s="3">
        <f t="shared" ca="1" si="109"/>
        <v>0.13271912160622645</v>
      </c>
      <c r="CF81" s="3">
        <f t="shared" ca="1" si="110"/>
        <v>9.1384458114426442E-2</v>
      </c>
      <c r="CH81" s="3">
        <f t="shared" ca="1" si="111"/>
        <v>0.24906600249066005</v>
      </c>
      <c r="CI81" s="3">
        <f t="shared" ca="1" si="112"/>
        <v>0.74701195219123506</v>
      </c>
      <c r="CJ81" s="3">
        <f t="shared" ca="1" si="113"/>
        <v>0.49800796812749004</v>
      </c>
      <c r="CK81" s="3">
        <f t="shared" ca="1" si="114"/>
        <v>0.24900398406374502</v>
      </c>
      <c r="CM81" s="3">
        <f t="shared" ca="1" si="115"/>
        <v>0.74719800747198017</v>
      </c>
      <c r="CN81" s="3">
        <f t="shared" ca="1" si="116"/>
        <v>0.99601593625498008</v>
      </c>
      <c r="CO81" s="3">
        <f t="shared" ca="1" si="117"/>
        <v>0.74701195219123506</v>
      </c>
      <c r="CP81" s="3">
        <f t="shared" ca="1" si="118"/>
        <v>0.24900398406374502</v>
      </c>
      <c r="CR81" s="3">
        <v>3.8039999008178711</v>
      </c>
      <c r="CS81" s="3">
        <v>1.6829999685287476</v>
      </c>
      <c r="CT81" s="3">
        <v>1.3209999799728394</v>
      </c>
      <c r="CU81" s="3">
        <v>1.0249999761581421</v>
      </c>
      <c r="CV81" s="21">
        <f t="shared" ca="1" si="120"/>
        <v>1.0249999761581421</v>
      </c>
      <c r="CW81" s="16">
        <f t="shared" ca="1" si="119"/>
        <v>10.083333333333334</v>
      </c>
    </row>
    <row r="82" spans="1:101" s="3" customFormat="1" x14ac:dyDescent="0.35">
      <c r="A82" s="2" t="s">
        <v>22</v>
      </c>
      <c r="B82" s="2">
        <v>10.083333333333334</v>
      </c>
      <c r="C82" s="2" t="s">
        <v>167</v>
      </c>
      <c r="D82" s="2" t="s">
        <v>403</v>
      </c>
      <c r="F82" s="3">
        <v>4.016</v>
      </c>
      <c r="G82" s="3">
        <v>4.0090000000000003</v>
      </c>
      <c r="H82" s="3">
        <v>4.016</v>
      </c>
      <c r="I82" s="3">
        <v>4.0149999999999997</v>
      </c>
      <c r="K82" s="3">
        <f t="shared" ca="1" si="80"/>
        <v>0.99576693227091628</v>
      </c>
      <c r="L82" s="3">
        <f t="shared" ca="1" si="80"/>
        <v>0.99750561237216251</v>
      </c>
      <c r="M82" s="3">
        <f t="shared" ca="1" si="80"/>
        <v>0.9957669322709165</v>
      </c>
      <c r="N82" s="3">
        <f t="shared" ca="1" si="80"/>
        <v>0.99601494396014956</v>
      </c>
      <c r="P82" s="3">
        <f t="shared" ca="1" si="81"/>
        <v>0.96240039115708576</v>
      </c>
      <c r="Q82" s="3">
        <f t="shared" ca="1" si="81"/>
        <v>0.9553505207188232</v>
      </c>
      <c r="R82" s="3">
        <f t="shared" ca="1" si="81"/>
        <v>0.93749998669804213</v>
      </c>
      <c r="S82" s="3">
        <f t="shared" ca="1" si="81"/>
        <v>0.96264008715618898</v>
      </c>
      <c r="U82" s="3">
        <f t="shared" ca="1" si="82"/>
        <v>1.4940239043824701</v>
      </c>
      <c r="V82" s="3">
        <f t="shared" ca="1" si="82"/>
        <v>2.7438263906211025</v>
      </c>
      <c r="W82" s="3">
        <f t="shared" ca="1" si="82"/>
        <v>2.241035856573705</v>
      </c>
      <c r="X82" s="3">
        <f t="shared" ca="1" si="82"/>
        <v>1.7434620174346203</v>
      </c>
      <c r="Z82" s="3">
        <f t="shared" ca="1" si="83"/>
        <v>0.99576693227091628</v>
      </c>
      <c r="AA82" s="3">
        <f t="shared" ca="1" si="83"/>
        <v>0.99750561237216251</v>
      </c>
      <c r="AB82" s="3">
        <f t="shared" ca="1" si="83"/>
        <v>0.9957669322709165</v>
      </c>
      <c r="AC82" s="3">
        <f t="shared" ca="1" si="83"/>
        <v>0.99601494396014956</v>
      </c>
      <c r="AE82" s="3">
        <f t="shared" ca="1" si="84"/>
        <v>0.96240039115708576</v>
      </c>
      <c r="AF82" s="3">
        <f t="shared" ca="1" si="84"/>
        <v>0.9553505207188232</v>
      </c>
      <c r="AG82" s="3">
        <f t="shared" ca="1" si="84"/>
        <v>0.93749998669804213</v>
      </c>
      <c r="AH82" s="3">
        <f t="shared" ca="1" si="84"/>
        <v>0.96264008715618898</v>
      </c>
      <c r="AJ82" s="3">
        <f t="shared" ca="1" si="85"/>
        <v>1.4940239043824701</v>
      </c>
      <c r="AK82" s="3">
        <f t="shared" ca="1" si="85"/>
        <v>2.7438263906211025</v>
      </c>
      <c r="AL82" s="3">
        <f t="shared" ca="1" si="85"/>
        <v>2.241035856573705</v>
      </c>
      <c r="AM82" s="3">
        <f t="shared" ca="1" si="85"/>
        <v>1.7434620174346203</v>
      </c>
      <c r="AO82" s="3">
        <f t="shared" ca="1" si="86"/>
        <v>0.24900398406374502</v>
      </c>
      <c r="AP82" s="3">
        <f t="shared" ca="1" si="86"/>
        <v>0.24943876278373658</v>
      </c>
      <c r="AQ82" s="3">
        <f t="shared" ca="1" si="86"/>
        <v>0.24900398406374502</v>
      </c>
      <c r="AR82" s="3">
        <f t="shared" ca="1" si="86"/>
        <v>0.24906600249066005</v>
      </c>
      <c r="AT82" s="3">
        <v>3.0000000260770321E-3</v>
      </c>
      <c r="AU82" s="3">
        <v>8.0000003799796104E-3</v>
      </c>
      <c r="AV82" s="3">
        <v>9.9999997764825821E-3</v>
      </c>
      <c r="AW82" s="3">
        <v>0</v>
      </c>
      <c r="AY82" s="3">
        <f t="shared" ca="1" si="87"/>
        <v>0.62226095617529875</v>
      </c>
      <c r="AZ82" s="3">
        <f t="shared" ca="1" si="88"/>
        <v>0.40708406086305815</v>
      </c>
      <c r="BA82" s="3">
        <f t="shared" ca="1" si="89"/>
        <v>0.48530876494023911</v>
      </c>
      <c r="BB82" s="3">
        <f t="shared" ca="1" si="90"/>
        <v>0.3195516811955168</v>
      </c>
      <c r="BD82" s="3">
        <f t="shared" ca="1" si="91"/>
        <v>0.64716137856601241</v>
      </c>
      <c r="BE82" s="3">
        <f t="shared" ca="1" si="92"/>
        <v>0.49388874020175638</v>
      </c>
      <c r="BF82" s="3">
        <f t="shared" ca="1" si="93"/>
        <v>0.50597610202547449</v>
      </c>
      <c r="BG82" s="3">
        <f t="shared" ca="1" si="94"/>
        <v>0.31930260165393876</v>
      </c>
      <c r="BI82" s="3">
        <f t="shared" ca="1" si="95"/>
        <v>0.74701195219123506</v>
      </c>
      <c r="BJ82" s="3">
        <f t="shared" ca="1" si="96"/>
        <v>1.2471938139186829</v>
      </c>
      <c r="BK82" s="3">
        <f t="shared" ca="1" si="97"/>
        <v>0.99601593625498008</v>
      </c>
      <c r="BL82" s="3">
        <f t="shared" ca="1" si="98"/>
        <v>0.4981320049813201</v>
      </c>
      <c r="BN82" s="3">
        <f t="shared" ca="1" si="99"/>
        <v>0.24900398406374502</v>
      </c>
      <c r="BO82" s="3">
        <f t="shared" ca="1" si="100"/>
        <v>0.99775505113494634</v>
      </c>
      <c r="BP82" s="3">
        <f t="shared" ca="1" si="101"/>
        <v>0.49800796812749004</v>
      </c>
      <c r="BQ82" s="3">
        <f t="shared" ca="1" si="102"/>
        <v>0.24906600249066005</v>
      </c>
      <c r="BS82" s="3">
        <v>1.1529999971389771</v>
      </c>
      <c r="BT82" s="3">
        <v>0.70800000429153442</v>
      </c>
      <c r="BU82" s="3">
        <v>9.9999997764825821E-3</v>
      </c>
      <c r="BV82" s="3">
        <v>1.8999999761581421</v>
      </c>
      <c r="BX82" s="3">
        <f t="shared" ca="1" si="103"/>
        <v>9.1384462151394341E-2</v>
      </c>
      <c r="BY82" s="3">
        <f t="shared" ca="1" si="104"/>
        <v>0.14567223746570204</v>
      </c>
      <c r="BZ82" s="3">
        <f t="shared" ca="1" si="105"/>
        <v>0.16210159362549806</v>
      </c>
      <c r="CA82" s="3">
        <f t="shared" ca="1" si="106"/>
        <v>0.28219178082191781</v>
      </c>
      <c r="CC82" s="3">
        <f t="shared" ca="1" si="107"/>
        <v>8.7151400359028366E-2</v>
      </c>
      <c r="CD82" s="3">
        <f t="shared" ca="1" si="108"/>
        <v>3.3424809913321245E-2</v>
      </c>
      <c r="CE82" s="3">
        <f t="shared" ca="1" si="109"/>
        <v>0.14093625118058042</v>
      </c>
      <c r="CF82" s="3">
        <f t="shared" ca="1" si="110"/>
        <v>0.23237858733085739</v>
      </c>
      <c r="CH82" s="3">
        <f t="shared" ca="1" si="111"/>
        <v>0.24900398406374502</v>
      </c>
      <c r="CI82" s="3">
        <f t="shared" ca="1" si="112"/>
        <v>0.24943876278373658</v>
      </c>
      <c r="CJ82" s="3">
        <f t="shared" ca="1" si="113"/>
        <v>0.24900398406374502</v>
      </c>
      <c r="CK82" s="3">
        <f t="shared" ca="1" si="114"/>
        <v>0.24906600249066005</v>
      </c>
      <c r="CM82" s="3">
        <f t="shared" ca="1" si="115"/>
        <v>0.49800796812749004</v>
      </c>
      <c r="CN82" s="3">
        <f t="shared" ca="1" si="116"/>
        <v>0.49887752556747317</v>
      </c>
      <c r="CO82" s="3">
        <f t="shared" ca="1" si="117"/>
        <v>0.49800796812749004</v>
      </c>
      <c r="CP82" s="3">
        <f t="shared" ca="1" si="118"/>
        <v>0.74719800747198017</v>
      </c>
      <c r="CR82" s="3">
        <v>0.78600001335144043</v>
      </c>
      <c r="CS82" s="3">
        <v>3.872999906539917</v>
      </c>
      <c r="CT82" s="3">
        <v>3.3429999351501465</v>
      </c>
      <c r="CU82" s="3">
        <v>0.80000001192092896</v>
      </c>
      <c r="CV82" s="21">
        <f t="shared" ca="1" si="120"/>
        <v>0.80000001192092896</v>
      </c>
      <c r="CW82" s="16">
        <f t="shared" ca="1" si="119"/>
        <v>10.083333333333334</v>
      </c>
    </row>
    <row r="83" spans="1:101" s="3" customFormat="1" x14ac:dyDescent="0.35">
      <c r="A83" s="2" t="s">
        <v>65</v>
      </c>
      <c r="B83" s="2">
        <v>10.166666666666666</v>
      </c>
      <c r="C83" s="2" t="s">
        <v>168</v>
      </c>
      <c r="D83" s="2" t="s">
        <v>403</v>
      </c>
      <c r="F83" s="3">
        <v>4.0149999999999997</v>
      </c>
      <c r="G83" s="3">
        <v>4.016</v>
      </c>
      <c r="H83" s="3">
        <v>4.016</v>
      </c>
      <c r="I83" s="3">
        <v>4.016</v>
      </c>
      <c r="K83" s="3">
        <f t="shared" ca="1" si="80"/>
        <v>0.94221668742216702</v>
      </c>
      <c r="L83" s="3">
        <f t="shared" ca="1" si="80"/>
        <v>0.99601593625498008</v>
      </c>
      <c r="M83" s="3">
        <f t="shared" ca="1" si="80"/>
        <v>0.99601593625498008</v>
      </c>
      <c r="N83" s="3">
        <f t="shared" ca="1" si="80"/>
        <v>0.99551792828685248</v>
      </c>
      <c r="P83" s="3">
        <f t="shared" ca="1" si="81"/>
        <v>0.77110817783499419</v>
      </c>
      <c r="Q83" s="3">
        <f t="shared" ca="1" si="81"/>
        <v>0.82594618911806683</v>
      </c>
      <c r="R83" s="3">
        <f t="shared" ca="1" si="81"/>
        <v>0.8217131633652871</v>
      </c>
      <c r="S83" s="3">
        <f t="shared" ca="1" si="81"/>
        <v>0.86653393468786166</v>
      </c>
      <c r="U83" s="3">
        <f t="shared" ca="1" si="82"/>
        <v>3.4869240348692405</v>
      </c>
      <c r="V83" s="3">
        <f t="shared" ca="1" si="82"/>
        <v>2.241035856573705</v>
      </c>
      <c r="W83" s="3">
        <f t="shared" ca="1" si="82"/>
        <v>3.7350597609561751</v>
      </c>
      <c r="X83" s="3">
        <f t="shared" ca="1" si="82"/>
        <v>2.9880478087649402</v>
      </c>
      <c r="Z83" s="3">
        <f t="shared" ca="1" si="83"/>
        <v>0.9962640099626402</v>
      </c>
      <c r="AA83" s="3">
        <f t="shared" ca="1" si="83"/>
        <v>0.99601593625498008</v>
      </c>
      <c r="AB83" s="3">
        <f t="shared" ca="1" si="83"/>
        <v>0.9711155378486056</v>
      </c>
      <c r="AC83" s="3">
        <f t="shared" ca="1" si="83"/>
        <v>0.95816733067729076</v>
      </c>
      <c r="AE83" s="3">
        <f t="shared" ca="1" si="84"/>
        <v>0.77110817783499419</v>
      </c>
      <c r="AF83" s="3">
        <f t="shared" ca="1" si="84"/>
        <v>0.82594618911806683</v>
      </c>
      <c r="AG83" s="3">
        <f t="shared" ca="1" si="84"/>
        <v>0.8217131633652871</v>
      </c>
      <c r="AH83" s="3">
        <f t="shared" ca="1" si="84"/>
        <v>0.86653393468786166</v>
      </c>
      <c r="AJ83" s="3">
        <f t="shared" ca="1" si="85"/>
        <v>3.4869240348692405</v>
      </c>
      <c r="AK83" s="3">
        <f t="shared" ca="1" si="85"/>
        <v>2.241035856573705</v>
      </c>
      <c r="AL83" s="3">
        <f t="shared" ca="1" si="85"/>
        <v>3.7350597609561751</v>
      </c>
      <c r="AM83" s="3">
        <f t="shared" ca="1" si="85"/>
        <v>2.9880478087649402</v>
      </c>
      <c r="AO83" s="3">
        <f t="shared" ca="1" si="86"/>
        <v>0.24906600249066005</v>
      </c>
      <c r="AP83" s="3">
        <f t="shared" ca="1" si="86"/>
        <v>0.24900398406374502</v>
      </c>
      <c r="AQ83" s="3">
        <f t="shared" ca="1" si="86"/>
        <v>0.24900398406374502</v>
      </c>
      <c r="AR83" s="3">
        <f t="shared" ca="1" si="86"/>
        <v>1.2450199203187251</v>
      </c>
      <c r="AT83" s="3">
        <v>8.999999612569809E-3</v>
      </c>
      <c r="AU83" s="3">
        <v>1.4000000432133675E-2</v>
      </c>
      <c r="AV83" s="3">
        <v>0.10499999672174454</v>
      </c>
      <c r="AW83" s="3">
        <v>1.2000000104308128E-2</v>
      </c>
      <c r="AY83" s="3">
        <f t="shared" ca="1" si="87"/>
        <v>0.30311332503113303</v>
      </c>
      <c r="AZ83" s="3">
        <f t="shared" ca="1" si="88"/>
        <v>0.58491035856573703</v>
      </c>
      <c r="BA83" s="3">
        <f t="shared" ca="1" si="89"/>
        <v>0.34810756972111551</v>
      </c>
      <c r="BB83" s="3">
        <f t="shared" ca="1" si="90"/>
        <v>0.2320717131474104</v>
      </c>
      <c r="BD83" s="3">
        <f t="shared" ca="1" si="91"/>
        <v>0.33150686421994108</v>
      </c>
      <c r="BE83" s="3">
        <f t="shared" ca="1" si="92"/>
        <v>0.60607566390616963</v>
      </c>
      <c r="BF83" s="3">
        <f t="shared" ca="1" si="93"/>
        <v>0.39043827390528296</v>
      </c>
      <c r="BG83" s="3">
        <f t="shared" ca="1" si="94"/>
        <v>0.2487549907064058</v>
      </c>
      <c r="BI83" s="3">
        <f t="shared" ca="1" si="95"/>
        <v>1.2453300124533002</v>
      </c>
      <c r="BJ83" s="3">
        <f t="shared" ca="1" si="96"/>
        <v>1.4940239043824701</v>
      </c>
      <c r="BK83" s="3">
        <f t="shared" ca="1" si="97"/>
        <v>1.7430278884462151</v>
      </c>
      <c r="BL83" s="3">
        <f t="shared" ca="1" si="98"/>
        <v>0.99601593625498008</v>
      </c>
      <c r="BN83" s="3">
        <f t="shared" ca="1" si="99"/>
        <v>2.9887920298879207</v>
      </c>
      <c r="BO83" s="3">
        <f t="shared" ca="1" si="100"/>
        <v>2.4900398406374502</v>
      </c>
      <c r="BP83" s="3">
        <f t="shared" ca="1" si="101"/>
        <v>2.4900398406374502</v>
      </c>
      <c r="BQ83" s="3">
        <f t="shared" ca="1" si="102"/>
        <v>3.237051792828685</v>
      </c>
      <c r="BS83" s="3">
        <v>0.49300000071525574</v>
      </c>
      <c r="BT83" s="3">
        <v>0.49799999594688416</v>
      </c>
      <c r="BU83" s="3">
        <v>0.4050000011920929</v>
      </c>
      <c r="BV83" s="3">
        <v>0.460999995470047</v>
      </c>
      <c r="BX83" s="3">
        <f t="shared" ca="1" si="103"/>
        <v>8.3188044831880581E-2</v>
      </c>
      <c r="BY83" s="3">
        <f t="shared" ca="1" si="104"/>
        <v>3.9840637450199237E-3</v>
      </c>
      <c r="BZ83" s="3">
        <f t="shared" ca="1" si="105"/>
        <v>0</v>
      </c>
      <c r="CA83" s="3">
        <f t="shared" ca="1" si="106"/>
        <v>0</v>
      </c>
      <c r="CC83" s="3">
        <f t="shared" ca="1" si="107"/>
        <v>0.12453300124533002</v>
      </c>
      <c r="CD83" s="3">
        <f t="shared" ca="1" si="108"/>
        <v>0</v>
      </c>
      <c r="CE83" s="3">
        <f t="shared" ca="1" si="109"/>
        <v>0</v>
      </c>
      <c r="CF83" s="3">
        <f t="shared" ca="1" si="110"/>
        <v>0</v>
      </c>
      <c r="CH83" s="3">
        <f t="shared" ca="1" si="111"/>
        <v>0.4981320049813201</v>
      </c>
      <c r="CI83" s="3">
        <f t="shared" ca="1" si="112"/>
        <v>0</v>
      </c>
      <c r="CJ83" s="3">
        <f t="shared" ca="1" si="113"/>
        <v>0</v>
      </c>
      <c r="CK83" s="3">
        <f t="shared" ca="1" si="114"/>
        <v>0</v>
      </c>
      <c r="CM83" s="3">
        <f t="shared" ca="1" si="115"/>
        <v>1.4943960149439603</v>
      </c>
      <c r="CN83" s="3">
        <f t="shared" ca="1" si="116"/>
        <v>0.24900398406374502</v>
      </c>
      <c r="CO83" s="3">
        <f t="shared" ca="1" si="117"/>
        <v>0</v>
      </c>
      <c r="CP83" s="3">
        <f t="shared" ca="1" si="118"/>
        <v>0</v>
      </c>
      <c r="CR83" s="3">
        <v>2.0590000152587891</v>
      </c>
      <c r="CS83" s="3">
        <v>4.016</v>
      </c>
      <c r="CT83" s="3">
        <v>4.016</v>
      </c>
      <c r="CU83" s="3">
        <v>4.016</v>
      </c>
      <c r="CV83" s="21">
        <f t="shared" ca="1" si="120"/>
        <v>4.016</v>
      </c>
      <c r="CW83" s="16">
        <f t="shared" ca="1" si="119"/>
        <v>10.166666666666666</v>
      </c>
    </row>
    <row r="84" spans="1:101" s="3" customFormat="1" x14ac:dyDescent="0.35">
      <c r="A84" s="2" t="s">
        <v>10</v>
      </c>
      <c r="B84" s="2">
        <v>10.5</v>
      </c>
      <c r="C84" s="2" t="s">
        <v>168</v>
      </c>
      <c r="D84" s="2" t="s">
        <v>403</v>
      </c>
      <c r="F84" s="3">
        <v>4.0039999999999996</v>
      </c>
      <c r="G84" s="3">
        <v>4.01</v>
      </c>
      <c r="H84" s="3">
        <v>4.0259999999999998</v>
      </c>
      <c r="I84" s="3">
        <v>4.01</v>
      </c>
      <c r="K84" s="3">
        <f t="shared" ca="1" si="80"/>
        <v>0.99450549450549464</v>
      </c>
      <c r="L84" s="3">
        <f t="shared" ca="1" si="80"/>
        <v>0.99326683291770579</v>
      </c>
      <c r="M84" s="3">
        <f t="shared" ca="1" si="80"/>
        <v>0.99751614505712871</v>
      </c>
      <c r="N84" s="3">
        <f t="shared" ca="1" si="80"/>
        <v>0.99301745635910232</v>
      </c>
      <c r="P84" s="3">
        <f t="shared" ca="1" si="81"/>
        <v>0.96553439306063615</v>
      </c>
      <c r="Q84" s="3">
        <f t="shared" ca="1" si="81"/>
        <v>0.98503738516323891</v>
      </c>
      <c r="R84" s="3">
        <f t="shared" ca="1" si="81"/>
        <v>0.86040732865321268</v>
      </c>
      <c r="S84" s="3">
        <f t="shared" ca="1" si="81"/>
        <v>0.79800503936937628</v>
      </c>
      <c r="U84" s="3">
        <f t="shared" ca="1" si="82"/>
        <v>1.9980019980019983</v>
      </c>
      <c r="V84" s="3">
        <f t="shared" ca="1" si="82"/>
        <v>0.74812967581047385</v>
      </c>
      <c r="W84" s="3">
        <f t="shared" ca="1" si="82"/>
        <v>3.4773969200198711</v>
      </c>
      <c r="X84" s="3">
        <f t="shared" ca="1" si="82"/>
        <v>2.9925187032418954</v>
      </c>
      <c r="Z84" s="3">
        <f t="shared" ca="1" si="83"/>
        <v>0.99450549450549464</v>
      </c>
      <c r="AA84" s="3">
        <f t="shared" ca="1" si="83"/>
        <v>0.99326683291770579</v>
      </c>
      <c r="AB84" s="3">
        <f t="shared" ca="1" si="83"/>
        <v>0.99751614505712871</v>
      </c>
      <c r="AC84" s="3">
        <f t="shared" ca="1" si="83"/>
        <v>0.68553615960099756</v>
      </c>
      <c r="AE84" s="3">
        <f t="shared" ca="1" si="84"/>
        <v>0.96553439306063615</v>
      </c>
      <c r="AF84" s="3">
        <f t="shared" ca="1" si="84"/>
        <v>0.98503738516323891</v>
      </c>
      <c r="AG84" s="3">
        <f t="shared" ca="1" si="84"/>
        <v>0.86040732865321268</v>
      </c>
      <c r="AH84" s="3">
        <f t="shared" ca="1" si="84"/>
        <v>0.58204492558713572</v>
      </c>
      <c r="AJ84" s="3">
        <f t="shared" ca="1" si="85"/>
        <v>1.9980019980019983</v>
      </c>
      <c r="AK84" s="3">
        <f t="shared" ca="1" si="85"/>
        <v>0.74812967581047385</v>
      </c>
      <c r="AL84" s="3">
        <f t="shared" ca="1" si="85"/>
        <v>3.4773969200198711</v>
      </c>
      <c r="AM84" s="3">
        <f t="shared" ca="1" si="85"/>
        <v>2.2443890274314215</v>
      </c>
      <c r="AO84" s="3">
        <f t="shared" ca="1" si="86"/>
        <v>0.24975024975024979</v>
      </c>
      <c r="AP84" s="3">
        <f t="shared" ca="1" si="86"/>
        <v>0.24937655860349128</v>
      </c>
      <c r="AQ84" s="3">
        <f t="shared" ca="1" si="86"/>
        <v>0.24838549428713363</v>
      </c>
      <c r="AR84" s="3">
        <f t="shared" ca="1" si="86"/>
        <v>1.2468827930174564</v>
      </c>
      <c r="AT84" s="3">
        <v>1.3000000268220901E-2</v>
      </c>
      <c r="AU84" s="3">
        <v>1.4999999664723873E-2</v>
      </c>
      <c r="AV84" s="3">
        <v>4.0000001899898052E-3</v>
      </c>
      <c r="AW84" s="3">
        <v>1.3000000268220901E-2</v>
      </c>
      <c r="AY84" s="3">
        <f t="shared" ca="1" si="87"/>
        <v>0.79495504495504499</v>
      </c>
      <c r="AZ84" s="3">
        <f t="shared" ca="1" si="88"/>
        <v>0.99326683291770579</v>
      </c>
      <c r="BA84" s="3">
        <f t="shared" ca="1" si="89"/>
        <v>0.29806259314456029</v>
      </c>
      <c r="BB84" s="3">
        <f t="shared" ca="1" si="90"/>
        <v>0.399002493765586</v>
      </c>
      <c r="BD84" s="3">
        <f t="shared" ca="1" si="91"/>
        <v>0.80319675621571962</v>
      </c>
      <c r="BE84" s="3">
        <f t="shared" ca="1" si="92"/>
        <v>0.98503738516323891</v>
      </c>
      <c r="BF84" s="3">
        <f t="shared" ca="1" si="93"/>
        <v>0.30601088288880912</v>
      </c>
      <c r="BG84" s="3">
        <f t="shared" ca="1" si="94"/>
        <v>0.41571075184981426</v>
      </c>
      <c r="BI84" s="3">
        <f t="shared" ca="1" si="95"/>
        <v>1.4985014985014986</v>
      </c>
      <c r="BJ84" s="3">
        <f t="shared" ca="1" si="96"/>
        <v>0.74812967581047385</v>
      </c>
      <c r="BK84" s="3">
        <f t="shared" ca="1" si="97"/>
        <v>0.99354197714853454</v>
      </c>
      <c r="BL84" s="3">
        <f t="shared" ca="1" si="98"/>
        <v>1.4962593516209477</v>
      </c>
      <c r="BN84" s="3">
        <f t="shared" ca="1" si="99"/>
        <v>0.49950049950049957</v>
      </c>
      <c r="BO84" s="3">
        <f t="shared" ca="1" si="100"/>
        <v>0.24937655860349128</v>
      </c>
      <c r="BP84" s="3">
        <f t="shared" ca="1" si="101"/>
        <v>0.99354197714853454</v>
      </c>
      <c r="BQ84" s="3">
        <f t="shared" ca="1" si="102"/>
        <v>1.745635910224439</v>
      </c>
      <c r="BS84" s="3">
        <v>0.36300000548362732</v>
      </c>
      <c r="BT84" s="3">
        <v>1.4999999664723873E-2</v>
      </c>
      <c r="BU84" s="3">
        <v>0.37099999189376831</v>
      </c>
      <c r="BV84" s="3">
        <v>0.37900000810623169</v>
      </c>
      <c r="BX84" s="3">
        <f t="shared" ca="1" si="103"/>
        <v>4.1458541458541456E-2</v>
      </c>
      <c r="BY84" s="3">
        <f t="shared" ca="1" si="104"/>
        <v>0</v>
      </c>
      <c r="BZ84" s="3">
        <f t="shared" ca="1" si="105"/>
        <v>0.10357675111773468</v>
      </c>
      <c r="CA84" s="3">
        <f t="shared" ca="1" si="106"/>
        <v>8.2294264339152125E-3</v>
      </c>
      <c r="CC84" s="3">
        <f t="shared" ca="1" si="107"/>
        <v>0</v>
      </c>
      <c r="CD84" s="3">
        <f t="shared" ca="1" si="108"/>
        <v>0</v>
      </c>
      <c r="CE84" s="3">
        <f t="shared" ca="1" si="109"/>
        <v>0.11177348427315346</v>
      </c>
      <c r="CF84" s="3">
        <f t="shared" ca="1" si="110"/>
        <v>0</v>
      </c>
      <c r="CH84" s="3">
        <f t="shared" ca="1" si="111"/>
        <v>0</v>
      </c>
      <c r="CI84" s="3">
        <f t="shared" ca="1" si="112"/>
        <v>0</v>
      </c>
      <c r="CJ84" s="3">
        <f t="shared" ca="1" si="113"/>
        <v>0.24838549428713363</v>
      </c>
      <c r="CK84" s="3">
        <f t="shared" ca="1" si="114"/>
        <v>0</v>
      </c>
      <c r="CM84" s="3">
        <f t="shared" ca="1" si="115"/>
        <v>0.24975024975024979</v>
      </c>
      <c r="CN84" s="3">
        <f t="shared" ca="1" si="116"/>
        <v>0</v>
      </c>
      <c r="CO84" s="3">
        <f t="shared" ca="1" si="117"/>
        <v>0.24838549428713363</v>
      </c>
      <c r="CP84" s="3">
        <f t="shared" ca="1" si="118"/>
        <v>0.24937655860349128</v>
      </c>
      <c r="CR84" s="3">
        <v>4.0039999999999996</v>
      </c>
      <c r="CS84" s="3">
        <v>4.01</v>
      </c>
      <c r="CT84" s="3">
        <v>2.4539999961853027</v>
      </c>
      <c r="CU84" s="3">
        <v>4.01</v>
      </c>
      <c r="CV84" s="21">
        <f t="shared" ca="1" si="120"/>
        <v>4.01</v>
      </c>
      <c r="CW84" s="16">
        <f t="shared" ca="1" si="119"/>
        <v>10.5</v>
      </c>
    </row>
    <row r="85" spans="1:101" s="3" customFormat="1" x14ac:dyDescent="0.35">
      <c r="A85" s="2" t="s">
        <v>79</v>
      </c>
      <c r="B85" s="2">
        <v>10.5</v>
      </c>
      <c r="C85" s="2" t="s">
        <v>168</v>
      </c>
      <c r="D85" s="2" t="s">
        <v>403</v>
      </c>
      <c r="F85" s="3">
        <v>4.01</v>
      </c>
      <c r="G85" s="3">
        <v>4.01</v>
      </c>
      <c r="H85" s="3">
        <v>4.0010000000000003</v>
      </c>
      <c r="I85" s="3">
        <v>4.0090000000000003</v>
      </c>
      <c r="K85" s="3">
        <f t="shared" ca="1" si="80"/>
        <v>0.99725685785536156</v>
      </c>
      <c r="L85" s="3">
        <f t="shared" ca="1" si="80"/>
        <v>0.99725685785536167</v>
      </c>
      <c r="M85" s="3">
        <f t="shared" ca="1" si="80"/>
        <v>0.99550112471882024</v>
      </c>
      <c r="N85" s="3">
        <f t="shared" ca="1" si="80"/>
        <v>0.95609877775006225</v>
      </c>
      <c r="P85" s="3">
        <f t="shared" ca="1" si="81"/>
        <v>0.58154624821780776</v>
      </c>
      <c r="Q85" s="3">
        <f t="shared" ca="1" si="81"/>
        <v>0.77306727072841808</v>
      </c>
      <c r="R85" s="3">
        <f t="shared" ca="1" si="81"/>
        <v>0.77480628302749599</v>
      </c>
      <c r="S85" s="3">
        <f t="shared" ca="1" si="81"/>
        <v>0.68570717232546674</v>
      </c>
      <c r="U85" s="3">
        <f t="shared" ca="1" si="82"/>
        <v>2.7431421446384041</v>
      </c>
      <c r="V85" s="3">
        <f t="shared" ca="1" si="82"/>
        <v>2.7431421446384041</v>
      </c>
      <c r="W85" s="3">
        <f t="shared" ca="1" si="82"/>
        <v>1.9995001249687576</v>
      </c>
      <c r="X85" s="3">
        <f t="shared" ca="1" si="82"/>
        <v>3.492142678972312</v>
      </c>
      <c r="Z85" s="3">
        <f t="shared" ca="1" si="83"/>
        <v>0.7690773067331671</v>
      </c>
      <c r="AA85" s="3">
        <f t="shared" ca="1" si="83"/>
        <v>0.96807980049875308</v>
      </c>
      <c r="AB85" s="3">
        <f t="shared" ca="1" si="83"/>
        <v>0.75381154711322162</v>
      </c>
      <c r="AC85" s="3">
        <f t="shared" ca="1" si="83"/>
        <v>0.91868296333250177</v>
      </c>
      <c r="AE85" s="3">
        <f t="shared" ca="1" si="84"/>
        <v>0.5027432542786634</v>
      </c>
      <c r="AF85" s="3">
        <f t="shared" ca="1" si="84"/>
        <v>0.77306727072841808</v>
      </c>
      <c r="AG85" s="3">
        <f t="shared" ca="1" si="84"/>
        <v>0.6248437741552999</v>
      </c>
      <c r="AH85" s="3">
        <f t="shared" ca="1" si="84"/>
        <v>0.68570717232546674</v>
      </c>
      <c r="AJ85" s="3">
        <f t="shared" ca="1" si="85"/>
        <v>2.4937655860349128</v>
      </c>
      <c r="AK85" s="3">
        <f t="shared" ca="1" si="85"/>
        <v>2.7431421446384041</v>
      </c>
      <c r="AL85" s="3">
        <f t="shared" ca="1" si="85"/>
        <v>1.4996250937265683</v>
      </c>
      <c r="AM85" s="3">
        <f t="shared" ca="1" si="85"/>
        <v>3.492142678972312</v>
      </c>
      <c r="AO85" s="3">
        <f t="shared" ca="1" si="86"/>
        <v>1.9950124688279303</v>
      </c>
      <c r="AP85" s="3">
        <f t="shared" ca="1" si="86"/>
        <v>0.74812967581047385</v>
      </c>
      <c r="AQ85" s="3">
        <f t="shared" ca="1" si="86"/>
        <v>0.99975006248437881</v>
      </c>
      <c r="AR85" s="3">
        <f t="shared" ca="1" si="86"/>
        <v>1.2471938139186829</v>
      </c>
      <c r="AT85" s="3">
        <v>0.50300002098083496</v>
      </c>
      <c r="AU85" s="3">
        <v>0.22499999403953552</v>
      </c>
      <c r="AV85" s="3">
        <v>0.75199997425079346</v>
      </c>
      <c r="AW85" s="3">
        <v>1.3000000268220901E-2</v>
      </c>
      <c r="AY85" s="3">
        <f t="shared" ca="1" si="87"/>
        <v>0.22892768079800524</v>
      </c>
      <c r="AZ85" s="3">
        <f t="shared" ca="1" si="88"/>
        <v>0.20773067331670825</v>
      </c>
      <c r="BA85" s="3">
        <f t="shared" ca="1" si="89"/>
        <v>0.33316670832291922</v>
      </c>
      <c r="BB85" s="3">
        <f t="shared" ca="1" si="90"/>
        <v>0.3492142678972312</v>
      </c>
      <c r="BD85" s="3">
        <f t="shared" ca="1" si="91"/>
        <v>0.29501250557174113</v>
      </c>
      <c r="BE85" s="3">
        <f t="shared" ca="1" si="92"/>
        <v>0.17032415938199014</v>
      </c>
      <c r="BF85" s="3">
        <f t="shared" ca="1" si="93"/>
        <v>0.41239689481583153</v>
      </c>
      <c r="BG85" s="3">
        <f t="shared" ca="1" si="94"/>
        <v>0.34921427217169748</v>
      </c>
      <c r="BI85" s="3">
        <f t="shared" ca="1" si="95"/>
        <v>1.2468827930174564</v>
      </c>
      <c r="BJ85" s="3">
        <f t="shared" ca="1" si="96"/>
        <v>0.49875311720698257</v>
      </c>
      <c r="BK85" s="3">
        <f t="shared" ca="1" si="97"/>
        <v>0.74981254686328414</v>
      </c>
      <c r="BL85" s="3">
        <f t="shared" ca="1" si="98"/>
        <v>1.4966325767024193</v>
      </c>
      <c r="BN85" s="3">
        <f t="shared" ca="1" si="99"/>
        <v>4.2394014962593518</v>
      </c>
      <c r="BO85" s="3">
        <f t="shared" ca="1" si="100"/>
        <v>0.74812967581047385</v>
      </c>
      <c r="BP85" s="3">
        <f t="shared" ca="1" si="101"/>
        <v>0.99975006248437881</v>
      </c>
      <c r="BQ85" s="3">
        <f t="shared" ca="1" si="102"/>
        <v>1.746071339486156</v>
      </c>
      <c r="BS85" s="3">
        <v>0.50300002098083496</v>
      </c>
      <c r="BT85" s="3">
        <v>0.22499999403953552</v>
      </c>
      <c r="BU85" s="3">
        <v>1.1189999580383301</v>
      </c>
      <c r="BV85" s="3">
        <v>1.3000000268220901E-2</v>
      </c>
      <c r="BX85" s="3">
        <f t="shared" ca="1" si="103"/>
        <v>0</v>
      </c>
      <c r="BY85" s="3">
        <f t="shared" ca="1" si="104"/>
        <v>0</v>
      </c>
      <c r="BZ85" s="3">
        <f t="shared" ca="1" si="105"/>
        <v>0</v>
      </c>
      <c r="CA85" s="3">
        <f t="shared" ca="1" si="106"/>
        <v>0</v>
      </c>
      <c r="CC85" s="3">
        <f t="shared" ca="1" si="107"/>
        <v>0</v>
      </c>
      <c r="CD85" s="3">
        <f t="shared" ca="1" si="108"/>
        <v>0</v>
      </c>
      <c r="CE85" s="3">
        <f t="shared" ca="1" si="109"/>
        <v>0</v>
      </c>
      <c r="CF85" s="3">
        <f t="shared" ca="1" si="110"/>
        <v>0</v>
      </c>
      <c r="CH85" s="3">
        <f t="shared" ca="1" si="111"/>
        <v>0</v>
      </c>
      <c r="CI85" s="3">
        <f t="shared" ca="1" si="112"/>
        <v>0</v>
      </c>
      <c r="CJ85" s="3">
        <f t="shared" ca="1" si="113"/>
        <v>0</v>
      </c>
      <c r="CK85" s="3">
        <f t="shared" ca="1" si="114"/>
        <v>0</v>
      </c>
      <c r="CM85" s="3">
        <f t="shared" ca="1" si="115"/>
        <v>0</v>
      </c>
      <c r="CN85" s="3">
        <f t="shared" ca="1" si="116"/>
        <v>0</v>
      </c>
      <c r="CO85" s="3">
        <f t="shared" ca="1" si="117"/>
        <v>0.2499375156210947</v>
      </c>
      <c r="CP85" s="3">
        <f t="shared" ca="1" si="118"/>
        <v>0</v>
      </c>
      <c r="CR85" s="3">
        <v>4.01</v>
      </c>
      <c r="CS85" s="3">
        <v>4.01</v>
      </c>
      <c r="CT85" s="3">
        <v>4.0010000000000003</v>
      </c>
      <c r="CU85" s="3">
        <v>4.0090000000000003</v>
      </c>
      <c r="CV85" s="21">
        <f t="shared" ca="1" si="120"/>
        <v>4.0090000000000003</v>
      </c>
      <c r="CW85" s="16">
        <f t="shared" ca="1" si="119"/>
        <v>10.5</v>
      </c>
    </row>
    <row r="86" spans="1:101" s="3" customFormat="1" x14ac:dyDescent="0.35">
      <c r="A86" s="2" t="s">
        <v>91</v>
      </c>
      <c r="B86" s="2">
        <v>10.75</v>
      </c>
      <c r="C86" s="2" t="s">
        <v>168</v>
      </c>
      <c r="D86" s="2" t="s">
        <v>403</v>
      </c>
      <c r="F86" s="3">
        <v>4.0149999999999997</v>
      </c>
      <c r="G86" s="3">
        <v>4.016</v>
      </c>
      <c r="H86" s="3">
        <v>4.016</v>
      </c>
      <c r="I86" s="3">
        <v>4.0469999999999997</v>
      </c>
      <c r="K86" s="3">
        <f t="shared" ca="1" si="80"/>
        <v>0.99601494396014956</v>
      </c>
      <c r="L86" s="3">
        <f t="shared" ca="1" si="80"/>
        <v>0.99576693227091628</v>
      </c>
      <c r="M86" s="3">
        <f t="shared" ca="1" si="80"/>
        <v>0.99576693227091628</v>
      </c>
      <c r="N86" s="3">
        <f t="shared" ca="1" si="80"/>
        <v>0.99234000494193242</v>
      </c>
      <c r="P86" s="3">
        <f t="shared" ca="1" si="81"/>
        <v>0.98804484862616182</v>
      </c>
      <c r="Q86" s="3">
        <f t="shared" ca="1" si="81"/>
        <v>0.93750005232660005</v>
      </c>
      <c r="R86" s="3">
        <f t="shared" ca="1" si="81"/>
        <v>0.87998017383019522</v>
      </c>
      <c r="S86" s="3">
        <f t="shared" ca="1" si="81"/>
        <v>0.75735120424480251</v>
      </c>
      <c r="U86" s="3">
        <f t="shared" ca="1" si="82"/>
        <v>0.74719800747198017</v>
      </c>
      <c r="V86" s="3">
        <f t="shared" ca="1" si="82"/>
        <v>2.739043824701195</v>
      </c>
      <c r="W86" s="3">
        <f t="shared" ca="1" si="82"/>
        <v>2.739043824701195</v>
      </c>
      <c r="X86" s="3">
        <f t="shared" ca="1" si="82"/>
        <v>2.9651593773165308</v>
      </c>
      <c r="Z86" s="3">
        <f t="shared" ca="1" si="83"/>
        <v>0.99601494396014956</v>
      </c>
      <c r="AA86" s="3">
        <f t="shared" ca="1" si="83"/>
        <v>0.98331673306772904</v>
      </c>
      <c r="AB86" s="3">
        <f t="shared" ca="1" si="83"/>
        <v>0.99576693227091628</v>
      </c>
      <c r="AC86" s="3">
        <f t="shared" ca="1" si="83"/>
        <v>0.90165554731900177</v>
      </c>
      <c r="AE86" s="3">
        <f t="shared" ca="1" si="84"/>
        <v>0.98804484862616182</v>
      </c>
      <c r="AF86" s="3">
        <f t="shared" ca="1" si="84"/>
        <v>0.93750005232660005</v>
      </c>
      <c r="AG86" s="3">
        <f t="shared" ca="1" si="84"/>
        <v>0.87998017383019522</v>
      </c>
      <c r="AH86" s="3">
        <f t="shared" ca="1" si="84"/>
        <v>0.75735120424480251</v>
      </c>
      <c r="AJ86" s="3">
        <f t="shared" ca="1" si="85"/>
        <v>0.74719800747198017</v>
      </c>
      <c r="AK86" s="3">
        <f t="shared" ca="1" si="85"/>
        <v>2.739043824701195</v>
      </c>
      <c r="AL86" s="3">
        <f t="shared" ca="1" si="85"/>
        <v>2.739043824701195</v>
      </c>
      <c r="AM86" s="3">
        <f t="shared" ca="1" si="85"/>
        <v>2.9651593773165308</v>
      </c>
      <c r="AO86" s="3">
        <f t="shared" ca="1" si="86"/>
        <v>0.24906600249066005</v>
      </c>
      <c r="AP86" s="3">
        <f t="shared" ca="1" si="86"/>
        <v>0.49800796812749004</v>
      </c>
      <c r="AQ86" s="3">
        <f t="shared" ca="1" si="86"/>
        <v>0.24900398406374502</v>
      </c>
      <c r="AR86" s="3">
        <f t="shared" ca="1" si="86"/>
        <v>0.49419322955275519</v>
      </c>
      <c r="AT86" s="3">
        <v>0</v>
      </c>
      <c r="AU86" s="3">
        <v>8.0000003799796104E-3</v>
      </c>
      <c r="AV86" s="3">
        <v>1.3000000268220901E-2</v>
      </c>
      <c r="AW86" s="3">
        <v>1.4000000432133675E-2</v>
      </c>
      <c r="AY86" s="3">
        <f t="shared" ca="1" si="87"/>
        <v>0</v>
      </c>
      <c r="AZ86" s="3">
        <f t="shared" ca="1" si="88"/>
        <v>0.10358565737051791</v>
      </c>
      <c r="BA86" s="3">
        <f t="shared" ca="1" si="89"/>
        <v>0.23232071713147406</v>
      </c>
      <c r="BB86" s="3">
        <f t="shared" ca="1" si="90"/>
        <v>0.16481344205584392</v>
      </c>
      <c r="BD86" s="3">
        <f t="shared" ca="1" si="91"/>
        <v>0</v>
      </c>
      <c r="BE86" s="3">
        <f t="shared" ca="1" si="92"/>
        <v>0.14516930893597849</v>
      </c>
      <c r="BF86" s="3">
        <f t="shared" ca="1" si="93"/>
        <v>0.26967133065143906</v>
      </c>
      <c r="BG86" s="3">
        <f t="shared" ca="1" si="94"/>
        <v>0.18927607384321865</v>
      </c>
      <c r="BI86" s="3">
        <f t="shared" ca="1" si="95"/>
        <v>0</v>
      </c>
      <c r="BJ86" s="3">
        <f t="shared" ca="1" si="96"/>
        <v>0.49800796812749004</v>
      </c>
      <c r="BK86" s="3">
        <f t="shared" ca="1" si="97"/>
        <v>0.49800796812749004</v>
      </c>
      <c r="BL86" s="3">
        <f t="shared" ca="1" si="98"/>
        <v>0.7412898443291327</v>
      </c>
      <c r="BN86" s="3">
        <f t="shared" ca="1" si="99"/>
        <v>0</v>
      </c>
      <c r="BO86" s="3">
        <f t="shared" ca="1" si="100"/>
        <v>0.74701195219123506</v>
      </c>
      <c r="BP86" s="3">
        <f t="shared" ca="1" si="101"/>
        <v>1.2450199203187251</v>
      </c>
      <c r="BQ86" s="3">
        <f t="shared" ca="1" si="102"/>
        <v>0.24709661477637759</v>
      </c>
      <c r="BS86" s="3">
        <v>4.0149999999999997</v>
      </c>
      <c r="BT86" s="3">
        <v>1.1749999523162842</v>
      </c>
      <c r="BU86" s="3">
        <v>1.5959999561309814</v>
      </c>
      <c r="BV86" s="3">
        <v>3.2300000190734863</v>
      </c>
      <c r="BX86" s="3">
        <f t="shared" ca="1" si="103"/>
        <v>0.14919053549190536</v>
      </c>
      <c r="BY86" s="3">
        <f t="shared" ca="1" si="104"/>
        <v>0.27813745019920305</v>
      </c>
      <c r="BZ86" s="3">
        <f t="shared" ca="1" si="105"/>
        <v>0.13271912350597609</v>
      </c>
      <c r="CA86" s="3">
        <f t="shared" ca="1" si="106"/>
        <v>0.12750185322461083</v>
      </c>
      <c r="CC86" s="3">
        <f t="shared" ca="1" si="107"/>
        <v>0.15765878361456126</v>
      </c>
      <c r="CD86" s="3">
        <f t="shared" ca="1" si="108"/>
        <v>0.25298808208774343</v>
      </c>
      <c r="CE86" s="3">
        <f t="shared" ca="1" si="109"/>
        <v>4.158366427003625E-2</v>
      </c>
      <c r="CF86" s="3">
        <f t="shared" ca="1" si="110"/>
        <v>0.16036572191180318</v>
      </c>
      <c r="CH86" s="3">
        <f t="shared" ca="1" si="111"/>
        <v>0.24906600249066005</v>
      </c>
      <c r="CI86" s="3">
        <f t="shared" ca="1" si="112"/>
        <v>0.74701195219123506</v>
      </c>
      <c r="CJ86" s="3">
        <f t="shared" ca="1" si="113"/>
        <v>0.24900398406374502</v>
      </c>
      <c r="CK86" s="3">
        <f t="shared" ca="1" si="114"/>
        <v>0.49419322955275519</v>
      </c>
      <c r="CM86" s="3">
        <f t="shared" ca="1" si="115"/>
        <v>0.24906600249066005</v>
      </c>
      <c r="CN86" s="3">
        <f t="shared" ca="1" si="116"/>
        <v>0.99601593625498008</v>
      </c>
      <c r="CO86" s="3">
        <f t="shared" ca="1" si="117"/>
        <v>0.74701195219123506</v>
      </c>
      <c r="CP86" s="3">
        <f t="shared" ca="1" si="118"/>
        <v>0.7412898443291327</v>
      </c>
      <c r="CR86" s="3">
        <v>0</v>
      </c>
      <c r="CS86" s="3">
        <v>8.0000003799796104E-3</v>
      </c>
      <c r="CT86" s="3">
        <v>0.81199997663497925</v>
      </c>
      <c r="CU86" s="3">
        <v>1.4000000432133675E-2</v>
      </c>
      <c r="CV86" s="21">
        <f t="shared" ca="1" si="120"/>
        <v>1.4000000432133675E-2</v>
      </c>
      <c r="CW86" s="16">
        <f t="shared" ca="1" si="119"/>
        <v>10.75</v>
      </c>
    </row>
    <row r="87" spans="1:101" s="3" customFormat="1" x14ac:dyDescent="0.35">
      <c r="A87" s="2" t="s">
        <v>44</v>
      </c>
      <c r="B87" s="2">
        <v>10.916666666666666</v>
      </c>
      <c r="C87" s="2" t="s">
        <v>167</v>
      </c>
      <c r="D87" s="2" t="s">
        <v>403</v>
      </c>
      <c r="F87" s="3">
        <v>4.0149999999999997</v>
      </c>
      <c r="G87" s="3">
        <v>4.0149999999999997</v>
      </c>
      <c r="H87" s="3">
        <v>4.016</v>
      </c>
      <c r="I87" s="3">
        <v>4.016</v>
      </c>
      <c r="K87" s="3">
        <f t="shared" ca="1" si="80"/>
        <v>0.99601494396014967</v>
      </c>
      <c r="L87" s="3">
        <f t="shared" ca="1" si="80"/>
        <v>0.99626400996264008</v>
      </c>
      <c r="M87" s="3">
        <f t="shared" ca="1" si="80"/>
        <v>0.99576693227091628</v>
      </c>
      <c r="N87" s="3">
        <f t="shared" ca="1" si="80"/>
        <v>0.99576693227091639</v>
      </c>
      <c r="P87" s="3">
        <f t="shared" ca="1" si="81"/>
        <v>0.8754669937999876</v>
      </c>
      <c r="Q87" s="3">
        <f t="shared" ca="1" si="81"/>
        <v>0.97135743323439838</v>
      </c>
      <c r="R87" s="3">
        <f t="shared" ca="1" si="81"/>
        <v>0.85084664123318343</v>
      </c>
      <c r="S87" s="3">
        <f t="shared" ca="1" si="81"/>
        <v>0.87923296185514599</v>
      </c>
      <c r="U87" s="3">
        <f t="shared" ca="1" si="82"/>
        <v>2.9887920298879207</v>
      </c>
      <c r="V87" s="3">
        <f t="shared" ca="1" si="82"/>
        <v>1.7434620174346203</v>
      </c>
      <c r="W87" s="3">
        <f t="shared" ca="1" si="82"/>
        <v>2.739043824701195</v>
      </c>
      <c r="X87" s="3">
        <f t="shared" ca="1" si="82"/>
        <v>2.4900398406374502</v>
      </c>
      <c r="Z87" s="3">
        <f t="shared" ca="1" si="83"/>
        <v>0.99601494396014967</v>
      </c>
      <c r="AA87" s="3">
        <f t="shared" ca="1" si="83"/>
        <v>0.99626400996264008</v>
      </c>
      <c r="AB87" s="3">
        <f t="shared" ca="1" si="83"/>
        <v>0.93774900398406369</v>
      </c>
      <c r="AC87" s="3">
        <f t="shared" ca="1" si="83"/>
        <v>0.99576693227091639</v>
      </c>
      <c r="AE87" s="3">
        <f t="shared" ca="1" si="84"/>
        <v>0.8754669937999876</v>
      </c>
      <c r="AF87" s="3">
        <f t="shared" ca="1" si="84"/>
        <v>0.97135743323439838</v>
      </c>
      <c r="AG87" s="3">
        <f t="shared" ca="1" si="84"/>
        <v>0.80527891349270053</v>
      </c>
      <c r="AH87" s="3">
        <f t="shared" ca="1" si="84"/>
        <v>0.87923296185514599</v>
      </c>
      <c r="AJ87" s="3">
        <f t="shared" ca="1" si="85"/>
        <v>2.9887920298879207</v>
      </c>
      <c r="AK87" s="3">
        <f t="shared" ca="1" si="85"/>
        <v>1.7434620174346203</v>
      </c>
      <c r="AL87" s="3">
        <f t="shared" ca="1" si="85"/>
        <v>2.4900398406374502</v>
      </c>
      <c r="AM87" s="3">
        <f t="shared" ca="1" si="85"/>
        <v>2.4900398406374502</v>
      </c>
      <c r="AO87" s="3">
        <f t="shared" ca="1" si="86"/>
        <v>0.24906600249066005</v>
      </c>
      <c r="AP87" s="3">
        <f t="shared" ca="1" si="86"/>
        <v>0.24906600249066005</v>
      </c>
      <c r="AQ87" s="3">
        <f t="shared" ca="1" si="86"/>
        <v>0.49800796812749004</v>
      </c>
      <c r="AR87" s="3">
        <f t="shared" ca="1" si="86"/>
        <v>0.24900398406374502</v>
      </c>
      <c r="AT87" s="3">
        <v>2.7000000700354576E-2</v>
      </c>
      <c r="AU87" s="3">
        <v>7.0000002160668373E-3</v>
      </c>
      <c r="AV87" s="3">
        <v>0.2800000011920929</v>
      </c>
      <c r="AW87" s="3">
        <v>8.999999612569809E-3</v>
      </c>
      <c r="AY87" s="3">
        <f t="shared" ca="1" si="87"/>
        <v>4.9813200498131961E-2</v>
      </c>
      <c r="AZ87" s="3">
        <f t="shared" ca="1" si="88"/>
        <v>0.21992528019925281</v>
      </c>
      <c r="BA87" s="3">
        <f t="shared" ca="1" si="89"/>
        <v>0.26543824701195212</v>
      </c>
      <c r="BB87" s="3">
        <f t="shared" ca="1" si="90"/>
        <v>0.21987051792828682</v>
      </c>
      <c r="BD87" s="3">
        <f t="shared" ca="1" si="91"/>
        <v>3.3125777266093837E-2</v>
      </c>
      <c r="BE87" s="3">
        <f t="shared" ca="1" si="92"/>
        <v>0.28219179970538188</v>
      </c>
      <c r="BF87" s="3">
        <f t="shared" ca="1" si="93"/>
        <v>0.20766930573015099</v>
      </c>
      <c r="BG87" s="3">
        <f t="shared" ca="1" si="94"/>
        <v>0.14516933119866954</v>
      </c>
      <c r="BI87" s="3">
        <f t="shared" ca="1" si="95"/>
        <v>0.24906600249066005</v>
      </c>
      <c r="BJ87" s="3">
        <f t="shared" ca="1" si="96"/>
        <v>0.4981320049813201</v>
      </c>
      <c r="BK87" s="3">
        <f t="shared" ca="1" si="97"/>
        <v>0.74701195219123506</v>
      </c>
      <c r="BL87" s="3">
        <f t="shared" ca="1" si="98"/>
        <v>0.24900398406374502</v>
      </c>
      <c r="BN87" s="3">
        <f t="shared" ca="1" si="99"/>
        <v>0.4981320049813201</v>
      </c>
      <c r="BO87" s="3">
        <f t="shared" ca="1" si="100"/>
        <v>0.4981320049813201</v>
      </c>
      <c r="BP87" s="3">
        <f t="shared" ca="1" si="101"/>
        <v>0.99601593625498008</v>
      </c>
      <c r="BQ87" s="3">
        <f t="shared" ca="1" si="102"/>
        <v>0.74701195219123506</v>
      </c>
      <c r="BS87" s="3">
        <v>2.7000000700354576E-2</v>
      </c>
      <c r="BT87" s="3">
        <v>0.40700000524520874</v>
      </c>
      <c r="BU87" s="3">
        <v>0.81300002336502075</v>
      </c>
      <c r="BV87" s="3">
        <v>0.27599999308586121</v>
      </c>
      <c r="BX87" s="3">
        <f t="shared" ca="1" si="103"/>
        <v>0</v>
      </c>
      <c r="BY87" s="3">
        <f t="shared" ca="1" si="104"/>
        <v>4.2341220423412242E-3</v>
      </c>
      <c r="BZ87" s="3">
        <f t="shared" ca="1" si="105"/>
        <v>0</v>
      </c>
      <c r="CA87" s="3">
        <f t="shared" ca="1" si="106"/>
        <v>0</v>
      </c>
      <c r="CC87" s="3">
        <f t="shared" ca="1" si="107"/>
        <v>0</v>
      </c>
      <c r="CD87" s="3">
        <f t="shared" ca="1" si="108"/>
        <v>0</v>
      </c>
      <c r="CE87" s="3">
        <f t="shared" ca="1" si="109"/>
        <v>0</v>
      </c>
      <c r="CF87" s="3">
        <f t="shared" ca="1" si="110"/>
        <v>0</v>
      </c>
      <c r="CH87" s="3">
        <f t="shared" ca="1" si="111"/>
        <v>0</v>
      </c>
      <c r="CI87" s="3">
        <f t="shared" ca="1" si="112"/>
        <v>0</v>
      </c>
      <c r="CJ87" s="3">
        <f t="shared" ca="1" si="113"/>
        <v>0</v>
      </c>
      <c r="CK87" s="3">
        <f t="shared" ca="1" si="114"/>
        <v>0</v>
      </c>
      <c r="CM87" s="3">
        <f t="shared" ca="1" si="115"/>
        <v>0</v>
      </c>
      <c r="CN87" s="3">
        <f t="shared" ca="1" si="116"/>
        <v>0.4981320049813201</v>
      </c>
      <c r="CO87" s="3">
        <f t="shared" ca="1" si="117"/>
        <v>0</v>
      </c>
      <c r="CP87" s="3">
        <f t="shared" ca="1" si="118"/>
        <v>0</v>
      </c>
      <c r="CR87" s="3">
        <v>4.0149999999999997</v>
      </c>
      <c r="CS87" s="3">
        <v>4.0149999999999997</v>
      </c>
      <c r="CT87" s="3">
        <v>4.016</v>
      </c>
      <c r="CU87" s="3">
        <v>4.016</v>
      </c>
      <c r="CV87" s="21">
        <f t="shared" ca="1" si="120"/>
        <v>4.016</v>
      </c>
      <c r="CW87" s="16">
        <f t="shared" ca="1" si="119"/>
        <v>10.916666666666666</v>
      </c>
    </row>
    <row r="88" spans="1:101" s="3" customFormat="1" x14ac:dyDescent="0.35">
      <c r="A88" s="2" t="s">
        <v>54</v>
      </c>
      <c r="B88" s="2">
        <v>10.916666666666666</v>
      </c>
      <c r="C88" s="2" t="s">
        <v>167</v>
      </c>
      <c r="D88" s="2" t="s">
        <v>403</v>
      </c>
      <c r="F88" s="3">
        <v>4.0019999999999998</v>
      </c>
      <c r="G88" s="3">
        <v>4.0140000000000002</v>
      </c>
      <c r="H88" s="3">
        <v>4.016</v>
      </c>
      <c r="I88" s="3">
        <v>4.0110000000000001</v>
      </c>
      <c r="K88" s="3">
        <f t="shared" ca="1" si="80"/>
        <v>0.98275862068965525</v>
      </c>
      <c r="L88" s="3">
        <f t="shared" ca="1" si="80"/>
        <v>0.9920279023418036</v>
      </c>
      <c r="M88" s="3">
        <f t="shared" ca="1" si="80"/>
        <v>0.99601593625498008</v>
      </c>
      <c r="N88" s="3">
        <f t="shared" ca="1" si="80"/>
        <v>0.95537272500623294</v>
      </c>
      <c r="P88" s="3">
        <f t="shared" ca="1" si="81"/>
        <v>0.92503748557668586</v>
      </c>
      <c r="Q88" s="3">
        <f t="shared" ca="1" si="81"/>
        <v>0.81813642054454683</v>
      </c>
      <c r="R88" s="3">
        <f t="shared" ca="1" si="81"/>
        <v>0.91733075298027567</v>
      </c>
      <c r="S88" s="3">
        <f t="shared" ca="1" si="81"/>
        <v>0.905509897429014</v>
      </c>
      <c r="U88" s="3">
        <f t="shared" ca="1" si="82"/>
        <v>2.4987506246876565</v>
      </c>
      <c r="V88" s="3">
        <f t="shared" ca="1" si="82"/>
        <v>2.9895366218236172</v>
      </c>
      <c r="W88" s="3">
        <f t="shared" ca="1" si="82"/>
        <v>2.739043824701195</v>
      </c>
      <c r="X88" s="3">
        <f t="shared" ca="1" si="82"/>
        <v>3.2410870107205185</v>
      </c>
      <c r="Z88" s="3">
        <f t="shared" ca="1" si="83"/>
        <v>0.98275862068965525</v>
      </c>
      <c r="AA88" s="3">
        <f t="shared" ca="1" si="83"/>
        <v>0.83432984554060785</v>
      </c>
      <c r="AB88" s="3">
        <f t="shared" ca="1" si="83"/>
        <v>0.85109561752988039</v>
      </c>
      <c r="AC88" s="3">
        <f t="shared" ca="1" si="83"/>
        <v>0.95537272500623294</v>
      </c>
      <c r="AE88" s="3">
        <f t="shared" ca="1" si="84"/>
        <v>0.92503748557668586</v>
      </c>
      <c r="AF88" s="3">
        <f t="shared" ca="1" si="84"/>
        <v>0.72272040235740831</v>
      </c>
      <c r="AG88" s="3">
        <f t="shared" ca="1" si="84"/>
        <v>0.82171320742686316</v>
      </c>
      <c r="AH88" s="3">
        <f t="shared" ca="1" si="84"/>
        <v>0.905509897429014</v>
      </c>
      <c r="AJ88" s="3">
        <f t="shared" ca="1" si="85"/>
        <v>2.4987506246876565</v>
      </c>
      <c r="AK88" s="3">
        <f t="shared" ca="1" si="85"/>
        <v>2.4912805181863478</v>
      </c>
      <c r="AL88" s="3">
        <f t="shared" ca="1" si="85"/>
        <v>2.4900398406374502</v>
      </c>
      <c r="AM88" s="3">
        <f t="shared" ca="1" si="85"/>
        <v>3.2410870107205185</v>
      </c>
      <c r="AO88" s="3">
        <f t="shared" ca="1" si="86"/>
        <v>0.24987506246876562</v>
      </c>
      <c r="AP88" s="3">
        <f t="shared" ca="1" si="86"/>
        <v>0.74738415545590431</v>
      </c>
      <c r="AQ88" s="3">
        <f t="shared" ca="1" si="86"/>
        <v>0.99601593625498008</v>
      </c>
      <c r="AR88" s="3">
        <f t="shared" ca="1" si="86"/>
        <v>0.24931438544003989</v>
      </c>
      <c r="AT88" s="3">
        <v>4.999999888241291E-3</v>
      </c>
      <c r="AU88" s="3">
        <v>0.25299999117851257</v>
      </c>
      <c r="AV88" s="3">
        <v>9.9999997764825821E-3</v>
      </c>
      <c r="AW88" s="3">
        <v>9.9999997764825821E-3</v>
      </c>
      <c r="AY88" s="3">
        <f t="shared" ca="1" si="87"/>
        <v>6.2468765617191349E-2</v>
      </c>
      <c r="AZ88" s="3">
        <f t="shared" ca="1" si="88"/>
        <v>1.2456402590931694E-2</v>
      </c>
      <c r="BA88" s="3">
        <f t="shared" ca="1" si="89"/>
        <v>0</v>
      </c>
      <c r="BB88" s="3">
        <f t="shared" ca="1" si="90"/>
        <v>0.12465719272002006</v>
      </c>
      <c r="BD88" s="3">
        <f t="shared" ca="1" si="91"/>
        <v>0</v>
      </c>
      <c r="BE88" s="3">
        <f t="shared" ca="1" si="92"/>
        <v>0</v>
      </c>
      <c r="BF88" s="3">
        <f t="shared" ca="1" si="93"/>
        <v>0</v>
      </c>
      <c r="BG88" s="3">
        <f t="shared" ca="1" si="94"/>
        <v>0.10371481620352989</v>
      </c>
      <c r="BI88" s="3">
        <f t="shared" ca="1" si="95"/>
        <v>0</v>
      </c>
      <c r="BJ88" s="3">
        <f t="shared" ca="1" si="96"/>
        <v>0</v>
      </c>
      <c r="BK88" s="3">
        <f t="shared" ca="1" si="97"/>
        <v>0</v>
      </c>
      <c r="BL88" s="3">
        <f t="shared" ca="1" si="98"/>
        <v>0.49862877088007979</v>
      </c>
      <c r="BN88" s="3">
        <f t="shared" ca="1" si="99"/>
        <v>0.24987506246876562</v>
      </c>
      <c r="BO88" s="3">
        <f t="shared" ca="1" si="100"/>
        <v>0.49825610363726952</v>
      </c>
      <c r="BP88" s="3">
        <f t="shared" ca="1" si="101"/>
        <v>0</v>
      </c>
      <c r="BQ88" s="3">
        <f t="shared" ca="1" si="102"/>
        <v>0.74794315632011965</v>
      </c>
      <c r="BS88" s="3">
        <v>4.0019999999999998</v>
      </c>
      <c r="BT88" s="3">
        <v>4.0140000000000002</v>
      </c>
      <c r="BU88" s="3">
        <v>4.016</v>
      </c>
      <c r="BV88" s="3">
        <v>0.67599999904632568</v>
      </c>
      <c r="BX88" s="3">
        <f t="shared" ca="1" si="103"/>
        <v>0.11244377811094453</v>
      </c>
      <c r="BY88" s="3">
        <f t="shared" ca="1" si="104"/>
        <v>4.5590433482810118E-2</v>
      </c>
      <c r="BZ88" s="3">
        <f t="shared" ca="1" si="105"/>
        <v>4.2330677290837518E-3</v>
      </c>
      <c r="CA88" s="3">
        <f t="shared" ca="1" si="106"/>
        <v>2.06930939915233E-2</v>
      </c>
      <c r="CC88" s="3">
        <f t="shared" ca="1" si="107"/>
        <v>0.21239379299865074</v>
      </c>
      <c r="CD88" s="3">
        <f t="shared" ca="1" si="108"/>
        <v>0</v>
      </c>
      <c r="CE88" s="3">
        <f t="shared" ca="1" si="109"/>
        <v>0</v>
      </c>
      <c r="CF88" s="3">
        <f t="shared" ca="1" si="110"/>
        <v>2.8920482739163467E-2</v>
      </c>
      <c r="CH88" s="3">
        <f t="shared" ca="1" si="111"/>
        <v>0.49975012493753124</v>
      </c>
      <c r="CI88" s="3">
        <f t="shared" ca="1" si="112"/>
        <v>0</v>
      </c>
      <c r="CJ88" s="3">
        <f t="shared" ca="1" si="113"/>
        <v>0</v>
      </c>
      <c r="CK88" s="3">
        <f t="shared" ca="1" si="114"/>
        <v>0.24931438544003989</v>
      </c>
      <c r="CM88" s="3">
        <f t="shared" ca="1" si="115"/>
        <v>0.49975012493753124</v>
      </c>
      <c r="CN88" s="3">
        <f t="shared" ca="1" si="116"/>
        <v>0.24912805181863476</v>
      </c>
      <c r="CO88" s="3">
        <f t="shared" ca="1" si="117"/>
        <v>0.24900398406374502</v>
      </c>
      <c r="CP88" s="3">
        <f t="shared" ca="1" si="118"/>
        <v>0.24931438544003989</v>
      </c>
      <c r="CR88" s="3">
        <v>4.999999888241291E-3</v>
      </c>
      <c r="CS88" s="3">
        <v>4.0140000000000002</v>
      </c>
      <c r="CT88" s="3">
        <v>4.016</v>
      </c>
      <c r="CU88" s="3">
        <v>1.1599999666213989</v>
      </c>
      <c r="CV88" s="21">
        <f t="shared" ca="1" si="120"/>
        <v>1.1599999666213989</v>
      </c>
      <c r="CW88" s="16">
        <f t="shared" ca="1" si="119"/>
        <v>10.916666666666666</v>
      </c>
    </row>
    <row r="89" spans="1:101" s="3" customFormat="1" x14ac:dyDescent="0.35">
      <c r="A89" s="2" t="s">
        <v>9</v>
      </c>
      <c r="B89" s="2">
        <v>11.083333333333334</v>
      </c>
      <c r="C89" s="2" t="s">
        <v>168</v>
      </c>
      <c r="D89" s="2" t="s">
        <v>403</v>
      </c>
      <c r="F89" s="3">
        <v>4.0149999999999997</v>
      </c>
      <c r="G89" s="3">
        <v>4.0149999999999997</v>
      </c>
      <c r="H89" s="3">
        <v>4.01</v>
      </c>
      <c r="I89" s="11" t="e">
        <v>#N/A</v>
      </c>
      <c r="K89" s="3">
        <f t="shared" ca="1" si="80"/>
        <v>0.99601494396014945</v>
      </c>
      <c r="L89" s="3">
        <f t="shared" ca="1" si="80"/>
        <v>0.99601494396014956</v>
      </c>
      <c r="M89" s="3">
        <f t="shared" ca="1" si="80"/>
        <v>0.93491271820448896</v>
      </c>
      <c r="N89" s="3" t="e">
        <f t="shared" ca="1" si="80"/>
        <v>#N/A</v>
      </c>
      <c r="P89" s="3">
        <f t="shared" ca="1" si="81"/>
        <v>0.90933992326779212</v>
      </c>
      <c r="Q89" s="3">
        <f t="shared" ca="1" si="81"/>
        <v>0.85454551992499528</v>
      </c>
      <c r="R89" s="3">
        <f t="shared" ca="1" si="81"/>
        <v>0.8309226529556617</v>
      </c>
      <c r="S89" s="3" t="e">
        <f t="shared" ca="1" si="81"/>
        <v>#N/A</v>
      </c>
      <c r="U89" s="3">
        <f t="shared" ca="1" si="82"/>
        <v>2.2415940224159403</v>
      </c>
      <c r="V89" s="3">
        <f t="shared" ca="1" si="82"/>
        <v>2.2415940224159403</v>
      </c>
      <c r="W89" s="3">
        <f t="shared" ca="1" si="82"/>
        <v>2.4937655860349128</v>
      </c>
      <c r="X89" s="3" t="e">
        <f t="shared" ca="1" si="82"/>
        <v>#N/A</v>
      </c>
      <c r="Z89" s="3">
        <f t="shared" ca="1" si="83"/>
        <v>0.95043586550435866</v>
      </c>
      <c r="AA89" s="3">
        <f t="shared" ca="1" si="83"/>
        <v>0.99601494396014956</v>
      </c>
      <c r="AB89" s="3">
        <f t="shared" ca="1" si="83"/>
        <v>0.93491271820448896</v>
      </c>
      <c r="AC89" s="3" t="e">
        <f t="shared" ca="1" si="83"/>
        <v>#N/A</v>
      </c>
      <c r="AE89" s="3">
        <f t="shared" ca="1" si="84"/>
        <v>0.90933992326779212</v>
      </c>
      <c r="AF89" s="3">
        <f t="shared" ca="1" si="84"/>
        <v>0.85454551992499528</v>
      </c>
      <c r="AG89" s="3">
        <f t="shared" ca="1" si="84"/>
        <v>0.8309226529556617</v>
      </c>
      <c r="AH89" s="3" t="e">
        <f t="shared" ca="1" si="84"/>
        <v>#N/A</v>
      </c>
      <c r="AJ89" s="3">
        <f t="shared" ca="1" si="85"/>
        <v>2.2415940224159403</v>
      </c>
      <c r="AK89" s="3">
        <f t="shared" ca="1" si="85"/>
        <v>2.2415940224159403</v>
      </c>
      <c r="AL89" s="3">
        <f t="shared" ca="1" si="85"/>
        <v>2.4937655860349128</v>
      </c>
      <c r="AM89" s="3" t="e">
        <f t="shared" ca="1" si="85"/>
        <v>#N/A</v>
      </c>
      <c r="AO89" s="3">
        <f t="shared" ca="1" si="86"/>
        <v>0.4981320049813201</v>
      </c>
      <c r="AP89" s="3">
        <f t="shared" ca="1" si="86"/>
        <v>0.24906600249066005</v>
      </c>
      <c r="AQ89" s="3">
        <f t="shared" ca="1" si="86"/>
        <v>0.24937655860349128</v>
      </c>
      <c r="AR89" s="3" t="e">
        <f t="shared" ca="1" si="86"/>
        <v>#N/A</v>
      </c>
      <c r="AT89" s="3">
        <v>1.0999999940395355E-2</v>
      </c>
      <c r="AU89" s="3">
        <v>0</v>
      </c>
      <c r="AV89" s="3">
        <v>0.25200000405311584</v>
      </c>
      <c r="AW89" s="11" t="e">
        <v>#N/A</v>
      </c>
      <c r="AY89" s="3">
        <f t="shared" ca="1" si="87"/>
        <v>5.8032378580323785E-2</v>
      </c>
      <c r="AZ89" s="3">
        <f t="shared" ca="1" si="88"/>
        <v>5.4047322540473224E-2</v>
      </c>
      <c r="BA89" s="3">
        <f t="shared" ca="1" si="89"/>
        <v>1.2219451371571167E-2</v>
      </c>
      <c r="BB89" s="3" t="e">
        <f t="shared" ca="1" si="90"/>
        <v>#N/A</v>
      </c>
      <c r="BD89" s="3">
        <f t="shared" ca="1" si="91"/>
        <v>0</v>
      </c>
      <c r="BE89" s="3">
        <f t="shared" ca="1" si="92"/>
        <v>0.12428393844946534</v>
      </c>
      <c r="BF89" s="3">
        <f t="shared" ca="1" si="93"/>
        <v>0</v>
      </c>
      <c r="BG89" s="3" t="e">
        <f t="shared" ca="1" si="94"/>
        <v>#N/A</v>
      </c>
      <c r="BI89" s="3">
        <f t="shared" ca="1" si="95"/>
        <v>0</v>
      </c>
      <c r="BJ89" s="3">
        <f t="shared" ca="1" si="96"/>
        <v>0.4981320049813201</v>
      </c>
      <c r="BK89" s="3">
        <f t="shared" ca="1" si="97"/>
        <v>0</v>
      </c>
      <c r="BL89" s="3" t="e">
        <f t="shared" ca="1" si="98"/>
        <v>#N/A</v>
      </c>
      <c r="BN89" s="3">
        <f t="shared" ca="1" si="99"/>
        <v>0.4981320049813201</v>
      </c>
      <c r="BO89" s="3">
        <f t="shared" ca="1" si="100"/>
        <v>0.4981320049813201</v>
      </c>
      <c r="BP89" s="3">
        <f t="shared" ca="1" si="101"/>
        <v>0.74812967581047385</v>
      </c>
      <c r="BQ89" s="3" t="e">
        <f t="shared" ca="1" si="102"/>
        <v>#N/A</v>
      </c>
      <c r="BS89" s="3">
        <v>4.0149999999999997</v>
      </c>
      <c r="BT89" s="3">
        <v>0.44999998807907104</v>
      </c>
      <c r="BU89" s="3">
        <v>4.01</v>
      </c>
      <c r="BV89" s="11" t="e">
        <v>#N/A</v>
      </c>
      <c r="BX89" s="3">
        <f t="shared" ca="1" si="103"/>
        <v>0.23686176836861766</v>
      </c>
      <c r="BY89" s="3">
        <f t="shared" ca="1" si="104"/>
        <v>0.5270236612702367</v>
      </c>
      <c r="BZ89" s="3">
        <f t="shared" ca="1" si="105"/>
        <v>0.19551122194513726</v>
      </c>
      <c r="CA89" s="3" t="e">
        <f t="shared" ca="1" si="106"/>
        <v>#N/A</v>
      </c>
      <c r="CC89" s="3">
        <f t="shared" ca="1" si="107"/>
        <v>0.28268991045162067</v>
      </c>
      <c r="CD89" s="3">
        <f t="shared" ca="1" si="108"/>
        <v>0.53524288858007529</v>
      </c>
      <c r="CE89" s="3">
        <f t="shared" ca="1" si="109"/>
        <v>0.20773065952291514</v>
      </c>
      <c r="CF89" s="3" t="e">
        <f t="shared" ca="1" si="110"/>
        <v>#N/A</v>
      </c>
      <c r="CH89" s="3">
        <f t="shared" ca="1" si="111"/>
        <v>0.9962640099626402</v>
      </c>
      <c r="CI89" s="3">
        <f t="shared" ca="1" si="112"/>
        <v>1.4943960149439603</v>
      </c>
      <c r="CJ89" s="3">
        <f t="shared" ca="1" si="113"/>
        <v>0.49875311720698257</v>
      </c>
      <c r="CK89" s="3" t="e">
        <f t="shared" ca="1" si="114"/>
        <v>#N/A</v>
      </c>
      <c r="CM89" s="3">
        <f t="shared" ca="1" si="115"/>
        <v>0.9962640099626402</v>
      </c>
      <c r="CN89" s="3">
        <f t="shared" ca="1" si="116"/>
        <v>0.9962640099626402</v>
      </c>
      <c r="CO89" s="3">
        <f t="shared" ca="1" si="117"/>
        <v>0.49875311720698257</v>
      </c>
      <c r="CP89" s="3" t="e">
        <f t="shared" ca="1" si="118"/>
        <v>#N/A</v>
      </c>
      <c r="CR89" s="3">
        <v>0.86000001430511475</v>
      </c>
      <c r="CS89" s="3">
        <v>0</v>
      </c>
      <c r="CT89" s="3">
        <v>2.0680000782012939</v>
      </c>
      <c r="CU89" s="11" t="e">
        <v>#N/A</v>
      </c>
      <c r="CV89" s="21" t="e">
        <f t="shared" ca="1" si="120"/>
        <v>#N/A</v>
      </c>
      <c r="CW89" s="16">
        <f t="shared" ca="1" si="119"/>
        <v>11.083333333333334</v>
      </c>
    </row>
    <row r="90" spans="1:101" s="3" customFormat="1" x14ac:dyDescent="0.35">
      <c r="A90" s="2" t="s">
        <v>67</v>
      </c>
      <c r="B90" s="2">
        <v>11.083333333333334</v>
      </c>
      <c r="C90" s="2" t="s">
        <v>167</v>
      </c>
      <c r="D90" s="2" t="s">
        <v>403</v>
      </c>
      <c r="F90" s="3">
        <v>4.0149999999999997</v>
      </c>
      <c r="G90" s="3">
        <v>4.016</v>
      </c>
      <c r="H90" s="3">
        <v>4.01</v>
      </c>
      <c r="I90" s="3">
        <v>4.0149999999999997</v>
      </c>
      <c r="K90" s="3">
        <f t="shared" ca="1" si="80"/>
        <v>0.99601494396014945</v>
      </c>
      <c r="L90" s="3">
        <f t="shared" ca="1" si="80"/>
        <v>0.99576693227091628</v>
      </c>
      <c r="M90" s="3">
        <f t="shared" ca="1" si="80"/>
        <v>0.99301745635910232</v>
      </c>
      <c r="N90" s="3">
        <f t="shared" ca="1" si="80"/>
        <v>0.9962640099626402</v>
      </c>
      <c r="P90" s="3">
        <f t="shared" ca="1" si="81"/>
        <v>0.962889326938137</v>
      </c>
      <c r="Q90" s="3">
        <f t="shared" ca="1" si="81"/>
        <v>0.97509959283140135</v>
      </c>
      <c r="R90" s="3">
        <f t="shared" ca="1" si="81"/>
        <v>0.95960100940858339</v>
      </c>
      <c r="S90" s="3">
        <f t="shared" ca="1" si="81"/>
        <v>0.95865496644195858</v>
      </c>
      <c r="U90" s="3">
        <f t="shared" ca="1" si="82"/>
        <v>2.2415940224159403</v>
      </c>
      <c r="V90" s="3">
        <f t="shared" ca="1" si="82"/>
        <v>1.4940239043824701</v>
      </c>
      <c r="W90" s="3">
        <f t="shared" ca="1" si="82"/>
        <v>2.2443890274314215</v>
      </c>
      <c r="X90" s="3">
        <f t="shared" ca="1" si="82"/>
        <v>2.4906600249066004</v>
      </c>
      <c r="Z90" s="3">
        <f t="shared" ca="1" si="83"/>
        <v>0.99601494396014945</v>
      </c>
      <c r="AA90" s="3">
        <f t="shared" ca="1" si="83"/>
        <v>0.99576693227091628</v>
      </c>
      <c r="AB90" s="3">
        <f t="shared" ca="1" si="83"/>
        <v>0.99301745635910232</v>
      </c>
      <c r="AC90" s="3">
        <f t="shared" ca="1" si="83"/>
        <v>0.9962640099626402</v>
      </c>
      <c r="AE90" s="3">
        <f t="shared" ca="1" si="84"/>
        <v>0.962889326938137</v>
      </c>
      <c r="AF90" s="3">
        <f t="shared" ca="1" si="84"/>
        <v>0.97509959283140135</v>
      </c>
      <c r="AG90" s="3">
        <f t="shared" ca="1" si="84"/>
        <v>0.95960100940858339</v>
      </c>
      <c r="AH90" s="3">
        <f t="shared" ca="1" si="84"/>
        <v>0.95865496644195858</v>
      </c>
      <c r="AJ90" s="3">
        <f t="shared" ca="1" si="85"/>
        <v>2.2415940224159403</v>
      </c>
      <c r="AK90" s="3">
        <f t="shared" ca="1" si="85"/>
        <v>1.4940239043824701</v>
      </c>
      <c r="AL90" s="3">
        <f t="shared" ca="1" si="85"/>
        <v>2.2443890274314215</v>
      </c>
      <c r="AM90" s="3">
        <f t="shared" ca="1" si="85"/>
        <v>2.4906600249066004</v>
      </c>
      <c r="AO90" s="3">
        <f t="shared" ca="1" si="86"/>
        <v>0.24906600249066005</v>
      </c>
      <c r="AP90" s="3">
        <f t="shared" ca="1" si="86"/>
        <v>0.24900398406374502</v>
      </c>
      <c r="AQ90" s="3">
        <f t="shared" ca="1" si="86"/>
        <v>0.24937655860349128</v>
      </c>
      <c r="AR90" s="3">
        <f t="shared" ca="1" si="86"/>
        <v>0.24906600249066005</v>
      </c>
      <c r="AT90" s="3">
        <v>4.999999888241291E-3</v>
      </c>
      <c r="AU90" s="3">
        <v>8.0000003799796104E-3</v>
      </c>
      <c r="AV90" s="3">
        <v>1.4000000432133675E-2</v>
      </c>
      <c r="AW90" s="3">
        <v>1.3000000268220901E-2</v>
      </c>
      <c r="AY90" s="3">
        <f t="shared" ca="1" si="87"/>
        <v>0.46924034869240333</v>
      </c>
      <c r="AZ90" s="3">
        <f t="shared" ca="1" si="88"/>
        <v>0.41484063745019922</v>
      </c>
      <c r="BA90" s="3">
        <f t="shared" ca="1" si="89"/>
        <v>0.60274314214463853</v>
      </c>
      <c r="BB90" s="3">
        <f t="shared" ca="1" si="90"/>
        <v>0.3651307596513077</v>
      </c>
      <c r="BD90" s="3">
        <f t="shared" ca="1" si="91"/>
        <v>0.54396028684946252</v>
      </c>
      <c r="BE90" s="3">
        <f t="shared" ca="1" si="92"/>
        <v>0.36927291834021947</v>
      </c>
      <c r="BF90" s="3">
        <f t="shared" ca="1" si="93"/>
        <v>0.59426432833112686</v>
      </c>
      <c r="BG90" s="3">
        <f t="shared" ca="1" si="94"/>
        <v>0.30734743899752759</v>
      </c>
      <c r="BI90" s="3">
        <f t="shared" ca="1" si="95"/>
        <v>1.4943960149439603</v>
      </c>
      <c r="BJ90" s="3">
        <f t="shared" ca="1" si="96"/>
        <v>0.74701195219123506</v>
      </c>
      <c r="BK90" s="3">
        <f t="shared" ca="1" si="97"/>
        <v>1.2468827930174564</v>
      </c>
      <c r="BL90" s="3">
        <f t="shared" ca="1" si="98"/>
        <v>0.9962640099626402</v>
      </c>
      <c r="BN90" s="3">
        <f t="shared" ca="1" si="99"/>
        <v>0.74719800747198017</v>
      </c>
      <c r="BO90" s="3">
        <f t="shared" ca="1" si="100"/>
        <v>0.74701195219123506</v>
      </c>
      <c r="BP90" s="3">
        <f t="shared" ca="1" si="101"/>
        <v>0.49875311720698257</v>
      </c>
      <c r="BQ90" s="3">
        <f t="shared" ca="1" si="102"/>
        <v>0.74719800747198017</v>
      </c>
      <c r="BS90" s="3">
        <v>0.70499998331069946</v>
      </c>
      <c r="BT90" s="3">
        <v>2.4900000095367432</v>
      </c>
      <c r="BU90" s="3">
        <v>0.61299997568130493</v>
      </c>
      <c r="BV90" s="3">
        <v>1.7130000591278076</v>
      </c>
      <c r="BX90" s="3">
        <f t="shared" ca="1" si="103"/>
        <v>6.201743462017438E-2</v>
      </c>
      <c r="BY90" s="3">
        <f t="shared" ca="1" si="104"/>
        <v>5.8266932270916331E-2</v>
      </c>
      <c r="BZ90" s="3">
        <f t="shared" ca="1" si="105"/>
        <v>7.057356608478807E-2</v>
      </c>
      <c r="CA90" s="3">
        <f t="shared" ca="1" si="106"/>
        <v>0.1078455790784557</v>
      </c>
      <c r="CC90" s="3">
        <f t="shared" ca="1" si="107"/>
        <v>0</v>
      </c>
      <c r="CD90" s="3">
        <f t="shared" ca="1" si="108"/>
        <v>0</v>
      </c>
      <c r="CE90" s="3">
        <f t="shared" ca="1" si="109"/>
        <v>0</v>
      </c>
      <c r="CF90" s="3">
        <f t="shared" ca="1" si="110"/>
        <v>0</v>
      </c>
      <c r="CH90" s="3">
        <f t="shared" ca="1" si="111"/>
        <v>0</v>
      </c>
      <c r="CI90" s="3">
        <f t="shared" ca="1" si="112"/>
        <v>0</v>
      </c>
      <c r="CJ90" s="3">
        <f t="shared" ca="1" si="113"/>
        <v>0</v>
      </c>
      <c r="CK90" s="3">
        <f t="shared" ca="1" si="114"/>
        <v>0</v>
      </c>
      <c r="CM90" s="3">
        <f t="shared" ca="1" si="115"/>
        <v>0.24906600249066005</v>
      </c>
      <c r="CN90" s="3">
        <f t="shared" ca="1" si="116"/>
        <v>0.24900398406374502</v>
      </c>
      <c r="CO90" s="3">
        <f t="shared" ca="1" si="117"/>
        <v>0.24937655860349128</v>
      </c>
      <c r="CP90" s="3">
        <f t="shared" ca="1" si="118"/>
        <v>0.4981320049813201</v>
      </c>
      <c r="CR90" s="3">
        <v>4.0149999999999997</v>
      </c>
      <c r="CS90" s="3">
        <v>4.016</v>
      </c>
      <c r="CT90" s="3">
        <v>4.01</v>
      </c>
      <c r="CU90" s="3">
        <v>4.0149999999999997</v>
      </c>
      <c r="CV90" s="21">
        <f t="shared" ca="1" si="120"/>
        <v>4.0149999999999997</v>
      </c>
      <c r="CW90" s="16">
        <f t="shared" ca="1" si="119"/>
        <v>11.083333333333334</v>
      </c>
    </row>
    <row r="91" spans="1:101" s="3" customFormat="1" x14ac:dyDescent="0.35">
      <c r="A91" s="2" t="s">
        <v>73</v>
      </c>
      <c r="B91" s="2">
        <v>11.333333333333334</v>
      </c>
      <c r="C91" s="2" t="s">
        <v>167</v>
      </c>
      <c r="D91" s="2" t="s">
        <v>403</v>
      </c>
      <c r="F91" s="3">
        <v>4.0110000000000001</v>
      </c>
      <c r="G91" s="3">
        <v>4.01</v>
      </c>
      <c r="H91" s="3">
        <v>3.9849999999999999</v>
      </c>
      <c r="I91" s="3">
        <v>4.01</v>
      </c>
      <c r="K91" s="3">
        <f t="shared" ca="1" si="80"/>
        <v>0.99276988282223888</v>
      </c>
      <c r="L91" s="3">
        <f t="shared" ca="1" si="80"/>
        <v>0.86408977556109723</v>
      </c>
      <c r="M91" s="3">
        <f t="shared" ca="1" si="80"/>
        <v>0.9909661229611042</v>
      </c>
      <c r="N91" s="3">
        <f t="shared" ca="1" si="80"/>
        <v>0.9306733167082295</v>
      </c>
      <c r="P91" s="3">
        <f t="shared" ca="1" si="81"/>
        <v>0.92670156468821419</v>
      </c>
      <c r="Q91" s="3">
        <f t="shared" ca="1" si="81"/>
        <v>0.49401500129937531</v>
      </c>
      <c r="R91" s="3">
        <f t="shared" ca="1" si="81"/>
        <v>0.7402760396189193</v>
      </c>
      <c r="S91" s="3">
        <f t="shared" ca="1" si="81"/>
        <v>0.72244387723858516</v>
      </c>
      <c r="U91" s="3">
        <f t="shared" ca="1" si="82"/>
        <v>2.9917726252804786</v>
      </c>
      <c r="V91" s="3">
        <f t="shared" ca="1" si="82"/>
        <v>1.745635910224439</v>
      </c>
      <c r="W91" s="3">
        <f t="shared" ca="1" si="82"/>
        <v>2.7603513174404015</v>
      </c>
      <c r="X91" s="3">
        <f t="shared" ca="1" si="82"/>
        <v>3.2418952618453867</v>
      </c>
      <c r="Z91" s="3">
        <f t="shared" ca="1" si="83"/>
        <v>0.99276988282223888</v>
      </c>
      <c r="AA91" s="3">
        <f t="shared" ca="1" si="83"/>
        <v>0.81845386533665843</v>
      </c>
      <c r="AB91" s="3">
        <f t="shared" ca="1" si="83"/>
        <v>0.9909661229611042</v>
      </c>
      <c r="AC91" s="3">
        <f t="shared" ca="1" si="83"/>
        <v>0.9306733167082295</v>
      </c>
      <c r="AE91" s="3">
        <f t="shared" ca="1" si="84"/>
        <v>0.92670156468821419</v>
      </c>
      <c r="AF91" s="3">
        <f t="shared" ca="1" si="84"/>
        <v>0.49401500129937531</v>
      </c>
      <c r="AG91" s="3">
        <f t="shared" ca="1" si="84"/>
        <v>0.7402760396189193</v>
      </c>
      <c r="AH91" s="3">
        <f t="shared" ca="1" si="84"/>
        <v>0.72244387723858516</v>
      </c>
      <c r="AJ91" s="3">
        <f t="shared" ca="1" si="85"/>
        <v>2.9917726252804786</v>
      </c>
      <c r="AK91" s="3">
        <f t="shared" ca="1" si="85"/>
        <v>1.745635910224439</v>
      </c>
      <c r="AL91" s="3">
        <f t="shared" ca="1" si="85"/>
        <v>2.7603513174404015</v>
      </c>
      <c r="AM91" s="3">
        <f t="shared" ca="1" si="85"/>
        <v>3.2418952618453867</v>
      </c>
      <c r="AO91" s="3">
        <f t="shared" ca="1" si="86"/>
        <v>0.24931438544003989</v>
      </c>
      <c r="AP91" s="3">
        <f t="shared" ca="1" si="86"/>
        <v>0.49875311720698257</v>
      </c>
      <c r="AQ91" s="3">
        <f t="shared" ca="1" si="86"/>
        <v>0.25094102885821834</v>
      </c>
      <c r="AR91" s="3">
        <f t="shared" ca="1" si="86"/>
        <v>0.24937655860349128</v>
      </c>
      <c r="AT91" s="3">
        <v>1.4000000432133675E-2</v>
      </c>
      <c r="AU91" s="3">
        <v>0.40099999308586121</v>
      </c>
      <c r="AV91" s="3">
        <v>0.20800000429153442</v>
      </c>
      <c r="AW91" s="3">
        <v>9.7999997437000275E-2</v>
      </c>
      <c r="AY91" s="3">
        <f t="shared" ca="1" si="87"/>
        <v>0.62802293692346045</v>
      </c>
      <c r="AZ91" s="3">
        <f t="shared" ca="1" si="88"/>
        <v>0.16184538653366584</v>
      </c>
      <c r="BA91" s="3">
        <f t="shared" ca="1" si="89"/>
        <v>0.49736511919698867</v>
      </c>
      <c r="BB91" s="3">
        <f t="shared" ca="1" si="90"/>
        <v>0.43640897755610958</v>
      </c>
      <c r="BD91" s="3">
        <f t="shared" ca="1" si="91"/>
        <v>0.59461474002551862</v>
      </c>
      <c r="BE91" s="3">
        <f t="shared" ca="1" si="92"/>
        <v>0.12443889852176582</v>
      </c>
      <c r="BF91" s="3">
        <f t="shared" ca="1" si="93"/>
        <v>0.41405269911178533</v>
      </c>
      <c r="BG91" s="3">
        <f t="shared" ca="1" si="94"/>
        <v>0.52743143125662484</v>
      </c>
      <c r="BI91" s="3">
        <f t="shared" ca="1" si="95"/>
        <v>1.7452006980802792</v>
      </c>
      <c r="BJ91" s="3">
        <f t="shared" ca="1" si="96"/>
        <v>0.24937655860349128</v>
      </c>
      <c r="BK91" s="3">
        <f t="shared" ca="1" si="97"/>
        <v>1.2547051442910917</v>
      </c>
      <c r="BL91" s="3">
        <f t="shared" ca="1" si="98"/>
        <v>2.2443890274314215</v>
      </c>
      <c r="BN91" s="3">
        <f t="shared" ca="1" si="99"/>
        <v>2.2438294689603588</v>
      </c>
      <c r="BO91" s="3">
        <f t="shared" ca="1" si="100"/>
        <v>1.2468827930174564</v>
      </c>
      <c r="BP91" s="3">
        <f t="shared" ca="1" si="101"/>
        <v>2.5094102885821834</v>
      </c>
      <c r="BQ91" s="3">
        <f t="shared" ca="1" si="102"/>
        <v>3.491271820448878</v>
      </c>
      <c r="BS91" s="3">
        <v>0.44699999690055847</v>
      </c>
      <c r="BT91" s="3">
        <v>0.40099999308586121</v>
      </c>
      <c r="BU91" s="3">
        <v>0.34099999070167542</v>
      </c>
      <c r="BV91" s="3">
        <v>0.414000004529953</v>
      </c>
      <c r="BX91" s="3">
        <f t="shared" ca="1" si="103"/>
        <v>4.9862877088008017E-2</v>
      </c>
      <c r="BY91" s="3">
        <f t="shared" ca="1" si="104"/>
        <v>0.19077306733167071</v>
      </c>
      <c r="BZ91" s="3">
        <f t="shared" ca="1" si="105"/>
        <v>7.5282308657465505E-2</v>
      </c>
      <c r="CA91" s="3">
        <f t="shared" ca="1" si="106"/>
        <v>0</v>
      </c>
      <c r="CC91" s="3">
        <f t="shared" ca="1" si="107"/>
        <v>3.7397181592478596E-2</v>
      </c>
      <c r="CD91" s="3">
        <f t="shared" ca="1" si="108"/>
        <v>0.24064838737620975</v>
      </c>
      <c r="CE91" s="3">
        <f t="shared" ca="1" si="109"/>
        <v>8.3563348729457879E-2</v>
      </c>
      <c r="CF91" s="3">
        <f t="shared" ca="1" si="110"/>
        <v>0</v>
      </c>
      <c r="CH91" s="3">
        <f t="shared" ca="1" si="111"/>
        <v>0.24931438544003989</v>
      </c>
      <c r="CI91" s="3">
        <f t="shared" ca="1" si="112"/>
        <v>0.74812967581047385</v>
      </c>
      <c r="CJ91" s="3">
        <f t="shared" ca="1" si="113"/>
        <v>0.25094102885821834</v>
      </c>
      <c r="CK91" s="3">
        <f t="shared" ca="1" si="114"/>
        <v>0</v>
      </c>
      <c r="CM91" s="3">
        <f t="shared" ca="1" si="115"/>
        <v>0.49862877088007979</v>
      </c>
      <c r="CN91" s="3">
        <f t="shared" ca="1" si="116"/>
        <v>0.74812967581047385</v>
      </c>
      <c r="CO91" s="3">
        <f t="shared" ca="1" si="117"/>
        <v>0.25094102885821834</v>
      </c>
      <c r="CP91" s="3">
        <f t="shared" ca="1" si="118"/>
        <v>0.74812967581047385</v>
      </c>
      <c r="CR91" s="3">
        <v>2.496999979019165</v>
      </c>
      <c r="CS91" s="3">
        <v>1.0839999914169312</v>
      </c>
      <c r="CT91" s="3">
        <v>1.5410000085830688</v>
      </c>
      <c r="CU91" s="3">
        <v>4.01</v>
      </c>
      <c r="CV91" s="21">
        <f t="shared" ca="1" si="120"/>
        <v>4.01</v>
      </c>
      <c r="CW91" s="16">
        <f t="shared" ca="1" si="119"/>
        <v>11.333333333333334</v>
      </c>
    </row>
    <row r="92" spans="1:101" s="3" customFormat="1" x14ac:dyDescent="0.35">
      <c r="A92" s="2" t="s">
        <v>31</v>
      </c>
      <c r="B92" s="2">
        <v>11.5</v>
      </c>
      <c r="C92" s="2" t="s">
        <v>167</v>
      </c>
      <c r="D92" s="2" t="s">
        <v>403</v>
      </c>
      <c r="F92" s="3">
        <v>4.01</v>
      </c>
      <c r="G92" s="3">
        <v>4.0110000000000001</v>
      </c>
      <c r="H92" s="3">
        <v>4.0110000000000001</v>
      </c>
      <c r="I92" s="3">
        <v>4.0110000000000001</v>
      </c>
      <c r="K92" s="3">
        <f t="shared" ca="1" si="80"/>
        <v>0.99301745635910232</v>
      </c>
      <c r="L92" s="3">
        <f t="shared" ca="1" si="80"/>
        <v>0.98055347793567682</v>
      </c>
      <c r="M92" s="3">
        <f t="shared" ca="1" si="80"/>
        <v>0.9970082273747195</v>
      </c>
      <c r="N92" s="3">
        <f t="shared" ca="1" si="80"/>
        <v>0.9970082273747195</v>
      </c>
      <c r="P92" s="3">
        <f t="shared" ca="1" si="81"/>
        <v>0.8807979421945582</v>
      </c>
      <c r="Q92" s="3">
        <f t="shared" ca="1" si="81"/>
        <v>0.84268248599831586</v>
      </c>
      <c r="R92" s="3">
        <f t="shared" ca="1" si="81"/>
        <v>0.95113431496164413</v>
      </c>
      <c r="S92" s="3">
        <f t="shared" ca="1" si="81"/>
        <v>0.95188225072334187</v>
      </c>
      <c r="U92" s="3">
        <f t="shared" ca="1" si="82"/>
        <v>2.2443890274314215</v>
      </c>
      <c r="V92" s="3">
        <f t="shared" ca="1" si="82"/>
        <v>3.7397157816005984</v>
      </c>
      <c r="W92" s="3">
        <f t="shared" ca="1" si="82"/>
        <v>2.9917726252804786</v>
      </c>
      <c r="X92" s="3">
        <f t="shared" ca="1" si="82"/>
        <v>2.9917726252804786</v>
      </c>
      <c r="Z92" s="3">
        <f t="shared" ca="1" si="83"/>
        <v>0.99301745635910232</v>
      </c>
      <c r="AA92" s="3">
        <f t="shared" ca="1" si="83"/>
        <v>0.98055347793567682</v>
      </c>
      <c r="AB92" s="3">
        <f t="shared" ca="1" si="83"/>
        <v>0.9970082273747195</v>
      </c>
      <c r="AC92" s="3">
        <f t="shared" ca="1" si="83"/>
        <v>0.96783844427823484</v>
      </c>
      <c r="AE92" s="3">
        <f t="shared" ca="1" si="84"/>
        <v>0.8807979421945582</v>
      </c>
      <c r="AF92" s="3">
        <f t="shared" ca="1" si="84"/>
        <v>0.84268248599831586</v>
      </c>
      <c r="AG92" s="3">
        <f t="shared" ca="1" si="84"/>
        <v>0.95113431496164413</v>
      </c>
      <c r="AH92" s="3">
        <f t="shared" ca="1" si="84"/>
        <v>0.95188225072334187</v>
      </c>
      <c r="AJ92" s="3">
        <f t="shared" ca="1" si="85"/>
        <v>2.2443890274314215</v>
      </c>
      <c r="AK92" s="3">
        <f t="shared" ca="1" si="85"/>
        <v>3.7397157816005984</v>
      </c>
      <c r="AL92" s="3">
        <f t="shared" ca="1" si="85"/>
        <v>2.9917726252804786</v>
      </c>
      <c r="AM92" s="3">
        <f t="shared" ca="1" si="85"/>
        <v>2.9917726252804786</v>
      </c>
      <c r="AO92" s="3">
        <f t="shared" ca="1" si="86"/>
        <v>0.24937655860349128</v>
      </c>
      <c r="AP92" s="3">
        <f t="shared" ca="1" si="86"/>
        <v>0.24931438544003989</v>
      </c>
      <c r="AQ92" s="3">
        <f t="shared" ca="1" si="86"/>
        <v>0.24931438544003989</v>
      </c>
      <c r="AR92" s="3">
        <f t="shared" ca="1" si="86"/>
        <v>0.49862877088007979</v>
      </c>
      <c r="AT92" s="3">
        <v>1.3000000268220901E-2</v>
      </c>
      <c r="AU92" s="3">
        <v>6.8999998271465302E-2</v>
      </c>
      <c r="AV92" s="3">
        <v>4.0000001899898052E-3</v>
      </c>
      <c r="AW92" s="3">
        <v>1.0000000474974513E-3</v>
      </c>
      <c r="AY92" s="3">
        <f t="shared" ca="1" si="87"/>
        <v>0.72718204488778049</v>
      </c>
      <c r="AZ92" s="3">
        <f t="shared" ca="1" si="88"/>
        <v>0.73946646721515819</v>
      </c>
      <c r="BA92" s="3">
        <f t="shared" ca="1" si="89"/>
        <v>0.88930441286462225</v>
      </c>
      <c r="BB92" s="3">
        <f t="shared" ca="1" si="90"/>
        <v>0.41136873597606577</v>
      </c>
      <c r="BD92" s="3">
        <f t="shared" ca="1" si="91"/>
        <v>0.71895256304086896</v>
      </c>
      <c r="BE92" s="3">
        <f t="shared" ca="1" si="92"/>
        <v>0.58962833447457552</v>
      </c>
      <c r="BF92" s="3">
        <f t="shared" ca="1" si="93"/>
        <v>0.84318118450856216</v>
      </c>
      <c r="BG92" s="3">
        <f t="shared" ca="1" si="94"/>
        <v>0.37447013363996307</v>
      </c>
      <c r="BI92" s="3">
        <f t="shared" ca="1" si="95"/>
        <v>1.745635910224439</v>
      </c>
      <c r="BJ92" s="3">
        <f t="shared" ca="1" si="96"/>
        <v>2.4931438544003988</v>
      </c>
      <c r="BK92" s="3">
        <f t="shared" ca="1" si="97"/>
        <v>2.7424582398404387</v>
      </c>
      <c r="BL92" s="3">
        <f t="shared" ca="1" si="98"/>
        <v>1.4958863126402393</v>
      </c>
      <c r="BN92" s="3">
        <f t="shared" ca="1" si="99"/>
        <v>0.99750623441396513</v>
      </c>
      <c r="BO92" s="3">
        <f t="shared" ca="1" si="100"/>
        <v>0.74794315632011965</v>
      </c>
      <c r="BP92" s="3">
        <f t="shared" ca="1" si="101"/>
        <v>0.49862877088007979</v>
      </c>
      <c r="BQ92" s="3">
        <f t="shared" ca="1" si="102"/>
        <v>0.49862877088007979</v>
      </c>
      <c r="BS92" s="3">
        <v>0.46299999952316284</v>
      </c>
      <c r="BT92" s="3">
        <v>0.18600000441074371</v>
      </c>
      <c r="BU92" s="3">
        <v>0.45399999618530273</v>
      </c>
      <c r="BV92" s="3">
        <v>0.41800001263618469</v>
      </c>
      <c r="BX92" s="3">
        <f t="shared" ca="1" si="103"/>
        <v>1.6458852867830494E-2</v>
      </c>
      <c r="BY92" s="3">
        <f t="shared" ca="1" si="104"/>
        <v>3.3408127648965356E-2</v>
      </c>
      <c r="BZ92" s="3">
        <f t="shared" ca="1" si="105"/>
        <v>0</v>
      </c>
      <c r="CA92" s="3">
        <f t="shared" ca="1" si="106"/>
        <v>9.9725754176015938E-2</v>
      </c>
      <c r="CC92" s="3">
        <f t="shared" ca="1" si="107"/>
        <v>0</v>
      </c>
      <c r="CD92" s="3">
        <f t="shared" ca="1" si="108"/>
        <v>2.4931438915511372E-2</v>
      </c>
      <c r="CE92" s="3">
        <f t="shared" ca="1" si="109"/>
        <v>0</v>
      </c>
      <c r="CF92" s="3">
        <f t="shared" ca="1" si="110"/>
        <v>0.10795309132871055</v>
      </c>
      <c r="CH92" s="3">
        <f t="shared" ca="1" si="111"/>
        <v>0</v>
      </c>
      <c r="CI92" s="3">
        <f t="shared" ca="1" si="112"/>
        <v>0.24931438544003989</v>
      </c>
      <c r="CJ92" s="3">
        <f t="shared" ca="1" si="113"/>
        <v>0</v>
      </c>
      <c r="CK92" s="3">
        <f t="shared" ca="1" si="114"/>
        <v>0.24931438544003989</v>
      </c>
      <c r="CM92" s="3">
        <f t="shared" ca="1" si="115"/>
        <v>0.24937655860349128</v>
      </c>
      <c r="CN92" s="3">
        <f t="shared" ca="1" si="116"/>
        <v>0.49862877088007979</v>
      </c>
      <c r="CO92" s="3">
        <f t="shared" ca="1" si="117"/>
        <v>0</v>
      </c>
      <c r="CP92" s="3">
        <f t="shared" ca="1" si="118"/>
        <v>0.24931438544003989</v>
      </c>
      <c r="CR92" s="3">
        <v>4.01</v>
      </c>
      <c r="CS92" s="3">
        <v>6.8999998271465302E-2</v>
      </c>
      <c r="CT92" s="3">
        <v>4.0110000000000001</v>
      </c>
      <c r="CU92" s="3">
        <v>2.1170001029968262</v>
      </c>
      <c r="CV92" s="21">
        <f t="shared" ca="1" si="120"/>
        <v>2.1170001029968262</v>
      </c>
      <c r="CW92" s="16">
        <f t="shared" ca="1" si="119"/>
        <v>11.5</v>
      </c>
    </row>
    <row r="93" spans="1:101" s="3" customFormat="1" x14ac:dyDescent="0.35">
      <c r="A93" s="2" t="s">
        <v>64</v>
      </c>
      <c r="B93" s="2">
        <v>12</v>
      </c>
      <c r="C93" s="2" t="s">
        <v>167</v>
      </c>
      <c r="D93" s="2" t="s">
        <v>403</v>
      </c>
      <c r="F93" s="3">
        <v>4.016</v>
      </c>
      <c r="G93" s="3">
        <v>4.016</v>
      </c>
      <c r="H93" s="3">
        <v>4.0309999999999997</v>
      </c>
      <c r="I93" s="3">
        <v>4.0110000000000001</v>
      </c>
      <c r="K93" s="3">
        <f t="shared" ca="1" si="80"/>
        <v>0.99601593625498008</v>
      </c>
      <c r="L93" s="3">
        <f t="shared" ca="1" si="80"/>
        <v>0.99576693227091639</v>
      </c>
      <c r="M93" s="3">
        <f t="shared" ca="1" si="80"/>
        <v>0.99627883899776737</v>
      </c>
      <c r="N93" s="3">
        <f t="shared" ca="1" si="80"/>
        <v>0.9970082273747195</v>
      </c>
      <c r="P93" s="3">
        <f t="shared" ca="1" si="81"/>
        <v>0.96713151087969595</v>
      </c>
      <c r="Q93" s="3">
        <f t="shared" ca="1" si="81"/>
        <v>0.94173300618944</v>
      </c>
      <c r="R93" s="3">
        <f t="shared" ca="1" si="81"/>
        <v>0.95906725968436413</v>
      </c>
      <c r="S93" s="3">
        <f t="shared" ca="1" si="81"/>
        <v>0.88082773903975964</v>
      </c>
      <c r="U93" s="3">
        <f t="shared" ca="1" si="82"/>
        <v>1.9920318725099602</v>
      </c>
      <c r="V93" s="3">
        <f t="shared" ca="1" si="82"/>
        <v>1.4940239043824701</v>
      </c>
      <c r="W93" s="3">
        <f t="shared" ca="1" si="82"/>
        <v>2.4807740014884647</v>
      </c>
      <c r="X93" s="3">
        <f t="shared" ca="1" si="82"/>
        <v>2.4931438544003988</v>
      </c>
      <c r="Z93" s="3">
        <f t="shared" ca="1" si="83"/>
        <v>0.99601593625498008</v>
      </c>
      <c r="AA93" s="3">
        <f t="shared" ca="1" si="83"/>
        <v>0.99576693227091639</v>
      </c>
      <c r="AB93" s="3">
        <f t="shared" ca="1" si="83"/>
        <v>0.99627883899776737</v>
      </c>
      <c r="AC93" s="3">
        <f t="shared" ca="1" si="83"/>
        <v>0.91398653702318633</v>
      </c>
      <c r="AE93" s="3">
        <f t="shared" ca="1" si="84"/>
        <v>0.96713151087969595</v>
      </c>
      <c r="AF93" s="3">
        <f t="shared" ca="1" si="84"/>
        <v>0.94173300618944</v>
      </c>
      <c r="AG93" s="3">
        <f t="shared" ca="1" si="84"/>
        <v>0.95906725968436413</v>
      </c>
      <c r="AH93" s="3">
        <f t="shared" ca="1" si="84"/>
        <v>0.88082773903975964</v>
      </c>
      <c r="AJ93" s="3">
        <f t="shared" ca="1" si="85"/>
        <v>1.9920318725099602</v>
      </c>
      <c r="AK93" s="3">
        <f t="shared" ca="1" si="85"/>
        <v>1.4940239043824701</v>
      </c>
      <c r="AL93" s="3">
        <f t="shared" ca="1" si="85"/>
        <v>2.4807740014884647</v>
      </c>
      <c r="AM93" s="3">
        <f t="shared" ca="1" si="85"/>
        <v>2.4931438544003988</v>
      </c>
      <c r="AO93" s="3">
        <f t="shared" ca="1" si="86"/>
        <v>0.24900398406374502</v>
      </c>
      <c r="AP93" s="3">
        <f t="shared" ca="1" si="86"/>
        <v>0.24900398406374502</v>
      </c>
      <c r="AQ93" s="3">
        <f t="shared" ca="1" si="86"/>
        <v>0.24807740014884647</v>
      </c>
      <c r="AR93" s="3">
        <f t="shared" ca="1" si="86"/>
        <v>0.74794315632011965</v>
      </c>
      <c r="AT93" s="3">
        <v>4.999999888241291E-3</v>
      </c>
      <c r="AU93" s="3">
        <v>1.4999999664723873E-2</v>
      </c>
      <c r="AV93" s="3">
        <v>4.0000001899898052E-3</v>
      </c>
      <c r="AW93" s="3">
        <v>1.2000000104308128E-2</v>
      </c>
      <c r="AY93" s="3">
        <f t="shared" ca="1" si="87"/>
        <v>0.348605577689243</v>
      </c>
      <c r="AZ93" s="3">
        <f t="shared" ca="1" si="88"/>
        <v>0.6638446215139443</v>
      </c>
      <c r="BA93" s="3">
        <f t="shared" ca="1" si="89"/>
        <v>0.59563383775738032</v>
      </c>
      <c r="BB93" s="3">
        <f t="shared" ca="1" si="90"/>
        <v>0.41585639491398657</v>
      </c>
      <c r="BD93" s="3">
        <f t="shared" ca="1" si="91"/>
        <v>0.36105577392407145</v>
      </c>
      <c r="BE93" s="3">
        <f t="shared" ca="1" si="92"/>
        <v>0.64716131919883635</v>
      </c>
      <c r="BF93" s="3">
        <f t="shared" ca="1" si="93"/>
        <v>0.5827338368447299</v>
      </c>
      <c r="BG93" s="3">
        <f t="shared" ca="1" si="94"/>
        <v>0.44452753247717791</v>
      </c>
      <c r="BI93" s="3">
        <f t="shared" ca="1" si="95"/>
        <v>0.49800796812749004</v>
      </c>
      <c r="BJ93" s="3">
        <f t="shared" ca="1" si="96"/>
        <v>0.74701195219123506</v>
      </c>
      <c r="BK93" s="3">
        <f t="shared" ca="1" si="97"/>
        <v>1.7365418010419251</v>
      </c>
      <c r="BL93" s="3">
        <f t="shared" ca="1" si="98"/>
        <v>0.99725754176015957</v>
      </c>
      <c r="BN93" s="3">
        <f t="shared" ca="1" si="99"/>
        <v>0.49800796812749004</v>
      </c>
      <c r="BO93" s="3">
        <f t="shared" ca="1" si="100"/>
        <v>0.74701195219123506</v>
      </c>
      <c r="BP93" s="3">
        <f t="shared" ca="1" si="101"/>
        <v>0.74423220044653937</v>
      </c>
      <c r="BQ93" s="3">
        <f t="shared" ca="1" si="102"/>
        <v>1.2465719272001994</v>
      </c>
      <c r="BS93" s="3">
        <v>0.98900002241134644</v>
      </c>
      <c r="BT93" s="3">
        <v>0.54799997806549072</v>
      </c>
      <c r="BU93" s="3">
        <v>0.51999998092651367</v>
      </c>
      <c r="BV93" s="3">
        <v>0.49500000476837158</v>
      </c>
      <c r="BX93" s="3">
        <f t="shared" ca="1" si="103"/>
        <v>0.29880478087649398</v>
      </c>
      <c r="BY93" s="3">
        <f t="shared" ca="1" si="104"/>
        <v>0</v>
      </c>
      <c r="BZ93" s="3">
        <f t="shared" ca="1" si="105"/>
        <v>0</v>
      </c>
      <c r="CA93" s="3">
        <f t="shared" ca="1" si="106"/>
        <v>4.5624532535527305E-2</v>
      </c>
      <c r="CC93" s="3">
        <f t="shared" ca="1" si="107"/>
        <v>0.30303784934581218</v>
      </c>
      <c r="CD93" s="3">
        <f t="shared" ca="1" si="108"/>
        <v>0</v>
      </c>
      <c r="CE93" s="3">
        <f t="shared" ca="1" si="109"/>
        <v>0</v>
      </c>
      <c r="CF93" s="3">
        <f t="shared" ca="1" si="110"/>
        <v>4.9862876437870053E-2</v>
      </c>
      <c r="CH93" s="3">
        <f t="shared" ca="1" si="111"/>
        <v>0.49800796812749004</v>
      </c>
      <c r="CI93" s="3">
        <f t="shared" ca="1" si="112"/>
        <v>0</v>
      </c>
      <c r="CJ93" s="3">
        <f t="shared" ca="1" si="113"/>
        <v>0</v>
      </c>
      <c r="CK93" s="3">
        <f t="shared" ca="1" si="114"/>
        <v>0.24931438544003989</v>
      </c>
      <c r="CM93" s="3">
        <f t="shared" ca="1" si="115"/>
        <v>0.49800796812749004</v>
      </c>
      <c r="CN93" s="3">
        <f t="shared" ca="1" si="116"/>
        <v>0</v>
      </c>
      <c r="CO93" s="3">
        <f t="shared" ca="1" si="117"/>
        <v>0</v>
      </c>
      <c r="CP93" s="3">
        <f t="shared" ca="1" si="118"/>
        <v>0.49862877088007979</v>
      </c>
      <c r="CR93" s="3">
        <v>4.999999888241291E-3</v>
      </c>
      <c r="CS93" s="3">
        <v>4.016</v>
      </c>
      <c r="CT93" s="3">
        <v>4.0309999999999997</v>
      </c>
      <c r="CU93" s="3">
        <v>1.2000000104308128E-2</v>
      </c>
      <c r="CV93" s="21">
        <f t="shared" ca="1" si="120"/>
        <v>1.2000000104308128E-2</v>
      </c>
      <c r="CW93" s="16">
        <f t="shared" ca="1" si="119"/>
        <v>12</v>
      </c>
    </row>
    <row r="94" spans="1:101" s="3" customFormat="1" x14ac:dyDescent="0.35">
      <c r="A94" s="2" t="s">
        <v>50</v>
      </c>
      <c r="B94" s="2">
        <v>12.083333333333334</v>
      </c>
      <c r="C94" s="2" t="s">
        <v>168</v>
      </c>
      <c r="D94" s="2" t="s">
        <v>403</v>
      </c>
      <c r="F94" s="3">
        <v>4.0090000000000003</v>
      </c>
      <c r="G94" s="3">
        <v>4.0599999999999996</v>
      </c>
      <c r="H94" s="3">
        <v>4.0469999999999997</v>
      </c>
      <c r="I94" s="3" t="e">
        <v>#N/A</v>
      </c>
      <c r="K94" s="3">
        <f t="shared" ca="1" si="80"/>
        <v>0.99750561237216262</v>
      </c>
      <c r="L94" s="3">
        <f t="shared" ca="1" si="80"/>
        <v>0.99729064039408866</v>
      </c>
      <c r="M94" s="3">
        <f t="shared" ca="1" si="80"/>
        <v>0.99654064739313064</v>
      </c>
      <c r="N94" s="3" t="e">
        <f t="shared" ca="1" si="80"/>
        <v>#N/A</v>
      </c>
      <c r="P94" s="3">
        <f t="shared" ca="1" si="81"/>
        <v>0.94337731492481458</v>
      </c>
      <c r="Q94" s="3">
        <f t="shared" ca="1" si="81"/>
        <v>0.90714291327637564</v>
      </c>
      <c r="R94" s="3">
        <f t="shared" ca="1" si="81"/>
        <v>0.31727213667503606</v>
      </c>
      <c r="S94" s="3" t="e">
        <f t="shared" ca="1" si="81"/>
        <v>#N/A</v>
      </c>
      <c r="U94" s="3">
        <f t="shared" ca="1" si="82"/>
        <v>1.4966325767024193</v>
      </c>
      <c r="V94" s="3">
        <f t="shared" ca="1" si="82"/>
        <v>1.4778325123152711</v>
      </c>
      <c r="W94" s="3">
        <f t="shared" ca="1" si="82"/>
        <v>1.7296763034346432</v>
      </c>
      <c r="X94" s="3" t="e">
        <f t="shared" ca="1" si="82"/>
        <v>#N/A</v>
      </c>
      <c r="Z94" s="3">
        <f t="shared" ca="1" si="83"/>
        <v>0.99750561237216262</v>
      </c>
      <c r="AA94" s="3">
        <f t="shared" ca="1" si="83"/>
        <v>0.99729064039408866</v>
      </c>
      <c r="AB94" s="3">
        <f t="shared" ca="1" si="83"/>
        <v>0.78626142821843359</v>
      </c>
      <c r="AC94" s="3" t="e">
        <f t="shared" ca="1" si="83"/>
        <v>#N/A</v>
      </c>
      <c r="AE94" s="3">
        <f t="shared" ca="1" si="84"/>
        <v>0.94337731492481458</v>
      </c>
      <c r="AF94" s="3">
        <f t="shared" ca="1" si="84"/>
        <v>0.90714291327637564</v>
      </c>
      <c r="AG94" s="3">
        <f t="shared" ca="1" si="84"/>
        <v>0.22238702104802718</v>
      </c>
      <c r="AH94" s="3" t="e">
        <f t="shared" ca="1" si="84"/>
        <v>#N/A</v>
      </c>
      <c r="AJ94" s="3">
        <f t="shared" ca="1" si="85"/>
        <v>1.4966325767024193</v>
      </c>
      <c r="AK94" s="3">
        <f t="shared" ca="1" si="85"/>
        <v>1.4778325123152711</v>
      </c>
      <c r="AL94" s="3">
        <f t="shared" ca="1" si="85"/>
        <v>1.2354830738818878</v>
      </c>
      <c r="AM94" s="3" t="e">
        <f t="shared" ca="1" si="85"/>
        <v>#N/A</v>
      </c>
      <c r="AO94" s="3">
        <f t="shared" ca="1" si="86"/>
        <v>0.24943876278373658</v>
      </c>
      <c r="AP94" s="3">
        <f t="shared" ca="1" si="86"/>
        <v>0.24630541871921185</v>
      </c>
      <c r="AQ94" s="3">
        <f t="shared" ca="1" si="86"/>
        <v>0.7412898443291327</v>
      </c>
      <c r="AR94" s="3" t="e">
        <f t="shared" ca="1" si="86"/>
        <v>#N/A</v>
      </c>
      <c r="AT94" s="3">
        <v>4.0000001899898052E-3</v>
      </c>
      <c r="AU94" s="3">
        <v>3.0000000260770321E-3</v>
      </c>
      <c r="AV94" s="3">
        <v>7.2999998927116394E-2</v>
      </c>
      <c r="AW94" s="11" t="e">
        <v>#N/A</v>
      </c>
      <c r="AY94" s="3">
        <f t="shared" ca="1" si="87"/>
        <v>0.3325018707907208</v>
      </c>
      <c r="AZ94" s="3">
        <f t="shared" ca="1" si="88"/>
        <v>0.27068965517241389</v>
      </c>
      <c r="BA94" s="3">
        <f t="shared" ca="1" si="89"/>
        <v>0.24734371139115405</v>
      </c>
      <c r="BB94" s="3" t="e">
        <f t="shared" ca="1" si="90"/>
        <v>#N/A</v>
      </c>
      <c r="BD94" s="3">
        <f t="shared" ca="1" si="91"/>
        <v>9.553502045477022E-2</v>
      </c>
      <c r="BE94" s="3">
        <f t="shared" ca="1" si="92"/>
        <v>0.27906404340208463</v>
      </c>
      <c r="BF94" s="3">
        <f t="shared" ca="1" si="93"/>
        <v>0.1522115875180044</v>
      </c>
      <c r="BG94" s="3" t="e">
        <f t="shared" ca="1" si="94"/>
        <v>#N/A</v>
      </c>
      <c r="BI94" s="3">
        <f t="shared" ca="1" si="95"/>
        <v>0.24943876278373658</v>
      </c>
      <c r="BJ94" s="3">
        <f t="shared" ca="1" si="96"/>
        <v>0.49261083743842371</v>
      </c>
      <c r="BK94" s="3">
        <f t="shared" ca="1" si="97"/>
        <v>0.7412898443291327</v>
      </c>
      <c r="BL94" s="3" t="e">
        <f t="shared" ca="1" si="98"/>
        <v>#N/A</v>
      </c>
      <c r="BN94" s="3">
        <f t="shared" ca="1" si="99"/>
        <v>0.99775505113494634</v>
      </c>
      <c r="BO94" s="3">
        <f t="shared" ca="1" si="100"/>
        <v>0.98522167487684742</v>
      </c>
      <c r="BP94" s="3">
        <f t="shared" ca="1" si="101"/>
        <v>4.4477390659747966</v>
      </c>
      <c r="BQ94" s="3" t="e">
        <f t="shared" ca="1" si="102"/>
        <v>#N/A</v>
      </c>
      <c r="BS94" s="3">
        <v>1.7369999885559082</v>
      </c>
      <c r="BT94" s="3">
        <v>1.5859999656677246</v>
      </c>
      <c r="BU94" s="3">
        <v>0.8059999942779541</v>
      </c>
      <c r="BV94" s="11" t="e">
        <v>#N/A</v>
      </c>
      <c r="BX94" s="3">
        <f t="shared" ca="1" si="103"/>
        <v>0</v>
      </c>
      <c r="BY94" s="3">
        <f t="shared" ca="1" si="104"/>
        <v>0</v>
      </c>
      <c r="BZ94" s="3">
        <f t="shared" ca="1" si="105"/>
        <v>0</v>
      </c>
      <c r="CA94" s="3" t="e">
        <f t="shared" ca="1" si="106"/>
        <v>#N/A</v>
      </c>
      <c r="CC94" s="3">
        <f t="shared" ca="1" si="107"/>
        <v>0</v>
      </c>
      <c r="CD94" s="3">
        <f t="shared" ca="1" si="108"/>
        <v>0</v>
      </c>
      <c r="CE94" s="3">
        <f t="shared" ca="1" si="109"/>
        <v>0</v>
      </c>
      <c r="CF94" s="3" t="e">
        <f t="shared" ca="1" si="110"/>
        <v>#N/A</v>
      </c>
      <c r="CH94" s="3">
        <f t="shared" ca="1" si="111"/>
        <v>0</v>
      </c>
      <c r="CI94" s="3">
        <f t="shared" ca="1" si="112"/>
        <v>0</v>
      </c>
      <c r="CJ94" s="3">
        <f t="shared" ca="1" si="113"/>
        <v>0</v>
      </c>
      <c r="CK94" s="3" t="e">
        <f t="shared" ca="1" si="114"/>
        <v>#N/A</v>
      </c>
      <c r="CM94" s="3">
        <f t="shared" ca="1" si="115"/>
        <v>0</v>
      </c>
      <c r="CN94" s="3">
        <f t="shared" ca="1" si="116"/>
        <v>0</v>
      </c>
      <c r="CO94" s="3">
        <f t="shared" ca="1" si="117"/>
        <v>0</v>
      </c>
      <c r="CP94" s="3" t="e">
        <f t="shared" ca="1" si="118"/>
        <v>#N/A</v>
      </c>
      <c r="CR94" s="3">
        <v>4.0090000000000003</v>
      </c>
      <c r="CS94" s="3">
        <v>4.0599999999999996</v>
      </c>
      <c r="CT94" s="3">
        <v>4.0469999999999997</v>
      </c>
      <c r="CU94" s="11" t="e">
        <v>#N/A</v>
      </c>
      <c r="CV94" s="21" t="e">
        <f t="shared" ca="1" si="120"/>
        <v>#N/A</v>
      </c>
      <c r="CW94" s="16">
        <f t="shared" ca="1" si="119"/>
        <v>12.083333333333334</v>
      </c>
    </row>
    <row r="95" spans="1:101" s="3" customFormat="1" x14ac:dyDescent="0.35">
      <c r="A95" s="2" t="s">
        <v>11</v>
      </c>
      <c r="B95" s="2">
        <v>12.25</v>
      </c>
      <c r="C95" s="2" t="s">
        <v>167</v>
      </c>
      <c r="D95" s="2" t="s">
        <v>403</v>
      </c>
      <c r="F95" s="3">
        <v>4.032</v>
      </c>
      <c r="G95" s="3">
        <v>4.016</v>
      </c>
      <c r="H95" s="3">
        <v>4.016</v>
      </c>
      <c r="I95" s="3">
        <v>4.016</v>
      </c>
      <c r="K95" s="3">
        <f t="shared" ca="1" si="80"/>
        <v>0.99603174603174605</v>
      </c>
      <c r="L95" s="3">
        <f t="shared" ca="1" si="80"/>
        <v>0.99576693227091639</v>
      </c>
      <c r="M95" s="3">
        <f t="shared" ca="1" si="80"/>
        <v>0.99576693227091628</v>
      </c>
      <c r="N95" s="3">
        <f t="shared" ca="1" si="80"/>
        <v>0.99576693227091628</v>
      </c>
      <c r="P95" s="3">
        <f t="shared" ca="1" si="81"/>
        <v>0.94618059376934693</v>
      </c>
      <c r="Q95" s="3">
        <f t="shared" ca="1" si="81"/>
        <v>0.94596601225944987</v>
      </c>
      <c r="R95" s="3">
        <f t="shared" ca="1" si="81"/>
        <v>0.95866532011636607</v>
      </c>
      <c r="S95" s="3">
        <f t="shared" ca="1" si="81"/>
        <v>0.9748506314766805</v>
      </c>
      <c r="U95" s="3">
        <f t="shared" ca="1" si="82"/>
        <v>1.9841269841269842</v>
      </c>
      <c r="V95" s="3">
        <f t="shared" ca="1" si="82"/>
        <v>3.237051792828685</v>
      </c>
      <c r="W95" s="3">
        <f t="shared" ca="1" si="82"/>
        <v>2.4900398406374502</v>
      </c>
      <c r="X95" s="3">
        <f t="shared" ca="1" si="82"/>
        <v>1.4940239043824701</v>
      </c>
      <c r="Z95" s="3">
        <f t="shared" ca="1" si="83"/>
        <v>0.99603174603174605</v>
      </c>
      <c r="AA95" s="3">
        <f t="shared" ca="1" si="83"/>
        <v>0.99576693227091639</v>
      </c>
      <c r="AB95" s="3">
        <f t="shared" ca="1" si="83"/>
        <v>0.99576693227091628</v>
      </c>
      <c r="AC95" s="3">
        <f t="shared" ca="1" si="83"/>
        <v>0.99576693227091628</v>
      </c>
      <c r="AE95" s="3">
        <f t="shared" ca="1" si="84"/>
        <v>0.94618059376934693</v>
      </c>
      <c r="AF95" s="3">
        <f t="shared" ca="1" si="84"/>
        <v>0.94596601225944987</v>
      </c>
      <c r="AG95" s="3">
        <f t="shared" ca="1" si="84"/>
        <v>0.95866532011636607</v>
      </c>
      <c r="AH95" s="3">
        <f t="shared" ca="1" si="84"/>
        <v>0.9748506314766805</v>
      </c>
      <c r="AJ95" s="3">
        <f t="shared" ca="1" si="85"/>
        <v>1.9841269841269842</v>
      </c>
      <c r="AK95" s="3">
        <f t="shared" ca="1" si="85"/>
        <v>3.237051792828685</v>
      </c>
      <c r="AL95" s="3">
        <f t="shared" ca="1" si="85"/>
        <v>2.4900398406374502</v>
      </c>
      <c r="AM95" s="3">
        <f t="shared" ca="1" si="85"/>
        <v>1.4940239043824701</v>
      </c>
      <c r="AO95" s="3">
        <f t="shared" ca="1" si="86"/>
        <v>0.24801587301587302</v>
      </c>
      <c r="AP95" s="3">
        <f t="shared" ca="1" si="86"/>
        <v>0.24900398406374502</v>
      </c>
      <c r="AQ95" s="3">
        <f t="shared" ca="1" si="86"/>
        <v>0.24900398406374502</v>
      </c>
      <c r="AR95" s="3">
        <f t="shared" ca="1" si="86"/>
        <v>0.24900398406374502</v>
      </c>
      <c r="AT95" s="3">
        <v>1.0999999940395355E-2</v>
      </c>
      <c r="AU95" s="3">
        <v>1.0000000474974513E-3</v>
      </c>
      <c r="AV95" s="3">
        <v>3.0000000260770321E-3</v>
      </c>
      <c r="AW95" s="3">
        <v>4.999999888241291E-3</v>
      </c>
      <c r="AY95" s="3">
        <f t="shared" ca="1" si="87"/>
        <v>0.39260912698412692</v>
      </c>
      <c r="AZ95" s="3">
        <f t="shared" ca="1" si="88"/>
        <v>0.30702191235059761</v>
      </c>
      <c r="BA95" s="3">
        <f t="shared" ca="1" si="89"/>
        <v>0.53137450199203196</v>
      </c>
      <c r="BB95" s="3">
        <f t="shared" ca="1" si="90"/>
        <v>0.3070219123505975</v>
      </c>
      <c r="BD95" s="3">
        <f t="shared" ca="1" si="91"/>
        <v>0.40476189719306099</v>
      </c>
      <c r="BE95" s="3">
        <f t="shared" ca="1" si="92"/>
        <v>0.31947205028685915</v>
      </c>
      <c r="BF95" s="3">
        <f t="shared" ca="1" si="93"/>
        <v>0.54382468052894861</v>
      </c>
      <c r="BG95" s="3">
        <f t="shared" ca="1" si="94"/>
        <v>0.3027888645688851</v>
      </c>
      <c r="BI95" s="3">
        <f t="shared" ca="1" si="95"/>
        <v>0.99206349206349209</v>
      </c>
      <c r="BJ95" s="3">
        <f t="shared" ca="1" si="96"/>
        <v>0.99601593625498008</v>
      </c>
      <c r="BK95" s="3">
        <f t="shared" ca="1" si="97"/>
        <v>1.2450199203187251</v>
      </c>
      <c r="BL95" s="3">
        <f t="shared" ca="1" si="98"/>
        <v>0.74701195219123506</v>
      </c>
      <c r="BN95" s="3">
        <f t="shared" ca="1" si="99"/>
        <v>0.99206349206349209</v>
      </c>
      <c r="BO95" s="3">
        <f t="shared" ca="1" si="100"/>
        <v>0.99601593625498008</v>
      </c>
      <c r="BP95" s="3">
        <f t="shared" ca="1" si="101"/>
        <v>0.74701195219123506</v>
      </c>
      <c r="BQ95" s="3">
        <f t="shared" ca="1" si="102"/>
        <v>1.2450199203187251</v>
      </c>
      <c r="BS95" s="3">
        <v>1.0110000371932983</v>
      </c>
      <c r="BT95" s="3">
        <v>0.43500000238418579</v>
      </c>
      <c r="BU95" s="3">
        <v>3.0000000260770321E-3</v>
      </c>
      <c r="BV95" s="3">
        <v>0.3880000114440918</v>
      </c>
      <c r="BX95" s="3">
        <f t="shared" ca="1" si="103"/>
        <v>0</v>
      </c>
      <c r="BY95" s="3">
        <f t="shared" ca="1" si="104"/>
        <v>8.690239043824706E-2</v>
      </c>
      <c r="BZ95" s="3">
        <f t="shared" ca="1" si="105"/>
        <v>0</v>
      </c>
      <c r="CA95" s="3">
        <f t="shared" ca="1" si="106"/>
        <v>0</v>
      </c>
      <c r="CC95" s="3">
        <f t="shared" ca="1" si="107"/>
        <v>0</v>
      </c>
      <c r="CD95" s="3">
        <f t="shared" ca="1" si="108"/>
        <v>9.5368500249794277E-2</v>
      </c>
      <c r="CE95" s="3">
        <f t="shared" ca="1" si="109"/>
        <v>0</v>
      </c>
      <c r="CF95" s="3">
        <f t="shared" ca="1" si="110"/>
        <v>0</v>
      </c>
      <c r="CH95" s="3">
        <f t="shared" ca="1" si="111"/>
        <v>0</v>
      </c>
      <c r="CI95" s="3">
        <f t="shared" ca="1" si="112"/>
        <v>0.24900398406374502</v>
      </c>
      <c r="CJ95" s="3">
        <f t="shared" ca="1" si="113"/>
        <v>0</v>
      </c>
      <c r="CK95" s="3">
        <f t="shared" ca="1" si="114"/>
        <v>0</v>
      </c>
      <c r="CM95" s="3">
        <f t="shared" ca="1" si="115"/>
        <v>0</v>
      </c>
      <c r="CN95" s="3">
        <f t="shared" ca="1" si="116"/>
        <v>0.24900398406374502</v>
      </c>
      <c r="CO95" s="3">
        <f t="shared" ca="1" si="117"/>
        <v>0</v>
      </c>
      <c r="CP95" s="3">
        <f t="shared" ca="1" si="118"/>
        <v>0</v>
      </c>
      <c r="CR95" s="3">
        <v>4.032</v>
      </c>
      <c r="CS95" s="3">
        <v>2.8840000629425049</v>
      </c>
      <c r="CT95" s="3">
        <v>4.016</v>
      </c>
      <c r="CU95" s="3">
        <v>4.016</v>
      </c>
      <c r="CV95" s="21">
        <f t="shared" ca="1" si="120"/>
        <v>4.016</v>
      </c>
      <c r="CW95" s="16">
        <f t="shared" ca="1" si="119"/>
        <v>12.25</v>
      </c>
    </row>
    <row r="96" spans="1:101" s="3" customFormat="1" x14ac:dyDescent="0.35">
      <c r="A96" s="2" t="s">
        <v>60</v>
      </c>
      <c r="B96" s="2">
        <v>13</v>
      </c>
      <c r="C96" s="2" t="s">
        <v>167</v>
      </c>
      <c r="D96" s="2" t="s">
        <v>403</v>
      </c>
      <c r="F96" s="3">
        <v>4.0110000000000001</v>
      </c>
      <c r="G96" s="3">
        <v>4.01</v>
      </c>
      <c r="H96" s="3">
        <v>4.01</v>
      </c>
      <c r="I96" s="3">
        <v>4.01</v>
      </c>
      <c r="K96" s="3">
        <f t="shared" ca="1" si="80"/>
        <v>0.99700822737471961</v>
      </c>
      <c r="L96" s="3">
        <f t="shared" ca="1" si="80"/>
        <v>0.99725685785536178</v>
      </c>
      <c r="M96" s="3">
        <f t="shared" ca="1" si="80"/>
        <v>0.99301745635910232</v>
      </c>
      <c r="N96" s="3">
        <f t="shared" ca="1" si="80"/>
        <v>0.99725685785536178</v>
      </c>
      <c r="P96" s="3">
        <f t="shared" ca="1" si="81"/>
        <v>0.97157809455193833</v>
      </c>
      <c r="Q96" s="3">
        <f t="shared" ca="1" si="81"/>
        <v>0.92194498542166714</v>
      </c>
      <c r="R96" s="3">
        <f t="shared" ca="1" si="81"/>
        <v>0.95137157094225921</v>
      </c>
      <c r="S96" s="3">
        <f t="shared" ca="1" si="81"/>
        <v>0.93915215106982919</v>
      </c>
      <c r="U96" s="3">
        <f t="shared" ca="1" si="82"/>
        <v>1.7452006980802792</v>
      </c>
      <c r="V96" s="3">
        <f t="shared" ca="1" si="82"/>
        <v>3.7406483790523692</v>
      </c>
      <c r="W96" s="3">
        <f t="shared" ca="1" si="82"/>
        <v>2.7431421446384041</v>
      </c>
      <c r="X96" s="3">
        <f t="shared" ca="1" si="82"/>
        <v>1.4962593516209477</v>
      </c>
      <c r="Z96" s="3">
        <f t="shared" ca="1" si="83"/>
        <v>0.99700822737471961</v>
      </c>
      <c r="AA96" s="3">
        <f t="shared" ca="1" si="83"/>
        <v>0.99725685785536178</v>
      </c>
      <c r="AB96" s="3">
        <f t="shared" ca="1" si="83"/>
        <v>0.99301745635910232</v>
      </c>
      <c r="AC96" s="3">
        <f t="shared" ca="1" si="83"/>
        <v>0.99725685785536178</v>
      </c>
      <c r="AE96" s="3">
        <f t="shared" ca="1" si="84"/>
        <v>0.97157809455193833</v>
      </c>
      <c r="AF96" s="3">
        <f t="shared" ca="1" si="84"/>
        <v>0.92194498542166714</v>
      </c>
      <c r="AG96" s="3">
        <f t="shared" ca="1" si="84"/>
        <v>0.95137157094225921</v>
      </c>
      <c r="AH96" s="3">
        <f t="shared" ca="1" si="84"/>
        <v>0.93915215106982919</v>
      </c>
      <c r="AJ96" s="3">
        <f t="shared" ca="1" si="85"/>
        <v>1.7452006980802792</v>
      </c>
      <c r="AK96" s="3">
        <f t="shared" ca="1" si="85"/>
        <v>3.7406483790523692</v>
      </c>
      <c r="AL96" s="3">
        <f t="shared" ca="1" si="85"/>
        <v>2.7431421446384041</v>
      </c>
      <c r="AM96" s="3">
        <f t="shared" ca="1" si="85"/>
        <v>1.4962593516209477</v>
      </c>
      <c r="AO96" s="3">
        <f t="shared" ca="1" si="86"/>
        <v>0.24931438544003989</v>
      </c>
      <c r="AP96" s="3">
        <f t="shared" ca="1" si="86"/>
        <v>0.24937655860349128</v>
      </c>
      <c r="AQ96" s="3">
        <f t="shared" ca="1" si="86"/>
        <v>0.24937655860349128</v>
      </c>
      <c r="AR96" s="3">
        <f t="shared" ca="1" si="86"/>
        <v>0.24937655860349128</v>
      </c>
      <c r="AT96" s="3">
        <v>9.9999997764825821E-3</v>
      </c>
      <c r="AU96" s="3">
        <v>9.9999997764825821E-3</v>
      </c>
      <c r="AV96" s="3">
        <v>1.6000000759959221E-2</v>
      </c>
      <c r="AW96" s="3">
        <v>2.0000000949949026E-3</v>
      </c>
      <c r="AY96" s="3">
        <f t="shared" ca="1" si="87"/>
        <v>0.45724258289703312</v>
      </c>
      <c r="AZ96" s="3">
        <f t="shared" ca="1" si="88"/>
        <v>5.41147132169576E-2</v>
      </c>
      <c r="BA96" s="3">
        <f t="shared" ca="1" si="89"/>
        <v>0.44862842892768084</v>
      </c>
      <c r="BB96" s="3">
        <f t="shared" ca="1" si="90"/>
        <v>0.28678304239401503</v>
      </c>
      <c r="BD96" s="3">
        <f t="shared" ca="1" si="91"/>
        <v>0.38618798922850467</v>
      </c>
      <c r="BE96" s="3">
        <f t="shared" ca="1" si="92"/>
        <v>6.6334135514542356E-2</v>
      </c>
      <c r="BF96" s="3">
        <f t="shared" ca="1" si="93"/>
        <v>0.39476314536353896</v>
      </c>
      <c r="BG96" s="3">
        <f t="shared" ca="1" si="94"/>
        <v>0.24114713407216823</v>
      </c>
      <c r="BI96" s="3">
        <f t="shared" ca="1" si="95"/>
        <v>0.74794315632011965</v>
      </c>
      <c r="BJ96" s="3">
        <f t="shared" ca="1" si="96"/>
        <v>0.49875311720698257</v>
      </c>
      <c r="BK96" s="3">
        <f t="shared" ca="1" si="97"/>
        <v>1.2468827930174564</v>
      </c>
      <c r="BL96" s="3">
        <f t="shared" ca="1" si="98"/>
        <v>0.74812967581047385</v>
      </c>
      <c r="BN96" s="3">
        <f t="shared" ca="1" si="99"/>
        <v>0.99725754176015957</v>
      </c>
      <c r="BO96" s="3">
        <f t="shared" ca="1" si="100"/>
        <v>0.74812967581047385</v>
      </c>
      <c r="BP96" s="3">
        <f t="shared" ca="1" si="101"/>
        <v>0.49875311720698257</v>
      </c>
      <c r="BQ96" s="3">
        <f t="shared" ca="1" si="102"/>
        <v>0.49875311720698257</v>
      </c>
      <c r="BS96" s="3">
        <v>0.34299999475479126</v>
      </c>
      <c r="BT96" s="3">
        <v>0.31000000238418579</v>
      </c>
      <c r="BU96" s="3">
        <v>0.43299999833106995</v>
      </c>
      <c r="BV96" s="3">
        <v>2.5510001182556152</v>
      </c>
      <c r="BX96" s="3">
        <f t="shared" ca="1" si="103"/>
        <v>0.13712291199202201</v>
      </c>
      <c r="BY96" s="3">
        <f t="shared" ca="1" si="104"/>
        <v>0.14538653366583545</v>
      </c>
      <c r="BZ96" s="3">
        <f t="shared" ca="1" si="105"/>
        <v>0</v>
      </c>
      <c r="CA96" s="3">
        <f t="shared" ca="1" si="106"/>
        <v>0</v>
      </c>
      <c r="CC96" s="3">
        <f t="shared" ca="1" si="107"/>
        <v>0.13712284066260411</v>
      </c>
      <c r="CD96" s="3">
        <f t="shared" ca="1" si="108"/>
        <v>0.18279299771696553</v>
      </c>
      <c r="CE96" s="3">
        <f t="shared" ca="1" si="109"/>
        <v>0</v>
      </c>
      <c r="CF96" s="3">
        <f t="shared" ca="1" si="110"/>
        <v>0</v>
      </c>
      <c r="CH96" s="3">
        <f t="shared" ca="1" si="111"/>
        <v>0.24931438544003989</v>
      </c>
      <c r="CI96" s="3">
        <f t="shared" ca="1" si="112"/>
        <v>0.24937655860349128</v>
      </c>
      <c r="CJ96" s="3">
        <f t="shared" ca="1" si="113"/>
        <v>0</v>
      </c>
      <c r="CK96" s="3">
        <f t="shared" ca="1" si="114"/>
        <v>0</v>
      </c>
      <c r="CM96" s="3">
        <f t="shared" ca="1" si="115"/>
        <v>0.24931438544003989</v>
      </c>
      <c r="CN96" s="3">
        <f t="shared" ca="1" si="116"/>
        <v>0.24937655860349128</v>
      </c>
      <c r="CO96" s="3">
        <f t="shared" ca="1" si="117"/>
        <v>0</v>
      </c>
      <c r="CP96" s="3">
        <f t="shared" ca="1" si="118"/>
        <v>0</v>
      </c>
      <c r="CR96" s="3">
        <v>3.4590001106262207</v>
      </c>
      <c r="CS96" s="3">
        <v>1.9259999990463257</v>
      </c>
      <c r="CT96" s="3">
        <v>4.01</v>
      </c>
      <c r="CU96" s="3">
        <v>4.01</v>
      </c>
      <c r="CV96" s="21">
        <f t="shared" ca="1" si="120"/>
        <v>4.01</v>
      </c>
      <c r="CW96" s="16">
        <f t="shared" ca="1" si="119"/>
        <v>13</v>
      </c>
    </row>
    <row r="97" spans="1:101" s="5" customFormat="1" x14ac:dyDescent="0.35">
      <c r="A97" s="4" t="s">
        <v>104</v>
      </c>
      <c r="B97" s="4">
        <v>2.6666666666666665</v>
      </c>
      <c r="C97" s="4" t="s">
        <v>167</v>
      </c>
      <c r="D97" s="4" t="s">
        <v>404</v>
      </c>
      <c r="E97" s="3"/>
      <c r="F97" s="5">
        <v>4.01</v>
      </c>
      <c r="G97" s="5">
        <v>4.016</v>
      </c>
      <c r="H97" s="5">
        <v>4.0149999999999997</v>
      </c>
      <c r="I97" s="5">
        <v>4.016</v>
      </c>
      <c r="K97" s="3">
        <f t="shared" ca="1" si="80"/>
        <v>0.99725685785536167</v>
      </c>
      <c r="L97" s="3">
        <f t="shared" ca="1" si="80"/>
        <v>0.9957669322709165</v>
      </c>
      <c r="M97" s="3">
        <f t="shared" ca="1" si="80"/>
        <v>0.99178082191780836</v>
      </c>
      <c r="N97" s="3">
        <f t="shared" ca="1" si="80"/>
        <v>0.99576693227091639</v>
      </c>
      <c r="P97" s="3">
        <f t="shared" ca="1" si="81"/>
        <v>0.86034907520449078</v>
      </c>
      <c r="Q97" s="3">
        <f t="shared" ca="1" si="81"/>
        <v>0.86678286363413382</v>
      </c>
      <c r="R97" s="3">
        <f t="shared" ca="1" si="81"/>
        <v>0.93823162047830355</v>
      </c>
      <c r="S97" s="3">
        <f t="shared" ca="1" si="81"/>
        <v>0.84213144400999307</v>
      </c>
      <c r="U97" s="3">
        <f t="shared" ca="1" si="82"/>
        <v>1.745635910224439</v>
      </c>
      <c r="V97" s="3">
        <f t="shared" ca="1" si="82"/>
        <v>2.4900398406374502</v>
      </c>
      <c r="W97" s="3">
        <f t="shared" ca="1" si="82"/>
        <v>2.7397260273972606</v>
      </c>
      <c r="X97" s="3">
        <f t="shared" ca="1" si="82"/>
        <v>2.4900398406374502</v>
      </c>
      <c r="Z97" s="3">
        <f t="shared" ca="1" si="83"/>
        <v>0.88528678304239417</v>
      </c>
      <c r="AA97" s="3">
        <f t="shared" ca="1" si="83"/>
        <v>0.9957669322709165</v>
      </c>
      <c r="AB97" s="3">
        <f t="shared" ca="1" si="83"/>
        <v>0.99178082191780836</v>
      </c>
      <c r="AC97" s="3">
        <f t="shared" ca="1" si="83"/>
        <v>0.99576693227091639</v>
      </c>
      <c r="AE97" s="3">
        <f t="shared" ca="1" si="84"/>
        <v>0.86034907520449078</v>
      </c>
      <c r="AF97" s="3">
        <f t="shared" ca="1" si="84"/>
        <v>0.86678286363413382</v>
      </c>
      <c r="AG97" s="3">
        <f t="shared" ca="1" si="84"/>
        <v>0.93823162047830355</v>
      </c>
      <c r="AH97" s="3">
        <f t="shared" ca="1" si="84"/>
        <v>0.84213144400999307</v>
      </c>
      <c r="AJ97" s="3">
        <f t="shared" ca="1" si="85"/>
        <v>1.745635910224439</v>
      </c>
      <c r="AK97" s="3">
        <f t="shared" ca="1" si="85"/>
        <v>2.4900398406374502</v>
      </c>
      <c r="AL97" s="3">
        <f t="shared" ca="1" si="85"/>
        <v>2.7397260273972606</v>
      </c>
      <c r="AM97" s="3">
        <f t="shared" ca="1" si="85"/>
        <v>2.4900398406374502</v>
      </c>
      <c r="AO97" s="3">
        <f t="shared" ca="1" si="86"/>
        <v>0.74812967581047385</v>
      </c>
      <c r="AP97" s="3">
        <f t="shared" ca="1" si="86"/>
        <v>0.24900398406374502</v>
      </c>
      <c r="AQ97" s="3">
        <f t="shared" ca="1" si="86"/>
        <v>0.24906600249066005</v>
      </c>
      <c r="AR97" s="3">
        <f t="shared" ca="1" si="86"/>
        <v>0.24900398406374502</v>
      </c>
      <c r="AT97" s="5">
        <v>6.0000000521540642E-3</v>
      </c>
      <c r="AU97" s="5">
        <v>2.0000000949949026E-3</v>
      </c>
      <c r="AV97" s="5">
        <v>4.8999998718500137E-2</v>
      </c>
      <c r="AW97" s="5">
        <v>7.0000002160668373E-3</v>
      </c>
      <c r="AY97" s="3">
        <f t="shared" ca="1" si="87"/>
        <v>0.47381546134663344</v>
      </c>
      <c r="AZ97" s="3">
        <f t="shared" ca="1" si="88"/>
        <v>0.4272908366533863</v>
      </c>
      <c r="BA97" s="3">
        <f t="shared" ca="1" si="89"/>
        <v>0.80498132004981338</v>
      </c>
      <c r="BB97" s="3">
        <f t="shared" ca="1" si="90"/>
        <v>0.39840637450199207</v>
      </c>
      <c r="BD97" s="3">
        <f t="shared" ca="1" si="91"/>
        <v>0.51920201415730238</v>
      </c>
      <c r="BE97" s="3">
        <f t="shared" ca="1" si="92"/>
        <v>0.53087650126669983</v>
      </c>
      <c r="BF97" s="3">
        <f t="shared" ca="1" si="93"/>
        <v>0.85504357871201686</v>
      </c>
      <c r="BG97" s="3">
        <f t="shared" ca="1" si="94"/>
        <v>0.34860555691073142</v>
      </c>
      <c r="BI97" s="3">
        <f t="shared" ca="1" si="95"/>
        <v>0.74812967581047385</v>
      </c>
      <c r="BJ97" s="3">
        <f t="shared" ca="1" si="96"/>
        <v>1.2450199203187251</v>
      </c>
      <c r="BK97" s="3">
        <f t="shared" ca="1" si="97"/>
        <v>2.4906600249066004</v>
      </c>
      <c r="BL97" s="3">
        <f t="shared" ca="1" si="98"/>
        <v>0.74701195219123506</v>
      </c>
      <c r="BN97" s="3">
        <f t="shared" ca="1" si="99"/>
        <v>0.74812967581047385</v>
      </c>
      <c r="BO97" s="3">
        <f t="shared" ca="1" si="100"/>
        <v>1.2450199203187251</v>
      </c>
      <c r="BP97" s="3">
        <f t="shared" ca="1" si="101"/>
        <v>0.9962640099626402</v>
      </c>
      <c r="BQ97" s="3">
        <f t="shared" ca="1" si="102"/>
        <v>0.99601593625498008</v>
      </c>
      <c r="BS97" s="5">
        <v>0.53899997472763062</v>
      </c>
      <c r="BT97" s="5">
        <v>0.5350000262260437</v>
      </c>
      <c r="BU97" s="5">
        <v>0.39899998903274536</v>
      </c>
      <c r="BV97" s="5">
        <v>0.68999999761581421</v>
      </c>
      <c r="BX97" s="3">
        <f t="shared" ca="1" si="103"/>
        <v>0</v>
      </c>
      <c r="BY97" s="3">
        <f t="shared" ca="1" si="104"/>
        <v>5.8017928286852614E-2</v>
      </c>
      <c r="BZ97" s="3">
        <f t="shared" ca="1" si="105"/>
        <v>0</v>
      </c>
      <c r="CA97" s="3">
        <f t="shared" ca="1" si="106"/>
        <v>0</v>
      </c>
      <c r="CC97" s="3">
        <f t="shared" ca="1" si="107"/>
        <v>0</v>
      </c>
      <c r="CD97" s="3">
        <f t="shared" ca="1" si="108"/>
        <v>0</v>
      </c>
      <c r="CE97" s="3">
        <f t="shared" ca="1" si="109"/>
        <v>0</v>
      </c>
      <c r="CF97" s="3">
        <f t="shared" ca="1" si="110"/>
        <v>0</v>
      </c>
      <c r="CH97" s="3">
        <f t="shared" ca="1" si="111"/>
        <v>0</v>
      </c>
      <c r="CI97" s="3">
        <f t="shared" ca="1" si="112"/>
        <v>0</v>
      </c>
      <c r="CJ97" s="3">
        <f t="shared" ca="1" si="113"/>
        <v>0</v>
      </c>
      <c r="CK97" s="3">
        <f t="shared" ca="1" si="114"/>
        <v>0</v>
      </c>
      <c r="CM97" s="3">
        <f t="shared" ca="1" si="115"/>
        <v>0</v>
      </c>
      <c r="CN97" s="3">
        <f t="shared" ca="1" si="116"/>
        <v>0.24900398406374502</v>
      </c>
      <c r="CO97" s="3">
        <f t="shared" ca="1" si="117"/>
        <v>0.24906600249066005</v>
      </c>
      <c r="CP97" s="3">
        <f t="shared" ca="1" si="118"/>
        <v>0.49800796812749004</v>
      </c>
      <c r="CR97" s="5">
        <v>4.01</v>
      </c>
      <c r="CS97" s="5">
        <v>4.016</v>
      </c>
      <c r="CT97" s="5">
        <v>4.0149999999999997</v>
      </c>
      <c r="CU97" s="5">
        <v>4.016</v>
      </c>
      <c r="CV97" s="21">
        <f t="shared" ca="1" si="120"/>
        <v>4.016</v>
      </c>
      <c r="CW97" s="16">
        <f t="shared" ca="1" si="119"/>
        <v>2.6666666666666665</v>
      </c>
    </row>
    <row r="98" spans="1:101" s="5" customFormat="1" x14ac:dyDescent="0.35">
      <c r="A98" s="4" t="s">
        <v>103</v>
      </c>
      <c r="B98" s="4">
        <v>3.3333333333333335</v>
      </c>
      <c r="C98" s="4" t="s">
        <v>168</v>
      </c>
      <c r="D98" s="4" t="s">
        <v>404</v>
      </c>
      <c r="E98" s="3"/>
      <c r="F98" s="5" t="e">
        <v>#N/A</v>
      </c>
      <c r="G98" s="11" t="e">
        <v>#N/A</v>
      </c>
      <c r="H98" s="11" t="e">
        <v>#N/A</v>
      </c>
      <c r="I98" s="11" t="e">
        <v>#N/A</v>
      </c>
      <c r="K98" s="3" t="e">
        <f t="shared" ca="1" si="80"/>
        <v>#N/A</v>
      </c>
      <c r="L98" s="3" t="e">
        <f t="shared" ca="1" si="80"/>
        <v>#N/A</v>
      </c>
      <c r="M98" s="3" t="e">
        <f t="shared" ca="1" si="80"/>
        <v>#N/A</v>
      </c>
      <c r="N98" s="3" t="e">
        <f t="shared" ca="1" si="80"/>
        <v>#N/A</v>
      </c>
      <c r="P98" s="3" t="e">
        <f t="shared" ca="1" si="81"/>
        <v>#N/A</v>
      </c>
      <c r="Q98" s="3" t="e">
        <f t="shared" ca="1" si="81"/>
        <v>#N/A</v>
      </c>
      <c r="R98" s="3" t="e">
        <f t="shared" ca="1" si="81"/>
        <v>#N/A</v>
      </c>
      <c r="S98" s="3" t="e">
        <f t="shared" ca="1" si="81"/>
        <v>#N/A</v>
      </c>
      <c r="U98" s="3" t="e">
        <f t="shared" ca="1" si="82"/>
        <v>#N/A</v>
      </c>
      <c r="V98" s="3" t="e">
        <f t="shared" ca="1" si="82"/>
        <v>#N/A</v>
      </c>
      <c r="W98" s="3" t="e">
        <f t="shared" ca="1" si="82"/>
        <v>#N/A</v>
      </c>
      <c r="X98" s="3" t="e">
        <f t="shared" ca="1" si="82"/>
        <v>#N/A</v>
      </c>
      <c r="Z98" s="3" t="e">
        <f t="shared" ca="1" si="83"/>
        <v>#N/A</v>
      </c>
      <c r="AA98" s="3" t="e">
        <f t="shared" ca="1" si="83"/>
        <v>#N/A</v>
      </c>
      <c r="AB98" s="3" t="e">
        <f t="shared" ca="1" si="83"/>
        <v>#N/A</v>
      </c>
      <c r="AC98" s="3" t="e">
        <f t="shared" ca="1" si="83"/>
        <v>#N/A</v>
      </c>
      <c r="AE98" s="3" t="e">
        <f t="shared" ca="1" si="84"/>
        <v>#N/A</v>
      </c>
      <c r="AF98" s="3" t="e">
        <f t="shared" ca="1" si="84"/>
        <v>#N/A</v>
      </c>
      <c r="AG98" s="3" t="e">
        <f t="shared" ca="1" si="84"/>
        <v>#N/A</v>
      </c>
      <c r="AH98" s="3" t="e">
        <f t="shared" ca="1" si="84"/>
        <v>#N/A</v>
      </c>
      <c r="AJ98" s="3" t="e">
        <f t="shared" ca="1" si="85"/>
        <v>#N/A</v>
      </c>
      <c r="AK98" s="3" t="e">
        <f t="shared" ca="1" si="85"/>
        <v>#N/A</v>
      </c>
      <c r="AL98" s="3" t="e">
        <f t="shared" ca="1" si="85"/>
        <v>#N/A</v>
      </c>
      <c r="AM98" s="3" t="e">
        <f t="shared" ca="1" si="85"/>
        <v>#N/A</v>
      </c>
      <c r="AO98" s="3" t="e">
        <f t="shared" ca="1" si="86"/>
        <v>#N/A</v>
      </c>
      <c r="AP98" s="3" t="e">
        <f t="shared" ca="1" si="86"/>
        <v>#N/A</v>
      </c>
      <c r="AQ98" s="3" t="e">
        <f t="shared" ca="1" si="86"/>
        <v>#N/A</v>
      </c>
      <c r="AR98" s="3" t="e">
        <f t="shared" ca="1" si="86"/>
        <v>#N/A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Y98" s="3" t="e">
        <f t="shared" ca="1" si="87"/>
        <v>#N/A</v>
      </c>
      <c r="AZ98" s="3" t="e">
        <f t="shared" ca="1" si="88"/>
        <v>#N/A</v>
      </c>
      <c r="BA98" s="3" t="e">
        <f t="shared" ca="1" si="89"/>
        <v>#N/A</v>
      </c>
      <c r="BB98" s="3" t="e">
        <f t="shared" ca="1" si="90"/>
        <v>#N/A</v>
      </c>
      <c r="BD98" s="3" t="e">
        <f t="shared" ca="1" si="91"/>
        <v>#N/A</v>
      </c>
      <c r="BE98" s="3" t="e">
        <f t="shared" ca="1" si="92"/>
        <v>#N/A</v>
      </c>
      <c r="BF98" s="3" t="e">
        <f t="shared" ca="1" si="93"/>
        <v>#N/A</v>
      </c>
      <c r="BG98" s="3" t="e">
        <f t="shared" ca="1" si="94"/>
        <v>#N/A</v>
      </c>
      <c r="BI98" s="3" t="e">
        <f t="shared" ca="1" si="95"/>
        <v>#N/A</v>
      </c>
      <c r="BJ98" s="3" t="e">
        <f t="shared" ca="1" si="96"/>
        <v>#N/A</v>
      </c>
      <c r="BK98" s="3" t="e">
        <f t="shared" ca="1" si="97"/>
        <v>#N/A</v>
      </c>
      <c r="BL98" s="3" t="e">
        <f t="shared" ca="1" si="98"/>
        <v>#N/A</v>
      </c>
      <c r="BN98" s="3" t="e">
        <f t="shared" ca="1" si="99"/>
        <v>#N/A</v>
      </c>
      <c r="BO98" s="3" t="e">
        <f t="shared" ca="1" si="100"/>
        <v>#N/A</v>
      </c>
      <c r="BP98" s="3" t="e">
        <f t="shared" ca="1" si="101"/>
        <v>#N/A</v>
      </c>
      <c r="BQ98" s="3" t="e">
        <f t="shared" ca="1" si="102"/>
        <v>#N/A</v>
      </c>
      <c r="BS98" s="11" t="e">
        <v>#N/A</v>
      </c>
      <c r="BT98" s="11" t="e">
        <v>#N/A</v>
      </c>
      <c r="BU98" s="11" t="e">
        <v>#N/A</v>
      </c>
      <c r="BV98" s="11" t="e">
        <v>#N/A</v>
      </c>
      <c r="BX98" s="3" t="e">
        <f t="shared" ca="1" si="103"/>
        <v>#N/A</v>
      </c>
      <c r="BY98" s="3" t="e">
        <f t="shared" ca="1" si="104"/>
        <v>#N/A</v>
      </c>
      <c r="BZ98" s="3" t="e">
        <f t="shared" ca="1" si="105"/>
        <v>#N/A</v>
      </c>
      <c r="CA98" s="3" t="e">
        <f t="shared" ca="1" si="106"/>
        <v>#N/A</v>
      </c>
      <c r="CC98" s="3" t="e">
        <f t="shared" ca="1" si="107"/>
        <v>#N/A</v>
      </c>
      <c r="CD98" s="3" t="e">
        <f t="shared" ca="1" si="108"/>
        <v>#N/A</v>
      </c>
      <c r="CE98" s="3" t="e">
        <f t="shared" ca="1" si="109"/>
        <v>#N/A</v>
      </c>
      <c r="CF98" s="3" t="e">
        <f t="shared" ca="1" si="110"/>
        <v>#N/A</v>
      </c>
      <c r="CH98" s="3" t="e">
        <f t="shared" ca="1" si="111"/>
        <v>#N/A</v>
      </c>
      <c r="CI98" s="3" t="e">
        <f t="shared" ca="1" si="112"/>
        <v>#N/A</v>
      </c>
      <c r="CJ98" s="3" t="e">
        <f t="shared" ca="1" si="113"/>
        <v>#N/A</v>
      </c>
      <c r="CK98" s="3" t="e">
        <f t="shared" ca="1" si="114"/>
        <v>#N/A</v>
      </c>
      <c r="CM98" s="3" t="e">
        <f t="shared" ca="1" si="115"/>
        <v>#N/A</v>
      </c>
      <c r="CN98" s="3" t="e">
        <f t="shared" ca="1" si="116"/>
        <v>#N/A</v>
      </c>
      <c r="CO98" s="3" t="e">
        <f t="shared" ca="1" si="117"/>
        <v>#N/A</v>
      </c>
      <c r="CP98" s="3" t="e">
        <f t="shared" ca="1" si="118"/>
        <v>#N/A</v>
      </c>
      <c r="CR98" s="11" t="e">
        <v>#N/A</v>
      </c>
      <c r="CS98" s="11" t="e">
        <v>#N/A</v>
      </c>
      <c r="CT98" s="11" t="e">
        <v>#N/A</v>
      </c>
      <c r="CU98" s="11" t="e">
        <v>#N/A</v>
      </c>
      <c r="CV98" s="21" t="e">
        <f t="shared" ca="1" si="120"/>
        <v>#N/A</v>
      </c>
      <c r="CW98" s="16">
        <f t="shared" ca="1" si="119"/>
        <v>3.3333333333333335</v>
      </c>
    </row>
    <row r="99" spans="1:101" s="5" customFormat="1" x14ac:dyDescent="0.35">
      <c r="A99" s="4" t="s">
        <v>105</v>
      </c>
      <c r="B99" s="4">
        <v>3.4166666666666665</v>
      </c>
      <c r="C99" s="4" t="s">
        <v>168</v>
      </c>
      <c r="D99" s="4" t="s">
        <v>404</v>
      </c>
      <c r="E99" s="3"/>
      <c r="F99" s="5">
        <v>4.0019999999999998</v>
      </c>
      <c r="G99" s="11" t="e">
        <v>#N/A</v>
      </c>
      <c r="H99" s="5">
        <v>3.194</v>
      </c>
      <c r="I99" s="5" t="e">
        <v>#N/A</v>
      </c>
      <c r="K99" s="3">
        <f t="shared" ca="1" si="80"/>
        <v>0.99500249875062474</v>
      </c>
      <c r="L99" s="3" t="e">
        <f t="shared" ca="1" si="80"/>
        <v>#N/A</v>
      </c>
      <c r="M99" s="3">
        <f t="shared" ca="1" si="80"/>
        <v>0.99624295554164055</v>
      </c>
      <c r="N99" s="3" t="e">
        <f t="shared" ca="1" si="80"/>
        <v>#N/A</v>
      </c>
      <c r="P99" s="3">
        <f t="shared" ca="1" si="81"/>
        <v>0.90379811574829216</v>
      </c>
      <c r="Q99" s="3" t="e">
        <f t="shared" ca="1" si="81"/>
        <v>#N/A</v>
      </c>
      <c r="R99" s="3">
        <f t="shared" ca="1" si="81"/>
        <v>0.79304953038683146</v>
      </c>
      <c r="S99" s="3" t="e">
        <f t="shared" ca="1" si="81"/>
        <v>#N/A</v>
      </c>
      <c r="U99" s="3">
        <f t="shared" ca="1" si="82"/>
        <v>1.7491254372813594</v>
      </c>
      <c r="V99" s="3" t="e">
        <f t="shared" ca="1" si="82"/>
        <v>#N/A</v>
      </c>
      <c r="W99" s="3">
        <f t="shared" ca="1" si="82"/>
        <v>1.5654351909830932</v>
      </c>
      <c r="X99" s="3" t="e">
        <f t="shared" ca="1" si="82"/>
        <v>#N/A</v>
      </c>
      <c r="Z99" s="3">
        <f t="shared" ca="1" si="83"/>
        <v>0.94077961019490264</v>
      </c>
      <c r="AA99" s="3" t="e">
        <f t="shared" ca="1" si="83"/>
        <v>#N/A</v>
      </c>
      <c r="AB99" s="3">
        <f t="shared" ca="1" si="83"/>
        <v>0.80338134001252359</v>
      </c>
      <c r="AC99" s="3" t="e">
        <f t="shared" ca="1" si="83"/>
        <v>#N/A</v>
      </c>
      <c r="AE99" s="3">
        <f t="shared" ca="1" si="84"/>
        <v>0.90379811574829216</v>
      </c>
      <c r="AF99" s="3" t="e">
        <f t="shared" ca="1" si="84"/>
        <v>#N/A</v>
      </c>
      <c r="AG99" s="3">
        <f t="shared" ca="1" si="84"/>
        <v>0.79304953038683146</v>
      </c>
      <c r="AH99" s="3" t="e">
        <f t="shared" ca="1" si="84"/>
        <v>#N/A</v>
      </c>
      <c r="AJ99" s="3">
        <f t="shared" ca="1" si="85"/>
        <v>1.7491254372813594</v>
      </c>
      <c r="AK99" s="3" t="e">
        <f t="shared" ca="1" si="85"/>
        <v>#N/A</v>
      </c>
      <c r="AL99" s="3">
        <f t="shared" ca="1" si="85"/>
        <v>1.5654351909830932</v>
      </c>
      <c r="AM99" s="3" t="e">
        <f t="shared" ca="1" si="85"/>
        <v>#N/A</v>
      </c>
      <c r="AO99" s="3">
        <f t="shared" ca="1" si="86"/>
        <v>0.49975012493753124</v>
      </c>
      <c r="AP99" s="3" t="e">
        <f t="shared" ca="1" si="86"/>
        <v>#N/A</v>
      </c>
      <c r="AQ99" s="3">
        <f t="shared" ca="1" si="86"/>
        <v>0.93926111458985595</v>
      </c>
      <c r="AR99" s="3" t="e">
        <f t="shared" ca="1" si="86"/>
        <v>#N/A</v>
      </c>
      <c r="AT99" s="5">
        <v>8.0000003799796104E-3</v>
      </c>
      <c r="AU99" s="11" t="e">
        <v>#N/A</v>
      </c>
      <c r="AV99" s="5">
        <v>7.0000002160668373E-3</v>
      </c>
      <c r="AW99" s="5">
        <v>1.4000000432133675E-2</v>
      </c>
      <c r="AY99" s="3">
        <f t="shared" ca="1" si="87"/>
        <v>6.2468765617191405E-2</v>
      </c>
      <c r="AZ99" s="3" t="e">
        <f t="shared" ca="1" si="88"/>
        <v>#N/A</v>
      </c>
      <c r="BA99" s="3">
        <f t="shared" ca="1" si="89"/>
        <v>0.14088916718847838</v>
      </c>
      <c r="BB99" s="3" t="e">
        <f t="shared" ca="1" si="90"/>
        <v>#N/A</v>
      </c>
      <c r="BD99" s="3">
        <f t="shared" ca="1" si="91"/>
        <v>0.13318337660202798</v>
      </c>
      <c r="BE99" s="3" t="e">
        <f t="shared" ca="1" si="92"/>
        <v>#N/A</v>
      </c>
      <c r="BF99" s="3">
        <f t="shared" ca="1" si="93"/>
        <v>0.16186602353004642</v>
      </c>
      <c r="BG99" s="3" t="e">
        <f t="shared" ca="1" si="94"/>
        <v>#N/A</v>
      </c>
      <c r="BI99" s="3">
        <f t="shared" ca="1" si="95"/>
        <v>0.24987506246876562</v>
      </c>
      <c r="BJ99" s="3" t="e">
        <f t="shared" ca="1" si="96"/>
        <v>#N/A</v>
      </c>
      <c r="BK99" s="3">
        <f t="shared" ca="1" si="97"/>
        <v>0.6261740763932373</v>
      </c>
      <c r="BL99" s="3" t="e">
        <f t="shared" ca="1" si="98"/>
        <v>#N/A</v>
      </c>
      <c r="BN99" s="3">
        <f t="shared" ca="1" si="99"/>
        <v>0.24987506246876562</v>
      </c>
      <c r="BO99" s="3" t="e">
        <f t="shared" ca="1" si="100"/>
        <v>#N/A</v>
      </c>
      <c r="BP99" s="3">
        <f t="shared" ca="1" si="101"/>
        <v>0.31308703819661865</v>
      </c>
      <c r="BQ99" s="3" t="e">
        <f t="shared" ca="1" si="102"/>
        <v>#N/A</v>
      </c>
      <c r="BS99" s="5">
        <v>1.7580000162124634</v>
      </c>
      <c r="BT99" s="11" t="e">
        <v>#N/A</v>
      </c>
      <c r="BU99" s="5">
        <v>1.3229999542236328</v>
      </c>
      <c r="BV99" s="5">
        <v>4.0110000000000001</v>
      </c>
      <c r="BX99" s="3">
        <f t="shared" ca="1" si="103"/>
        <v>0.1541729135432284</v>
      </c>
      <c r="BY99" s="3" t="e">
        <f t="shared" ca="1" si="104"/>
        <v>#N/A</v>
      </c>
      <c r="BZ99" s="3">
        <f t="shared" ca="1" si="105"/>
        <v>0</v>
      </c>
      <c r="CA99" s="3" t="e">
        <f t="shared" ca="1" si="106"/>
        <v>#N/A</v>
      </c>
      <c r="CC99" s="3">
        <f t="shared" ca="1" si="107"/>
        <v>0.13768115918199042</v>
      </c>
      <c r="CD99" s="3" t="e">
        <f t="shared" ca="1" si="108"/>
        <v>#N/A</v>
      </c>
      <c r="CE99" s="3">
        <f t="shared" ca="1" si="109"/>
        <v>0</v>
      </c>
      <c r="CF99" s="3" t="e">
        <f t="shared" ca="1" si="110"/>
        <v>#N/A</v>
      </c>
      <c r="CH99" s="3">
        <f t="shared" ca="1" si="111"/>
        <v>0.49975012493753124</v>
      </c>
      <c r="CI99" s="3" t="e">
        <f t="shared" ca="1" si="112"/>
        <v>#N/A</v>
      </c>
      <c r="CJ99" s="3">
        <f t="shared" ca="1" si="113"/>
        <v>0</v>
      </c>
      <c r="CK99" s="3" t="e">
        <f t="shared" ca="1" si="114"/>
        <v>#N/A</v>
      </c>
      <c r="CM99" s="3">
        <f t="shared" ca="1" si="115"/>
        <v>0.74962518740629691</v>
      </c>
      <c r="CN99" s="3" t="e">
        <f t="shared" ca="1" si="116"/>
        <v>#N/A</v>
      </c>
      <c r="CO99" s="3">
        <f t="shared" ca="1" si="117"/>
        <v>0</v>
      </c>
      <c r="CP99" s="3" t="e">
        <f t="shared" ca="1" si="118"/>
        <v>#N/A</v>
      </c>
      <c r="CR99" s="5">
        <v>1.0410000085830688</v>
      </c>
      <c r="CS99" s="11" t="e">
        <v>#N/A</v>
      </c>
      <c r="CT99" s="5">
        <v>4.0110000000000001</v>
      </c>
      <c r="CU99" s="5">
        <v>4.0110000000000001</v>
      </c>
      <c r="CV99" s="21">
        <f t="shared" ca="1" si="120"/>
        <v>4.0110000000000001</v>
      </c>
      <c r="CW99" s="16">
        <f t="shared" ca="1" si="119"/>
        <v>3.4166666666666665</v>
      </c>
    </row>
    <row r="100" spans="1:101" s="5" customFormat="1" x14ac:dyDescent="0.35">
      <c r="A100" s="4" t="s">
        <v>112</v>
      </c>
      <c r="B100" s="4">
        <v>3.5833333333333335</v>
      </c>
      <c r="C100" s="4" t="s">
        <v>168</v>
      </c>
      <c r="D100" s="4" t="s">
        <v>404</v>
      </c>
      <c r="E100" s="3"/>
      <c r="F100" s="5" t="e">
        <v>#N/A</v>
      </c>
      <c r="G100" s="5">
        <v>4.0359999999999996</v>
      </c>
      <c r="H100" s="5">
        <v>4.016</v>
      </c>
      <c r="I100" s="5" t="e">
        <v>#N/A</v>
      </c>
      <c r="K100" s="3" t="e">
        <f t="shared" ref="K100:N131" ca="1" si="121">INDIRECT("'Data_Netteyage'!" &amp; LEFT(ADDRESS(1,COLUMN(),4),LEN(ADDRESS(1,COLUMN(),4))-1) &amp; ROW())/F100</f>
        <v>#N/A</v>
      </c>
      <c r="L100" s="3">
        <f t="shared" ca="1" si="121"/>
        <v>0.94549058473736403</v>
      </c>
      <c r="M100" s="3">
        <f t="shared" ca="1" si="121"/>
        <v>0.84636454183266929</v>
      </c>
      <c r="N100" s="3" t="e">
        <f t="shared" ca="1" si="121"/>
        <v>#N/A</v>
      </c>
      <c r="P100" s="3" t="e">
        <f t="shared" ref="P100:S131" ca="1" si="122">INDIRECT("'Data_Netteyage'!" &amp; LEFT(ADDRESS(1,COLUMN(),4),LEN(ADDRESS(1,COLUMN(),4))-1) &amp; ROW())/F100</f>
        <v>#N/A</v>
      </c>
      <c r="Q100" s="3">
        <f t="shared" ca="1" si="122"/>
        <v>0.90436082900057824</v>
      </c>
      <c r="R100" s="3">
        <f t="shared" ca="1" si="122"/>
        <v>0.73804788707024549</v>
      </c>
      <c r="S100" s="3" t="e">
        <f t="shared" ca="1" si="122"/>
        <v>#N/A</v>
      </c>
      <c r="U100" s="3" t="e">
        <f t="shared" ref="U100:X131" ca="1" si="123">INDIRECT("'Data_Netteyage'!" &amp; LEFT(ADDRESS(1,COLUMN(),4),LEN(ADDRESS(1,COLUMN(),4))-1) &amp; ROW())/F100</f>
        <v>#N/A</v>
      </c>
      <c r="V100" s="3">
        <f t="shared" ca="1" si="123"/>
        <v>2.2299306243805752</v>
      </c>
      <c r="W100" s="3">
        <f t="shared" ca="1" si="123"/>
        <v>2.241035856573705</v>
      </c>
      <c r="X100" s="3" t="e">
        <f t="shared" ca="1" si="123"/>
        <v>#N/A</v>
      </c>
      <c r="Z100" s="3" t="e">
        <f t="shared" ref="Z100:AC131" ca="1" si="124">INDIRECT("'Data_Netteyage'!" &amp; LEFT(ADDRESS(1,COLUMN(),4),LEN(ADDRESS(1,COLUMN(),4))-1) &amp; ROW())/F100</f>
        <v>#N/A</v>
      </c>
      <c r="AA100" s="3">
        <f t="shared" ca="1" si="124"/>
        <v>0.94127849355797844</v>
      </c>
      <c r="AB100" s="3">
        <f t="shared" ca="1" si="124"/>
        <v>0.65139442231075684</v>
      </c>
      <c r="AC100" s="3" t="e">
        <f t="shared" ca="1" si="124"/>
        <v>#N/A</v>
      </c>
      <c r="AE100" s="3" t="e">
        <f t="shared" ref="AE100:AH131" ca="1" si="125">INDIRECT("'Data_Netteyage'!" &amp; LEFT(ADDRESS(1,COLUMN(),4),LEN(ADDRESS(1,COLUMN(),4))-1) &amp; ROW())/F100</f>
        <v>#N/A</v>
      </c>
      <c r="AF100" s="3">
        <f t="shared" ca="1" si="125"/>
        <v>0.90436082900057824</v>
      </c>
      <c r="AG100" s="3">
        <f t="shared" ca="1" si="125"/>
        <v>0.55951202859679061</v>
      </c>
      <c r="AH100" s="3" t="e">
        <f t="shared" ca="1" si="125"/>
        <v>#N/A</v>
      </c>
      <c r="AJ100" s="3" t="e">
        <f t="shared" ref="AJ100:AM131" ca="1" si="126">INDIRECT("'Data_Netteyage'!" &amp; LEFT(ADDRESS(1,COLUMN(),4),LEN(ADDRESS(1,COLUMN(),4))-1) &amp; ROW())/F100</f>
        <v>#N/A</v>
      </c>
      <c r="AK100" s="3">
        <f t="shared" ca="1" si="126"/>
        <v>2.2299306243805752</v>
      </c>
      <c r="AL100" s="3">
        <f t="shared" ca="1" si="126"/>
        <v>1.7430278884462151</v>
      </c>
      <c r="AM100" s="3" t="e">
        <f t="shared" ca="1" si="126"/>
        <v>#N/A</v>
      </c>
      <c r="AO100" s="3" t="e">
        <f t="shared" ref="AO100:AR131" ca="1" si="127">INDIRECT("'Data_Netteyage'!" &amp; LEFT(ADDRESS(1,COLUMN(),4),LEN(ADDRESS(1,COLUMN(),4))-1) &amp; ROW())/F100</f>
        <v>#N/A</v>
      </c>
      <c r="AP100" s="3">
        <f t="shared" ca="1" si="127"/>
        <v>0.49554013875123892</v>
      </c>
      <c r="AQ100" s="3">
        <f t="shared" ca="1" si="127"/>
        <v>0.49800796812749004</v>
      </c>
      <c r="AR100" s="3" t="e">
        <f t="shared" ca="1" si="127"/>
        <v>#N/A</v>
      </c>
      <c r="AT100" s="5">
        <v>2.2249999046325684</v>
      </c>
      <c r="AU100" s="5">
        <v>2.9999999329447746E-2</v>
      </c>
      <c r="AV100" s="5">
        <v>0.40400001406669617</v>
      </c>
      <c r="AW100" s="11" t="e">
        <v>#N/A</v>
      </c>
      <c r="AY100" s="3" t="e">
        <f t="shared" ref="AY100:AY131" ca="1" si="128">INDIRECT("'Data_Netteyage'!" &amp; LEFT(ADDRESS(1,COLUMN(),4),LEN(ADDRESS(1,COLUMN(),4))-1) &amp; ROW())/F100</f>
        <v>#N/A</v>
      </c>
      <c r="AZ100" s="3">
        <f t="shared" ref="AZ100:AZ131" ca="1" si="129">INDIRECT("'Data_Netteyage'!" &amp; LEFT(ADDRESS(1,COLUMN(),4),LEN(ADDRESS(1,COLUMN(),4))-1) &amp; ROW())/G100</f>
        <v>0.59440039643211118</v>
      </c>
      <c r="BA100" s="3">
        <f t="shared" ref="BA100:BA131" ca="1" si="130">INDIRECT("'Data_Netteyage'!" &amp; LEFT(ADDRESS(1,COLUMN(),4),LEN(ADDRESS(1,COLUMN(),4))-1) &amp; ROW())/H100</f>
        <v>0.16160358565737049</v>
      </c>
      <c r="BB100" s="3" t="e">
        <f t="shared" ref="BB100:BB131" ca="1" si="131">INDIRECT("'Data_Netteyage'!" &amp; LEFT(ADDRESS(1,COLUMN(),4),LEN(ADDRESS(1,COLUMN(),4))-1) &amp; ROW())/I100</f>
        <v>#N/A</v>
      </c>
      <c r="BD100" s="3" t="e">
        <f t="shared" ref="BD100:BD131" ca="1" si="132">INDIRECT("'Data_Netteyage'!" &amp; LEFT(ADDRESS(1,COLUMN(),4),LEN(ADDRESS(1,COLUMN(),4))-1) &amp; ROW())/F100</f>
        <v>#N/A</v>
      </c>
      <c r="BE100" s="3">
        <f t="shared" ref="BE100:BE131" ca="1" si="133">INDIRECT("'Data_Netteyage'!" &amp; LEFT(ADDRESS(1,COLUMN(),4),LEN(ADDRESS(1,COLUMN(),4))-1) &amp; ROW())/G100</f>
        <v>0.60282464483448261</v>
      </c>
      <c r="BF100" s="3">
        <f t="shared" ref="BF100:BF131" ca="1" si="134">INDIRECT("'Data_Netteyage'!" &amp; LEFT(ADDRESS(1,COLUMN(),4),LEN(ADDRESS(1,COLUMN(),4))-1) &amp; ROW())/H100</f>
        <v>0.18650400211136656</v>
      </c>
      <c r="BG100" s="3" t="e">
        <f t="shared" ref="BG100:BG131" ca="1" si="135">INDIRECT("'Data_Netteyage'!" &amp; LEFT(ADDRESS(1,COLUMN(),4),LEN(ADDRESS(1,COLUMN(),4))-1) &amp; ROW())/I100</f>
        <v>#N/A</v>
      </c>
      <c r="BI100" s="3" t="e">
        <f t="shared" ref="BI100:BI131" ca="1" si="136">INDIRECT("'Data_Netteyage'!" &amp; LEFT(ADDRESS(1,COLUMN(),4),LEN(ADDRESS(1,COLUMN(),4))-1) &amp; ROW())/F100</f>
        <v>#N/A</v>
      </c>
      <c r="BJ100" s="3">
        <f t="shared" ref="BJ100:BJ131" ca="1" si="137">INDIRECT("'Data_Netteyage'!" &amp; LEFT(ADDRESS(1,COLUMN(),4),LEN(ADDRESS(1,COLUMN(),4))-1) &amp; ROW())/G100</f>
        <v>0.99108027750247785</v>
      </c>
      <c r="BK100" s="3">
        <f t="shared" ref="BK100:BK131" ca="1" si="138">INDIRECT("'Data_Netteyage'!" &amp; LEFT(ADDRESS(1,COLUMN(),4),LEN(ADDRESS(1,COLUMN(),4))-1) &amp; ROW())/H100</f>
        <v>0.49800796812749004</v>
      </c>
      <c r="BL100" s="3" t="e">
        <f t="shared" ref="BL100:BL131" ca="1" si="139">INDIRECT("'Data_Netteyage'!" &amp; LEFT(ADDRESS(1,COLUMN(),4),LEN(ADDRESS(1,COLUMN(),4))-1) &amp; ROW())/I100</f>
        <v>#N/A</v>
      </c>
      <c r="BN100" s="3" t="e">
        <f t="shared" ref="BN100:BN131" ca="1" si="140">INDIRECT("'Data_Netteyage'!" &amp; LEFT(ADDRESS(1,COLUMN(),4),LEN(ADDRESS(1,COLUMN(),4))-1) &amp; ROW())/F100</f>
        <v>#N/A</v>
      </c>
      <c r="BO100" s="3">
        <f t="shared" ref="BO100:BO131" ca="1" si="141">INDIRECT("'Data_Netteyage'!" &amp; LEFT(ADDRESS(1,COLUMN(),4),LEN(ADDRESS(1,COLUMN(),4))-1) &amp; ROW())/G100</f>
        <v>0.99108027750247785</v>
      </c>
      <c r="BP100" s="3">
        <f t="shared" ref="BP100:BP131" ca="1" si="142">INDIRECT("'Data_Netteyage'!" &amp; LEFT(ADDRESS(1,COLUMN(),4),LEN(ADDRESS(1,COLUMN(),4))-1) &amp; ROW())/H100</f>
        <v>0.49800796812749004</v>
      </c>
      <c r="BQ100" s="3" t="e">
        <f t="shared" ref="BQ100:BQ131" ca="1" si="143">INDIRECT("'Data_Netteyage'!" &amp; LEFT(ADDRESS(1,COLUMN(),4),LEN(ADDRESS(1,COLUMN(),4))-1) &amp; ROW())/I100</f>
        <v>#N/A</v>
      </c>
      <c r="BS100" s="5">
        <v>2.5250000953674316</v>
      </c>
      <c r="BT100" s="5">
        <v>0.46399998664855957</v>
      </c>
      <c r="BU100" s="5">
        <v>0.83700001239776611</v>
      </c>
      <c r="BV100" s="11" t="e">
        <v>#N/A</v>
      </c>
      <c r="BX100" s="3" t="e">
        <f t="shared" ref="BX100:BX131" ca="1" si="144">INDIRECT("'Data_Netteyage'!" &amp; LEFT(ADDRESS(1,COLUMN(),4),LEN(ADDRESS(1,COLUMN(),4))-1) &amp; ROW())/F100</f>
        <v>#N/A</v>
      </c>
      <c r="BY100" s="3">
        <f t="shared" ref="BY100:BY131" ca="1" si="145">INDIRECT("'Data_Netteyage'!" &amp; LEFT(ADDRESS(1,COLUMN(),4),LEN(ADDRESS(1,COLUMN(),4))-1) &amp; ROW())/G100</f>
        <v>0</v>
      </c>
      <c r="BZ100" s="3">
        <f t="shared" ref="BZ100:BZ131" ca="1" si="146">INDIRECT("'Data_Netteyage'!" &amp; LEFT(ADDRESS(1,COLUMN(),4),LEN(ADDRESS(1,COLUMN(),4))-1) &amp; ROW())/H100</f>
        <v>0.13695219123505983</v>
      </c>
      <c r="CA100" s="3" t="e">
        <f t="shared" ref="CA100:CA131" ca="1" si="147">INDIRECT("'Data_Netteyage'!" &amp; LEFT(ADDRESS(1,COLUMN(),4),LEN(ADDRESS(1,COLUMN(),4))-1) &amp; ROW())/I100</f>
        <v>#N/A</v>
      </c>
      <c r="CC100" s="3" t="e">
        <f t="shared" ref="CC100:CC131" ca="1" si="148">INDIRECT("'Data_Netteyage'!" &amp; LEFT(ADDRESS(1,COLUMN(),4),LEN(ADDRESS(1,COLUMN(),4))-1) &amp; ROW())/F100</f>
        <v>#N/A</v>
      </c>
      <c r="CD100" s="3">
        <f t="shared" ref="CD100:CD131" ca="1" si="149">INDIRECT("'Data_Netteyage'!" &amp; LEFT(ADDRESS(1,COLUMN(),4),LEN(ADDRESS(1,COLUMN(),4))-1) &amp; ROW())/G100</f>
        <v>0</v>
      </c>
      <c r="CE100" s="3">
        <f t="shared" ref="CE100:CE131" ca="1" si="150">INDIRECT("'Data_Netteyage'!" &amp; LEFT(ADDRESS(1,COLUMN(),4),LEN(ADDRESS(1,COLUMN(),4))-1) &amp; ROW())/H100</f>
        <v>0.17006974296265864</v>
      </c>
      <c r="CF100" s="3" t="e">
        <f t="shared" ref="CF100:CF131" ca="1" si="151">INDIRECT("'Data_Netteyage'!" &amp; LEFT(ADDRESS(1,COLUMN(),4),LEN(ADDRESS(1,COLUMN(),4))-1) &amp; ROW())/I100</f>
        <v>#N/A</v>
      </c>
      <c r="CH100" s="3" t="e">
        <f t="shared" ref="CH100:CH131" ca="1" si="152">INDIRECT("'Data_Netteyage'!" &amp; LEFT(ADDRESS(1,COLUMN(),4),LEN(ADDRESS(1,COLUMN(),4))-1) &amp; ROW())/F100</f>
        <v>#N/A</v>
      </c>
      <c r="CI100" s="3">
        <f t="shared" ref="CI100:CI131" ca="1" si="153">INDIRECT("'Data_Netteyage'!" &amp; LEFT(ADDRESS(1,COLUMN(),4),LEN(ADDRESS(1,COLUMN(),4))-1) &amp; ROW())/G100</f>
        <v>0</v>
      </c>
      <c r="CJ100" s="3">
        <f t="shared" ref="CJ100:CJ131" ca="1" si="154">INDIRECT("'Data_Netteyage'!" &amp; LEFT(ADDRESS(1,COLUMN(),4),LEN(ADDRESS(1,COLUMN(),4))-1) &amp; ROW())/H100</f>
        <v>0.49800796812749004</v>
      </c>
      <c r="CK100" s="3" t="e">
        <f t="shared" ref="CK100:CK131" ca="1" si="155">INDIRECT("'Data_Netteyage'!" &amp; LEFT(ADDRESS(1,COLUMN(),4),LEN(ADDRESS(1,COLUMN(),4))-1) &amp; ROW())/I100</f>
        <v>#N/A</v>
      </c>
      <c r="CM100" s="3" t="e">
        <f t="shared" ref="CM100:CM131" ca="1" si="156">INDIRECT("'Data_Netteyage'!" &amp; LEFT(ADDRESS(1,COLUMN(),4),LEN(ADDRESS(1,COLUMN(),4))-1) &amp; ROW())/F100</f>
        <v>#N/A</v>
      </c>
      <c r="CN100" s="3">
        <f t="shared" ref="CN100:CN131" ca="1" si="157">INDIRECT("'Data_Netteyage'!" &amp; LEFT(ADDRESS(1,COLUMN(),4),LEN(ADDRESS(1,COLUMN(),4))-1) &amp; ROW())/G100</f>
        <v>0.24777006937561946</v>
      </c>
      <c r="CO100" s="3">
        <f t="shared" ref="CO100:CO131" ca="1" si="158">INDIRECT("'Data_Netteyage'!" &amp; LEFT(ADDRESS(1,COLUMN(),4),LEN(ADDRESS(1,COLUMN(),4))-1) &amp; ROW())/H100</f>
        <v>0.99601593625498008</v>
      </c>
      <c r="CP100" s="3" t="e">
        <f t="shared" ref="CP100:CP131" ca="1" si="159">INDIRECT("'Data_Netteyage'!" &amp; LEFT(ADDRESS(1,COLUMN(),4),LEN(ADDRESS(1,COLUMN(),4))-1) &amp; ROW())/I100</f>
        <v>#N/A</v>
      </c>
      <c r="CR100" s="5">
        <v>4.0259999999999998</v>
      </c>
      <c r="CS100" s="5">
        <v>4.0359999999999996</v>
      </c>
      <c r="CT100" s="5">
        <v>1.7200000286102295</v>
      </c>
      <c r="CU100" s="11" t="e">
        <v>#N/A</v>
      </c>
      <c r="CV100" s="21" t="e">
        <f t="shared" ca="1" si="120"/>
        <v>#N/A</v>
      </c>
      <c r="CW100" s="16">
        <f t="shared" ca="1" si="119"/>
        <v>3.5833333333333335</v>
      </c>
    </row>
    <row r="101" spans="1:101" s="5" customFormat="1" x14ac:dyDescent="0.35">
      <c r="A101" s="4" t="s">
        <v>110</v>
      </c>
      <c r="B101" s="4">
        <v>3.8333333333333335</v>
      </c>
      <c r="C101" s="4" t="s">
        <v>167</v>
      </c>
      <c r="D101" s="4" t="s">
        <v>404</v>
      </c>
      <c r="E101" s="3"/>
      <c r="F101" s="11" t="e">
        <v>#N/A</v>
      </c>
      <c r="G101" s="5" t="e">
        <v>#N/A</v>
      </c>
      <c r="H101" s="5" t="e">
        <v>#N/A</v>
      </c>
      <c r="I101" s="5" t="e">
        <v>#N/A</v>
      </c>
      <c r="K101" s="3" t="e">
        <f t="shared" ca="1" si="121"/>
        <v>#N/A</v>
      </c>
      <c r="L101" s="3" t="e">
        <f t="shared" ca="1" si="121"/>
        <v>#N/A</v>
      </c>
      <c r="M101" s="3" t="e">
        <f t="shared" ca="1" si="121"/>
        <v>#N/A</v>
      </c>
      <c r="N101" s="3" t="e">
        <f t="shared" ca="1" si="121"/>
        <v>#N/A</v>
      </c>
      <c r="P101" s="3" t="e">
        <f t="shared" ca="1" si="122"/>
        <v>#N/A</v>
      </c>
      <c r="Q101" s="3" t="e">
        <f t="shared" ca="1" si="122"/>
        <v>#N/A</v>
      </c>
      <c r="R101" s="3" t="e">
        <f t="shared" ca="1" si="122"/>
        <v>#N/A</v>
      </c>
      <c r="S101" s="3" t="e">
        <f t="shared" ca="1" si="122"/>
        <v>#N/A</v>
      </c>
      <c r="U101" s="3" t="e">
        <f t="shared" ca="1" si="123"/>
        <v>#N/A</v>
      </c>
      <c r="V101" s="3" t="e">
        <f t="shared" ca="1" si="123"/>
        <v>#N/A</v>
      </c>
      <c r="W101" s="3" t="e">
        <f t="shared" ca="1" si="123"/>
        <v>#N/A</v>
      </c>
      <c r="X101" s="3" t="e">
        <f t="shared" ca="1" si="123"/>
        <v>#N/A</v>
      </c>
      <c r="Z101" s="3" t="e">
        <f t="shared" ca="1" si="124"/>
        <v>#N/A</v>
      </c>
      <c r="AA101" s="3" t="e">
        <f t="shared" ca="1" si="124"/>
        <v>#N/A</v>
      </c>
      <c r="AB101" s="3" t="e">
        <f t="shared" ca="1" si="124"/>
        <v>#N/A</v>
      </c>
      <c r="AC101" s="3" t="e">
        <f t="shared" ca="1" si="124"/>
        <v>#N/A</v>
      </c>
      <c r="AE101" s="3" t="e">
        <f t="shared" ca="1" si="125"/>
        <v>#N/A</v>
      </c>
      <c r="AF101" s="3" t="e">
        <f t="shared" ca="1" si="125"/>
        <v>#N/A</v>
      </c>
      <c r="AG101" s="3" t="e">
        <f t="shared" ca="1" si="125"/>
        <v>#N/A</v>
      </c>
      <c r="AH101" s="3" t="e">
        <f t="shared" ca="1" si="125"/>
        <v>#N/A</v>
      </c>
      <c r="AJ101" s="3" t="e">
        <f t="shared" ca="1" si="126"/>
        <v>#N/A</v>
      </c>
      <c r="AK101" s="3" t="e">
        <f t="shared" ca="1" si="126"/>
        <v>#N/A</v>
      </c>
      <c r="AL101" s="3" t="e">
        <f t="shared" ca="1" si="126"/>
        <v>#N/A</v>
      </c>
      <c r="AM101" s="3" t="e">
        <f t="shared" ca="1" si="126"/>
        <v>#N/A</v>
      </c>
      <c r="AO101" s="3" t="e">
        <f t="shared" ca="1" si="127"/>
        <v>#N/A</v>
      </c>
      <c r="AP101" s="3" t="e">
        <f t="shared" ca="1" si="127"/>
        <v>#N/A</v>
      </c>
      <c r="AQ101" s="3" t="e">
        <f t="shared" ca="1" si="127"/>
        <v>#N/A</v>
      </c>
      <c r="AR101" s="3" t="e">
        <f t="shared" ca="1" si="127"/>
        <v>#N/A</v>
      </c>
      <c r="AT101" s="11" t="e">
        <v>#N/A</v>
      </c>
      <c r="AU101" s="11" t="e">
        <v>#N/A</v>
      </c>
      <c r="AV101" s="5">
        <v>0.52899998426437378</v>
      </c>
      <c r="AW101" s="11" t="e">
        <v>#N/A</v>
      </c>
      <c r="AY101" s="3" t="e">
        <f t="shared" ca="1" si="128"/>
        <v>#N/A</v>
      </c>
      <c r="AZ101" s="3" t="e">
        <f t="shared" ca="1" si="129"/>
        <v>#N/A</v>
      </c>
      <c r="BA101" s="3" t="e">
        <f t="shared" ca="1" si="130"/>
        <v>#N/A</v>
      </c>
      <c r="BB101" s="3" t="e">
        <f t="shared" ca="1" si="131"/>
        <v>#N/A</v>
      </c>
      <c r="BD101" s="3" t="e">
        <f t="shared" ca="1" si="132"/>
        <v>#N/A</v>
      </c>
      <c r="BE101" s="3" t="e">
        <f t="shared" ca="1" si="133"/>
        <v>#N/A</v>
      </c>
      <c r="BF101" s="3" t="e">
        <f t="shared" ca="1" si="134"/>
        <v>#N/A</v>
      </c>
      <c r="BG101" s="3" t="e">
        <f t="shared" ca="1" si="135"/>
        <v>#N/A</v>
      </c>
      <c r="BI101" s="3" t="e">
        <f t="shared" ca="1" si="136"/>
        <v>#N/A</v>
      </c>
      <c r="BJ101" s="3" t="e">
        <f t="shared" ca="1" si="137"/>
        <v>#N/A</v>
      </c>
      <c r="BK101" s="3" t="e">
        <f t="shared" ca="1" si="138"/>
        <v>#N/A</v>
      </c>
      <c r="BL101" s="3" t="e">
        <f t="shared" ca="1" si="139"/>
        <v>#N/A</v>
      </c>
      <c r="BN101" s="3" t="e">
        <f t="shared" ca="1" si="140"/>
        <v>#N/A</v>
      </c>
      <c r="BO101" s="3" t="e">
        <f t="shared" ca="1" si="141"/>
        <v>#N/A</v>
      </c>
      <c r="BP101" s="3" t="e">
        <f t="shared" ca="1" si="142"/>
        <v>#N/A</v>
      </c>
      <c r="BQ101" s="3" t="e">
        <f t="shared" ca="1" si="143"/>
        <v>#N/A</v>
      </c>
      <c r="BS101" s="11" t="e">
        <v>#N/A</v>
      </c>
      <c r="BT101" s="11" t="e">
        <v>#N/A</v>
      </c>
      <c r="BU101" s="5">
        <v>4.0279999999999996</v>
      </c>
      <c r="BV101" s="11" t="e">
        <v>#N/A</v>
      </c>
      <c r="BX101" s="3" t="e">
        <f t="shared" ca="1" si="144"/>
        <v>#N/A</v>
      </c>
      <c r="BY101" s="3" t="e">
        <f t="shared" ca="1" si="145"/>
        <v>#N/A</v>
      </c>
      <c r="BZ101" s="3" t="e">
        <f t="shared" ca="1" si="146"/>
        <v>#N/A</v>
      </c>
      <c r="CA101" s="3" t="e">
        <f t="shared" ca="1" si="147"/>
        <v>#N/A</v>
      </c>
      <c r="CC101" s="3" t="e">
        <f t="shared" ca="1" si="148"/>
        <v>#N/A</v>
      </c>
      <c r="CD101" s="3" t="e">
        <f t="shared" ca="1" si="149"/>
        <v>#N/A</v>
      </c>
      <c r="CE101" s="3" t="e">
        <f t="shared" ca="1" si="150"/>
        <v>#N/A</v>
      </c>
      <c r="CF101" s="3" t="e">
        <f t="shared" ca="1" si="151"/>
        <v>#N/A</v>
      </c>
      <c r="CH101" s="3" t="e">
        <f t="shared" ca="1" si="152"/>
        <v>#N/A</v>
      </c>
      <c r="CI101" s="3" t="e">
        <f t="shared" ca="1" si="153"/>
        <v>#N/A</v>
      </c>
      <c r="CJ101" s="3" t="e">
        <f t="shared" ca="1" si="154"/>
        <v>#N/A</v>
      </c>
      <c r="CK101" s="3" t="e">
        <f t="shared" ca="1" si="155"/>
        <v>#N/A</v>
      </c>
      <c r="CM101" s="3" t="e">
        <f t="shared" ca="1" si="156"/>
        <v>#N/A</v>
      </c>
      <c r="CN101" s="3" t="e">
        <f t="shared" ca="1" si="157"/>
        <v>#N/A</v>
      </c>
      <c r="CO101" s="3" t="e">
        <f t="shared" ca="1" si="158"/>
        <v>#N/A</v>
      </c>
      <c r="CP101" s="3" t="e">
        <f t="shared" ca="1" si="159"/>
        <v>#N/A</v>
      </c>
      <c r="CR101" s="11" t="e">
        <v>#N/A</v>
      </c>
      <c r="CS101" s="11" t="e">
        <v>#N/A</v>
      </c>
      <c r="CT101" s="5">
        <v>4.0279999999999996</v>
      </c>
      <c r="CU101" s="11" t="e">
        <v>#N/A</v>
      </c>
      <c r="CV101" s="21" t="e">
        <f t="shared" ca="1" si="120"/>
        <v>#N/A</v>
      </c>
      <c r="CW101" s="16">
        <f t="shared" ca="1" si="119"/>
        <v>3.8333333333333335</v>
      </c>
    </row>
    <row r="102" spans="1:101" s="5" customFormat="1" x14ac:dyDescent="0.35">
      <c r="A102" s="4" t="s">
        <v>148</v>
      </c>
      <c r="B102" s="4">
        <v>4.083333333333333</v>
      </c>
      <c r="C102" s="4" t="s">
        <v>168</v>
      </c>
      <c r="D102" s="4" t="s">
        <v>404</v>
      </c>
      <c r="E102" s="3"/>
      <c r="F102" s="11" t="e">
        <v>#N/A</v>
      </c>
      <c r="G102" s="11" t="e">
        <v>#N/A</v>
      </c>
      <c r="H102" s="5" t="e">
        <v>#N/A</v>
      </c>
      <c r="I102" s="11" t="e">
        <v>#N/A</v>
      </c>
      <c r="K102" s="3" t="e">
        <f t="shared" ca="1" si="121"/>
        <v>#N/A</v>
      </c>
      <c r="L102" s="3" t="e">
        <f t="shared" ca="1" si="121"/>
        <v>#N/A</v>
      </c>
      <c r="M102" s="3" t="e">
        <f t="shared" ca="1" si="121"/>
        <v>#N/A</v>
      </c>
      <c r="N102" s="3" t="e">
        <f t="shared" ca="1" si="121"/>
        <v>#N/A</v>
      </c>
      <c r="P102" s="3" t="e">
        <f t="shared" ca="1" si="122"/>
        <v>#N/A</v>
      </c>
      <c r="Q102" s="3" t="e">
        <f t="shared" ca="1" si="122"/>
        <v>#N/A</v>
      </c>
      <c r="R102" s="3" t="e">
        <f t="shared" ca="1" si="122"/>
        <v>#N/A</v>
      </c>
      <c r="S102" s="3" t="e">
        <f t="shared" ca="1" si="122"/>
        <v>#N/A</v>
      </c>
      <c r="U102" s="3" t="e">
        <f t="shared" ca="1" si="123"/>
        <v>#N/A</v>
      </c>
      <c r="V102" s="3" t="e">
        <f t="shared" ca="1" si="123"/>
        <v>#N/A</v>
      </c>
      <c r="W102" s="3" t="e">
        <f t="shared" ca="1" si="123"/>
        <v>#N/A</v>
      </c>
      <c r="X102" s="3" t="e">
        <f t="shared" ca="1" si="123"/>
        <v>#N/A</v>
      </c>
      <c r="Z102" s="3" t="e">
        <f t="shared" ca="1" si="124"/>
        <v>#N/A</v>
      </c>
      <c r="AA102" s="3" t="e">
        <f t="shared" ca="1" si="124"/>
        <v>#N/A</v>
      </c>
      <c r="AB102" s="3" t="e">
        <f t="shared" ca="1" si="124"/>
        <v>#N/A</v>
      </c>
      <c r="AC102" s="3" t="e">
        <f t="shared" ca="1" si="124"/>
        <v>#N/A</v>
      </c>
      <c r="AE102" s="3" t="e">
        <f t="shared" ca="1" si="125"/>
        <v>#N/A</v>
      </c>
      <c r="AF102" s="3" t="e">
        <f t="shared" ca="1" si="125"/>
        <v>#N/A</v>
      </c>
      <c r="AG102" s="3" t="e">
        <f t="shared" ca="1" si="125"/>
        <v>#N/A</v>
      </c>
      <c r="AH102" s="3" t="e">
        <f t="shared" ca="1" si="125"/>
        <v>#N/A</v>
      </c>
      <c r="AJ102" s="3" t="e">
        <f t="shared" ca="1" si="126"/>
        <v>#N/A</v>
      </c>
      <c r="AK102" s="3" t="e">
        <f t="shared" ca="1" si="126"/>
        <v>#N/A</v>
      </c>
      <c r="AL102" s="3" t="e">
        <f t="shared" ca="1" si="126"/>
        <v>#N/A</v>
      </c>
      <c r="AM102" s="3" t="e">
        <f t="shared" ca="1" si="126"/>
        <v>#N/A</v>
      </c>
      <c r="AO102" s="3" t="e">
        <f t="shared" ca="1" si="127"/>
        <v>#N/A</v>
      </c>
      <c r="AP102" s="3" t="e">
        <f t="shared" ca="1" si="127"/>
        <v>#N/A</v>
      </c>
      <c r="AQ102" s="3" t="e">
        <f t="shared" ca="1" si="127"/>
        <v>#N/A</v>
      </c>
      <c r="AR102" s="3" t="e">
        <f t="shared" ca="1" si="127"/>
        <v>#N/A</v>
      </c>
      <c r="AT102" s="11" t="e">
        <v>#N/A</v>
      </c>
      <c r="AU102" s="11" t="e">
        <v>#N/A</v>
      </c>
      <c r="AV102" s="11" t="e">
        <v>#N/A</v>
      </c>
      <c r="AW102" s="11" t="e">
        <v>#N/A</v>
      </c>
      <c r="AY102" s="3" t="e">
        <f t="shared" ca="1" si="128"/>
        <v>#N/A</v>
      </c>
      <c r="AZ102" s="3" t="e">
        <f t="shared" ca="1" si="129"/>
        <v>#N/A</v>
      </c>
      <c r="BA102" s="3" t="e">
        <f t="shared" ca="1" si="130"/>
        <v>#N/A</v>
      </c>
      <c r="BB102" s="3" t="e">
        <f t="shared" ca="1" si="131"/>
        <v>#N/A</v>
      </c>
      <c r="BD102" s="3" t="e">
        <f t="shared" ca="1" si="132"/>
        <v>#N/A</v>
      </c>
      <c r="BE102" s="3" t="e">
        <f t="shared" ca="1" si="133"/>
        <v>#N/A</v>
      </c>
      <c r="BF102" s="3" t="e">
        <f t="shared" ca="1" si="134"/>
        <v>#N/A</v>
      </c>
      <c r="BG102" s="3" t="e">
        <f t="shared" ca="1" si="135"/>
        <v>#N/A</v>
      </c>
      <c r="BI102" s="3" t="e">
        <f t="shared" ca="1" si="136"/>
        <v>#N/A</v>
      </c>
      <c r="BJ102" s="3" t="e">
        <f t="shared" ca="1" si="137"/>
        <v>#N/A</v>
      </c>
      <c r="BK102" s="3" t="e">
        <f t="shared" ca="1" si="138"/>
        <v>#N/A</v>
      </c>
      <c r="BL102" s="3" t="e">
        <f t="shared" ca="1" si="139"/>
        <v>#N/A</v>
      </c>
      <c r="BN102" s="3" t="e">
        <f t="shared" ca="1" si="140"/>
        <v>#N/A</v>
      </c>
      <c r="BO102" s="3" t="e">
        <f t="shared" ca="1" si="141"/>
        <v>#N/A</v>
      </c>
      <c r="BP102" s="3" t="e">
        <f t="shared" ca="1" si="142"/>
        <v>#N/A</v>
      </c>
      <c r="BQ102" s="3" t="e">
        <f t="shared" ca="1" si="143"/>
        <v>#N/A</v>
      </c>
      <c r="BS102" s="11" t="e">
        <v>#N/A</v>
      </c>
      <c r="BT102" s="11" t="e">
        <v>#N/A</v>
      </c>
      <c r="BU102" s="11" t="e">
        <v>#N/A</v>
      </c>
      <c r="BV102" s="11" t="e">
        <v>#N/A</v>
      </c>
      <c r="BX102" s="3" t="e">
        <f t="shared" ca="1" si="144"/>
        <v>#N/A</v>
      </c>
      <c r="BY102" s="3" t="e">
        <f t="shared" ca="1" si="145"/>
        <v>#N/A</v>
      </c>
      <c r="BZ102" s="3" t="e">
        <f t="shared" ca="1" si="146"/>
        <v>#N/A</v>
      </c>
      <c r="CA102" s="3" t="e">
        <f t="shared" ca="1" si="147"/>
        <v>#N/A</v>
      </c>
      <c r="CC102" s="3" t="e">
        <f t="shared" ca="1" si="148"/>
        <v>#N/A</v>
      </c>
      <c r="CD102" s="3" t="e">
        <f t="shared" ca="1" si="149"/>
        <v>#N/A</v>
      </c>
      <c r="CE102" s="3" t="e">
        <f t="shared" ca="1" si="150"/>
        <v>#N/A</v>
      </c>
      <c r="CF102" s="3" t="e">
        <f t="shared" ca="1" si="151"/>
        <v>#N/A</v>
      </c>
      <c r="CH102" s="3" t="e">
        <f t="shared" ca="1" si="152"/>
        <v>#N/A</v>
      </c>
      <c r="CI102" s="3" t="e">
        <f t="shared" ca="1" si="153"/>
        <v>#N/A</v>
      </c>
      <c r="CJ102" s="3" t="e">
        <f t="shared" ca="1" si="154"/>
        <v>#N/A</v>
      </c>
      <c r="CK102" s="3" t="e">
        <f t="shared" ca="1" si="155"/>
        <v>#N/A</v>
      </c>
      <c r="CM102" s="3" t="e">
        <f t="shared" ca="1" si="156"/>
        <v>#N/A</v>
      </c>
      <c r="CN102" s="3" t="e">
        <f t="shared" ca="1" si="157"/>
        <v>#N/A</v>
      </c>
      <c r="CO102" s="3" t="e">
        <f t="shared" ca="1" si="158"/>
        <v>#N/A</v>
      </c>
      <c r="CP102" s="3" t="e">
        <f t="shared" ca="1" si="159"/>
        <v>#N/A</v>
      </c>
      <c r="CR102" s="11" t="e">
        <v>#N/A</v>
      </c>
      <c r="CS102" s="11" t="e">
        <v>#N/A</v>
      </c>
      <c r="CT102" s="11" t="e">
        <v>#N/A</v>
      </c>
      <c r="CU102" s="11" t="e">
        <v>#N/A</v>
      </c>
      <c r="CV102" s="21" t="e">
        <f t="shared" ca="1" si="120"/>
        <v>#N/A</v>
      </c>
      <c r="CW102" s="16">
        <f t="shared" ca="1" si="119"/>
        <v>4.083333333333333</v>
      </c>
    </row>
    <row r="103" spans="1:101" s="5" customFormat="1" x14ac:dyDescent="0.35">
      <c r="A103" s="4" t="s">
        <v>127</v>
      </c>
      <c r="B103" s="4">
        <v>4.25</v>
      </c>
      <c r="C103" s="4" t="s">
        <v>168</v>
      </c>
      <c r="D103" s="4" t="s">
        <v>404</v>
      </c>
      <c r="E103" s="3"/>
      <c r="F103" s="5">
        <v>4</v>
      </c>
      <c r="G103" s="5">
        <v>4.0220000000000002</v>
      </c>
      <c r="H103" s="5">
        <v>4.0149999999999997</v>
      </c>
      <c r="I103" s="5">
        <v>4.016</v>
      </c>
      <c r="K103" s="3">
        <f t="shared" ca="1" si="121"/>
        <v>0.99550000000000005</v>
      </c>
      <c r="L103" s="3">
        <f t="shared" ca="1" si="121"/>
        <v>0.99850820487319736</v>
      </c>
      <c r="M103" s="3">
        <f t="shared" ca="1" si="121"/>
        <v>0.99601494396014967</v>
      </c>
      <c r="N103" s="3">
        <f t="shared" ca="1" si="121"/>
        <v>0.99576693227091628</v>
      </c>
      <c r="P103" s="3">
        <f t="shared" ca="1" si="122"/>
        <v>0.94925006246194243</v>
      </c>
      <c r="Q103" s="3">
        <f t="shared" ca="1" si="122"/>
        <v>0.93585276473285772</v>
      </c>
      <c r="R103" s="3">
        <f t="shared" ca="1" si="122"/>
        <v>0.91706101010190533</v>
      </c>
      <c r="S103" s="3">
        <f t="shared" ca="1" si="122"/>
        <v>0.9255478728147023</v>
      </c>
      <c r="U103" s="3">
        <f t="shared" ca="1" si="123"/>
        <v>2.25</v>
      </c>
      <c r="V103" s="3">
        <f t="shared" ca="1" si="123"/>
        <v>2.9835902536051715</v>
      </c>
      <c r="W103" s="3">
        <f t="shared" ca="1" si="123"/>
        <v>2.2415940224159403</v>
      </c>
      <c r="X103" s="3">
        <f t="shared" ca="1" si="123"/>
        <v>2.241035856573705</v>
      </c>
      <c r="Z103" s="3">
        <f t="shared" ca="1" si="124"/>
        <v>0.99550000000000005</v>
      </c>
      <c r="AA103" s="3">
        <f t="shared" ca="1" si="124"/>
        <v>0.99850820487319736</v>
      </c>
      <c r="AB103" s="3">
        <f t="shared" ca="1" si="124"/>
        <v>0.99601494396014967</v>
      </c>
      <c r="AC103" s="3">
        <f t="shared" ca="1" si="124"/>
        <v>0.99576693227091628</v>
      </c>
      <c r="AE103" s="3">
        <f t="shared" ca="1" si="125"/>
        <v>0.94925006246194243</v>
      </c>
      <c r="AF103" s="3">
        <f t="shared" ca="1" si="125"/>
        <v>0.93585276473285772</v>
      </c>
      <c r="AG103" s="3">
        <f t="shared" ca="1" si="125"/>
        <v>0.91706101010190533</v>
      </c>
      <c r="AH103" s="3">
        <f t="shared" ca="1" si="125"/>
        <v>0.9255478728147023</v>
      </c>
      <c r="AJ103" s="3">
        <f t="shared" ca="1" si="126"/>
        <v>2.25</v>
      </c>
      <c r="AK103" s="3">
        <f t="shared" ca="1" si="126"/>
        <v>2.9835902536051715</v>
      </c>
      <c r="AL103" s="3">
        <f t="shared" ca="1" si="126"/>
        <v>2.2415940224159403</v>
      </c>
      <c r="AM103" s="3">
        <f t="shared" ca="1" si="126"/>
        <v>2.241035856573705</v>
      </c>
      <c r="AO103" s="3">
        <f t="shared" ca="1" si="127"/>
        <v>0.25</v>
      </c>
      <c r="AP103" s="3">
        <f t="shared" ca="1" si="127"/>
        <v>0.24863252113376427</v>
      </c>
      <c r="AQ103" s="3">
        <f t="shared" ca="1" si="127"/>
        <v>0.24906600249066005</v>
      </c>
      <c r="AR103" s="3">
        <f t="shared" ca="1" si="127"/>
        <v>0.24900398406374502</v>
      </c>
      <c r="AT103" s="5">
        <v>9.9999997764825821E-3</v>
      </c>
      <c r="AU103" s="5">
        <v>3.7000000476837158E-2</v>
      </c>
      <c r="AV103" s="5">
        <v>2.0000000949949026E-3</v>
      </c>
      <c r="AW103" s="5">
        <v>1.3000000268220901E-2</v>
      </c>
      <c r="AY103" s="3">
        <f t="shared" ca="1" si="128"/>
        <v>0.26624999999999988</v>
      </c>
      <c r="AZ103" s="3">
        <f t="shared" ca="1" si="129"/>
        <v>9.1248135256091475E-2</v>
      </c>
      <c r="BA103" s="3">
        <f t="shared" ca="1" si="130"/>
        <v>0</v>
      </c>
      <c r="BB103" s="3">
        <f t="shared" ca="1" si="131"/>
        <v>5.0049800796812753E-2</v>
      </c>
      <c r="BD103" s="3">
        <f t="shared" ca="1" si="132"/>
        <v>0.30375000834465027</v>
      </c>
      <c r="BE103" s="3">
        <f t="shared" ca="1" si="133"/>
        <v>5.3953258982942447E-2</v>
      </c>
      <c r="BF103" s="3">
        <f t="shared" ca="1" si="134"/>
        <v>0</v>
      </c>
      <c r="BG103" s="3">
        <f t="shared" ca="1" si="135"/>
        <v>9.5617533494454926E-2</v>
      </c>
      <c r="BI103" s="3">
        <f t="shared" ca="1" si="136"/>
        <v>0.75</v>
      </c>
      <c r="BJ103" s="3">
        <f t="shared" ca="1" si="137"/>
        <v>0.24863252113376427</v>
      </c>
      <c r="BK103" s="3">
        <f t="shared" ca="1" si="138"/>
        <v>0</v>
      </c>
      <c r="BL103" s="3">
        <f t="shared" ca="1" si="139"/>
        <v>0.24900398406374502</v>
      </c>
      <c r="BN103" s="3">
        <f t="shared" ca="1" si="140"/>
        <v>1.25</v>
      </c>
      <c r="BO103" s="3">
        <f t="shared" ca="1" si="141"/>
        <v>0.99453008453505709</v>
      </c>
      <c r="BP103" s="3">
        <f t="shared" ca="1" si="142"/>
        <v>0</v>
      </c>
      <c r="BQ103" s="3">
        <f t="shared" ca="1" si="143"/>
        <v>0.74701195219123506</v>
      </c>
      <c r="BS103" s="5">
        <v>0.50999999046325684</v>
      </c>
      <c r="BT103" s="5">
        <v>1.3029999732971191</v>
      </c>
      <c r="BU103" s="5">
        <v>4.0149999999999997</v>
      </c>
      <c r="BV103" s="5">
        <v>1.3000000268220901E-2</v>
      </c>
      <c r="BX103" s="3">
        <f t="shared" ca="1" si="144"/>
        <v>0.36649999999999994</v>
      </c>
      <c r="BY103" s="3">
        <f t="shared" ca="1" si="145"/>
        <v>6.2158130283441068E-2</v>
      </c>
      <c r="BZ103" s="3">
        <f t="shared" ca="1" si="146"/>
        <v>0</v>
      </c>
      <c r="CA103" s="3">
        <f t="shared" ca="1" si="147"/>
        <v>0</v>
      </c>
      <c r="CC103" s="3">
        <f t="shared" ca="1" si="148"/>
        <v>0.375</v>
      </c>
      <c r="CD103" s="3">
        <f t="shared" ca="1" si="149"/>
        <v>6.2158130283441068E-2</v>
      </c>
      <c r="CE103" s="3">
        <f t="shared" ca="1" si="150"/>
        <v>0</v>
      </c>
      <c r="CF103" s="3">
        <f t="shared" ca="1" si="151"/>
        <v>0</v>
      </c>
      <c r="CH103" s="3">
        <f t="shared" ca="1" si="152"/>
        <v>0.5</v>
      </c>
      <c r="CI103" s="3">
        <f t="shared" ca="1" si="153"/>
        <v>0.24863252113376427</v>
      </c>
      <c r="CJ103" s="3">
        <f t="shared" ca="1" si="154"/>
        <v>0</v>
      </c>
      <c r="CK103" s="3">
        <f t="shared" ca="1" si="155"/>
        <v>0</v>
      </c>
      <c r="CM103" s="3">
        <f t="shared" ca="1" si="156"/>
        <v>0.5</v>
      </c>
      <c r="CN103" s="3">
        <f t="shared" ca="1" si="157"/>
        <v>0.24863252113376427</v>
      </c>
      <c r="CO103" s="3">
        <f t="shared" ca="1" si="158"/>
        <v>0</v>
      </c>
      <c r="CP103" s="3">
        <f t="shared" ca="1" si="159"/>
        <v>0</v>
      </c>
      <c r="CR103" s="5">
        <v>2.4760000705718994</v>
      </c>
      <c r="CS103" s="5">
        <v>3.6359999179840088</v>
      </c>
      <c r="CT103" s="5">
        <v>4.0149999999999997</v>
      </c>
      <c r="CU103" s="5">
        <v>4.016</v>
      </c>
      <c r="CV103" s="21">
        <f t="shared" ca="1" si="120"/>
        <v>4.016</v>
      </c>
      <c r="CW103" s="16">
        <f t="shared" ca="1" si="119"/>
        <v>4.25</v>
      </c>
    </row>
    <row r="104" spans="1:101" s="5" customFormat="1" x14ac:dyDescent="0.35">
      <c r="A104" s="4" t="s">
        <v>106</v>
      </c>
      <c r="B104" s="4">
        <v>4.583333333333333</v>
      </c>
      <c r="C104" s="4" t="s">
        <v>167</v>
      </c>
      <c r="D104" s="4" t="s">
        <v>404</v>
      </c>
      <c r="E104" s="3"/>
      <c r="F104" s="5">
        <v>4.016</v>
      </c>
      <c r="G104" s="5">
        <v>4.016</v>
      </c>
      <c r="H104" s="5">
        <v>4.0149999999999997</v>
      </c>
      <c r="I104" s="5">
        <v>4.016</v>
      </c>
      <c r="K104" s="3">
        <f t="shared" ca="1" si="121"/>
        <v>0.83789840637450208</v>
      </c>
      <c r="L104" s="3">
        <f t="shared" ca="1" si="121"/>
        <v>0.82993027888446225</v>
      </c>
      <c r="M104" s="3">
        <f t="shared" ca="1" si="121"/>
        <v>0.99576587795765892</v>
      </c>
      <c r="N104" s="3">
        <f t="shared" ca="1" si="121"/>
        <v>0.99576693227091639</v>
      </c>
      <c r="P104" s="3">
        <f t="shared" ca="1" si="122"/>
        <v>0.76319728477067683</v>
      </c>
      <c r="Q104" s="3">
        <f t="shared" ca="1" si="122"/>
        <v>0.80054778739275689</v>
      </c>
      <c r="R104" s="3">
        <f t="shared" ca="1" si="122"/>
        <v>0.96662521906252752</v>
      </c>
      <c r="S104" s="3">
        <f t="shared" ca="1" si="122"/>
        <v>0.93750007018313342</v>
      </c>
      <c r="U104" s="3">
        <f t="shared" ca="1" si="123"/>
        <v>2.241035856573705</v>
      </c>
      <c r="V104" s="3">
        <f t="shared" ca="1" si="123"/>
        <v>1.7430278884462151</v>
      </c>
      <c r="W104" s="3">
        <f t="shared" ca="1" si="123"/>
        <v>1.9925280199252804</v>
      </c>
      <c r="X104" s="3">
        <f t="shared" ca="1" si="123"/>
        <v>1.9920318725099602</v>
      </c>
      <c r="Z104" s="3">
        <f t="shared" ca="1" si="124"/>
        <v>0.82544820717131473</v>
      </c>
      <c r="AA104" s="3">
        <f t="shared" ca="1" si="124"/>
        <v>0.82993027888446225</v>
      </c>
      <c r="AB104" s="3">
        <f t="shared" ca="1" si="124"/>
        <v>0.99576587795765892</v>
      </c>
      <c r="AC104" s="3">
        <f t="shared" ca="1" si="124"/>
        <v>0.99576693227091639</v>
      </c>
      <c r="AE104" s="3">
        <f t="shared" ca="1" si="125"/>
        <v>0.76319728477067683</v>
      </c>
      <c r="AF104" s="3">
        <f t="shared" ca="1" si="125"/>
        <v>0.80054778739275689</v>
      </c>
      <c r="AG104" s="3">
        <f t="shared" ca="1" si="125"/>
        <v>0.96662521906252752</v>
      </c>
      <c r="AH104" s="3">
        <f t="shared" ca="1" si="125"/>
        <v>0.93750007018313342</v>
      </c>
      <c r="AJ104" s="3">
        <f t="shared" ca="1" si="126"/>
        <v>2.241035856573705</v>
      </c>
      <c r="AK104" s="3">
        <f t="shared" ca="1" si="126"/>
        <v>1.7430278884462151</v>
      </c>
      <c r="AL104" s="3">
        <f t="shared" ca="1" si="126"/>
        <v>1.9925280199252804</v>
      </c>
      <c r="AM104" s="3">
        <f t="shared" ca="1" si="126"/>
        <v>1.9920318725099602</v>
      </c>
      <c r="AO104" s="3">
        <f t="shared" ca="1" si="127"/>
        <v>0.24900398406374502</v>
      </c>
      <c r="AP104" s="3">
        <f t="shared" ca="1" si="127"/>
        <v>0.24900398406374502</v>
      </c>
      <c r="AQ104" s="3">
        <f t="shared" ca="1" si="127"/>
        <v>0.24906600249066005</v>
      </c>
      <c r="AR104" s="3">
        <f t="shared" ca="1" si="127"/>
        <v>0.24900398406374502</v>
      </c>
      <c r="AT104" s="5">
        <v>0.70899999141693115</v>
      </c>
      <c r="AU104" s="5">
        <v>0.68400001525878906</v>
      </c>
      <c r="AV104" s="5">
        <v>2.0000000949949026E-3</v>
      </c>
      <c r="AW104" s="5">
        <v>1.4000000432133675E-2</v>
      </c>
      <c r="AY104" s="3">
        <f t="shared" ca="1" si="128"/>
        <v>0.37724103585657381</v>
      </c>
      <c r="AZ104" s="3">
        <f t="shared" ca="1" si="129"/>
        <v>0.38570717131474108</v>
      </c>
      <c r="BA104" s="3">
        <f t="shared" ca="1" si="130"/>
        <v>0.25305105853051074</v>
      </c>
      <c r="BB104" s="3">
        <f t="shared" ca="1" si="131"/>
        <v>0.48505976095617531</v>
      </c>
      <c r="BD104" s="3">
        <f t="shared" ca="1" si="132"/>
        <v>0.36080683251301132</v>
      </c>
      <c r="BE104" s="3">
        <f t="shared" ca="1" si="133"/>
        <v>0.35657371539043714</v>
      </c>
      <c r="BF104" s="3">
        <f t="shared" ca="1" si="134"/>
        <v>5.8032373711002873E-2</v>
      </c>
      <c r="BG104" s="3">
        <f t="shared" ca="1" si="135"/>
        <v>0.45194227500740752</v>
      </c>
      <c r="BI104" s="3">
        <f t="shared" ca="1" si="136"/>
        <v>0.99601593625498008</v>
      </c>
      <c r="BJ104" s="3">
        <f t="shared" ca="1" si="137"/>
        <v>0.74701195219123506</v>
      </c>
      <c r="BK104" s="3">
        <f t="shared" ca="1" si="138"/>
        <v>0.24906600249066005</v>
      </c>
      <c r="BL104" s="3">
        <f t="shared" ca="1" si="139"/>
        <v>0.99601593625498008</v>
      </c>
      <c r="BN104" s="3">
        <f t="shared" ca="1" si="140"/>
        <v>1.2450199203187251</v>
      </c>
      <c r="BO104" s="3">
        <f t="shared" ca="1" si="141"/>
        <v>0.74701195219123506</v>
      </c>
      <c r="BP104" s="3">
        <f t="shared" ca="1" si="142"/>
        <v>1.2453300124533002</v>
      </c>
      <c r="BQ104" s="3">
        <f t="shared" ca="1" si="143"/>
        <v>0.99601593625498008</v>
      </c>
      <c r="BS104" s="5">
        <v>0.70899999141693115</v>
      </c>
      <c r="BT104" s="5">
        <v>0.68400001525878906</v>
      </c>
      <c r="BU104" s="5">
        <v>0.63499999046325684</v>
      </c>
      <c r="BV104" s="5">
        <v>1.3140000104904175</v>
      </c>
      <c r="BX104" s="3">
        <f t="shared" ca="1" si="144"/>
        <v>0</v>
      </c>
      <c r="BY104" s="3">
        <f t="shared" ca="1" si="145"/>
        <v>0</v>
      </c>
      <c r="BZ104" s="3">
        <f t="shared" ca="1" si="146"/>
        <v>0</v>
      </c>
      <c r="CA104" s="3">
        <f t="shared" ca="1" si="147"/>
        <v>0</v>
      </c>
      <c r="CC104" s="3">
        <f t="shared" ca="1" si="148"/>
        <v>0</v>
      </c>
      <c r="CD104" s="3">
        <f t="shared" ca="1" si="149"/>
        <v>0</v>
      </c>
      <c r="CE104" s="3">
        <f t="shared" ca="1" si="150"/>
        <v>0</v>
      </c>
      <c r="CF104" s="3">
        <f t="shared" ca="1" si="151"/>
        <v>0</v>
      </c>
      <c r="CH104" s="3">
        <f t="shared" ca="1" si="152"/>
        <v>0</v>
      </c>
      <c r="CI104" s="3">
        <f t="shared" ca="1" si="153"/>
        <v>0</v>
      </c>
      <c r="CJ104" s="3">
        <f t="shared" ca="1" si="154"/>
        <v>0</v>
      </c>
      <c r="CK104" s="3">
        <f t="shared" ca="1" si="155"/>
        <v>0</v>
      </c>
      <c r="CM104" s="3">
        <f t="shared" ca="1" si="156"/>
        <v>0</v>
      </c>
      <c r="CN104" s="3">
        <f t="shared" ca="1" si="157"/>
        <v>0</v>
      </c>
      <c r="CO104" s="3">
        <f t="shared" ca="1" si="158"/>
        <v>0</v>
      </c>
      <c r="CP104" s="3">
        <f t="shared" ca="1" si="159"/>
        <v>0</v>
      </c>
      <c r="CR104" s="5">
        <v>4.016</v>
      </c>
      <c r="CS104" s="5">
        <v>4.016</v>
      </c>
      <c r="CT104" s="5">
        <v>4.0149999999999997</v>
      </c>
      <c r="CU104" s="5">
        <v>4.016</v>
      </c>
      <c r="CV104" s="21">
        <f t="shared" ca="1" si="120"/>
        <v>4.016</v>
      </c>
      <c r="CW104" s="16">
        <f t="shared" ca="1" si="119"/>
        <v>4.583333333333333</v>
      </c>
    </row>
    <row r="105" spans="1:101" s="5" customFormat="1" x14ac:dyDescent="0.35">
      <c r="A105" s="4" t="s">
        <v>107</v>
      </c>
      <c r="B105" s="4">
        <v>4.583333333333333</v>
      </c>
      <c r="C105" s="4" t="s">
        <v>168</v>
      </c>
      <c r="D105" s="4" t="s">
        <v>404</v>
      </c>
      <c r="E105" s="3"/>
      <c r="F105" s="5">
        <v>3.0060000000000002</v>
      </c>
      <c r="G105" s="11" t="e">
        <v>#N/A</v>
      </c>
      <c r="H105" s="5" t="e">
        <v>#N/A</v>
      </c>
      <c r="I105" s="11" t="e">
        <v>#N/A</v>
      </c>
      <c r="K105" s="3">
        <f t="shared" ca="1" si="121"/>
        <v>0.99800399201596801</v>
      </c>
      <c r="L105" s="3" t="e">
        <f t="shared" ca="1" si="121"/>
        <v>#N/A</v>
      </c>
      <c r="M105" s="3" t="e">
        <f t="shared" ca="1" si="121"/>
        <v>#N/A</v>
      </c>
      <c r="N105" s="3" t="e">
        <f t="shared" ca="1" si="121"/>
        <v>#N/A</v>
      </c>
      <c r="P105" s="3">
        <f t="shared" ca="1" si="122"/>
        <v>0.34930142099985817</v>
      </c>
      <c r="Q105" s="3" t="e">
        <f t="shared" ca="1" si="122"/>
        <v>#N/A</v>
      </c>
      <c r="R105" s="3" t="e">
        <f t="shared" ca="1" si="122"/>
        <v>#N/A</v>
      </c>
      <c r="S105" s="3" t="e">
        <f t="shared" ca="1" si="122"/>
        <v>#N/A</v>
      </c>
      <c r="U105" s="3">
        <f t="shared" ca="1" si="123"/>
        <v>2.328675981370592</v>
      </c>
      <c r="V105" s="3" t="e">
        <f t="shared" ca="1" si="123"/>
        <v>#N/A</v>
      </c>
      <c r="W105" s="3" t="e">
        <f t="shared" ca="1" si="123"/>
        <v>#N/A</v>
      </c>
      <c r="X105" s="3" t="e">
        <f t="shared" ca="1" si="123"/>
        <v>#N/A</v>
      </c>
      <c r="Z105" s="3">
        <f t="shared" ca="1" si="124"/>
        <v>0.68762475049900218</v>
      </c>
      <c r="AA105" s="3" t="e">
        <f t="shared" ca="1" si="124"/>
        <v>#N/A</v>
      </c>
      <c r="AB105" s="3" t="e">
        <f t="shared" ca="1" si="124"/>
        <v>#N/A</v>
      </c>
      <c r="AC105" s="3" t="e">
        <f t="shared" ca="1" si="124"/>
        <v>#N/A</v>
      </c>
      <c r="AE105" s="3">
        <f t="shared" ca="1" si="125"/>
        <v>0.34930142099985817</v>
      </c>
      <c r="AF105" s="3" t="e">
        <f t="shared" ca="1" si="125"/>
        <v>#N/A</v>
      </c>
      <c r="AG105" s="3" t="e">
        <f t="shared" ca="1" si="125"/>
        <v>#N/A</v>
      </c>
      <c r="AH105" s="3" t="e">
        <f t="shared" ca="1" si="125"/>
        <v>#N/A</v>
      </c>
      <c r="AJ105" s="3">
        <f t="shared" ca="1" si="126"/>
        <v>2.328675981370592</v>
      </c>
      <c r="AK105" s="3" t="e">
        <f t="shared" ca="1" si="126"/>
        <v>#N/A</v>
      </c>
      <c r="AL105" s="3" t="e">
        <f t="shared" ca="1" si="126"/>
        <v>#N/A</v>
      </c>
      <c r="AM105" s="3" t="e">
        <f t="shared" ca="1" si="126"/>
        <v>#N/A</v>
      </c>
      <c r="AO105" s="3">
        <f t="shared" ca="1" si="127"/>
        <v>1.6633399866932799</v>
      </c>
      <c r="AP105" s="3" t="e">
        <f t="shared" ca="1" si="127"/>
        <v>#N/A</v>
      </c>
      <c r="AQ105" s="3" t="e">
        <f t="shared" ca="1" si="127"/>
        <v>#N/A</v>
      </c>
      <c r="AR105" s="3" t="e">
        <f t="shared" ca="1" si="127"/>
        <v>#N/A</v>
      </c>
      <c r="AT105" s="5">
        <v>1.3370000123977661</v>
      </c>
      <c r="AU105" s="11" t="e">
        <v>#N/A</v>
      </c>
      <c r="AV105" s="5">
        <v>0.48399999737739563</v>
      </c>
      <c r="AW105" s="11" t="e">
        <v>#N/A</v>
      </c>
      <c r="AY105" s="3">
        <f t="shared" ca="1" si="128"/>
        <v>0</v>
      </c>
      <c r="AZ105" s="3" t="e">
        <f t="shared" ca="1" si="129"/>
        <v>#N/A</v>
      </c>
      <c r="BA105" s="3" t="e">
        <f t="shared" ca="1" si="130"/>
        <v>#N/A</v>
      </c>
      <c r="BB105" s="3" t="e">
        <f t="shared" ca="1" si="131"/>
        <v>#N/A</v>
      </c>
      <c r="BD105" s="3">
        <f t="shared" ca="1" si="132"/>
        <v>0</v>
      </c>
      <c r="BE105" s="3" t="e">
        <f t="shared" ca="1" si="133"/>
        <v>#N/A</v>
      </c>
      <c r="BF105" s="3" t="e">
        <f t="shared" ca="1" si="134"/>
        <v>#N/A</v>
      </c>
      <c r="BG105" s="3" t="e">
        <f t="shared" ca="1" si="135"/>
        <v>#N/A</v>
      </c>
      <c r="BI105" s="3">
        <f t="shared" ca="1" si="136"/>
        <v>0</v>
      </c>
      <c r="BJ105" s="3" t="e">
        <f t="shared" ca="1" si="137"/>
        <v>#N/A</v>
      </c>
      <c r="BK105" s="3" t="e">
        <f t="shared" ca="1" si="138"/>
        <v>#N/A</v>
      </c>
      <c r="BL105" s="3" t="e">
        <f t="shared" ca="1" si="139"/>
        <v>#N/A</v>
      </c>
      <c r="BN105" s="3">
        <f t="shared" ca="1" si="140"/>
        <v>0.33266799733865599</v>
      </c>
      <c r="BO105" s="3" t="e">
        <f t="shared" ca="1" si="141"/>
        <v>#N/A</v>
      </c>
      <c r="BP105" s="3" t="e">
        <f t="shared" ca="1" si="142"/>
        <v>#N/A</v>
      </c>
      <c r="BQ105" s="3" t="e">
        <f t="shared" ca="1" si="143"/>
        <v>#N/A</v>
      </c>
      <c r="BS105" s="5">
        <v>4.0090000000000003</v>
      </c>
      <c r="BT105" s="11" t="e">
        <v>#N/A</v>
      </c>
      <c r="BU105" s="5">
        <v>4.016</v>
      </c>
      <c r="BV105" s="11" t="e">
        <v>#N/A</v>
      </c>
      <c r="BX105" s="3">
        <f t="shared" ca="1" si="144"/>
        <v>0</v>
      </c>
      <c r="BY105" s="3" t="e">
        <f t="shared" ca="1" si="145"/>
        <v>#N/A</v>
      </c>
      <c r="BZ105" s="3" t="e">
        <f t="shared" ca="1" si="146"/>
        <v>#N/A</v>
      </c>
      <c r="CA105" s="3" t="e">
        <f t="shared" ca="1" si="147"/>
        <v>#N/A</v>
      </c>
      <c r="CC105" s="3">
        <f t="shared" ca="1" si="148"/>
        <v>0</v>
      </c>
      <c r="CD105" s="3" t="e">
        <f t="shared" ca="1" si="149"/>
        <v>#N/A</v>
      </c>
      <c r="CE105" s="3" t="e">
        <f t="shared" ca="1" si="150"/>
        <v>#N/A</v>
      </c>
      <c r="CF105" s="3" t="e">
        <f t="shared" ca="1" si="151"/>
        <v>#N/A</v>
      </c>
      <c r="CH105" s="3">
        <f t="shared" ca="1" si="152"/>
        <v>0</v>
      </c>
      <c r="CI105" s="3" t="e">
        <f t="shared" ca="1" si="153"/>
        <v>#N/A</v>
      </c>
      <c r="CJ105" s="3" t="e">
        <f t="shared" ca="1" si="154"/>
        <v>#N/A</v>
      </c>
      <c r="CK105" s="3" t="e">
        <f t="shared" ca="1" si="155"/>
        <v>#N/A</v>
      </c>
      <c r="CM105" s="3">
        <f t="shared" ca="1" si="156"/>
        <v>0</v>
      </c>
      <c r="CN105" s="3" t="e">
        <f t="shared" ca="1" si="157"/>
        <v>#N/A</v>
      </c>
      <c r="CO105" s="3" t="e">
        <f t="shared" ca="1" si="158"/>
        <v>#N/A</v>
      </c>
      <c r="CP105" s="3" t="e">
        <f t="shared" ca="1" si="159"/>
        <v>#N/A</v>
      </c>
      <c r="CR105" s="5">
        <v>4.0090000000000003</v>
      </c>
      <c r="CS105" s="11" t="e">
        <v>#N/A</v>
      </c>
      <c r="CT105" s="5">
        <v>4.016</v>
      </c>
      <c r="CU105" s="11" t="e">
        <v>#N/A</v>
      </c>
      <c r="CV105" s="21" t="e">
        <f t="shared" ca="1" si="120"/>
        <v>#N/A</v>
      </c>
      <c r="CW105" s="16">
        <f t="shared" ca="1" si="119"/>
        <v>4.583333333333333</v>
      </c>
    </row>
    <row r="106" spans="1:101" s="5" customFormat="1" x14ac:dyDescent="0.35">
      <c r="A106" s="4" t="s">
        <v>113</v>
      </c>
      <c r="B106" s="4">
        <v>4.583333333333333</v>
      </c>
      <c r="C106" s="4" t="s">
        <v>167</v>
      </c>
      <c r="D106" s="4" t="s">
        <v>404</v>
      </c>
      <c r="E106" s="3"/>
      <c r="F106" s="5" t="e">
        <v>#N/A</v>
      </c>
      <c r="G106" s="5">
        <v>4.0149999999999997</v>
      </c>
      <c r="H106" s="11" t="e">
        <v>#N/A</v>
      </c>
      <c r="I106" s="5" t="e">
        <v>#N/A</v>
      </c>
      <c r="K106" s="3" t="e">
        <f t="shared" ca="1" si="121"/>
        <v>#N/A</v>
      </c>
      <c r="L106" s="3">
        <f t="shared" ca="1" si="121"/>
        <v>0.98381070983810714</v>
      </c>
      <c r="M106" s="3" t="e">
        <f t="shared" ca="1" si="121"/>
        <v>#N/A</v>
      </c>
      <c r="N106" s="3" t="e">
        <f t="shared" ca="1" si="121"/>
        <v>#N/A</v>
      </c>
      <c r="P106" s="3" t="e">
        <f t="shared" ca="1" si="122"/>
        <v>#N/A</v>
      </c>
      <c r="Q106" s="3">
        <f t="shared" ca="1" si="122"/>
        <v>0.95541717143611038</v>
      </c>
      <c r="R106" s="3" t="e">
        <f t="shared" ca="1" si="122"/>
        <v>#N/A</v>
      </c>
      <c r="S106" s="3" t="e">
        <f t="shared" ca="1" si="122"/>
        <v>#N/A</v>
      </c>
      <c r="U106" s="3" t="e">
        <f t="shared" ca="1" si="123"/>
        <v>#N/A</v>
      </c>
      <c r="V106" s="3">
        <f t="shared" ca="1" si="123"/>
        <v>1.9925280199252804</v>
      </c>
      <c r="W106" s="3" t="e">
        <f t="shared" ca="1" si="123"/>
        <v>#N/A</v>
      </c>
      <c r="X106" s="3" t="e">
        <f t="shared" ca="1" si="123"/>
        <v>#N/A</v>
      </c>
      <c r="Z106" s="3" t="e">
        <f t="shared" ca="1" si="124"/>
        <v>#N/A</v>
      </c>
      <c r="AA106" s="3">
        <f t="shared" ca="1" si="124"/>
        <v>0.98381070983810714</v>
      </c>
      <c r="AB106" s="3" t="e">
        <f t="shared" ca="1" si="124"/>
        <v>#N/A</v>
      </c>
      <c r="AC106" s="3" t="e">
        <f t="shared" ca="1" si="124"/>
        <v>#N/A</v>
      </c>
      <c r="AE106" s="3" t="e">
        <f t="shared" ca="1" si="125"/>
        <v>#N/A</v>
      </c>
      <c r="AF106" s="3">
        <f t="shared" ca="1" si="125"/>
        <v>0.95541717143611038</v>
      </c>
      <c r="AG106" s="3" t="e">
        <f t="shared" ca="1" si="125"/>
        <v>#N/A</v>
      </c>
      <c r="AH106" s="3" t="e">
        <f t="shared" ca="1" si="125"/>
        <v>#N/A</v>
      </c>
      <c r="AJ106" s="3" t="e">
        <f t="shared" ca="1" si="126"/>
        <v>#N/A</v>
      </c>
      <c r="AK106" s="3">
        <f t="shared" ca="1" si="126"/>
        <v>1.9925280199252804</v>
      </c>
      <c r="AL106" s="3" t="e">
        <f t="shared" ca="1" si="126"/>
        <v>#N/A</v>
      </c>
      <c r="AM106" s="3" t="e">
        <f t="shared" ca="1" si="126"/>
        <v>#N/A</v>
      </c>
      <c r="AO106" s="3" t="e">
        <f t="shared" ca="1" si="127"/>
        <v>#N/A</v>
      </c>
      <c r="AP106" s="3">
        <f t="shared" ca="1" si="127"/>
        <v>0.24906600249066005</v>
      </c>
      <c r="AQ106" s="3" t="e">
        <f t="shared" ca="1" si="127"/>
        <v>#N/A</v>
      </c>
      <c r="AR106" s="3" t="e">
        <f t="shared" ca="1" si="127"/>
        <v>#N/A</v>
      </c>
      <c r="AT106" s="5">
        <v>1.6399999856948853</v>
      </c>
      <c r="AU106" s="5">
        <v>1.0999999940395355E-2</v>
      </c>
      <c r="AV106" s="11" t="e">
        <v>#N/A</v>
      </c>
      <c r="AW106" s="11" t="e">
        <v>#N/A</v>
      </c>
      <c r="AY106" s="3" t="e">
        <f t="shared" ca="1" si="128"/>
        <v>#N/A</v>
      </c>
      <c r="AZ106" s="3">
        <f t="shared" ca="1" si="129"/>
        <v>0.37334993773349934</v>
      </c>
      <c r="BA106" s="3" t="e">
        <f t="shared" ca="1" si="130"/>
        <v>#N/A</v>
      </c>
      <c r="BB106" s="3" t="e">
        <f t="shared" ca="1" si="131"/>
        <v>#N/A</v>
      </c>
      <c r="BD106" s="3" t="e">
        <f t="shared" ca="1" si="132"/>
        <v>#N/A</v>
      </c>
      <c r="BE106" s="3">
        <f t="shared" ca="1" si="133"/>
        <v>0.4278953909725508</v>
      </c>
      <c r="BF106" s="3" t="e">
        <f t="shared" ca="1" si="134"/>
        <v>#N/A</v>
      </c>
      <c r="BG106" s="3" t="e">
        <f t="shared" ca="1" si="135"/>
        <v>#N/A</v>
      </c>
      <c r="BI106" s="3" t="e">
        <f t="shared" ca="1" si="136"/>
        <v>#N/A</v>
      </c>
      <c r="BJ106" s="3">
        <f t="shared" ca="1" si="137"/>
        <v>0.9962640099626402</v>
      </c>
      <c r="BK106" s="3" t="e">
        <f t="shared" ca="1" si="138"/>
        <v>#N/A</v>
      </c>
      <c r="BL106" s="3" t="e">
        <f t="shared" ca="1" si="139"/>
        <v>#N/A</v>
      </c>
      <c r="BN106" s="3" t="e">
        <f t="shared" ca="1" si="140"/>
        <v>#N/A</v>
      </c>
      <c r="BO106" s="3">
        <f t="shared" ca="1" si="141"/>
        <v>0.74719800747198017</v>
      </c>
      <c r="BP106" s="3" t="e">
        <f t="shared" ca="1" si="142"/>
        <v>#N/A</v>
      </c>
      <c r="BQ106" s="3" t="e">
        <f t="shared" ca="1" si="143"/>
        <v>#N/A</v>
      </c>
      <c r="BS106" s="5">
        <v>2.7390000820159912</v>
      </c>
      <c r="BT106" s="5">
        <v>0.81099998950958252</v>
      </c>
      <c r="BU106" s="11" t="e">
        <v>#N/A</v>
      </c>
      <c r="BV106" s="11" t="e">
        <v>#N/A</v>
      </c>
      <c r="BX106" s="3" t="e">
        <f t="shared" ca="1" si="144"/>
        <v>#N/A</v>
      </c>
      <c r="BY106" s="3">
        <f t="shared" ca="1" si="145"/>
        <v>0</v>
      </c>
      <c r="BZ106" s="3" t="e">
        <f t="shared" ca="1" si="146"/>
        <v>#N/A</v>
      </c>
      <c r="CA106" s="3" t="e">
        <f t="shared" ca="1" si="147"/>
        <v>#N/A</v>
      </c>
      <c r="CC106" s="3" t="e">
        <f t="shared" ca="1" si="148"/>
        <v>#N/A</v>
      </c>
      <c r="CD106" s="3">
        <f t="shared" ca="1" si="149"/>
        <v>0</v>
      </c>
      <c r="CE106" s="3" t="e">
        <f t="shared" ca="1" si="150"/>
        <v>#N/A</v>
      </c>
      <c r="CF106" s="3" t="e">
        <f t="shared" ca="1" si="151"/>
        <v>#N/A</v>
      </c>
      <c r="CH106" s="3" t="e">
        <f t="shared" ca="1" si="152"/>
        <v>#N/A</v>
      </c>
      <c r="CI106" s="3">
        <f t="shared" ca="1" si="153"/>
        <v>0</v>
      </c>
      <c r="CJ106" s="3" t="e">
        <f t="shared" ca="1" si="154"/>
        <v>#N/A</v>
      </c>
      <c r="CK106" s="3" t="e">
        <f t="shared" ca="1" si="155"/>
        <v>#N/A</v>
      </c>
      <c r="CM106" s="3" t="e">
        <f t="shared" ca="1" si="156"/>
        <v>#N/A</v>
      </c>
      <c r="CN106" s="3">
        <f t="shared" ca="1" si="157"/>
        <v>0</v>
      </c>
      <c r="CO106" s="3" t="e">
        <f t="shared" ca="1" si="158"/>
        <v>#N/A</v>
      </c>
      <c r="CP106" s="3" t="e">
        <f t="shared" ca="1" si="159"/>
        <v>#N/A</v>
      </c>
      <c r="CR106" s="5">
        <v>4.0149999999999997</v>
      </c>
      <c r="CS106" s="5">
        <v>4.0149999999999997</v>
      </c>
      <c r="CT106" s="11" t="e">
        <v>#N/A</v>
      </c>
      <c r="CU106" s="11" t="e">
        <v>#N/A</v>
      </c>
      <c r="CV106" s="21" t="e">
        <f t="shared" ca="1" si="120"/>
        <v>#N/A</v>
      </c>
      <c r="CW106" s="16">
        <f t="shared" ca="1" si="119"/>
        <v>4.583333333333333</v>
      </c>
    </row>
    <row r="107" spans="1:101" s="5" customFormat="1" x14ac:dyDescent="0.35">
      <c r="A107" s="4" t="s">
        <v>153</v>
      </c>
      <c r="B107" s="4">
        <v>5</v>
      </c>
      <c r="C107" s="4" t="s">
        <v>168</v>
      </c>
      <c r="D107" s="4" t="s">
        <v>404</v>
      </c>
      <c r="E107" s="3"/>
      <c r="F107" s="5" t="e">
        <v>#N/A</v>
      </c>
      <c r="G107" s="5" t="e">
        <v>#N/A</v>
      </c>
      <c r="H107" s="5">
        <v>4.01</v>
      </c>
      <c r="I107" s="5">
        <v>3.024</v>
      </c>
      <c r="K107" s="3" t="e">
        <f t="shared" ca="1" si="121"/>
        <v>#N/A</v>
      </c>
      <c r="L107" s="3" t="e">
        <f t="shared" ca="1" si="121"/>
        <v>#N/A</v>
      </c>
      <c r="M107" s="3">
        <f t="shared" ca="1" si="121"/>
        <v>0.90598503740648384</v>
      </c>
      <c r="N107" s="3">
        <f t="shared" ca="1" si="121"/>
        <v>0.99735449735449733</v>
      </c>
      <c r="P107" s="3" t="e">
        <f t="shared" ca="1" si="122"/>
        <v>#N/A</v>
      </c>
      <c r="Q107" s="3" t="e">
        <f t="shared" ca="1" si="122"/>
        <v>#N/A</v>
      </c>
      <c r="R107" s="3">
        <f t="shared" ca="1" si="122"/>
        <v>0.86483800054488347</v>
      </c>
      <c r="S107" s="3">
        <f t="shared" ca="1" si="122"/>
        <v>0.94212958787533418</v>
      </c>
      <c r="U107" s="3" t="e">
        <f t="shared" ca="1" si="123"/>
        <v>#N/A</v>
      </c>
      <c r="V107" s="3" t="e">
        <f t="shared" ca="1" si="123"/>
        <v>#N/A</v>
      </c>
      <c r="W107" s="3">
        <f t="shared" ca="1" si="123"/>
        <v>2.4937655860349128</v>
      </c>
      <c r="X107" s="3">
        <f t="shared" ca="1" si="123"/>
        <v>1.6534391534391535</v>
      </c>
      <c r="Z107" s="3" t="e">
        <f t="shared" ca="1" si="124"/>
        <v>#N/A</v>
      </c>
      <c r="AA107" s="3" t="e">
        <f t="shared" ca="1" si="124"/>
        <v>#N/A</v>
      </c>
      <c r="AB107" s="3">
        <f t="shared" ca="1" si="124"/>
        <v>0.81446384039900266</v>
      </c>
      <c r="AC107" s="3">
        <f t="shared" ca="1" si="124"/>
        <v>0.99735449735449733</v>
      </c>
      <c r="AE107" s="3" t="e">
        <f t="shared" ca="1" si="125"/>
        <v>#N/A</v>
      </c>
      <c r="AF107" s="3" t="e">
        <f t="shared" ca="1" si="125"/>
        <v>#N/A</v>
      </c>
      <c r="AG107" s="3">
        <f t="shared" ca="1" si="125"/>
        <v>0.81097264390931167</v>
      </c>
      <c r="AH107" s="3">
        <f t="shared" ca="1" si="125"/>
        <v>0.94212958787533418</v>
      </c>
      <c r="AJ107" s="3" t="e">
        <f t="shared" ca="1" si="126"/>
        <v>#N/A</v>
      </c>
      <c r="AK107" s="3" t="e">
        <f t="shared" ca="1" si="126"/>
        <v>#N/A</v>
      </c>
      <c r="AL107" s="3">
        <f t="shared" ca="1" si="126"/>
        <v>2.2443890274314215</v>
      </c>
      <c r="AM107" s="3">
        <f t="shared" ca="1" si="126"/>
        <v>1.6534391534391535</v>
      </c>
      <c r="AO107" s="3" t="e">
        <f t="shared" ca="1" si="127"/>
        <v>#N/A</v>
      </c>
      <c r="AP107" s="3" t="e">
        <f t="shared" ca="1" si="127"/>
        <v>#N/A</v>
      </c>
      <c r="AQ107" s="3">
        <f t="shared" ca="1" si="127"/>
        <v>0.49875311720698257</v>
      </c>
      <c r="AR107" s="3">
        <f t="shared" ca="1" si="127"/>
        <v>0.3306878306878307</v>
      </c>
      <c r="AT107" s="11" t="e">
        <v>#N/A</v>
      </c>
      <c r="AU107" s="5">
        <v>6.1999998986721039E-2</v>
      </c>
      <c r="AV107" s="5">
        <v>0.37299999594688416</v>
      </c>
      <c r="AW107" s="5">
        <v>8.0000003799796104E-3</v>
      </c>
      <c r="AY107" s="3" t="e">
        <f t="shared" ca="1" si="128"/>
        <v>#N/A</v>
      </c>
      <c r="AZ107" s="3" t="e">
        <f t="shared" ca="1" si="129"/>
        <v>#N/A</v>
      </c>
      <c r="BA107" s="3">
        <f t="shared" ca="1" si="130"/>
        <v>0.42394014962593518</v>
      </c>
      <c r="BB107" s="3">
        <f t="shared" ca="1" si="131"/>
        <v>0.18187830687830697</v>
      </c>
      <c r="BD107" s="3" t="e">
        <f t="shared" ca="1" si="132"/>
        <v>#N/A</v>
      </c>
      <c r="BE107" s="3" t="e">
        <f t="shared" ca="1" si="133"/>
        <v>#N/A</v>
      </c>
      <c r="BF107" s="3">
        <f t="shared" ca="1" si="134"/>
        <v>0.44912722639906738</v>
      </c>
      <c r="BG107" s="3">
        <f t="shared" ca="1" si="135"/>
        <v>0.18716930712341631</v>
      </c>
      <c r="BI107" s="3" t="e">
        <f t="shared" ca="1" si="136"/>
        <v>#N/A</v>
      </c>
      <c r="BJ107" s="3" t="e">
        <f t="shared" ca="1" si="137"/>
        <v>#N/A</v>
      </c>
      <c r="BK107" s="3">
        <f t="shared" ca="1" si="138"/>
        <v>0.99750623441396513</v>
      </c>
      <c r="BL107" s="3">
        <f t="shared" ca="1" si="139"/>
        <v>0.66137566137566139</v>
      </c>
      <c r="BN107" s="3" t="e">
        <f t="shared" ca="1" si="140"/>
        <v>#N/A</v>
      </c>
      <c r="BO107" s="3" t="e">
        <f t="shared" ca="1" si="141"/>
        <v>#N/A</v>
      </c>
      <c r="BP107" s="3">
        <f t="shared" ca="1" si="142"/>
        <v>0.74812967581047385</v>
      </c>
      <c r="BQ107" s="3">
        <f t="shared" ca="1" si="143"/>
        <v>0.66137566137566139</v>
      </c>
      <c r="BS107" s="11" t="e">
        <v>#N/A</v>
      </c>
      <c r="BT107" s="5">
        <v>0.69599997997283936</v>
      </c>
      <c r="BU107" s="5">
        <v>0.72299998998641968</v>
      </c>
      <c r="BV107" s="5">
        <v>0.64099997282028198</v>
      </c>
      <c r="BX107" s="3" t="e">
        <f t="shared" ca="1" si="144"/>
        <v>#N/A</v>
      </c>
      <c r="BY107" s="3" t="e">
        <f t="shared" ca="1" si="145"/>
        <v>#N/A</v>
      </c>
      <c r="BZ107" s="3">
        <f t="shared" ca="1" si="146"/>
        <v>9.9750623441396485E-2</v>
      </c>
      <c r="CA107" s="3">
        <f t="shared" ca="1" si="147"/>
        <v>0</v>
      </c>
      <c r="CC107" s="3" t="e">
        <f t="shared" ca="1" si="148"/>
        <v>#N/A</v>
      </c>
      <c r="CD107" s="3" t="e">
        <f t="shared" ca="1" si="149"/>
        <v>#N/A</v>
      </c>
      <c r="CE107" s="3">
        <f t="shared" ca="1" si="150"/>
        <v>5.411471511954976E-2</v>
      </c>
      <c r="CF107" s="3">
        <f t="shared" ca="1" si="151"/>
        <v>0</v>
      </c>
      <c r="CH107" s="3" t="e">
        <f t="shared" ca="1" si="152"/>
        <v>#N/A</v>
      </c>
      <c r="CI107" s="3" t="e">
        <f t="shared" ca="1" si="153"/>
        <v>#N/A</v>
      </c>
      <c r="CJ107" s="3">
        <f t="shared" ca="1" si="154"/>
        <v>0.24937655860349128</v>
      </c>
      <c r="CK107" s="3">
        <f t="shared" ca="1" si="155"/>
        <v>0</v>
      </c>
      <c r="CM107" s="3" t="e">
        <f t="shared" ca="1" si="156"/>
        <v>#N/A</v>
      </c>
      <c r="CN107" s="3" t="e">
        <f t="shared" ca="1" si="157"/>
        <v>#N/A</v>
      </c>
      <c r="CO107" s="3">
        <f t="shared" ca="1" si="158"/>
        <v>0.49875311720698257</v>
      </c>
      <c r="CP107" s="3">
        <f t="shared" ca="1" si="159"/>
        <v>0</v>
      </c>
      <c r="CR107" s="11" t="e">
        <v>#N/A</v>
      </c>
      <c r="CS107" s="5">
        <v>4.0110000000000001</v>
      </c>
      <c r="CT107" s="5">
        <v>2.2730000019073486</v>
      </c>
      <c r="CU107" s="5">
        <v>4.0110000000000001</v>
      </c>
      <c r="CV107" s="21">
        <f t="shared" ca="1" si="120"/>
        <v>4.0110000000000001</v>
      </c>
      <c r="CW107" s="16">
        <f t="shared" ca="1" si="119"/>
        <v>5</v>
      </c>
    </row>
    <row r="108" spans="1:101" s="5" customFormat="1" x14ac:dyDescent="0.35">
      <c r="A108" s="4" t="s">
        <v>94</v>
      </c>
      <c r="B108" s="4">
        <v>5.25</v>
      </c>
      <c r="C108" s="4" t="s">
        <v>168</v>
      </c>
      <c r="D108" s="4" t="s">
        <v>404</v>
      </c>
      <c r="E108" s="3"/>
      <c r="F108" s="11" t="e">
        <v>#N/A</v>
      </c>
      <c r="G108" s="11" t="e">
        <v>#N/A</v>
      </c>
      <c r="H108" s="11" t="e">
        <v>#N/A</v>
      </c>
      <c r="I108" s="5" t="e">
        <v>#N/A</v>
      </c>
      <c r="K108" s="3" t="e">
        <f t="shared" ca="1" si="121"/>
        <v>#N/A</v>
      </c>
      <c r="L108" s="3" t="e">
        <f t="shared" ca="1" si="121"/>
        <v>#N/A</v>
      </c>
      <c r="M108" s="3" t="e">
        <f t="shared" ca="1" si="121"/>
        <v>#N/A</v>
      </c>
      <c r="N108" s="3" t="e">
        <f t="shared" ca="1" si="121"/>
        <v>#N/A</v>
      </c>
      <c r="P108" s="3" t="e">
        <f t="shared" ca="1" si="122"/>
        <v>#N/A</v>
      </c>
      <c r="Q108" s="3" t="e">
        <f t="shared" ca="1" si="122"/>
        <v>#N/A</v>
      </c>
      <c r="R108" s="3" t="e">
        <f t="shared" ca="1" si="122"/>
        <v>#N/A</v>
      </c>
      <c r="S108" s="3" t="e">
        <f t="shared" ca="1" si="122"/>
        <v>#N/A</v>
      </c>
      <c r="U108" s="3" t="e">
        <f t="shared" ca="1" si="123"/>
        <v>#N/A</v>
      </c>
      <c r="V108" s="3" t="e">
        <f t="shared" ca="1" si="123"/>
        <v>#N/A</v>
      </c>
      <c r="W108" s="3" t="e">
        <f t="shared" ca="1" si="123"/>
        <v>#N/A</v>
      </c>
      <c r="X108" s="3" t="e">
        <f t="shared" ca="1" si="123"/>
        <v>#N/A</v>
      </c>
      <c r="Z108" s="3" t="e">
        <f t="shared" ca="1" si="124"/>
        <v>#N/A</v>
      </c>
      <c r="AA108" s="3" t="e">
        <f t="shared" ca="1" si="124"/>
        <v>#N/A</v>
      </c>
      <c r="AB108" s="3" t="e">
        <f t="shared" ca="1" si="124"/>
        <v>#N/A</v>
      </c>
      <c r="AC108" s="3" t="e">
        <f t="shared" ca="1" si="124"/>
        <v>#N/A</v>
      </c>
      <c r="AE108" s="3" t="e">
        <f t="shared" ca="1" si="125"/>
        <v>#N/A</v>
      </c>
      <c r="AF108" s="3" t="e">
        <f t="shared" ca="1" si="125"/>
        <v>#N/A</v>
      </c>
      <c r="AG108" s="3" t="e">
        <f t="shared" ca="1" si="125"/>
        <v>#N/A</v>
      </c>
      <c r="AH108" s="3" t="e">
        <f t="shared" ca="1" si="125"/>
        <v>#N/A</v>
      </c>
      <c r="AJ108" s="3" t="e">
        <f t="shared" ca="1" si="126"/>
        <v>#N/A</v>
      </c>
      <c r="AK108" s="3" t="e">
        <f t="shared" ca="1" si="126"/>
        <v>#N/A</v>
      </c>
      <c r="AL108" s="3" t="e">
        <f t="shared" ca="1" si="126"/>
        <v>#N/A</v>
      </c>
      <c r="AM108" s="3" t="e">
        <f t="shared" ca="1" si="126"/>
        <v>#N/A</v>
      </c>
      <c r="AO108" s="3" t="e">
        <f t="shared" ca="1" si="127"/>
        <v>#N/A</v>
      </c>
      <c r="AP108" s="3" t="e">
        <f t="shared" ca="1" si="127"/>
        <v>#N/A</v>
      </c>
      <c r="AQ108" s="3" t="e">
        <f t="shared" ca="1" si="127"/>
        <v>#N/A</v>
      </c>
      <c r="AR108" s="3" t="e">
        <f t="shared" ca="1" si="127"/>
        <v>#N/A</v>
      </c>
      <c r="AT108" s="11" t="e">
        <v>#N/A</v>
      </c>
      <c r="AU108" s="11" t="e">
        <v>#N/A</v>
      </c>
      <c r="AV108" s="11" t="e">
        <v>#N/A</v>
      </c>
      <c r="AW108" s="5">
        <v>1.6599999666213989</v>
      </c>
      <c r="AY108" s="3" t="e">
        <f t="shared" ca="1" si="128"/>
        <v>#N/A</v>
      </c>
      <c r="AZ108" s="3" t="e">
        <f t="shared" ca="1" si="129"/>
        <v>#N/A</v>
      </c>
      <c r="BA108" s="3" t="e">
        <f t="shared" ca="1" si="130"/>
        <v>#N/A</v>
      </c>
      <c r="BB108" s="3" t="e">
        <f t="shared" ca="1" si="131"/>
        <v>#N/A</v>
      </c>
      <c r="BD108" s="3" t="e">
        <f t="shared" ca="1" si="132"/>
        <v>#N/A</v>
      </c>
      <c r="BE108" s="3" t="e">
        <f t="shared" ca="1" si="133"/>
        <v>#N/A</v>
      </c>
      <c r="BF108" s="3" t="e">
        <f t="shared" ca="1" si="134"/>
        <v>#N/A</v>
      </c>
      <c r="BG108" s="3" t="e">
        <f t="shared" ca="1" si="135"/>
        <v>#N/A</v>
      </c>
      <c r="BI108" s="3" t="e">
        <f t="shared" ca="1" si="136"/>
        <v>#N/A</v>
      </c>
      <c r="BJ108" s="3" t="e">
        <f t="shared" ca="1" si="137"/>
        <v>#N/A</v>
      </c>
      <c r="BK108" s="3" t="e">
        <f t="shared" ca="1" si="138"/>
        <v>#N/A</v>
      </c>
      <c r="BL108" s="3" t="e">
        <f t="shared" ca="1" si="139"/>
        <v>#N/A</v>
      </c>
      <c r="BN108" s="3" t="e">
        <f t="shared" ca="1" si="140"/>
        <v>#N/A</v>
      </c>
      <c r="BO108" s="3" t="e">
        <f t="shared" ca="1" si="141"/>
        <v>#N/A</v>
      </c>
      <c r="BP108" s="3" t="e">
        <f t="shared" ca="1" si="142"/>
        <v>#N/A</v>
      </c>
      <c r="BQ108" s="3" t="e">
        <f t="shared" ca="1" si="143"/>
        <v>#N/A</v>
      </c>
      <c r="BS108" s="11" t="e">
        <v>#N/A</v>
      </c>
      <c r="BT108" s="11" t="e">
        <v>#N/A</v>
      </c>
      <c r="BU108" s="11" t="e">
        <v>#N/A</v>
      </c>
      <c r="BV108" s="5">
        <v>4.016</v>
      </c>
      <c r="BX108" s="3" t="e">
        <f t="shared" ca="1" si="144"/>
        <v>#N/A</v>
      </c>
      <c r="BY108" s="3" t="e">
        <f t="shared" ca="1" si="145"/>
        <v>#N/A</v>
      </c>
      <c r="BZ108" s="3" t="e">
        <f t="shared" ca="1" si="146"/>
        <v>#N/A</v>
      </c>
      <c r="CA108" s="3" t="e">
        <f t="shared" ca="1" si="147"/>
        <v>#N/A</v>
      </c>
      <c r="CC108" s="3" t="e">
        <f t="shared" ca="1" si="148"/>
        <v>#N/A</v>
      </c>
      <c r="CD108" s="3" t="e">
        <f t="shared" ca="1" si="149"/>
        <v>#N/A</v>
      </c>
      <c r="CE108" s="3" t="e">
        <f t="shared" ca="1" si="150"/>
        <v>#N/A</v>
      </c>
      <c r="CF108" s="3" t="e">
        <f t="shared" ca="1" si="151"/>
        <v>#N/A</v>
      </c>
      <c r="CH108" s="3" t="e">
        <f t="shared" ca="1" si="152"/>
        <v>#N/A</v>
      </c>
      <c r="CI108" s="3" t="e">
        <f t="shared" ca="1" si="153"/>
        <v>#N/A</v>
      </c>
      <c r="CJ108" s="3" t="e">
        <f t="shared" ca="1" si="154"/>
        <v>#N/A</v>
      </c>
      <c r="CK108" s="3" t="e">
        <f t="shared" ca="1" si="155"/>
        <v>#N/A</v>
      </c>
      <c r="CM108" s="3" t="e">
        <f t="shared" ca="1" si="156"/>
        <v>#N/A</v>
      </c>
      <c r="CN108" s="3" t="e">
        <f t="shared" ca="1" si="157"/>
        <v>#N/A</v>
      </c>
      <c r="CO108" s="3" t="e">
        <f t="shared" ca="1" si="158"/>
        <v>#N/A</v>
      </c>
      <c r="CP108" s="3" t="e">
        <f t="shared" ca="1" si="159"/>
        <v>#N/A</v>
      </c>
      <c r="CR108" s="11" t="e">
        <v>#N/A</v>
      </c>
      <c r="CS108" s="11" t="e">
        <v>#N/A</v>
      </c>
      <c r="CT108" s="11" t="e">
        <v>#N/A</v>
      </c>
      <c r="CU108" s="5">
        <v>1.6599999666213989</v>
      </c>
      <c r="CV108" s="21">
        <f t="shared" ca="1" si="120"/>
        <v>1.6599999666213989</v>
      </c>
      <c r="CW108" s="16">
        <f t="shared" ca="1" si="119"/>
        <v>5.25</v>
      </c>
    </row>
    <row r="109" spans="1:101" s="5" customFormat="1" x14ac:dyDescent="0.35">
      <c r="A109" s="4" t="s">
        <v>124</v>
      </c>
      <c r="B109" s="4">
        <v>5.25</v>
      </c>
      <c r="C109" s="4" t="s">
        <v>168</v>
      </c>
      <c r="D109" s="4" t="s">
        <v>404</v>
      </c>
      <c r="E109" s="3"/>
      <c r="F109" s="5">
        <v>4.0309999999999997</v>
      </c>
      <c r="G109" s="5">
        <v>4.0250000000000004</v>
      </c>
      <c r="H109" s="5">
        <v>4.0110000000000001</v>
      </c>
      <c r="I109" s="11" t="e">
        <v>#N/A</v>
      </c>
      <c r="K109" s="3">
        <f t="shared" ca="1" si="121"/>
        <v>0.92582485735549491</v>
      </c>
      <c r="L109" s="3">
        <f t="shared" ca="1" si="121"/>
        <v>0.98534161490683225</v>
      </c>
      <c r="M109" s="3">
        <f t="shared" ca="1" si="121"/>
        <v>0.83520319122413367</v>
      </c>
      <c r="N109" s="3" t="e">
        <f t="shared" ca="1" si="121"/>
        <v>#N/A</v>
      </c>
      <c r="P109" s="3">
        <f t="shared" ca="1" si="122"/>
        <v>0.87670548267974902</v>
      </c>
      <c r="Q109" s="3">
        <f t="shared" ca="1" si="122"/>
        <v>0.91031066379191705</v>
      </c>
      <c r="R109" s="3">
        <f t="shared" ca="1" si="122"/>
        <v>0.79406626156606275</v>
      </c>
      <c r="S109" s="3" t="e">
        <f t="shared" ca="1" si="122"/>
        <v>#N/A</v>
      </c>
      <c r="U109" s="3">
        <f t="shared" ca="1" si="123"/>
        <v>2.2326966013396183</v>
      </c>
      <c r="V109" s="3">
        <f t="shared" ca="1" si="123"/>
        <v>3.726708074534161</v>
      </c>
      <c r="W109" s="3">
        <f t="shared" ca="1" si="123"/>
        <v>1.7452006980802792</v>
      </c>
      <c r="X109" s="3" t="e">
        <f t="shared" ca="1" si="123"/>
        <v>#N/A</v>
      </c>
      <c r="Z109" s="3">
        <f t="shared" ca="1" si="124"/>
        <v>0.92582485735549491</v>
      </c>
      <c r="AA109" s="3">
        <f t="shared" ca="1" si="124"/>
        <v>0.98534161490683225</v>
      </c>
      <c r="AB109" s="3">
        <f t="shared" ca="1" si="124"/>
        <v>0.75617053103964094</v>
      </c>
      <c r="AC109" s="3" t="e">
        <f t="shared" ca="1" si="124"/>
        <v>#N/A</v>
      </c>
      <c r="AE109" s="3">
        <f t="shared" ca="1" si="125"/>
        <v>0.87670548267974902</v>
      </c>
      <c r="AF109" s="3">
        <f t="shared" ca="1" si="125"/>
        <v>0.91031066379191705</v>
      </c>
      <c r="AG109" s="3">
        <f t="shared" ca="1" si="125"/>
        <v>0.72749932042323751</v>
      </c>
      <c r="AH109" s="3" t="e">
        <f t="shared" ca="1" si="125"/>
        <v>#N/A</v>
      </c>
      <c r="AJ109" s="3">
        <f t="shared" ca="1" si="126"/>
        <v>2.2326966013396183</v>
      </c>
      <c r="AK109" s="3">
        <f t="shared" ca="1" si="126"/>
        <v>3.726708074534161</v>
      </c>
      <c r="AL109" s="3">
        <f t="shared" ca="1" si="126"/>
        <v>1.4958863126402393</v>
      </c>
      <c r="AM109" s="3" t="e">
        <f t="shared" ca="1" si="126"/>
        <v>#N/A</v>
      </c>
      <c r="AO109" s="3">
        <f t="shared" ca="1" si="127"/>
        <v>0.24807740014884647</v>
      </c>
      <c r="AP109" s="3">
        <f t="shared" ca="1" si="127"/>
        <v>0.24844720496894407</v>
      </c>
      <c r="AQ109" s="3">
        <f t="shared" ca="1" si="127"/>
        <v>0.24931438544003989</v>
      </c>
      <c r="AR109" s="3" t="e">
        <f t="shared" ca="1" si="127"/>
        <v>#N/A</v>
      </c>
      <c r="AT109" s="5">
        <v>0.34700000286102295</v>
      </c>
      <c r="AU109" s="5">
        <v>6.4999997615814209E-2</v>
      </c>
      <c r="AV109" s="5">
        <v>0.36700001358985901</v>
      </c>
      <c r="AW109" s="11" t="e">
        <v>#N/A</v>
      </c>
      <c r="AY109" s="3">
        <f t="shared" ca="1" si="128"/>
        <v>0.4465393202679237</v>
      </c>
      <c r="AZ109" s="3">
        <f t="shared" ca="1" si="129"/>
        <v>0.17391304347826089</v>
      </c>
      <c r="BA109" s="3">
        <f t="shared" ca="1" si="130"/>
        <v>0.25754176015956126</v>
      </c>
      <c r="BB109" s="3" t="e">
        <f t="shared" ca="1" si="131"/>
        <v>#N/A</v>
      </c>
      <c r="BD109" s="3">
        <f t="shared" ca="1" si="132"/>
        <v>0.45050852531181385</v>
      </c>
      <c r="BE109" s="3">
        <f t="shared" ca="1" si="133"/>
        <v>0.18608697452900572</v>
      </c>
      <c r="BF109" s="3">
        <f t="shared" ca="1" si="134"/>
        <v>0.2954375324805637</v>
      </c>
      <c r="BG109" s="3" t="e">
        <f t="shared" ca="1" si="135"/>
        <v>#N/A</v>
      </c>
      <c r="BI109" s="3">
        <f t="shared" ca="1" si="136"/>
        <v>0.74423220044653937</v>
      </c>
      <c r="BJ109" s="3">
        <f t="shared" ca="1" si="137"/>
        <v>0.99378881987577627</v>
      </c>
      <c r="BK109" s="3">
        <f t="shared" ca="1" si="138"/>
        <v>0.74794315632011965</v>
      </c>
      <c r="BL109" s="3" t="e">
        <f t="shared" ca="1" si="139"/>
        <v>#N/A</v>
      </c>
      <c r="BN109" s="3">
        <f t="shared" ca="1" si="140"/>
        <v>0.49615480029769293</v>
      </c>
      <c r="BO109" s="3">
        <f t="shared" ca="1" si="141"/>
        <v>0.99378881987577627</v>
      </c>
      <c r="BP109" s="3">
        <f t="shared" ca="1" si="142"/>
        <v>0.74794315632011965</v>
      </c>
      <c r="BQ109" s="3" t="e">
        <f t="shared" ca="1" si="143"/>
        <v>#N/A</v>
      </c>
      <c r="BS109" s="5">
        <v>0.71399998664855957</v>
      </c>
      <c r="BT109" s="5">
        <v>0.78100001811981201</v>
      </c>
      <c r="BU109" s="5">
        <v>0.75</v>
      </c>
      <c r="BV109" s="11" t="e">
        <v>#N/A</v>
      </c>
      <c r="BX109" s="3">
        <f t="shared" ca="1" si="144"/>
        <v>1.240387000744232E-2</v>
      </c>
      <c r="BY109" s="3">
        <f t="shared" ca="1" si="145"/>
        <v>3.7267080745341609E-2</v>
      </c>
      <c r="BZ109" s="3">
        <f t="shared" ca="1" si="146"/>
        <v>2.0942408376963369E-2</v>
      </c>
      <c r="CA109" s="3" t="e">
        <f t="shared" ca="1" si="147"/>
        <v>#N/A</v>
      </c>
      <c r="CC109" s="3">
        <f t="shared" ca="1" si="148"/>
        <v>0</v>
      </c>
      <c r="CD109" s="3">
        <f t="shared" ca="1" si="149"/>
        <v>4.1242238157284179E-2</v>
      </c>
      <c r="CE109" s="3">
        <f t="shared" ca="1" si="150"/>
        <v>0</v>
      </c>
      <c r="CF109" s="3" t="e">
        <f t="shared" ca="1" si="151"/>
        <v>#N/A</v>
      </c>
      <c r="CH109" s="3">
        <f t="shared" ca="1" si="152"/>
        <v>0</v>
      </c>
      <c r="CI109" s="3">
        <f t="shared" ca="1" si="153"/>
        <v>0.24844720496894407</v>
      </c>
      <c r="CJ109" s="3">
        <f t="shared" ca="1" si="154"/>
        <v>0</v>
      </c>
      <c r="CK109" s="3" t="e">
        <f t="shared" ca="1" si="155"/>
        <v>#N/A</v>
      </c>
      <c r="CM109" s="3">
        <f t="shared" ca="1" si="156"/>
        <v>0.24807740014884647</v>
      </c>
      <c r="CN109" s="3">
        <f t="shared" ca="1" si="157"/>
        <v>0.24844720496894407</v>
      </c>
      <c r="CO109" s="3">
        <f t="shared" ca="1" si="158"/>
        <v>0.24931438544003989</v>
      </c>
      <c r="CP109" s="3" t="e">
        <f t="shared" ca="1" si="159"/>
        <v>#N/A</v>
      </c>
      <c r="CR109" s="5">
        <v>4.0309999999999997</v>
      </c>
      <c r="CS109" s="5">
        <v>6.4999997615814209E-2</v>
      </c>
      <c r="CT109" s="5">
        <v>4.0110000000000001</v>
      </c>
      <c r="CU109" s="11" t="e">
        <v>#N/A</v>
      </c>
      <c r="CV109" s="21" t="e">
        <f t="shared" ca="1" si="120"/>
        <v>#N/A</v>
      </c>
      <c r="CW109" s="16">
        <f t="shared" ca="1" si="119"/>
        <v>5.25</v>
      </c>
    </row>
    <row r="110" spans="1:101" s="5" customFormat="1" x14ac:dyDescent="0.35">
      <c r="A110" s="4" t="s">
        <v>114</v>
      </c>
      <c r="B110" s="4">
        <v>5.333333333333333</v>
      </c>
      <c r="C110" s="4" t="s">
        <v>168</v>
      </c>
      <c r="D110" s="4" t="s">
        <v>404</v>
      </c>
      <c r="E110" s="3"/>
      <c r="F110" s="5">
        <v>4.0110000000000001</v>
      </c>
      <c r="G110" s="5" t="e">
        <v>#N/A</v>
      </c>
      <c r="H110" s="5" t="e">
        <v>#N/A</v>
      </c>
      <c r="I110" s="5" t="e">
        <v>#N/A</v>
      </c>
      <c r="K110" s="3">
        <f t="shared" ca="1" si="121"/>
        <v>0.93069060084766886</v>
      </c>
      <c r="L110" s="3" t="e">
        <f t="shared" ca="1" si="121"/>
        <v>#N/A</v>
      </c>
      <c r="M110" s="3" t="e">
        <f t="shared" ca="1" si="121"/>
        <v>#N/A</v>
      </c>
      <c r="N110" s="3" t="e">
        <f t="shared" ca="1" si="121"/>
        <v>#N/A</v>
      </c>
      <c r="P110" s="3">
        <f t="shared" ca="1" si="122"/>
        <v>0.79805539664121616</v>
      </c>
      <c r="Q110" s="3" t="e">
        <f t="shared" ca="1" si="122"/>
        <v>#N/A</v>
      </c>
      <c r="R110" s="3" t="e">
        <f t="shared" ca="1" si="122"/>
        <v>#N/A</v>
      </c>
      <c r="S110" s="3" t="e">
        <f t="shared" ca="1" si="122"/>
        <v>#N/A</v>
      </c>
      <c r="U110" s="3">
        <f t="shared" ca="1" si="123"/>
        <v>2.4931438544003988</v>
      </c>
      <c r="V110" s="3" t="e">
        <f t="shared" ca="1" si="123"/>
        <v>#N/A</v>
      </c>
      <c r="W110" s="3" t="e">
        <f t="shared" ca="1" si="123"/>
        <v>#N/A</v>
      </c>
      <c r="X110" s="3" t="e">
        <f t="shared" ca="1" si="123"/>
        <v>#N/A</v>
      </c>
      <c r="Z110" s="3">
        <f t="shared" ca="1" si="124"/>
        <v>0.85165794066317624</v>
      </c>
      <c r="AA110" s="3" t="e">
        <f t="shared" ca="1" si="124"/>
        <v>#N/A</v>
      </c>
      <c r="AB110" s="3" t="e">
        <f t="shared" ca="1" si="124"/>
        <v>#N/A</v>
      </c>
      <c r="AC110" s="3" t="e">
        <f t="shared" ca="1" si="124"/>
        <v>#N/A</v>
      </c>
      <c r="AE110" s="3">
        <f t="shared" ca="1" si="125"/>
        <v>0.79805539664121616</v>
      </c>
      <c r="AF110" s="3" t="e">
        <f t="shared" ca="1" si="125"/>
        <v>#N/A</v>
      </c>
      <c r="AG110" s="3" t="e">
        <f t="shared" ca="1" si="125"/>
        <v>#N/A</v>
      </c>
      <c r="AH110" s="3" t="e">
        <f t="shared" ca="1" si="125"/>
        <v>#N/A</v>
      </c>
      <c r="AJ110" s="3">
        <f t="shared" ca="1" si="126"/>
        <v>2.4931438544003988</v>
      </c>
      <c r="AK110" s="3" t="e">
        <f t="shared" ca="1" si="126"/>
        <v>#N/A</v>
      </c>
      <c r="AL110" s="3" t="e">
        <f t="shared" ca="1" si="126"/>
        <v>#N/A</v>
      </c>
      <c r="AM110" s="3" t="e">
        <f t="shared" ca="1" si="126"/>
        <v>#N/A</v>
      </c>
      <c r="AO110" s="3">
        <f t="shared" ca="1" si="127"/>
        <v>0.74794315632011965</v>
      </c>
      <c r="AP110" s="3" t="e">
        <f t="shared" ca="1" si="127"/>
        <v>#N/A</v>
      </c>
      <c r="AQ110" s="3" t="e">
        <f t="shared" ca="1" si="127"/>
        <v>#N/A</v>
      </c>
      <c r="AR110" s="3" t="e">
        <f t="shared" ca="1" si="127"/>
        <v>#N/A</v>
      </c>
      <c r="AT110" s="5">
        <v>6.0000000521540642E-3</v>
      </c>
      <c r="AU110" s="5">
        <v>7.0000002160668373E-3</v>
      </c>
      <c r="AV110" s="5">
        <v>8.0000003799796104E-3</v>
      </c>
      <c r="AW110" s="11" t="e">
        <v>#N/A</v>
      </c>
      <c r="AY110" s="3">
        <f t="shared" ca="1" si="128"/>
        <v>0.36125654450261774</v>
      </c>
      <c r="AZ110" s="3" t="e">
        <f t="shared" ca="1" si="129"/>
        <v>#N/A</v>
      </c>
      <c r="BA110" s="3" t="e">
        <f t="shared" ca="1" si="130"/>
        <v>#N/A</v>
      </c>
      <c r="BB110" s="3" t="e">
        <f t="shared" ca="1" si="131"/>
        <v>#N/A</v>
      </c>
      <c r="BD110" s="3">
        <f t="shared" ca="1" si="132"/>
        <v>0.28671156703251849</v>
      </c>
      <c r="BE110" s="3" t="e">
        <f t="shared" ca="1" si="133"/>
        <v>#N/A</v>
      </c>
      <c r="BF110" s="3" t="e">
        <f t="shared" ca="1" si="134"/>
        <v>#N/A</v>
      </c>
      <c r="BG110" s="3" t="e">
        <f t="shared" ca="1" si="135"/>
        <v>#N/A</v>
      </c>
      <c r="BI110" s="3">
        <f t="shared" ca="1" si="136"/>
        <v>0.74794315632011965</v>
      </c>
      <c r="BJ110" s="3" t="e">
        <f t="shared" ca="1" si="137"/>
        <v>#N/A</v>
      </c>
      <c r="BK110" s="3" t="e">
        <f t="shared" ca="1" si="138"/>
        <v>#N/A</v>
      </c>
      <c r="BL110" s="3" t="e">
        <f t="shared" ca="1" si="139"/>
        <v>#N/A</v>
      </c>
      <c r="BN110" s="3">
        <f t="shared" ca="1" si="140"/>
        <v>0.99725754176015957</v>
      </c>
      <c r="BO110" s="3" t="e">
        <f t="shared" ca="1" si="141"/>
        <v>#N/A</v>
      </c>
      <c r="BP110" s="3" t="e">
        <f t="shared" ca="1" si="142"/>
        <v>#N/A</v>
      </c>
      <c r="BQ110" s="3" t="e">
        <f t="shared" ca="1" si="143"/>
        <v>#N/A</v>
      </c>
      <c r="BS110" s="5">
        <v>1.1059999465942383</v>
      </c>
      <c r="BT110" s="5">
        <v>1.3229999542236328</v>
      </c>
      <c r="BU110" s="5">
        <v>1.656999945640564</v>
      </c>
      <c r="BV110" s="11" t="e">
        <v>#N/A</v>
      </c>
      <c r="BX110" s="3">
        <f t="shared" ca="1" si="144"/>
        <v>0.12490650710546002</v>
      </c>
      <c r="BY110" s="3" t="e">
        <f t="shared" ca="1" si="145"/>
        <v>#N/A</v>
      </c>
      <c r="BZ110" s="3" t="e">
        <f t="shared" ca="1" si="146"/>
        <v>#N/A</v>
      </c>
      <c r="CA110" s="3" t="e">
        <f t="shared" ca="1" si="147"/>
        <v>#N/A</v>
      </c>
      <c r="CC110" s="3">
        <f t="shared" ca="1" si="148"/>
        <v>0.16629267474661977</v>
      </c>
      <c r="CD110" s="3" t="e">
        <f t="shared" ca="1" si="149"/>
        <v>#N/A</v>
      </c>
      <c r="CE110" s="3" t="e">
        <f t="shared" ca="1" si="150"/>
        <v>#N/A</v>
      </c>
      <c r="CF110" s="3" t="e">
        <f t="shared" ca="1" si="151"/>
        <v>#N/A</v>
      </c>
      <c r="CH110" s="3">
        <f t="shared" ca="1" si="152"/>
        <v>0.74794315632011965</v>
      </c>
      <c r="CI110" s="3" t="e">
        <f t="shared" ca="1" si="153"/>
        <v>#N/A</v>
      </c>
      <c r="CJ110" s="3" t="e">
        <f t="shared" ca="1" si="154"/>
        <v>#N/A</v>
      </c>
      <c r="CK110" s="3" t="e">
        <f t="shared" ca="1" si="155"/>
        <v>#N/A</v>
      </c>
      <c r="CM110" s="3">
        <f t="shared" ca="1" si="156"/>
        <v>0.99725754176015957</v>
      </c>
      <c r="CN110" s="3" t="e">
        <f t="shared" ca="1" si="157"/>
        <v>#N/A</v>
      </c>
      <c r="CO110" s="3" t="e">
        <f t="shared" ca="1" si="158"/>
        <v>#N/A</v>
      </c>
      <c r="CP110" s="3" t="e">
        <f t="shared" ca="1" si="159"/>
        <v>#N/A</v>
      </c>
      <c r="CR110" s="5">
        <v>6.0000000521540642E-3</v>
      </c>
      <c r="CS110" s="5">
        <v>7.0000002160668373E-3</v>
      </c>
      <c r="CT110" s="5">
        <v>4.0060000000000002</v>
      </c>
      <c r="CU110" s="11" t="e">
        <v>#N/A</v>
      </c>
      <c r="CV110" s="21" t="e">
        <f t="shared" ca="1" si="120"/>
        <v>#N/A</v>
      </c>
      <c r="CW110" s="16">
        <f t="shared" ca="1" si="119"/>
        <v>5.333333333333333</v>
      </c>
    </row>
    <row r="111" spans="1:101" s="5" customFormat="1" x14ac:dyDescent="0.35">
      <c r="A111" s="4" t="s">
        <v>122</v>
      </c>
      <c r="B111" s="4">
        <v>5.333333333333333</v>
      </c>
      <c r="C111" s="4" t="s">
        <v>168</v>
      </c>
      <c r="D111" s="4" t="s">
        <v>404</v>
      </c>
      <c r="E111" s="3"/>
      <c r="F111" s="5">
        <v>4.0110000000000001</v>
      </c>
      <c r="G111" s="5">
        <v>4.016</v>
      </c>
      <c r="H111" s="5">
        <v>4.016</v>
      </c>
      <c r="I111" s="5">
        <v>4.016</v>
      </c>
      <c r="K111" s="3">
        <f t="shared" ca="1" si="121"/>
        <v>0.99700822737471939</v>
      </c>
      <c r="L111" s="3">
        <f t="shared" ca="1" si="121"/>
        <v>0.99576693227091639</v>
      </c>
      <c r="M111" s="3">
        <f t="shared" ca="1" si="121"/>
        <v>0.9375</v>
      </c>
      <c r="N111" s="3">
        <f t="shared" ca="1" si="121"/>
        <v>0.98754980079681276</v>
      </c>
      <c r="P111" s="3">
        <f t="shared" ca="1" si="122"/>
        <v>0.93492898138992742</v>
      </c>
      <c r="Q111" s="3">
        <f t="shared" ca="1" si="122"/>
        <v>0.92106560742356391</v>
      </c>
      <c r="R111" s="3">
        <f t="shared" ca="1" si="122"/>
        <v>0.87524891137126903</v>
      </c>
      <c r="S111" s="3">
        <f t="shared" ca="1" si="122"/>
        <v>0.83067726744598602</v>
      </c>
      <c r="U111" s="3">
        <f t="shared" ca="1" si="123"/>
        <v>2.4931438544003988</v>
      </c>
      <c r="V111" s="3">
        <f t="shared" ca="1" si="123"/>
        <v>2.9880478087649402</v>
      </c>
      <c r="W111" s="3">
        <f t="shared" ca="1" si="123"/>
        <v>1.7430278884462151</v>
      </c>
      <c r="X111" s="3">
        <f t="shared" ca="1" si="123"/>
        <v>2.9880478087649402</v>
      </c>
      <c r="Z111" s="3">
        <f t="shared" ca="1" si="124"/>
        <v>0.93069060084766875</v>
      </c>
      <c r="AA111" s="3">
        <f t="shared" ca="1" si="124"/>
        <v>0.90039840637450208</v>
      </c>
      <c r="AB111" s="3">
        <f t="shared" ca="1" si="124"/>
        <v>0.9086155378486056</v>
      </c>
      <c r="AC111" s="3">
        <f t="shared" ca="1" si="124"/>
        <v>0.86304780876494025</v>
      </c>
      <c r="AE111" s="3">
        <f t="shared" ca="1" si="125"/>
        <v>0.8726003861908781</v>
      </c>
      <c r="AF111" s="3">
        <f t="shared" ca="1" si="125"/>
        <v>0.83391417738094753</v>
      </c>
      <c r="AG111" s="3">
        <f t="shared" ca="1" si="125"/>
        <v>0.87524891137126903</v>
      </c>
      <c r="AH111" s="3">
        <f t="shared" ca="1" si="125"/>
        <v>0.76842627143004971</v>
      </c>
      <c r="AJ111" s="3">
        <f t="shared" ca="1" si="126"/>
        <v>2.2438294689603588</v>
      </c>
      <c r="AK111" s="3">
        <f t="shared" ca="1" si="126"/>
        <v>2.4900398406374502</v>
      </c>
      <c r="AL111" s="3">
        <f t="shared" ca="1" si="126"/>
        <v>1.7430278884462151</v>
      </c>
      <c r="AM111" s="3">
        <f t="shared" ca="1" si="126"/>
        <v>2.739043824701195</v>
      </c>
      <c r="AO111" s="3">
        <f t="shared" ca="1" si="127"/>
        <v>0.24931438544003989</v>
      </c>
      <c r="AP111" s="3">
        <f t="shared" ca="1" si="127"/>
        <v>0.74701195219123506</v>
      </c>
      <c r="AQ111" s="3">
        <f t="shared" ca="1" si="127"/>
        <v>0.24900398406374502</v>
      </c>
      <c r="AR111" s="3">
        <f t="shared" ca="1" si="127"/>
        <v>0.49800796812749004</v>
      </c>
      <c r="AT111" s="5">
        <v>0.27099999785423279</v>
      </c>
      <c r="AU111" s="5">
        <v>5.9000000357627869E-2</v>
      </c>
      <c r="AV111" s="5">
        <v>0.39899998903274536</v>
      </c>
      <c r="AW111" s="5">
        <v>0.38400000333786011</v>
      </c>
      <c r="AY111" s="3">
        <f t="shared" ca="1" si="128"/>
        <v>0.50261780104712062</v>
      </c>
      <c r="AZ111" s="3">
        <f t="shared" ca="1" si="129"/>
        <v>0.41882470119521897</v>
      </c>
      <c r="BA111" s="3">
        <f t="shared" ca="1" si="130"/>
        <v>0.45642430278884472</v>
      </c>
      <c r="BB111" s="3">
        <f t="shared" ca="1" si="131"/>
        <v>0.55577689243027895</v>
      </c>
      <c r="BD111" s="3">
        <f t="shared" ca="1" si="132"/>
        <v>0.48990279057173919</v>
      </c>
      <c r="BE111" s="3">
        <f t="shared" ca="1" si="133"/>
        <v>0.41484052085306539</v>
      </c>
      <c r="BF111" s="3">
        <f t="shared" ca="1" si="134"/>
        <v>0.48929277762948753</v>
      </c>
      <c r="BG111" s="3">
        <f t="shared" ca="1" si="135"/>
        <v>0.5313744731395843</v>
      </c>
      <c r="BI111" s="3">
        <f t="shared" ca="1" si="136"/>
        <v>0.99725754176015957</v>
      </c>
      <c r="BJ111" s="3">
        <f t="shared" ca="1" si="137"/>
        <v>0.99601593625498008</v>
      </c>
      <c r="BK111" s="3">
        <f t="shared" ca="1" si="138"/>
        <v>0.99601593625498008</v>
      </c>
      <c r="BL111" s="3">
        <f t="shared" ca="1" si="139"/>
        <v>1.4940239043824701</v>
      </c>
      <c r="BN111" s="3">
        <f t="shared" ca="1" si="140"/>
        <v>0.74794315632011965</v>
      </c>
      <c r="BO111" s="3">
        <f t="shared" ca="1" si="141"/>
        <v>0.99601593625498008</v>
      </c>
      <c r="BP111" s="3">
        <f t="shared" ca="1" si="142"/>
        <v>0.74701195219123506</v>
      </c>
      <c r="BQ111" s="3">
        <f t="shared" ca="1" si="143"/>
        <v>0.74701195219123506</v>
      </c>
      <c r="BS111" s="5">
        <v>0.73799997568130493</v>
      </c>
      <c r="BT111" s="5">
        <v>0.52499997615814209</v>
      </c>
      <c r="BU111" s="5">
        <v>0.39899998903274536</v>
      </c>
      <c r="BV111" s="5">
        <v>0.38400000333786011</v>
      </c>
      <c r="BX111" s="3">
        <f t="shared" ca="1" si="144"/>
        <v>0.17053103964098726</v>
      </c>
      <c r="BY111" s="3">
        <f t="shared" ca="1" si="145"/>
        <v>2.9133466135458166E-2</v>
      </c>
      <c r="BZ111" s="3">
        <f t="shared" ca="1" si="146"/>
        <v>0</v>
      </c>
      <c r="CA111" s="3">
        <f t="shared" ca="1" si="147"/>
        <v>0.10358565737051796</v>
      </c>
      <c r="CC111" s="3">
        <f t="shared" ca="1" si="148"/>
        <v>0.12066815446897862</v>
      </c>
      <c r="CD111" s="3">
        <f t="shared" ca="1" si="149"/>
        <v>4.5567750930786133E-2</v>
      </c>
      <c r="CE111" s="3">
        <f t="shared" ca="1" si="150"/>
        <v>0</v>
      </c>
      <c r="CF111" s="3">
        <f t="shared" ca="1" si="151"/>
        <v>0.10383467512776652</v>
      </c>
      <c r="CH111" s="3">
        <f t="shared" ca="1" si="152"/>
        <v>0.24931438544003989</v>
      </c>
      <c r="CI111" s="3">
        <f t="shared" ca="1" si="153"/>
        <v>0.24900398406374502</v>
      </c>
      <c r="CJ111" s="3">
        <f t="shared" ca="1" si="154"/>
        <v>0</v>
      </c>
      <c r="CK111" s="3">
        <f t="shared" ca="1" si="155"/>
        <v>0.24900398406374502</v>
      </c>
      <c r="CM111" s="3">
        <f t="shared" ca="1" si="156"/>
        <v>0.49862877088007979</v>
      </c>
      <c r="CN111" s="3">
        <f t="shared" ca="1" si="157"/>
        <v>0.24900398406374502</v>
      </c>
      <c r="CO111" s="3">
        <f t="shared" ca="1" si="158"/>
        <v>0</v>
      </c>
      <c r="CP111" s="3">
        <f t="shared" ca="1" si="159"/>
        <v>0.49800796812749004</v>
      </c>
      <c r="CR111" s="5">
        <v>2.3870000839233398</v>
      </c>
      <c r="CS111" s="5">
        <v>3.2079999446868896</v>
      </c>
      <c r="CT111" s="5">
        <v>4.016</v>
      </c>
      <c r="CU111" s="5">
        <v>3.5829999446868896</v>
      </c>
      <c r="CV111" s="21">
        <f t="shared" ca="1" si="120"/>
        <v>3.5829999446868896</v>
      </c>
      <c r="CW111" s="16">
        <f t="shared" ca="1" si="119"/>
        <v>5.333333333333333</v>
      </c>
    </row>
    <row r="112" spans="1:101" s="5" customFormat="1" x14ac:dyDescent="0.35">
      <c r="A112" s="4" t="s">
        <v>118</v>
      </c>
      <c r="B112" s="4">
        <v>5.416666666666667</v>
      </c>
      <c r="C112" s="4" t="s">
        <v>168</v>
      </c>
      <c r="D112" s="4" t="s">
        <v>404</v>
      </c>
      <c r="E112" s="3"/>
      <c r="F112" s="5" t="e">
        <v>#N/A</v>
      </c>
      <c r="G112" s="5" t="e">
        <v>#N/A</v>
      </c>
      <c r="H112" s="5" t="e">
        <v>#N/A</v>
      </c>
      <c r="I112" s="5">
        <v>3.1989999999999998</v>
      </c>
      <c r="K112" s="3" t="e">
        <f t="shared" ca="1" si="121"/>
        <v>#N/A</v>
      </c>
      <c r="L112" s="3" t="e">
        <f t="shared" ca="1" si="121"/>
        <v>#N/A</v>
      </c>
      <c r="M112" s="3" t="e">
        <f t="shared" ca="1" si="121"/>
        <v>#N/A</v>
      </c>
      <c r="N112" s="3">
        <f t="shared" ca="1" si="121"/>
        <v>0.67739918724601444</v>
      </c>
      <c r="P112" s="3" t="e">
        <f t="shared" ca="1" si="122"/>
        <v>#N/A</v>
      </c>
      <c r="Q112" s="3" t="e">
        <f t="shared" ca="1" si="122"/>
        <v>#N/A</v>
      </c>
      <c r="R112" s="3" t="e">
        <f t="shared" ca="1" si="122"/>
        <v>#N/A</v>
      </c>
      <c r="S112" s="3">
        <f t="shared" ca="1" si="122"/>
        <v>0.45232876795237797</v>
      </c>
      <c r="U112" s="3" t="e">
        <f t="shared" ca="1" si="123"/>
        <v>#N/A</v>
      </c>
      <c r="V112" s="3" t="e">
        <f t="shared" ca="1" si="123"/>
        <v>#N/A</v>
      </c>
      <c r="W112" s="3" t="e">
        <f t="shared" ca="1" si="123"/>
        <v>#N/A</v>
      </c>
      <c r="X112" s="3">
        <f t="shared" ca="1" si="123"/>
        <v>2.5007814942169428</v>
      </c>
      <c r="Z112" s="3" t="e">
        <f t="shared" ca="1" si="124"/>
        <v>#N/A</v>
      </c>
      <c r="AA112" s="3" t="e">
        <f t="shared" ca="1" si="124"/>
        <v>#N/A</v>
      </c>
      <c r="AB112" s="3" t="e">
        <f t="shared" ca="1" si="124"/>
        <v>#N/A</v>
      </c>
      <c r="AC112" s="3">
        <f t="shared" ca="1" si="124"/>
        <v>0.39043451078462033</v>
      </c>
      <c r="AE112" s="3" t="e">
        <f t="shared" ca="1" si="125"/>
        <v>#N/A</v>
      </c>
      <c r="AF112" s="3" t="e">
        <f t="shared" ca="1" si="125"/>
        <v>#N/A</v>
      </c>
      <c r="AG112" s="3" t="e">
        <f t="shared" ca="1" si="125"/>
        <v>#N/A</v>
      </c>
      <c r="AH112" s="3">
        <f t="shared" ca="1" si="125"/>
        <v>0.36917784766280382</v>
      </c>
      <c r="AJ112" s="3" t="e">
        <f t="shared" ca="1" si="126"/>
        <v>#N/A</v>
      </c>
      <c r="AK112" s="3" t="e">
        <f t="shared" ca="1" si="126"/>
        <v>#N/A</v>
      </c>
      <c r="AL112" s="3" t="e">
        <f t="shared" ca="1" si="126"/>
        <v>#N/A</v>
      </c>
      <c r="AM112" s="3">
        <f t="shared" ca="1" si="126"/>
        <v>1.8755861206627071</v>
      </c>
      <c r="AO112" s="3" t="e">
        <f t="shared" ca="1" si="127"/>
        <v>#N/A</v>
      </c>
      <c r="AP112" s="3" t="e">
        <f t="shared" ca="1" si="127"/>
        <v>#N/A</v>
      </c>
      <c r="AQ112" s="3" t="e">
        <f t="shared" ca="1" si="127"/>
        <v>#N/A</v>
      </c>
      <c r="AR112" s="3">
        <f t="shared" ca="1" si="127"/>
        <v>1.8755861206627071</v>
      </c>
      <c r="AT112" s="11" t="e">
        <v>#N/A</v>
      </c>
      <c r="AU112" s="11" t="e">
        <v>#N/A</v>
      </c>
      <c r="AV112" s="11" t="e">
        <v>#N/A</v>
      </c>
      <c r="AW112" s="5">
        <v>0.62099999189376831</v>
      </c>
      <c r="AY112" s="3" t="e">
        <f t="shared" ca="1" si="128"/>
        <v>#N/A</v>
      </c>
      <c r="AZ112" s="3" t="e">
        <f t="shared" ca="1" si="129"/>
        <v>#N/A</v>
      </c>
      <c r="BA112" s="3" t="e">
        <f t="shared" ca="1" si="130"/>
        <v>#N/A</v>
      </c>
      <c r="BB112" s="3">
        <f t="shared" ca="1" si="131"/>
        <v>7.2835261019068426E-2</v>
      </c>
      <c r="BD112" s="3" t="e">
        <f t="shared" ca="1" si="132"/>
        <v>#N/A</v>
      </c>
      <c r="BE112" s="3" t="e">
        <f t="shared" ca="1" si="133"/>
        <v>#N/A</v>
      </c>
      <c r="BF112" s="3" t="e">
        <f t="shared" ca="1" si="134"/>
        <v>#N/A</v>
      </c>
      <c r="BG112" s="3">
        <f t="shared" ca="1" si="135"/>
        <v>9.8780864251707082E-2</v>
      </c>
      <c r="BI112" s="3" t="e">
        <f t="shared" ca="1" si="136"/>
        <v>#N/A</v>
      </c>
      <c r="BJ112" s="3" t="e">
        <f t="shared" ca="1" si="137"/>
        <v>#N/A</v>
      </c>
      <c r="BK112" s="3" t="e">
        <f t="shared" ca="1" si="138"/>
        <v>#N/A</v>
      </c>
      <c r="BL112" s="3">
        <f t="shared" ca="1" si="139"/>
        <v>0.31259768677711786</v>
      </c>
      <c r="BN112" s="3" t="e">
        <f t="shared" ca="1" si="140"/>
        <v>#N/A</v>
      </c>
      <c r="BO112" s="3" t="e">
        <f t="shared" ca="1" si="141"/>
        <v>#N/A</v>
      </c>
      <c r="BP112" s="3" t="e">
        <f t="shared" ca="1" si="142"/>
        <v>#N/A</v>
      </c>
      <c r="BQ112" s="3">
        <f t="shared" ca="1" si="143"/>
        <v>0.31259768677711786</v>
      </c>
      <c r="BS112" s="11" t="e">
        <v>#N/A</v>
      </c>
      <c r="BT112" s="11" t="e">
        <v>#N/A</v>
      </c>
      <c r="BU112" s="11" t="e">
        <v>#N/A</v>
      </c>
      <c r="BV112" s="5">
        <v>1.3380000591278076</v>
      </c>
      <c r="BX112" s="3" t="e">
        <f t="shared" ca="1" si="144"/>
        <v>#N/A</v>
      </c>
      <c r="BY112" s="3" t="e">
        <f t="shared" ca="1" si="145"/>
        <v>#N/A</v>
      </c>
      <c r="BZ112" s="3" t="e">
        <f t="shared" ca="1" si="146"/>
        <v>#N/A</v>
      </c>
      <c r="CA112" s="3">
        <f t="shared" ca="1" si="147"/>
        <v>0</v>
      </c>
      <c r="CC112" s="3" t="e">
        <f t="shared" ca="1" si="148"/>
        <v>#N/A</v>
      </c>
      <c r="CD112" s="3" t="e">
        <f t="shared" ca="1" si="149"/>
        <v>#N/A</v>
      </c>
      <c r="CE112" s="3" t="e">
        <f t="shared" ca="1" si="150"/>
        <v>#N/A</v>
      </c>
      <c r="CF112" s="3">
        <f t="shared" ca="1" si="151"/>
        <v>0</v>
      </c>
      <c r="CH112" s="3" t="e">
        <f t="shared" ca="1" si="152"/>
        <v>#N/A</v>
      </c>
      <c r="CI112" s="3" t="e">
        <f t="shared" ca="1" si="153"/>
        <v>#N/A</v>
      </c>
      <c r="CJ112" s="3" t="e">
        <f t="shared" ca="1" si="154"/>
        <v>#N/A</v>
      </c>
      <c r="CK112" s="3">
        <f t="shared" ca="1" si="155"/>
        <v>0</v>
      </c>
      <c r="CM112" s="3" t="e">
        <f t="shared" ca="1" si="156"/>
        <v>#N/A</v>
      </c>
      <c r="CN112" s="3" t="e">
        <f t="shared" ca="1" si="157"/>
        <v>#N/A</v>
      </c>
      <c r="CO112" s="3" t="e">
        <f t="shared" ca="1" si="158"/>
        <v>#N/A</v>
      </c>
      <c r="CP112" s="3">
        <f t="shared" ca="1" si="159"/>
        <v>0</v>
      </c>
      <c r="CR112" s="11" t="e">
        <v>#N/A</v>
      </c>
      <c r="CS112" s="11" t="e">
        <v>#N/A</v>
      </c>
      <c r="CT112" s="11" t="e">
        <v>#N/A</v>
      </c>
      <c r="CU112" s="5">
        <v>4.0149999999999997</v>
      </c>
      <c r="CV112" s="21">
        <f t="shared" ca="1" si="120"/>
        <v>4.0149999999999997</v>
      </c>
      <c r="CW112" s="16">
        <f t="shared" ca="1" si="119"/>
        <v>5.416666666666667</v>
      </c>
    </row>
    <row r="113" spans="1:101" s="5" customFormat="1" x14ac:dyDescent="0.35">
      <c r="A113" s="4" t="s">
        <v>119</v>
      </c>
      <c r="B113" s="4">
        <v>5.416666666666667</v>
      </c>
      <c r="C113" s="4" t="s">
        <v>168</v>
      </c>
      <c r="D113" s="4" t="s">
        <v>404</v>
      </c>
      <c r="E113" s="3"/>
      <c r="F113" s="5">
        <v>4.01</v>
      </c>
      <c r="G113" s="5">
        <v>4.0019999999999998</v>
      </c>
      <c r="H113" s="5">
        <v>4.016</v>
      </c>
      <c r="I113" s="5">
        <v>4.0250000000000004</v>
      </c>
      <c r="K113" s="3">
        <f t="shared" ca="1" si="121"/>
        <v>0.99301745635910232</v>
      </c>
      <c r="L113" s="3">
        <f t="shared" ca="1" si="121"/>
        <v>0.8120939530234883</v>
      </c>
      <c r="M113" s="3">
        <f t="shared" ca="1" si="121"/>
        <v>0.99576693227091639</v>
      </c>
      <c r="N113" s="3">
        <f t="shared" ca="1" si="121"/>
        <v>0.99354037267080741</v>
      </c>
      <c r="P113" s="3">
        <f t="shared" ca="1" si="122"/>
        <v>0.97231919461503591</v>
      </c>
      <c r="Q113" s="3">
        <f t="shared" ca="1" si="122"/>
        <v>0.72913542054761127</v>
      </c>
      <c r="R113" s="3">
        <f t="shared" ca="1" si="122"/>
        <v>0.96663346792853244</v>
      </c>
      <c r="S113" s="3">
        <f t="shared" ca="1" si="122"/>
        <v>0.95652169715728808</v>
      </c>
      <c r="U113" s="3">
        <f t="shared" ca="1" si="123"/>
        <v>1.4962593516209477</v>
      </c>
      <c r="V113" s="3">
        <f t="shared" ca="1" si="123"/>
        <v>1.7491254372813594</v>
      </c>
      <c r="W113" s="3">
        <f t="shared" ca="1" si="123"/>
        <v>1.9920318725099602</v>
      </c>
      <c r="X113" s="3">
        <f t="shared" ca="1" si="123"/>
        <v>2.4844720496894408</v>
      </c>
      <c r="Z113" s="3">
        <f t="shared" ca="1" si="124"/>
        <v>0.99301745635910232</v>
      </c>
      <c r="AA113" s="3">
        <f t="shared" ca="1" si="124"/>
        <v>0.75387306346826588</v>
      </c>
      <c r="AB113" s="3">
        <f t="shared" ca="1" si="124"/>
        <v>0.99576693227091639</v>
      </c>
      <c r="AC113" s="3">
        <f t="shared" ca="1" si="124"/>
        <v>0.99354037267080741</v>
      </c>
      <c r="AE113" s="3">
        <f t="shared" ca="1" si="125"/>
        <v>0.97231919461503591</v>
      </c>
      <c r="AF113" s="3">
        <f t="shared" ca="1" si="125"/>
        <v>0.72913542054761127</v>
      </c>
      <c r="AG113" s="3">
        <f t="shared" ca="1" si="125"/>
        <v>0.96663346792853244</v>
      </c>
      <c r="AH113" s="3">
        <f t="shared" ca="1" si="125"/>
        <v>0.95652169715728808</v>
      </c>
      <c r="AJ113" s="3">
        <f t="shared" ca="1" si="126"/>
        <v>1.4962593516209477</v>
      </c>
      <c r="AK113" s="3">
        <f t="shared" ca="1" si="126"/>
        <v>1.7491254372813594</v>
      </c>
      <c r="AL113" s="3">
        <f t="shared" ca="1" si="126"/>
        <v>1.9920318725099602</v>
      </c>
      <c r="AM113" s="3">
        <f t="shared" ca="1" si="126"/>
        <v>2.4844720496894408</v>
      </c>
      <c r="AO113" s="3">
        <f t="shared" ca="1" si="127"/>
        <v>0.24937655860349128</v>
      </c>
      <c r="AP113" s="3">
        <f t="shared" ca="1" si="127"/>
        <v>0.24987506246876562</v>
      </c>
      <c r="AQ113" s="3">
        <f t="shared" ca="1" si="127"/>
        <v>0.24900398406374502</v>
      </c>
      <c r="AR113" s="3">
        <f t="shared" ca="1" si="127"/>
        <v>0.24844720496894407</v>
      </c>
      <c r="AT113" s="5">
        <v>1.3000000268220901E-2</v>
      </c>
      <c r="AU113" s="5">
        <v>0.23800000548362732</v>
      </c>
      <c r="AV113" s="5">
        <v>4.0000001899898052E-3</v>
      </c>
      <c r="AW113" s="5">
        <v>1.4999999664723873E-2</v>
      </c>
      <c r="AY113" s="3">
        <f t="shared" ca="1" si="128"/>
        <v>0.13291770573566083</v>
      </c>
      <c r="AZ113" s="3">
        <f t="shared" ca="1" si="129"/>
        <v>0.29185407296351817</v>
      </c>
      <c r="BA113" s="3">
        <f t="shared" ca="1" si="130"/>
        <v>0.8508466135458167</v>
      </c>
      <c r="BB113" s="3">
        <f t="shared" ca="1" si="131"/>
        <v>0.53813664596273292</v>
      </c>
      <c r="BD113" s="3">
        <f t="shared" ca="1" si="132"/>
        <v>0.30349128394204189</v>
      </c>
      <c r="BE113" s="3">
        <f t="shared" ca="1" si="133"/>
        <v>0.41679165203651153</v>
      </c>
      <c r="BF113" s="3">
        <f t="shared" ca="1" si="134"/>
        <v>0.8505976116989713</v>
      </c>
      <c r="BG113" s="3">
        <f t="shared" ca="1" si="135"/>
        <v>0.52596271408270601</v>
      </c>
      <c r="BI113" s="3">
        <f t="shared" ca="1" si="136"/>
        <v>0.49875311720698257</v>
      </c>
      <c r="BJ113" s="3">
        <f t="shared" ca="1" si="137"/>
        <v>1.2493753123438283</v>
      </c>
      <c r="BK113" s="3">
        <f t="shared" ca="1" si="138"/>
        <v>1.7430278884462151</v>
      </c>
      <c r="BL113" s="3">
        <f t="shared" ca="1" si="139"/>
        <v>1.4906832298136645</v>
      </c>
      <c r="BN113" s="3">
        <f t="shared" ca="1" si="140"/>
        <v>0.49875311720698257</v>
      </c>
      <c r="BO113" s="3">
        <f t="shared" ca="1" si="141"/>
        <v>0.74962518740629691</v>
      </c>
      <c r="BP113" s="3">
        <f t="shared" ca="1" si="142"/>
        <v>0.49800796812749004</v>
      </c>
      <c r="BQ113" s="3">
        <f t="shared" ca="1" si="143"/>
        <v>0.74534161490683226</v>
      </c>
      <c r="BS113" s="5">
        <v>1.3000000268220901E-2</v>
      </c>
      <c r="BT113" s="5">
        <v>0.23800000548362732</v>
      </c>
      <c r="BU113" s="5">
        <v>0.4869999885559082</v>
      </c>
      <c r="BV113" s="5">
        <v>0.5820000171661377</v>
      </c>
      <c r="BX113" s="3">
        <f t="shared" ca="1" si="144"/>
        <v>0</v>
      </c>
      <c r="BY113" s="3">
        <f t="shared" ca="1" si="145"/>
        <v>0.13318340829585207</v>
      </c>
      <c r="BZ113" s="3">
        <f t="shared" ca="1" si="146"/>
        <v>0</v>
      </c>
      <c r="CA113" s="3">
        <f t="shared" ca="1" si="147"/>
        <v>0</v>
      </c>
      <c r="CC113" s="3">
        <f t="shared" ca="1" si="148"/>
        <v>0</v>
      </c>
      <c r="CD113" s="3">
        <f t="shared" ca="1" si="149"/>
        <v>0.14992501365131644</v>
      </c>
      <c r="CE113" s="3">
        <f t="shared" ca="1" si="150"/>
        <v>0</v>
      </c>
      <c r="CF113" s="3">
        <f t="shared" ca="1" si="151"/>
        <v>0</v>
      </c>
      <c r="CH113" s="3">
        <f t="shared" ca="1" si="152"/>
        <v>0</v>
      </c>
      <c r="CI113" s="3">
        <f t="shared" ca="1" si="153"/>
        <v>0.24987506246876562</v>
      </c>
      <c r="CJ113" s="3">
        <f t="shared" ca="1" si="154"/>
        <v>0</v>
      </c>
      <c r="CK113" s="3">
        <f t="shared" ca="1" si="155"/>
        <v>0</v>
      </c>
      <c r="CM113" s="3">
        <f t="shared" ca="1" si="156"/>
        <v>0</v>
      </c>
      <c r="CN113" s="3">
        <f t="shared" ca="1" si="157"/>
        <v>0.24987506246876562</v>
      </c>
      <c r="CO113" s="3">
        <f t="shared" ca="1" si="158"/>
        <v>0</v>
      </c>
      <c r="CP113" s="3">
        <f t="shared" ca="1" si="159"/>
        <v>0</v>
      </c>
      <c r="CR113" s="5">
        <v>4.01</v>
      </c>
      <c r="CS113" s="5">
        <v>2.255000114440918</v>
      </c>
      <c r="CT113" s="5">
        <v>4.016</v>
      </c>
      <c r="CU113" s="5">
        <v>4.0250000000000004</v>
      </c>
      <c r="CV113" s="21">
        <f t="shared" ca="1" si="120"/>
        <v>4.0250000000000004</v>
      </c>
      <c r="CW113" s="16">
        <f t="shared" ca="1" si="119"/>
        <v>5.416666666666667</v>
      </c>
    </row>
    <row r="114" spans="1:101" s="5" customFormat="1" x14ac:dyDescent="0.35">
      <c r="A114" s="4" t="s">
        <v>142</v>
      </c>
      <c r="B114" s="4">
        <v>5.5</v>
      </c>
      <c r="C114" s="4" t="s">
        <v>168</v>
      </c>
      <c r="D114" s="4" t="s">
        <v>404</v>
      </c>
      <c r="E114" s="3"/>
      <c r="F114" s="11" t="e">
        <v>#N/A</v>
      </c>
      <c r="G114" s="5">
        <v>4.0030000000000001</v>
      </c>
      <c r="H114" s="5">
        <v>4.0309999999999997</v>
      </c>
      <c r="I114" s="5">
        <v>3.9750000000000001</v>
      </c>
      <c r="K114" s="3" t="e">
        <f t="shared" ca="1" si="121"/>
        <v>#N/A</v>
      </c>
      <c r="L114" s="3">
        <f t="shared" ca="1" si="121"/>
        <v>0.99500374718960782</v>
      </c>
      <c r="M114" s="3">
        <f t="shared" ca="1" si="121"/>
        <v>0.99627883899776737</v>
      </c>
      <c r="N114" s="3">
        <f t="shared" ca="1" si="121"/>
        <v>0.87194968553459107</v>
      </c>
      <c r="P114" s="3" t="e">
        <f t="shared" ca="1" si="122"/>
        <v>#N/A</v>
      </c>
      <c r="Q114" s="3">
        <f t="shared" ca="1" si="122"/>
        <v>0.96527600366377453</v>
      </c>
      <c r="R114" s="3">
        <f t="shared" ca="1" si="122"/>
        <v>0.94219793768193472</v>
      </c>
      <c r="S114" s="3">
        <f t="shared" ca="1" si="122"/>
        <v>0.77559743474864362</v>
      </c>
      <c r="U114" s="3" t="e">
        <f t="shared" ca="1" si="123"/>
        <v>#N/A</v>
      </c>
      <c r="V114" s="3">
        <f t="shared" ca="1" si="123"/>
        <v>1.9985011241568822</v>
      </c>
      <c r="W114" s="3">
        <f t="shared" ca="1" si="123"/>
        <v>2.2326966013396183</v>
      </c>
      <c r="X114" s="3">
        <f t="shared" ca="1" si="123"/>
        <v>2.0125786163522013</v>
      </c>
      <c r="Z114" s="3" t="e">
        <f t="shared" ca="1" si="124"/>
        <v>#N/A</v>
      </c>
      <c r="AA114" s="3">
        <f t="shared" ca="1" si="124"/>
        <v>0.99500374718960782</v>
      </c>
      <c r="AB114" s="3">
        <f t="shared" ca="1" si="124"/>
        <v>0.99627883899776737</v>
      </c>
      <c r="AC114" s="3">
        <f t="shared" ca="1" si="124"/>
        <v>0.80075471698113199</v>
      </c>
      <c r="AE114" s="3" t="e">
        <f t="shared" ca="1" si="125"/>
        <v>#N/A</v>
      </c>
      <c r="AF114" s="3">
        <f t="shared" ca="1" si="125"/>
        <v>0.96527600366377453</v>
      </c>
      <c r="AG114" s="3">
        <f t="shared" ca="1" si="125"/>
        <v>0.94219793768193472</v>
      </c>
      <c r="AH114" s="3">
        <f t="shared" ca="1" si="125"/>
        <v>0.77559743474864362</v>
      </c>
      <c r="AJ114" s="3" t="e">
        <f t="shared" ca="1" si="126"/>
        <v>#N/A</v>
      </c>
      <c r="AK114" s="3">
        <f t="shared" ca="1" si="126"/>
        <v>1.9985011241568822</v>
      </c>
      <c r="AL114" s="3">
        <f t="shared" ca="1" si="126"/>
        <v>2.2326966013396183</v>
      </c>
      <c r="AM114" s="3">
        <f t="shared" ca="1" si="126"/>
        <v>2.0125786163522013</v>
      </c>
      <c r="AO114" s="3" t="e">
        <f t="shared" ca="1" si="127"/>
        <v>#N/A</v>
      </c>
      <c r="AP114" s="3">
        <f t="shared" ca="1" si="127"/>
        <v>0.24981264051961027</v>
      </c>
      <c r="AQ114" s="3">
        <f t="shared" ca="1" si="127"/>
        <v>0.24807740014884647</v>
      </c>
      <c r="AR114" s="3">
        <f t="shared" ca="1" si="127"/>
        <v>0.50314465408805031</v>
      </c>
      <c r="AT114" s="11" t="e">
        <v>#N/A</v>
      </c>
      <c r="AU114" s="5">
        <v>7.0000002160668373E-3</v>
      </c>
      <c r="AV114" s="5">
        <v>1.4000000432133675E-2</v>
      </c>
      <c r="AW114" s="5">
        <v>1.0999999940395355E-2</v>
      </c>
      <c r="AY114" s="3" t="e">
        <f t="shared" ca="1" si="128"/>
        <v>#N/A</v>
      </c>
      <c r="AZ114" s="3">
        <f t="shared" ca="1" si="129"/>
        <v>0.48288783412440661</v>
      </c>
      <c r="BA114" s="3">
        <f t="shared" ca="1" si="130"/>
        <v>0.79756884147854135</v>
      </c>
      <c r="BB114" s="3">
        <f t="shared" ca="1" si="131"/>
        <v>0.53257861635220127</v>
      </c>
      <c r="BD114" s="3" t="e">
        <f t="shared" ca="1" si="132"/>
        <v>#N/A</v>
      </c>
      <c r="BE114" s="3">
        <f t="shared" ca="1" si="133"/>
        <v>0.47839121940044826</v>
      </c>
      <c r="BF114" s="3">
        <f t="shared" ca="1" si="134"/>
        <v>0.84718428986506089</v>
      </c>
      <c r="BG114" s="3">
        <f t="shared" ca="1" si="135"/>
        <v>0.49459121512167109</v>
      </c>
      <c r="BI114" s="3" t="e">
        <f t="shared" ca="1" si="136"/>
        <v>#N/A</v>
      </c>
      <c r="BJ114" s="3">
        <f t="shared" ca="1" si="137"/>
        <v>0.9992505620784411</v>
      </c>
      <c r="BK114" s="3">
        <f t="shared" ca="1" si="138"/>
        <v>1.9846192011907717</v>
      </c>
      <c r="BL114" s="3">
        <f t="shared" ca="1" si="139"/>
        <v>1.0062893081761006</v>
      </c>
      <c r="BN114" s="3" t="e">
        <f t="shared" ca="1" si="140"/>
        <v>#N/A</v>
      </c>
      <c r="BO114" s="3">
        <f t="shared" ca="1" si="141"/>
        <v>0.49962528103922055</v>
      </c>
      <c r="BP114" s="3">
        <f t="shared" ca="1" si="142"/>
        <v>0.74423220044653937</v>
      </c>
      <c r="BQ114" s="3">
        <f t="shared" ca="1" si="143"/>
        <v>0.50314465408805031</v>
      </c>
      <c r="BS114" s="11" t="e">
        <v>#N/A</v>
      </c>
      <c r="BT114" s="5">
        <v>0.42399999499320984</v>
      </c>
      <c r="BU114" s="5">
        <v>0.414000004529953</v>
      </c>
      <c r="BV114" s="5">
        <v>0.36100000143051147</v>
      </c>
      <c r="BX114" s="3" t="e">
        <f t="shared" ca="1" si="144"/>
        <v>#N/A</v>
      </c>
      <c r="BY114" s="3">
        <f t="shared" ca="1" si="145"/>
        <v>0.32475643267549331</v>
      </c>
      <c r="BZ114" s="3">
        <f t="shared" ca="1" si="146"/>
        <v>0</v>
      </c>
      <c r="CA114" s="3">
        <f t="shared" ca="1" si="147"/>
        <v>0</v>
      </c>
      <c r="CC114" s="3" t="e">
        <f t="shared" ca="1" si="148"/>
        <v>#N/A</v>
      </c>
      <c r="CD114" s="3">
        <f t="shared" ca="1" si="149"/>
        <v>0.30377213132402286</v>
      </c>
      <c r="CE114" s="3">
        <f t="shared" ca="1" si="150"/>
        <v>0</v>
      </c>
      <c r="CF114" s="3">
        <f t="shared" ca="1" si="151"/>
        <v>0</v>
      </c>
      <c r="CH114" s="3" t="e">
        <f t="shared" ca="1" si="152"/>
        <v>#N/A</v>
      </c>
      <c r="CI114" s="3">
        <f t="shared" ca="1" si="153"/>
        <v>0.24981264051961027</v>
      </c>
      <c r="CJ114" s="3">
        <f t="shared" ca="1" si="154"/>
        <v>0</v>
      </c>
      <c r="CK114" s="3">
        <f t="shared" ca="1" si="155"/>
        <v>0</v>
      </c>
      <c r="CM114" s="3" t="e">
        <f t="shared" ca="1" si="156"/>
        <v>#N/A</v>
      </c>
      <c r="CN114" s="3">
        <f t="shared" ca="1" si="157"/>
        <v>0.49962528103922055</v>
      </c>
      <c r="CO114" s="3">
        <f t="shared" ca="1" si="158"/>
        <v>0</v>
      </c>
      <c r="CP114" s="3">
        <f t="shared" ca="1" si="159"/>
        <v>0</v>
      </c>
      <c r="CR114" s="11" t="e">
        <v>#N/A</v>
      </c>
      <c r="CS114" s="5">
        <v>2.4070000648498535</v>
      </c>
      <c r="CT114" s="5">
        <v>4.0309999999999997</v>
      </c>
      <c r="CU114" s="5">
        <v>3.9750000000000001</v>
      </c>
      <c r="CV114" s="21">
        <f t="shared" ca="1" si="120"/>
        <v>3.9750000000000001</v>
      </c>
      <c r="CW114" s="16">
        <f t="shared" ca="1" si="119"/>
        <v>5.5</v>
      </c>
    </row>
    <row r="115" spans="1:101" s="5" customFormat="1" x14ac:dyDescent="0.35">
      <c r="A115" s="4" t="s">
        <v>138</v>
      </c>
      <c r="B115" s="4">
        <v>5.583333333333333</v>
      </c>
      <c r="C115" s="4" t="s">
        <v>168</v>
      </c>
      <c r="D115" s="4" t="s">
        <v>404</v>
      </c>
      <c r="E115" s="3"/>
      <c r="F115" s="11" t="e">
        <v>#N/A</v>
      </c>
      <c r="G115" s="11" t="e">
        <v>#N/A</v>
      </c>
      <c r="H115" s="5" t="e">
        <v>#N/A</v>
      </c>
      <c r="I115" s="11" t="e">
        <v>#N/A</v>
      </c>
      <c r="K115" s="3" t="e">
        <f t="shared" ca="1" si="121"/>
        <v>#N/A</v>
      </c>
      <c r="L115" s="3" t="e">
        <f t="shared" ca="1" si="121"/>
        <v>#N/A</v>
      </c>
      <c r="M115" s="3" t="e">
        <f t="shared" ca="1" si="121"/>
        <v>#N/A</v>
      </c>
      <c r="N115" s="3" t="e">
        <f t="shared" ca="1" si="121"/>
        <v>#N/A</v>
      </c>
      <c r="P115" s="3" t="e">
        <f t="shared" ca="1" si="122"/>
        <v>#N/A</v>
      </c>
      <c r="Q115" s="3" t="e">
        <f t="shared" ca="1" si="122"/>
        <v>#N/A</v>
      </c>
      <c r="R115" s="3" t="e">
        <f t="shared" ca="1" si="122"/>
        <v>#N/A</v>
      </c>
      <c r="S115" s="3" t="e">
        <f t="shared" ca="1" si="122"/>
        <v>#N/A</v>
      </c>
      <c r="U115" s="3" t="e">
        <f t="shared" ca="1" si="123"/>
        <v>#N/A</v>
      </c>
      <c r="V115" s="3" t="e">
        <f t="shared" ca="1" si="123"/>
        <v>#N/A</v>
      </c>
      <c r="W115" s="3" t="e">
        <f t="shared" ca="1" si="123"/>
        <v>#N/A</v>
      </c>
      <c r="X115" s="3" t="e">
        <f t="shared" ca="1" si="123"/>
        <v>#N/A</v>
      </c>
      <c r="Z115" s="3" t="e">
        <f t="shared" ca="1" si="124"/>
        <v>#N/A</v>
      </c>
      <c r="AA115" s="3" t="e">
        <f t="shared" ca="1" si="124"/>
        <v>#N/A</v>
      </c>
      <c r="AB115" s="3" t="e">
        <f t="shared" ca="1" si="124"/>
        <v>#N/A</v>
      </c>
      <c r="AC115" s="3" t="e">
        <f t="shared" ca="1" si="124"/>
        <v>#N/A</v>
      </c>
      <c r="AE115" s="3" t="e">
        <f t="shared" ca="1" si="125"/>
        <v>#N/A</v>
      </c>
      <c r="AF115" s="3" t="e">
        <f t="shared" ca="1" si="125"/>
        <v>#N/A</v>
      </c>
      <c r="AG115" s="3" t="e">
        <f t="shared" ca="1" si="125"/>
        <v>#N/A</v>
      </c>
      <c r="AH115" s="3" t="e">
        <f t="shared" ca="1" si="125"/>
        <v>#N/A</v>
      </c>
      <c r="AJ115" s="3" t="e">
        <f t="shared" ca="1" si="126"/>
        <v>#N/A</v>
      </c>
      <c r="AK115" s="3" t="e">
        <f t="shared" ca="1" si="126"/>
        <v>#N/A</v>
      </c>
      <c r="AL115" s="3" t="e">
        <f t="shared" ca="1" si="126"/>
        <v>#N/A</v>
      </c>
      <c r="AM115" s="3" t="e">
        <f t="shared" ca="1" si="126"/>
        <v>#N/A</v>
      </c>
      <c r="AO115" s="3" t="e">
        <f t="shared" ca="1" si="127"/>
        <v>#N/A</v>
      </c>
      <c r="AP115" s="3" t="e">
        <f t="shared" ca="1" si="127"/>
        <v>#N/A</v>
      </c>
      <c r="AQ115" s="3" t="e">
        <f t="shared" ca="1" si="127"/>
        <v>#N/A</v>
      </c>
      <c r="AR115" s="3" t="e">
        <f t="shared" ca="1" si="127"/>
        <v>#N/A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Y115" s="3" t="e">
        <f t="shared" ca="1" si="128"/>
        <v>#N/A</v>
      </c>
      <c r="AZ115" s="3" t="e">
        <f t="shared" ca="1" si="129"/>
        <v>#N/A</v>
      </c>
      <c r="BA115" s="3" t="e">
        <f t="shared" ca="1" si="130"/>
        <v>#N/A</v>
      </c>
      <c r="BB115" s="3" t="e">
        <f t="shared" ca="1" si="131"/>
        <v>#N/A</v>
      </c>
      <c r="BD115" s="3" t="e">
        <f t="shared" ca="1" si="132"/>
        <v>#N/A</v>
      </c>
      <c r="BE115" s="3" t="e">
        <f t="shared" ca="1" si="133"/>
        <v>#N/A</v>
      </c>
      <c r="BF115" s="3" t="e">
        <f t="shared" ca="1" si="134"/>
        <v>#N/A</v>
      </c>
      <c r="BG115" s="3" t="e">
        <f t="shared" ca="1" si="135"/>
        <v>#N/A</v>
      </c>
      <c r="BI115" s="3" t="e">
        <f t="shared" ca="1" si="136"/>
        <v>#N/A</v>
      </c>
      <c r="BJ115" s="3" t="e">
        <f t="shared" ca="1" si="137"/>
        <v>#N/A</v>
      </c>
      <c r="BK115" s="3" t="e">
        <f t="shared" ca="1" si="138"/>
        <v>#N/A</v>
      </c>
      <c r="BL115" s="3" t="e">
        <f t="shared" ca="1" si="139"/>
        <v>#N/A</v>
      </c>
      <c r="BN115" s="3" t="e">
        <f t="shared" ca="1" si="140"/>
        <v>#N/A</v>
      </c>
      <c r="BO115" s="3" t="e">
        <f t="shared" ca="1" si="141"/>
        <v>#N/A</v>
      </c>
      <c r="BP115" s="3" t="e">
        <f t="shared" ca="1" si="142"/>
        <v>#N/A</v>
      </c>
      <c r="BQ115" s="3" t="e">
        <f t="shared" ca="1" si="143"/>
        <v>#N/A</v>
      </c>
      <c r="BS115" s="11" t="e">
        <v>#N/A</v>
      </c>
      <c r="BT115" s="11" t="e">
        <v>#N/A</v>
      </c>
      <c r="BU115" s="11" t="e">
        <v>#N/A</v>
      </c>
      <c r="BV115" s="11" t="e">
        <v>#N/A</v>
      </c>
      <c r="BX115" s="3" t="e">
        <f t="shared" ca="1" si="144"/>
        <v>#N/A</v>
      </c>
      <c r="BY115" s="3" t="e">
        <f t="shared" ca="1" si="145"/>
        <v>#N/A</v>
      </c>
      <c r="BZ115" s="3" t="e">
        <f t="shared" ca="1" si="146"/>
        <v>#N/A</v>
      </c>
      <c r="CA115" s="3" t="e">
        <f t="shared" ca="1" si="147"/>
        <v>#N/A</v>
      </c>
      <c r="CC115" s="3" t="e">
        <f t="shared" ca="1" si="148"/>
        <v>#N/A</v>
      </c>
      <c r="CD115" s="3" t="e">
        <f t="shared" ca="1" si="149"/>
        <v>#N/A</v>
      </c>
      <c r="CE115" s="3" t="e">
        <f t="shared" ca="1" si="150"/>
        <v>#N/A</v>
      </c>
      <c r="CF115" s="3" t="e">
        <f t="shared" ca="1" si="151"/>
        <v>#N/A</v>
      </c>
      <c r="CH115" s="3" t="e">
        <f t="shared" ca="1" si="152"/>
        <v>#N/A</v>
      </c>
      <c r="CI115" s="3" t="e">
        <f t="shared" ca="1" si="153"/>
        <v>#N/A</v>
      </c>
      <c r="CJ115" s="3" t="e">
        <f t="shared" ca="1" si="154"/>
        <v>#N/A</v>
      </c>
      <c r="CK115" s="3" t="e">
        <f t="shared" ca="1" si="155"/>
        <v>#N/A</v>
      </c>
      <c r="CM115" s="3" t="e">
        <f t="shared" ca="1" si="156"/>
        <v>#N/A</v>
      </c>
      <c r="CN115" s="3" t="e">
        <f t="shared" ca="1" si="157"/>
        <v>#N/A</v>
      </c>
      <c r="CO115" s="3" t="e">
        <f t="shared" ca="1" si="158"/>
        <v>#N/A</v>
      </c>
      <c r="CP115" s="3" t="e">
        <f t="shared" ca="1" si="159"/>
        <v>#N/A</v>
      </c>
      <c r="CR115" s="11" t="e">
        <v>#N/A</v>
      </c>
      <c r="CS115" s="11" t="e">
        <v>#N/A</v>
      </c>
      <c r="CT115" s="11" t="e">
        <v>#N/A</v>
      </c>
      <c r="CU115" s="11" t="e">
        <v>#N/A</v>
      </c>
      <c r="CV115" s="21" t="e">
        <f t="shared" ca="1" si="120"/>
        <v>#N/A</v>
      </c>
      <c r="CW115" s="16">
        <f t="shared" ca="1" si="119"/>
        <v>5.583333333333333</v>
      </c>
    </row>
    <row r="116" spans="1:101" s="5" customFormat="1" x14ac:dyDescent="0.35">
      <c r="A116" s="4" t="s">
        <v>108</v>
      </c>
      <c r="B116" s="4">
        <v>5.75</v>
      </c>
      <c r="C116" s="4" t="s">
        <v>168</v>
      </c>
      <c r="D116" s="4" t="s">
        <v>404</v>
      </c>
      <c r="E116" s="3"/>
      <c r="F116" s="5">
        <v>4.0039999999999996</v>
      </c>
      <c r="G116" s="5">
        <v>4.0039999999999996</v>
      </c>
      <c r="H116" s="5" t="e">
        <v>#N/A</v>
      </c>
      <c r="I116" s="5" t="e">
        <v>#N/A</v>
      </c>
      <c r="K116" s="3">
        <f t="shared" ca="1" si="121"/>
        <v>0.99900099900099915</v>
      </c>
      <c r="L116" s="3">
        <f t="shared" ca="1" si="121"/>
        <v>0.84090909090909105</v>
      </c>
      <c r="M116" s="3" t="e">
        <f t="shared" ca="1" si="121"/>
        <v>#N/A</v>
      </c>
      <c r="N116" s="3" t="e">
        <f t="shared" ca="1" si="121"/>
        <v>#N/A</v>
      </c>
      <c r="P116" s="3">
        <f t="shared" ca="1" si="122"/>
        <v>0.98226767009613558</v>
      </c>
      <c r="Q116" s="3">
        <f t="shared" ca="1" si="122"/>
        <v>0.78646354538343899</v>
      </c>
      <c r="R116" s="3" t="e">
        <f t="shared" ca="1" si="122"/>
        <v>#N/A</v>
      </c>
      <c r="S116" s="3" t="e">
        <f t="shared" ca="1" si="122"/>
        <v>#N/A</v>
      </c>
      <c r="U116" s="3">
        <f t="shared" ca="1" si="123"/>
        <v>1.2487512487512489</v>
      </c>
      <c r="V116" s="3">
        <f t="shared" ca="1" si="123"/>
        <v>1.4985014985014986</v>
      </c>
      <c r="W116" s="3" t="e">
        <f t="shared" ca="1" si="123"/>
        <v>#N/A</v>
      </c>
      <c r="X116" s="3" t="e">
        <f t="shared" ca="1" si="123"/>
        <v>#N/A</v>
      </c>
      <c r="Z116" s="3">
        <f t="shared" ca="1" si="124"/>
        <v>0.99900099900099915</v>
      </c>
      <c r="AA116" s="3">
        <f t="shared" ca="1" si="124"/>
        <v>0.84090909090909105</v>
      </c>
      <c r="AB116" s="3" t="e">
        <f t="shared" ca="1" si="124"/>
        <v>#N/A</v>
      </c>
      <c r="AC116" s="3" t="e">
        <f t="shared" ca="1" si="124"/>
        <v>#N/A</v>
      </c>
      <c r="AE116" s="3">
        <f t="shared" ca="1" si="125"/>
        <v>0.98226767009613558</v>
      </c>
      <c r="AF116" s="3">
        <f t="shared" ca="1" si="125"/>
        <v>0.78646354538343899</v>
      </c>
      <c r="AG116" s="3" t="e">
        <f t="shared" ca="1" si="125"/>
        <v>#N/A</v>
      </c>
      <c r="AH116" s="3" t="e">
        <f t="shared" ca="1" si="125"/>
        <v>#N/A</v>
      </c>
      <c r="AJ116" s="3">
        <f t="shared" ca="1" si="126"/>
        <v>1.2487512487512489</v>
      </c>
      <c r="AK116" s="3">
        <f t="shared" ca="1" si="126"/>
        <v>1.4985014985014986</v>
      </c>
      <c r="AL116" s="3" t="e">
        <f t="shared" ca="1" si="126"/>
        <v>#N/A</v>
      </c>
      <c r="AM116" s="3" t="e">
        <f t="shared" ca="1" si="126"/>
        <v>#N/A</v>
      </c>
      <c r="AO116" s="3">
        <f t="shared" ca="1" si="127"/>
        <v>0.24975024975024979</v>
      </c>
      <c r="AP116" s="3">
        <f t="shared" ca="1" si="127"/>
        <v>0.24975024975024979</v>
      </c>
      <c r="AQ116" s="3" t="e">
        <f t="shared" ca="1" si="127"/>
        <v>#N/A</v>
      </c>
      <c r="AR116" s="3" t="e">
        <f t="shared" ca="1" si="127"/>
        <v>#N/A</v>
      </c>
      <c r="AT116" s="5">
        <v>3.0000000260770321E-3</v>
      </c>
      <c r="AU116" s="5">
        <v>1.0000000474974513E-3</v>
      </c>
      <c r="AV116" s="11" t="e">
        <v>#N/A</v>
      </c>
      <c r="AW116" s="11" t="e">
        <v>#N/A</v>
      </c>
      <c r="AY116" s="3">
        <f t="shared" ca="1" si="128"/>
        <v>0.19980019980019972</v>
      </c>
      <c r="AZ116" s="3">
        <f t="shared" ca="1" si="129"/>
        <v>0.54920079920079923</v>
      </c>
      <c r="BA116" s="3" t="e">
        <f t="shared" ca="1" si="130"/>
        <v>#N/A</v>
      </c>
      <c r="BB116" s="3" t="e">
        <f t="shared" ca="1" si="131"/>
        <v>#N/A</v>
      </c>
      <c r="BD116" s="3">
        <f t="shared" ca="1" si="132"/>
        <v>4.570428784434255E-2</v>
      </c>
      <c r="BE116" s="3">
        <f t="shared" ca="1" si="133"/>
        <v>0.55319681153311717</v>
      </c>
      <c r="BF116" s="3" t="e">
        <f t="shared" ca="1" si="134"/>
        <v>#N/A</v>
      </c>
      <c r="BG116" s="3" t="e">
        <f t="shared" ca="1" si="135"/>
        <v>#N/A</v>
      </c>
      <c r="BI116" s="3">
        <f t="shared" ca="1" si="136"/>
        <v>0.24975024975024979</v>
      </c>
      <c r="BJ116" s="3">
        <f t="shared" ca="1" si="137"/>
        <v>0.99900099900099915</v>
      </c>
      <c r="BK116" s="3" t="e">
        <f t="shared" ca="1" si="138"/>
        <v>#N/A</v>
      </c>
      <c r="BL116" s="3" t="e">
        <f t="shared" ca="1" si="139"/>
        <v>#N/A</v>
      </c>
      <c r="BN116" s="3">
        <f t="shared" ca="1" si="140"/>
        <v>0.99900099900099915</v>
      </c>
      <c r="BO116" s="3">
        <f t="shared" ca="1" si="141"/>
        <v>0.24975024975024979</v>
      </c>
      <c r="BP116" s="3" t="e">
        <f t="shared" ca="1" si="142"/>
        <v>#N/A</v>
      </c>
      <c r="BQ116" s="3" t="e">
        <f t="shared" ca="1" si="143"/>
        <v>#N/A</v>
      </c>
      <c r="BS116" s="5">
        <v>0.50300002098083496</v>
      </c>
      <c r="BT116" s="5">
        <v>0.51800000667572021</v>
      </c>
      <c r="BU116" s="11" t="e">
        <v>#N/A</v>
      </c>
      <c r="BV116" s="11" t="e">
        <v>#N/A</v>
      </c>
      <c r="BX116" s="3">
        <f t="shared" ca="1" si="144"/>
        <v>0</v>
      </c>
      <c r="BY116" s="3">
        <f t="shared" ca="1" si="145"/>
        <v>0.1960539460539461</v>
      </c>
      <c r="BZ116" s="3" t="e">
        <f t="shared" ca="1" si="146"/>
        <v>#N/A</v>
      </c>
      <c r="CA116" s="3" t="e">
        <f t="shared" ca="1" si="147"/>
        <v>#N/A</v>
      </c>
      <c r="CC116" s="3">
        <f t="shared" ca="1" si="148"/>
        <v>0</v>
      </c>
      <c r="CD116" s="3">
        <f t="shared" ca="1" si="149"/>
        <v>0.10839161220249478</v>
      </c>
      <c r="CE116" s="3" t="e">
        <f t="shared" ca="1" si="150"/>
        <v>#N/A</v>
      </c>
      <c r="CF116" s="3" t="e">
        <f t="shared" ca="1" si="151"/>
        <v>#N/A</v>
      </c>
      <c r="CH116" s="3">
        <f t="shared" ca="1" si="152"/>
        <v>0</v>
      </c>
      <c r="CI116" s="3">
        <f t="shared" ca="1" si="153"/>
        <v>0.24975024975024979</v>
      </c>
      <c r="CJ116" s="3" t="e">
        <f t="shared" ca="1" si="154"/>
        <v>#N/A</v>
      </c>
      <c r="CK116" s="3" t="e">
        <f t="shared" ca="1" si="155"/>
        <v>#N/A</v>
      </c>
      <c r="CM116" s="3">
        <f t="shared" ca="1" si="156"/>
        <v>0</v>
      </c>
      <c r="CN116" s="3">
        <f t="shared" ca="1" si="157"/>
        <v>0.7492507492507493</v>
      </c>
      <c r="CO116" s="3" t="e">
        <f t="shared" ca="1" si="158"/>
        <v>#N/A</v>
      </c>
      <c r="CP116" s="3" t="e">
        <f t="shared" ca="1" si="159"/>
        <v>#N/A</v>
      </c>
      <c r="CR116" s="5">
        <v>4.0039999999999996</v>
      </c>
      <c r="CS116" s="5">
        <v>2.8840000629425049</v>
      </c>
      <c r="CT116" s="11" t="e">
        <v>#N/A</v>
      </c>
      <c r="CU116" s="11" t="e">
        <v>#N/A</v>
      </c>
      <c r="CV116" s="21" t="e">
        <f t="shared" ca="1" si="120"/>
        <v>#N/A</v>
      </c>
      <c r="CW116" s="16">
        <f t="shared" ca="1" si="119"/>
        <v>5.75</v>
      </c>
    </row>
    <row r="117" spans="1:101" s="5" customFormat="1" x14ac:dyDescent="0.35">
      <c r="A117" s="4" t="s">
        <v>151</v>
      </c>
      <c r="B117" s="4">
        <v>5.75</v>
      </c>
      <c r="C117" s="4" t="s">
        <v>168</v>
      </c>
      <c r="D117" s="4" t="s">
        <v>404</v>
      </c>
      <c r="E117" s="3"/>
      <c r="F117" s="5">
        <v>4.016</v>
      </c>
      <c r="G117" s="5">
        <v>4.016</v>
      </c>
      <c r="H117" s="5" t="e">
        <v>#N/A</v>
      </c>
      <c r="I117" s="5" t="e">
        <v>#N/A</v>
      </c>
      <c r="K117" s="3">
        <f t="shared" ca="1" si="121"/>
        <v>0.9957669322709165</v>
      </c>
      <c r="L117" s="3">
        <f t="shared" ca="1" si="121"/>
        <v>0.99576693227091639</v>
      </c>
      <c r="M117" s="3" t="e">
        <f t="shared" ca="1" si="121"/>
        <v>#N/A</v>
      </c>
      <c r="N117" s="3" t="e">
        <f t="shared" ca="1" si="121"/>
        <v>#N/A</v>
      </c>
      <c r="P117" s="3">
        <f t="shared" ca="1" si="122"/>
        <v>0.97485064104268049</v>
      </c>
      <c r="Q117" s="3">
        <f t="shared" ca="1" si="122"/>
        <v>0.85458163110784202</v>
      </c>
      <c r="R117" s="3" t="e">
        <f t="shared" ca="1" si="122"/>
        <v>#N/A</v>
      </c>
      <c r="S117" s="3" t="e">
        <f t="shared" ca="1" si="122"/>
        <v>#N/A</v>
      </c>
      <c r="U117" s="3">
        <f t="shared" ca="1" si="123"/>
        <v>1.4940239043824701</v>
      </c>
      <c r="V117" s="3">
        <f t="shared" ca="1" si="123"/>
        <v>1.7430278884462151</v>
      </c>
      <c r="W117" s="3" t="e">
        <f t="shared" ca="1" si="123"/>
        <v>#N/A</v>
      </c>
      <c r="X117" s="3" t="e">
        <f t="shared" ca="1" si="123"/>
        <v>#N/A</v>
      </c>
      <c r="Z117" s="3">
        <f t="shared" ca="1" si="124"/>
        <v>0.9957669322709165</v>
      </c>
      <c r="AA117" s="3">
        <f t="shared" ca="1" si="124"/>
        <v>0.99576693227091639</v>
      </c>
      <c r="AB117" s="3" t="e">
        <f t="shared" ca="1" si="124"/>
        <v>#N/A</v>
      </c>
      <c r="AC117" s="3" t="e">
        <f t="shared" ca="1" si="124"/>
        <v>#N/A</v>
      </c>
      <c r="AE117" s="3">
        <f t="shared" ca="1" si="125"/>
        <v>0.97485064104268049</v>
      </c>
      <c r="AF117" s="3">
        <f t="shared" ca="1" si="125"/>
        <v>0.85458163110784202</v>
      </c>
      <c r="AG117" s="3" t="e">
        <f t="shared" ca="1" si="125"/>
        <v>#N/A</v>
      </c>
      <c r="AH117" s="3" t="e">
        <f t="shared" ca="1" si="125"/>
        <v>#N/A</v>
      </c>
      <c r="AJ117" s="3">
        <f t="shared" ca="1" si="126"/>
        <v>1.4940239043824701</v>
      </c>
      <c r="AK117" s="3">
        <f t="shared" ca="1" si="126"/>
        <v>1.7430278884462151</v>
      </c>
      <c r="AL117" s="3" t="e">
        <f t="shared" ca="1" si="126"/>
        <v>#N/A</v>
      </c>
      <c r="AM117" s="3" t="e">
        <f t="shared" ca="1" si="126"/>
        <v>#N/A</v>
      </c>
      <c r="AO117" s="3">
        <f t="shared" ca="1" si="127"/>
        <v>0.24900398406374502</v>
      </c>
      <c r="AP117" s="3">
        <f t="shared" ca="1" si="127"/>
        <v>0.24900398406374502</v>
      </c>
      <c r="AQ117" s="3" t="e">
        <f t="shared" ca="1" si="127"/>
        <v>#N/A</v>
      </c>
      <c r="AR117" s="3" t="e">
        <f t="shared" ca="1" si="127"/>
        <v>#N/A</v>
      </c>
      <c r="AT117" s="5">
        <v>2.0000000949949026E-3</v>
      </c>
      <c r="AU117" s="5">
        <v>1.4000000432133675E-2</v>
      </c>
      <c r="AV117" s="11" t="e">
        <v>#N/A</v>
      </c>
      <c r="AW117" s="11" t="e">
        <v>#N/A</v>
      </c>
      <c r="AY117" s="3">
        <f t="shared" ca="1" si="128"/>
        <v>5.0049800796812823E-2</v>
      </c>
      <c r="AZ117" s="3">
        <f t="shared" ca="1" si="129"/>
        <v>0.39392430278884438</v>
      </c>
      <c r="BA117" s="3" t="e">
        <f t="shared" ca="1" si="130"/>
        <v>#N/A</v>
      </c>
      <c r="BB117" s="3" t="e">
        <f t="shared" ca="1" si="131"/>
        <v>#N/A</v>
      </c>
      <c r="BD117" s="3">
        <f t="shared" ca="1" si="132"/>
        <v>3.3117533917446061E-2</v>
      </c>
      <c r="BE117" s="3">
        <f t="shared" ca="1" si="133"/>
        <v>0.52265937169234589</v>
      </c>
      <c r="BF117" s="3" t="e">
        <f t="shared" ca="1" si="134"/>
        <v>#N/A</v>
      </c>
      <c r="BG117" s="3" t="e">
        <f t="shared" ca="1" si="135"/>
        <v>#N/A</v>
      </c>
      <c r="BI117" s="3">
        <f t="shared" ca="1" si="136"/>
        <v>0.24900398406374502</v>
      </c>
      <c r="BJ117" s="3">
        <f t="shared" ca="1" si="137"/>
        <v>0.49800796812749004</v>
      </c>
      <c r="BK117" s="3" t="e">
        <f t="shared" ca="1" si="138"/>
        <v>#N/A</v>
      </c>
      <c r="BL117" s="3" t="e">
        <f t="shared" ca="1" si="139"/>
        <v>#N/A</v>
      </c>
      <c r="BN117" s="3">
        <f t="shared" ca="1" si="140"/>
        <v>0.74701195219123506</v>
      </c>
      <c r="BO117" s="3">
        <f t="shared" ca="1" si="141"/>
        <v>1.2450199203187251</v>
      </c>
      <c r="BP117" s="3" t="e">
        <f t="shared" ca="1" si="142"/>
        <v>#N/A</v>
      </c>
      <c r="BQ117" s="3" t="e">
        <f t="shared" ca="1" si="143"/>
        <v>#N/A</v>
      </c>
      <c r="BS117" s="5">
        <v>1.8519999980926514</v>
      </c>
      <c r="BT117" s="5">
        <v>0.61400002241134644</v>
      </c>
      <c r="BU117" s="11" t="e">
        <v>#N/A</v>
      </c>
      <c r="BV117" s="11" t="e">
        <v>#N/A</v>
      </c>
      <c r="BX117" s="3">
        <f t="shared" ca="1" si="144"/>
        <v>4.5567729083665409E-2</v>
      </c>
      <c r="BY117" s="3">
        <f t="shared" ca="1" si="145"/>
        <v>0.17006972111553781</v>
      </c>
      <c r="BZ117" s="3" t="e">
        <f t="shared" ca="1" si="146"/>
        <v>#N/A</v>
      </c>
      <c r="CA117" s="3" t="e">
        <f t="shared" ca="1" si="147"/>
        <v>#N/A</v>
      </c>
      <c r="CC117" s="3">
        <f t="shared" ca="1" si="148"/>
        <v>0</v>
      </c>
      <c r="CD117" s="3">
        <f t="shared" ca="1" si="149"/>
        <v>0.18675297274220867</v>
      </c>
      <c r="CE117" s="3" t="e">
        <f t="shared" ca="1" si="150"/>
        <v>#N/A</v>
      </c>
      <c r="CF117" s="3" t="e">
        <f t="shared" ca="1" si="151"/>
        <v>#N/A</v>
      </c>
      <c r="CH117" s="3">
        <f t="shared" ca="1" si="152"/>
        <v>0</v>
      </c>
      <c r="CI117" s="3">
        <f t="shared" ca="1" si="153"/>
        <v>0.49800796812749004</v>
      </c>
      <c r="CJ117" s="3" t="e">
        <f t="shared" ca="1" si="154"/>
        <v>#N/A</v>
      </c>
      <c r="CK117" s="3" t="e">
        <f t="shared" ca="1" si="155"/>
        <v>#N/A</v>
      </c>
      <c r="CM117" s="3">
        <f t="shared" ca="1" si="156"/>
        <v>0.24900398406374502</v>
      </c>
      <c r="CN117" s="3">
        <f t="shared" ca="1" si="157"/>
        <v>0.99601593625498008</v>
      </c>
      <c r="CO117" s="3" t="e">
        <f t="shared" ca="1" si="158"/>
        <v>#N/A</v>
      </c>
      <c r="CP117" s="3" t="e">
        <f t="shared" ca="1" si="159"/>
        <v>#N/A</v>
      </c>
      <c r="CR117" s="5">
        <v>4.016</v>
      </c>
      <c r="CS117" s="5">
        <v>1.4000000432133675E-2</v>
      </c>
      <c r="CT117" s="11" t="e">
        <v>#N/A</v>
      </c>
      <c r="CU117" s="11" t="e">
        <v>#N/A</v>
      </c>
      <c r="CV117" s="21" t="e">
        <f t="shared" ca="1" si="120"/>
        <v>#N/A</v>
      </c>
      <c r="CW117" s="16">
        <f t="shared" ca="1" si="119"/>
        <v>5.75</v>
      </c>
    </row>
    <row r="118" spans="1:101" s="5" customFormat="1" x14ac:dyDescent="0.35">
      <c r="A118" s="4" t="s">
        <v>96</v>
      </c>
      <c r="B118" s="4">
        <v>5.833333333333333</v>
      </c>
      <c r="C118" s="4" t="s">
        <v>168</v>
      </c>
      <c r="D118" s="4" t="s">
        <v>404</v>
      </c>
      <c r="E118" s="3"/>
      <c r="F118" s="5" t="e">
        <v>#N/A</v>
      </c>
      <c r="G118" s="5">
        <v>4.0250000000000004</v>
      </c>
      <c r="H118" s="5" t="e">
        <v>#N/A</v>
      </c>
      <c r="I118" s="5" t="e">
        <v>#N/A</v>
      </c>
      <c r="K118" s="3" t="e">
        <f t="shared" ca="1" si="121"/>
        <v>#N/A</v>
      </c>
      <c r="L118" s="3">
        <f t="shared" ca="1" si="121"/>
        <v>0.9935403726708073</v>
      </c>
      <c r="M118" s="3" t="e">
        <f t="shared" ca="1" si="121"/>
        <v>#N/A</v>
      </c>
      <c r="N118" s="3" t="e">
        <f t="shared" ca="1" si="121"/>
        <v>#N/A</v>
      </c>
      <c r="P118" s="3" t="e">
        <f t="shared" ca="1" si="122"/>
        <v>#N/A</v>
      </c>
      <c r="Q118" s="3">
        <f t="shared" ca="1" si="122"/>
        <v>0.96869568924726157</v>
      </c>
      <c r="R118" s="3" t="e">
        <f t="shared" ca="1" si="122"/>
        <v>#N/A</v>
      </c>
      <c r="S118" s="3" t="e">
        <f t="shared" ca="1" si="122"/>
        <v>#N/A</v>
      </c>
      <c r="U118" s="3" t="e">
        <f t="shared" ca="1" si="123"/>
        <v>#N/A</v>
      </c>
      <c r="V118" s="3">
        <f t="shared" ca="1" si="123"/>
        <v>1.2422360248447204</v>
      </c>
      <c r="W118" s="3" t="e">
        <f t="shared" ca="1" si="123"/>
        <v>#N/A</v>
      </c>
      <c r="X118" s="3" t="e">
        <f t="shared" ca="1" si="123"/>
        <v>#N/A</v>
      </c>
      <c r="Z118" s="3" t="e">
        <f t="shared" ca="1" si="124"/>
        <v>#N/A</v>
      </c>
      <c r="AA118" s="3">
        <f t="shared" ca="1" si="124"/>
        <v>0.9935403726708073</v>
      </c>
      <c r="AB118" s="3" t="e">
        <f t="shared" ca="1" si="124"/>
        <v>#N/A</v>
      </c>
      <c r="AC118" s="3" t="e">
        <f t="shared" ca="1" si="124"/>
        <v>#N/A</v>
      </c>
      <c r="AE118" s="3" t="e">
        <f t="shared" ca="1" si="125"/>
        <v>#N/A</v>
      </c>
      <c r="AF118" s="3">
        <f t="shared" ca="1" si="125"/>
        <v>0.96869568924726157</v>
      </c>
      <c r="AG118" s="3" t="e">
        <f t="shared" ca="1" si="125"/>
        <v>#N/A</v>
      </c>
      <c r="AH118" s="3" t="e">
        <f t="shared" ca="1" si="125"/>
        <v>#N/A</v>
      </c>
      <c r="AJ118" s="3" t="e">
        <f t="shared" ca="1" si="126"/>
        <v>#N/A</v>
      </c>
      <c r="AK118" s="3">
        <f t="shared" ca="1" si="126"/>
        <v>1.2422360248447204</v>
      </c>
      <c r="AL118" s="3" t="e">
        <f t="shared" ca="1" si="126"/>
        <v>#N/A</v>
      </c>
      <c r="AM118" s="3" t="e">
        <f t="shared" ca="1" si="126"/>
        <v>#N/A</v>
      </c>
      <c r="AO118" s="3" t="e">
        <f t="shared" ca="1" si="127"/>
        <v>#N/A</v>
      </c>
      <c r="AP118" s="3">
        <f t="shared" ca="1" si="127"/>
        <v>0.24844720496894407</v>
      </c>
      <c r="AQ118" s="3" t="e">
        <f t="shared" ca="1" si="127"/>
        <v>#N/A</v>
      </c>
      <c r="AR118" s="3" t="e">
        <f t="shared" ca="1" si="127"/>
        <v>#N/A</v>
      </c>
      <c r="AT118" s="5">
        <v>5.000000074505806E-2</v>
      </c>
      <c r="AU118" s="5">
        <v>1.3000000268220901E-2</v>
      </c>
      <c r="AV118" s="5">
        <v>1.9769999980926514</v>
      </c>
      <c r="AW118" s="5">
        <v>2.500000037252903E-2</v>
      </c>
      <c r="AY118" s="3" t="e">
        <f t="shared" ca="1" si="128"/>
        <v>#N/A</v>
      </c>
      <c r="AZ118" s="3">
        <f t="shared" ca="1" si="129"/>
        <v>0.81167701863354036</v>
      </c>
      <c r="BA118" s="3" t="e">
        <f t="shared" ca="1" si="130"/>
        <v>#N/A</v>
      </c>
      <c r="BB118" s="3" t="e">
        <f t="shared" ca="1" si="131"/>
        <v>#N/A</v>
      </c>
      <c r="BD118" s="3" t="e">
        <f t="shared" ca="1" si="132"/>
        <v>#N/A</v>
      </c>
      <c r="BE118" s="3">
        <f t="shared" ca="1" si="133"/>
        <v>0.88173916621237802</v>
      </c>
      <c r="BF118" s="3" t="e">
        <f t="shared" ca="1" si="134"/>
        <v>#N/A</v>
      </c>
      <c r="BG118" s="3" t="e">
        <f t="shared" ca="1" si="135"/>
        <v>#N/A</v>
      </c>
      <c r="BI118" s="3" t="e">
        <f t="shared" ca="1" si="136"/>
        <v>#N/A</v>
      </c>
      <c r="BJ118" s="3">
        <f t="shared" ca="1" si="137"/>
        <v>0.99378881987577627</v>
      </c>
      <c r="BK118" s="3" t="e">
        <f t="shared" ca="1" si="138"/>
        <v>#N/A</v>
      </c>
      <c r="BL118" s="3" t="e">
        <f t="shared" ca="1" si="139"/>
        <v>#N/A</v>
      </c>
      <c r="BN118" s="3" t="e">
        <f t="shared" ca="1" si="140"/>
        <v>#N/A</v>
      </c>
      <c r="BO118" s="3">
        <f t="shared" ca="1" si="141"/>
        <v>0.49689440993788814</v>
      </c>
      <c r="BP118" s="3" t="e">
        <f t="shared" ca="1" si="142"/>
        <v>#N/A</v>
      </c>
      <c r="BQ118" s="3" t="e">
        <f t="shared" ca="1" si="143"/>
        <v>#N/A</v>
      </c>
      <c r="BS118" s="5">
        <v>2</v>
      </c>
      <c r="BT118" s="5">
        <v>0.37900000810623169</v>
      </c>
      <c r="BU118" s="5">
        <v>2.3610000610351563</v>
      </c>
      <c r="BV118" s="5">
        <v>0.44200000166893005</v>
      </c>
      <c r="BX118" s="3" t="e">
        <f t="shared" ca="1" si="144"/>
        <v>#N/A</v>
      </c>
      <c r="BY118" s="3">
        <f t="shared" ca="1" si="145"/>
        <v>2.4844720496894408E-2</v>
      </c>
      <c r="BZ118" s="3" t="e">
        <f t="shared" ca="1" si="146"/>
        <v>#N/A</v>
      </c>
      <c r="CA118" s="3" t="e">
        <f t="shared" ca="1" si="147"/>
        <v>#N/A</v>
      </c>
      <c r="CC118" s="3" t="e">
        <f t="shared" ca="1" si="148"/>
        <v>#N/A</v>
      </c>
      <c r="CD118" s="3">
        <f t="shared" ca="1" si="149"/>
        <v>0</v>
      </c>
      <c r="CE118" s="3" t="e">
        <f t="shared" ca="1" si="150"/>
        <v>#N/A</v>
      </c>
      <c r="CF118" s="3" t="e">
        <f t="shared" ca="1" si="151"/>
        <v>#N/A</v>
      </c>
      <c r="CH118" s="3" t="e">
        <f t="shared" ca="1" si="152"/>
        <v>#N/A</v>
      </c>
      <c r="CI118" s="3">
        <f t="shared" ca="1" si="153"/>
        <v>0</v>
      </c>
      <c r="CJ118" s="3" t="e">
        <f t="shared" ca="1" si="154"/>
        <v>#N/A</v>
      </c>
      <c r="CK118" s="3" t="e">
        <f t="shared" ca="1" si="155"/>
        <v>#N/A</v>
      </c>
      <c r="CM118" s="3" t="e">
        <f t="shared" ca="1" si="156"/>
        <v>#N/A</v>
      </c>
      <c r="CN118" s="3">
        <f t="shared" ca="1" si="157"/>
        <v>0.49689440993788814</v>
      </c>
      <c r="CO118" s="3" t="e">
        <f t="shared" ca="1" si="158"/>
        <v>#N/A</v>
      </c>
      <c r="CP118" s="3" t="e">
        <f t="shared" ca="1" si="159"/>
        <v>#N/A</v>
      </c>
      <c r="CR118" s="5">
        <v>4.0170000000000003</v>
      </c>
      <c r="CS118" s="5">
        <v>4.0250000000000004</v>
      </c>
      <c r="CT118" s="5">
        <v>4.01</v>
      </c>
      <c r="CU118" s="5">
        <v>4.016</v>
      </c>
      <c r="CV118" s="21">
        <f t="shared" ca="1" si="120"/>
        <v>4.016</v>
      </c>
      <c r="CW118" s="16">
        <f t="shared" ca="1" si="119"/>
        <v>5.833333333333333</v>
      </c>
    </row>
    <row r="119" spans="1:101" s="5" customFormat="1" x14ac:dyDescent="0.35">
      <c r="A119" s="4" t="s">
        <v>115</v>
      </c>
      <c r="B119" s="4">
        <v>6</v>
      </c>
      <c r="C119" s="4" t="s">
        <v>168</v>
      </c>
      <c r="D119" s="4" t="s">
        <v>404</v>
      </c>
      <c r="E119" s="3"/>
      <c r="F119" s="5" t="e">
        <v>#N/A</v>
      </c>
      <c r="G119" s="5">
        <v>3.2240000000000002</v>
      </c>
      <c r="H119" s="5" t="e">
        <v>#N/A</v>
      </c>
      <c r="I119" s="11" t="e">
        <v>#N/A</v>
      </c>
      <c r="K119" s="3" t="e">
        <f t="shared" ca="1" si="121"/>
        <v>#N/A</v>
      </c>
      <c r="L119" s="3">
        <f t="shared" ca="1" si="121"/>
        <v>0.98263027295285355</v>
      </c>
      <c r="M119" s="3" t="e">
        <f t="shared" ca="1" si="121"/>
        <v>#N/A</v>
      </c>
      <c r="N119" s="3" t="e">
        <f t="shared" ca="1" si="121"/>
        <v>#N/A</v>
      </c>
      <c r="P119" s="3" t="e">
        <f t="shared" ca="1" si="122"/>
        <v>#N/A</v>
      </c>
      <c r="Q119" s="3">
        <f t="shared" ca="1" si="122"/>
        <v>0.87406959502539472</v>
      </c>
      <c r="R119" s="3" t="e">
        <f t="shared" ca="1" si="122"/>
        <v>#N/A</v>
      </c>
      <c r="S119" s="3" t="e">
        <f t="shared" ca="1" si="122"/>
        <v>#N/A</v>
      </c>
      <c r="U119" s="3" t="e">
        <f t="shared" ca="1" si="123"/>
        <v>#N/A</v>
      </c>
      <c r="V119" s="3">
        <f t="shared" ca="1" si="123"/>
        <v>2.791563275434243</v>
      </c>
      <c r="W119" s="3" t="e">
        <f t="shared" ca="1" si="123"/>
        <v>#N/A</v>
      </c>
      <c r="X119" s="3" t="e">
        <f t="shared" ca="1" si="123"/>
        <v>#N/A</v>
      </c>
      <c r="Z119" s="3" t="e">
        <f t="shared" ca="1" si="124"/>
        <v>#N/A</v>
      </c>
      <c r="AA119" s="3">
        <f t="shared" ca="1" si="124"/>
        <v>0.95130272952853601</v>
      </c>
      <c r="AB119" s="3" t="e">
        <f t="shared" ca="1" si="124"/>
        <v>#N/A</v>
      </c>
      <c r="AC119" s="3" t="e">
        <f t="shared" ca="1" si="124"/>
        <v>#N/A</v>
      </c>
      <c r="AE119" s="3" t="e">
        <f t="shared" ca="1" si="125"/>
        <v>#N/A</v>
      </c>
      <c r="AF119" s="3">
        <f t="shared" ca="1" si="125"/>
        <v>0.84305218092764422</v>
      </c>
      <c r="AG119" s="3" t="e">
        <f t="shared" ca="1" si="125"/>
        <v>#N/A</v>
      </c>
      <c r="AH119" s="3" t="e">
        <f t="shared" ca="1" si="125"/>
        <v>#N/A</v>
      </c>
      <c r="AJ119" s="3" t="e">
        <f t="shared" ca="1" si="126"/>
        <v>#N/A</v>
      </c>
      <c r="AK119" s="3">
        <f t="shared" ca="1" si="126"/>
        <v>2.4813895781637716</v>
      </c>
      <c r="AL119" s="3" t="e">
        <f t="shared" ca="1" si="126"/>
        <v>#N/A</v>
      </c>
      <c r="AM119" s="3" t="e">
        <f t="shared" ca="1" si="126"/>
        <v>#N/A</v>
      </c>
      <c r="AO119" s="3" t="e">
        <f t="shared" ca="1" si="127"/>
        <v>#N/A</v>
      </c>
      <c r="AP119" s="3">
        <f t="shared" ca="1" si="127"/>
        <v>1.2406947890818858</v>
      </c>
      <c r="AQ119" s="3" t="e">
        <f t="shared" ca="1" si="127"/>
        <v>#N/A</v>
      </c>
      <c r="AR119" s="3" t="e">
        <f t="shared" ca="1" si="127"/>
        <v>#N/A</v>
      </c>
      <c r="AT119" s="5">
        <v>0.9089999794960022</v>
      </c>
      <c r="AU119" s="5">
        <v>1.4000000432133675E-2</v>
      </c>
      <c r="AV119" s="11" t="e">
        <v>#N/A</v>
      </c>
      <c r="AW119" s="11" t="e">
        <v>#N/A</v>
      </c>
      <c r="AY119" s="3" t="e">
        <f t="shared" ca="1" si="128"/>
        <v>#N/A</v>
      </c>
      <c r="AZ119" s="3">
        <f t="shared" ca="1" si="129"/>
        <v>8.7779156327543462E-2</v>
      </c>
      <c r="BA119" s="3" t="e">
        <f t="shared" ca="1" si="130"/>
        <v>#N/A</v>
      </c>
      <c r="BB119" s="3" t="e">
        <f t="shared" ca="1" si="131"/>
        <v>#N/A</v>
      </c>
      <c r="BD119" s="3" t="e">
        <f t="shared" ca="1" si="132"/>
        <v>#N/A</v>
      </c>
      <c r="BE119" s="3">
        <f t="shared" ca="1" si="133"/>
        <v>0.10359801222609527</v>
      </c>
      <c r="BF119" s="3" t="e">
        <f t="shared" ca="1" si="134"/>
        <v>#N/A</v>
      </c>
      <c r="BG119" s="3" t="e">
        <f t="shared" ca="1" si="135"/>
        <v>#N/A</v>
      </c>
      <c r="BI119" s="3" t="e">
        <f t="shared" ca="1" si="136"/>
        <v>#N/A</v>
      </c>
      <c r="BJ119" s="3">
        <f t="shared" ca="1" si="137"/>
        <v>0.31017369727047145</v>
      </c>
      <c r="BK119" s="3" t="e">
        <f t="shared" ca="1" si="138"/>
        <v>#N/A</v>
      </c>
      <c r="BL119" s="3" t="e">
        <f t="shared" ca="1" si="139"/>
        <v>#N/A</v>
      </c>
      <c r="BN119" s="3" t="e">
        <f t="shared" ca="1" si="140"/>
        <v>#N/A</v>
      </c>
      <c r="BO119" s="3">
        <f t="shared" ca="1" si="141"/>
        <v>0.6203473945409429</v>
      </c>
      <c r="BP119" s="3" t="e">
        <f t="shared" ca="1" si="142"/>
        <v>#N/A</v>
      </c>
      <c r="BQ119" s="3" t="e">
        <f t="shared" ca="1" si="143"/>
        <v>#N/A</v>
      </c>
      <c r="BS119" s="5">
        <v>0.9089999794960022</v>
      </c>
      <c r="BT119" s="5">
        <v>1.8140000104904175</v>
      </c>
      <c r="BU119" s="11" t="e">
        <v>#N/A</v>
      </c>
      <c r="BV119" s="11" t="e">
        <v>#N/A</v>
      </c>
      <c r="BX119" s="3" t="e">
        <f t="shared" ca="1" si="144"/>
        <v>#N/A</v>
      </c>
      <c r="BY119" s="3">
        <f t="shared" ca="1" si="145"/>
        <v>5.2729528535981228E-3</v>
      </c>
      <c r="BZ119" s="3" t="e">
        <f t="shared" ca="1" si="146"/>
        <v>#N/A</v>
      </c>
      <c r="CA119" s="3" t="e">
        <f t="shared" ca="1" si="147"/>
        <v>#N/A</v>
      </c>
      <c r="CC119" s="3" t="e">
        <f t="shared" ca="1" si="148"/>
        <v>#N/A</v>
      </c>
      <c r="CD119" s="3">
        <f t="shared" ca="1" si="149"/>
        <v>0</v>
      </c>
      <c r="CE119" s="3" t="e">
        <f t="shared" ca="1" si="150"/>
        <v>#N/A</v>
      </c>
      <c r="CF119" s="3" t="e">
        <f t="shared" ca="1" si="151"/>
        <v>#N/A</v>
      </c>
      <c r="CH119" s="3" t="e">
        <f t="shared" ca="1" si="152"/>
        <v>#N/A</v>
      </c>
      <c r="CI119" s="3">
        <f t="shared" ca="1" si="153"/>
        <v>0</v>
      </c>
      <c r="CJ119" s="3" t="e">
        <f t="shared" ca="1" si="154"/>
        <v>#N/A</v>
      </c>
      <c r="CK119" s="3" t="e">
        <f t="shared" ca="1" si="155"/>
        <v>#N/A</v>
      </c>
      <c r="CM119" s="3" t="e">
        <f t="shared" ca="1" si="156"/>
        <v>#N/A</v>
      </c>
      <c r="CN119" s="3">
        <f t="shared" ca="1" si="157"/>
        <v>0.31017369727047145</v>
      </c>
      <c r="CO119" s="3" t="e">
        <f t="shared" ca="1" si="158"/>
        <v>#N/A</v>
      </c>
      <c r="CP119" s="3" t="e">
        <f t="shared" ca="1" si="159"/>
        <v>#N/A</v>
      </c>
      <c r="CR119" s="5">
        <v>4.032</v>
      </c>
      <c r="CS119" s="5">
        <v>3.99</v>
      </c>
      <c r="CT119" s="11" t="e">
        <v>#N/A</v>
      </c>
      <c r="CU119" s="11" t="e">
        <v>#N/A</v>
      </c>
      <c r="CV119" s="21" t="e">
        <f t="shared" ca="1" si="120"/>
        <v>#N/A</v>
      </c>
      <c r="CW119" s="16">
        <f t="shared" ca="1" si="119"/>
        <v>6</v>
      </c>
    </row>
    <row r="120" spans="1:101" s="5" customFormat="1" x14ac:dyDescent="0.35">
      <c r="A120" s="4" t="s">
        <v>99</v>
      </c>
      <c r="B120" s="4">
        <v>6.083333333333333</v>
      </c>
      <c r="C120" s="4" t="s">
        <v>168</v>
      </c>
      <c r="D120" s="4" t="s">
        <v>404</v>
      </c>
      <c r="E120" s="3"/>
      <c r="F120" s="5">
        <v>4.0090000000000003</v>
      </c>
      <c r="G120" s="5">
        <v>4.016</v>
      </c>
      <c r="H120" s="5">
        <v>4.0149999999999997</v>
      </c>
      <c r="I120" s="5">
        <v>4.01</v>
      </c>
      <c r="K120" s="3">
        <f t="shared" ca="1" si="121"/>
        <v>0.99351459216762283</v>
      </c>
      <c r="L120" s="3">
        <f t="shared" ca="1" si="121"/>
        <v>0.99601593625498008</v>
      </c>
      <c r="M120" s="3">
        <f t="shared" ca="1" si="121"/>
        <v>0.9962640099626402</v>
      </c>
      <c r="N120" s="3">
        <f t="shared" ca="1" si="121"/>
        <v>0.99725685785536167</v>
      </c>
      <c r="P120" s="3">
        <f t="shared" ca="1" si="122"/>
        <v>0.93514594347228963</v>
      </c>
      <c r="Q120" s="3">
        <f t="shared" ca="1" si="122"/>
        <v>0.94621509672569271</v>
      </c>
      <c r="R120" s="3">
        <f t="shared" ca="1" si="122"/>
        <v>0.86699875806960491</v>
      </c>
      <c r="S120" s="3">
        <f t="shared" ca="1" si="122"/>
        <v>0.91446376500878845</v>
      </c>
      <c r="U120" s="3">
        <f t="shared" ca="1" si="123"/>
        <v>1.2471938139186829</v>
      </c>
      <c r="V120" s="3">
        <f t="shared" ca="1" si="123"/>
        <v>1.7430278884462151</v>
      </c>
      <c r="W120" s="3">
        <f t="shared" ca="1" si="123"/>
        <v>2.7397260273972606</v>
      </c>
      <c r="X120" s="3">
        <f t="shared" ca="1" si="123"/>
        <v>2.2443890274314215</v>
      </c>
      <c r="Z120" s="3">
        <f t="shared" ca="1" si="124"/>
        <v>0.99351459216762283</v>
      </c>
      <c r="AA120" s="3">
        <f t="shared" ca="1" si="124"/>
        <v>0.99601593625498008</v>
      </c>
      <c r="AB120" s="3">
        <f t="shared" ca="1" si="124"/>
        <v>0.91731008717310092</v>
      </c>
      <c r="AC120" s="3">
        <f t="shared" ca="1" si="124"/>
        <v>0.90997506234413972</v>
      </c>
      <c r="AE120" s="3">
        <f t="shared" ca="1" si="125"/>
        <v>0.93514594347228963</v>
      </c>
      <c r="AF120" s="3">
        <f t="shared" ca="1" si="125"/>
        <v>0.94621509672569271</v>
      </c>
      <c r="AG120" s="3">
        <f t="shared" ca="1" si="125"/>
        <v>0.82540473486685373</v>
      </c>
      <c r="AH120" s="3">
        <f t="shared" ca="1" si="125"/>
        <v>0.85610965838158815</v>
      </c>
      <c r="AJ120" s="3">
        <f t="shared" ca="1" si="126"/>
        <v>1.2471938139186829</v>
      </c>
      <c r="AK120" s="3">
        <f t="shared" ca="1" si="126"/>
        <v>1.7430278884462151</v>
      </c>
      <c r="AL120" s="3">
        <f t="shared" ca="1" si="126"/>
        <v>2.4906600249066004</v>
      </c>
      <c r="AM120" s="3">
        <f t="shared" ca="1" si="126"/>
        <v>1.9950124688279303</v>
      </c>
      <c r="AO120" s="3">
        <f t="shared" ca="1" si="127"/>
        <v>0.24943876278373658</v>
      </c>
      <c r="AP120" s="3">
        <f t="shared" ca="1" si="127"/>
        <v>0.24900398406374502</v>
      </c>
      <c r="AQ120" s="3">
        <f t="shared" ca="1" si="127"/>
        <v>0.4981320049813201</v>
      </c>
      <c r="AR120" s="3">
        <f t="shared" ca="1" si="127"/>
        <v>0.49875311720698257</v>
      </c>
      <c r="AT120" s="5">
        <v>4.5000001788139343E-2</v>
      </c>
      <c r="AU120" s="5">
        <v>4.999999888241291E-3</v>
      </c>
      <c r="AV120" s="5">
        <v>0.42500001192092896</v>
      </c>
      <c r="AW120" s="5">
        <v>0</v>
      </c>
      <c r="AY120" s="3">
        <f t="shared" ca="1" si="128"/>
        <v>0.29109503616862054</v>
      </c>
      <c r="AZ120" s="3">
        <f t="shared" ca="1" si="129"/>
        <v>0.25273904382470108</v>
      </c>
      <c r="BA120" s="3">
        <f t="shared" ca="1" si="130"/>
        <v>0.23262764632627647</v>
      </c>
      <c r="BB120" s="3">
        <f t="shared" ca="1" si="131"/>
        <v>0.10798004987531185</v>
      </c>
      <c r="BD120" s="3">
        <f t="shared" ca="1" si="132"/>
        <v>0.29508604852301007</v>
      </c>
      <c r="BE120" s="3">
        <f t="shared" ca="1" si="133"/>
        <v>9.9601558005192367E-2</v>
      </c>
      <c r="BF120" s="3">
        <f t="shared" ca="1" si="134"/>
        <v>0.19900374216576147</v>
      </c>
      <c r="BG120" s="3">
        <f t="shared" ca="1" si="135"/>
        <v>0</v>
      </c>
      <c r="BI120" s="3">
        <f t="shared" ca="1" si="136"/>
        <v>0.49887752556747317</v>
      </c>
      <c r="BJ120" s="3">
        <f t="shared" ca="1" si="137"/>
        <v>0.49800796812749004</v>
      </c>
      <c r="BK120" s="3">
        <f t="shared" ca="1" si="138"/>
        <v>0.74719800747198017</v>
      </c>
      <c r="BL120" s="3">
        <f t="shared" ca="1" si="139"/>
        <v>0</v>
      </c>
      <c r="BN120" s="3">
        <f t="shared" ca="1" si="140"/>
        <v>0.49887752556747317</v>
      </c>
      <c r="BO120" s="3">
        <f t="shared" ca="1" si="141"/>
        <v>0.99601593625498008</v>
      </c>
      <c r="BP120" s="3">
        <f t="shared" ca="1" si="142"/>
        <v>1.2453300124533002</v>
      </c>
      <c r="BQ120" s="3">
        <f t="shared" ca="1" si="143"/>
        <v>0.74812967581047385</v>
      </c>
      <c r="BS120" s="5">
        <v>0.92799997329711914</v>
      </c>
      <c r="BT120" s="5">
        <v>1.6549999713897705</v>
      </c>
      <c r="BU120" s="5">
        <v>0.42500001192092896</v>
      </c>
      <c r="BV120" s="5">
        <v>4.01</v>
      </c>
      <c r="BX120" s="3">
        <f t="shared" ca="1" si="144"/>
        <v>2.0952856073833889E-2</v>
      </c>
      <c r="BY120" s="3">
        <f t="shared" ca="1" si="145"/>
        <v>3.7350597609561845E-2</v>
      </c>
      <c r="BZ120" s="3">
        <f t="shared" ca="1" si="146"/>
        <v>0</v>
      </c>
      <c r="CA120" s="3">
        <f t="shared" ca="1" si="147"/>
        <v>0</v>
      </c>
      <c r="CC120" s="3">
        <f t="shared" ca="1" si="148"/>
        <v>0</v>
      </c>
      <c r="CD120" s="3">
        <f t="shared" ca="1" si="149"/>
        <v>0</v>
      </c>
      <c r="CE120" s="3">
        <f t="shared" ca="1" si="150"/>
        <v>0</v>
      </c>
      <c r="CF120" s="3">
        <f t="shared" ca="1" si="151"/>
        <v>0</v>
      </c>
      <c r="CH120" s="3">
        <f t="shared" ca="1" si="152"/>
        <v>0</v>
      </c>
      <c r="CI120" s="3">
        <f t="shared" ca="1" si="153"/>
        <v>0</v>
      </c>
      <c r="CJ120" s="3">
        <f t="shared" ca="1" si="154"/>
        <v>0</v>
      </c>
      <c r="CK120" s="3">
        <f t="shared" ca="1" si="155"/>
        <v>0</v>
      </c>
      <c r="CM120" s="3">
        <f t="shared" ca="1" si="156"/>
        <v>0.74831628835120967</v>
      </c>
      <c r="CN120" s="3">
        <f t="shared" ca="1" si="157"/>
        <v>0.24900398406374502</v>
      </c>
      <c r="CO120" s="3">
        <f t="shared" ca="1" si="158"/>
        <v>0.24906600249066005</v>
      </c>
      <c r="CP120" s="3">
        <f t="shared" ca="1" si="159"/>
        <v>0</v>
      </c>
      <c r="CR120" s="5">
        <v>4.0090000000000003</v>
      </c>
      <c r="CS120" s="5">
        <v>4.016</v>
      </c>
      <c r="CT120" s="5">
        <v>4.0149999999999997</v>
      </c>
      <c r="CU120" s="5">
        <v>4.01</v>
      </c>
      <c r="CV120" s="21">
        <f t="shared" ca="1" si="120"/>
        <v>4.01</v>
      </c>
      <c r="CW120" s="16">
        <f t="shared" ca="1" si="119"/>
        <v>6.083333333333333</v>
      </c>
    </row>
    <row r="121" spans="1:101" s="5" customFormat="1" x14ac:dyDescent="0.35">
      <c r="A121" s="4" t="s">
        <v>140</v>
      </c>
      <c r="B121" s="4">
        <v>6.083333333333333</v>
      </c>
      <c r="C121" s="4" t="s">
        <v>168</v>
      </c>
      <c r="D121" s="4" t="s">
        <v>404</v>
      </c>
      <c r="E121" s="3"/>
      <c r="F121" s="11" t="e">
        <v>#N/A</v>
      </c>
      <c r="G121" s="11" t="e">
        <v>#N/A</v>
      </c>
      <c r="H121" s="5" t="e">
        <v>#N/A</v>
      </c>
      <c r="I121" s="11" t="e">
        <v>#N/A</v>
      </c>
      <c r="K121" s="3" t="e">
        <f t="shared" ca="1" si="121"/>
        <v>#N/A</v>
      </c>
      <c r="L121" s="3" t="e">
        <f t="shared" ca="1" si="121"/>
        <v>#N/A</v>
      </c>
      <c r="M121" s="3" t="e">
        <f t="shared" ca="1" si="121"/>
        <v>#N/A</v>
      </c>
      <c r="N121" s="3" t="e">
        <f t="shared" ca="1" si="121"/>
        <v>#N/A</v>
      </c>
      <c r="P121" s="3" t="e">
        <f t="shared" ca="1" si="122"/>
        <v>#N/A</v>
      </c>
      <c r="Q121" s="3" t="e">
        <f t="shared" ca="1" si="122"/>
        <v>#N/A</v>
      </c>
      <c r="R121" s="3" t="e">
        <f t="shared" ca="1" si="122"/>
        <v>#N/A</v>
      </c>
      <c r="S121" s="3" t="e">
        <f t="shared" ca="1" si="122"/>
        <v>#N/A</v>
      </c>
      <c r="U121" s="3" t="e">
        <f t="shared" ca="1" si="123"/>
        <v>#N/A</v>
      </c>
      <c r="V121" s="3" t="e">
        <f t="shared" ca="1" si="123"/>
        <v>#N/A</v>
      </c>
      <c r="W121" s="3" t="e">
        <f t="shared" ca="1" si="123"/>
        <v>#N/A</v>
      </c>
      <c r="X121" s="3" t="e">
        <f t="shared" ca="1" si="123"/>
        <v>#N/A</v>
      </c>
      <c r="Z121" s="3" t="e">
        <f t="shared" ca="1" si="124"/>
        <v>#N/A</v>
      </c>
      <c r="AA121" s="3" t="e">
        <f t="shared" ca="1" si="124"/>
        <v>#N/A</v>
      </c>
      <c r="AB121" s="3" t="e">
        <f t="shared" ca="1" si="124"/>
        <v>#N/A</v>
      </c>
      <c r="AC121" s="3" t="e">
        <f t="shared" ca="1" si="124"/>
        <v>#N/A</v>
      </c>
      <c r="AE121" s="3" t="e">
        <f t="shared" ca="1" si="125"/>
        <v>#N/A</v>
      </c>
      <c r="AF121" s="3" t="e">
        <f t="shared" ca="1" si="125"/>
        <v>#N/A</v>
      </c>
      <c r="AG121" s="3" t="e">
        <f t="shared" ca="1" si="125"/>
        <v>#N/A</v>
      </c>
      <c r="AH121" s="3" t="e">
        <f t="shared" ca="1" si="125"/>
        <v>#N/A</v>
      </c>
      <c r="AJ121" s="3" t="e">
        <f t="shared" ca="1" si="126"/>
        <v>#N/A</v>
      </c>
      <c r="AK121" s="3" t="e">
        <f t="shared" ca="1" si="126"/>
        <v>#N/A</v>
      </c>
      <c r="AL121" s="3" t="e">
        <f t="shared" ca="1" si="126"/>
        <v>#N/A</v>
      </c>
      <c r="AM121" s="3" t="e">
        <f t="shared" ca="1" si="126"/>
        <v>#N/A</v>
      </c>
      <c r="AO121" s="3" t="e">
        <f t="shared" ca="1" si="127"/>
        <v>#N/A</v>
      </c>
      <c r="AP121" s="3" t="e">
        <f t="shared" ca="1" si="127"/>
        <v>#N/A</v>
      </c>
      <c r="AQ121" s="3" t="e">
        <f t="shared" ca="1" si="127"/>
        <v>#N/A</v>
      </c>
      <c r="AR121" s="3" t="e">
        <f t="shared" ca="1" si="127"/>
        <v>#N/A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Y121" s="3" t="e">
        <f t="shared" ca="1" si="128"/>
        <v>#N/A</v>
      </c>
      <c r="AZ121" s="3" t="e">
        <f t="shared" ca="1" si="129"/>
        <v>#N/A</v>
      </c>
      <c r="BA121" s="3" t="e">
        <f t="shared" ca="1" si="130"/>
        <v>#N/A</v>
      </c>
      <c r="BB121" s="3" t="e">
        <f t="shared" ca="1" si="131"/>
        <v>#N/A</v>
      </c>
      <c r="BD121" s="3" t="e">
        <f t="shared" ca="1" si="132"/>
        <v>#N/A</v>
      </c>
      <c r="BE121" s="3" t="e">
        <f t="shared" ca="1" si="133"/>
        <v>#N/A</v>
      </c>
      <c r="BF121" s="3" t="e">
        <f t="shared" ca="1" si="134"/>
        <v>#N/A</v>
      </c>
      <c r="BG121" s="3" t="e">
        <f t="shared" ca="1" si="135"/>
        <v>#N/A</v>
      </c>
      <c r="BI121" s="3" t="e">
        <f t="shared" ca="1" si="136"/>
        <v>#N/A</v>
      </c>
      <c r="BJ121" s="3" t="e">
        <f t="shared" ca="1" si="137"/>
        <v>#N/A</v>
      </c>
      <c r="BK121" s="3" t="e">
        <f t="shared" ca="1" si="138"/>
        <v>#N/A</v>
      </c>
      <c r="BL121" s="3" t="e">
        <f t="shared" ca="1" si="139"/>
        <v>#N/A</v>
      </c>
      <c r="BN121" s="3" t="e">
        <f t="shared" ca="1" si="140"/>
        <v>#N/A</v>
      </c>
      <c r="BO121" s="3" t="e">
        <f t="shared" ca="1" si="141"/>
        <v>#N/A</v>
      </c>
      <c r="BP121" s="3" t="e">
        <f t="shared" ca="1" si="142"/>
        <v>#N/A</v>
      </c>
      <c r="BQ121" s="3" t="e">
        <f t="shared" ca="1" si="143"/>
        <v>#N/A</v>
      </c>
      <c r="BS121" s="11" t="e">
        <v>#N/A</v>
      </c>
      <c r="BT121" s="11" t="e">
        <v>#N/A</v>
      </c>
      <c r="BU121" s="11" t="e">
        <v>#N/A</v>
      </c>
      <c r="BV121" s="11" t="e">
        <v>#N/A</v>
      </c>
      <c r="BX121" s="3" t="e">
        <f t="shared" ca="1" si="144"/>
        <v>#N/A</v>
      </c>
      <c r="BY121" s="3" t="e">
        <f t="shared" ca="1" si="145"/>
        <v>#N/A</v>
      </c>
      <c r="BZ121" s="3" t="e">
        <f t="shared" ca="1" si="146"/>
        <v>#N/A</v>
      </c>
      <c r="CA121" s="3" t="e">
        <f t="shared" ca="1" si="147"/>
        <v>#N/A</v>
      </c>
      <c r="CC121" s="3" t="e">
        <f t="shared" ca="1" si="148"/>
        <v>#N/A</v>
      </c>
      <c r="CD121" s="3" t="e">
        <f t="shared" ca="1" si="149"/>
        <v>#N/A</v>
      </c>
      <c r="CE121" s="3" t="e">
        <f t="shared" ca="1" si="150"/>
        <v>#N/A</v>
      </c>
      <c r="CF121" s="3" t="e">
        <f t="shared" ca="1" si="151"/>
        <v>#N/A</v>
      </c>
      <c r="CH121" s="3" t="e">
        <f t="shared" ca="1" si="152"/>
        <v>#N/A</v>
      </c>
      <c r="CI121" s="3" t="e">
        <f t="shared" ca="1" si="153"/>
        <v>#N/A</v>
      </c>
      <c r="CJ121" s="3" t="e">
        <f t="shared" ca="1" si="154"/>
        <v>#N/A</v>
      </c>
      <c r="CK121" s="3" t="e">
        <f t="shared" ca="1" si="155"/>
        <v>#N/A</v>
      </c>
      <c r="CM121" s="3" t="e">
        <f t="shared" ca="1" si="156"/>
        <v>#N/A</v>
      </c>
      <c r="CN121" s="3" t="e">
        <f t="shared" ca="1" si="157"/>
        <v>#N/A</v>
      </c>
      <c r="CO121" s="3" t="e">
        <f t="shared" ca="1" si="158"/>
        <v>#N/A</v>
      </c>
      <c r="CP121" s="3" t="e">
        <f t="shared" ca="1" si="159"/>
        <v>#N/A</v>
      </c>
      <c r="CR121" s="11" t="e">
        <v>#N/A</v>
      </c>
      <c r="CS121" s="11" t="e">
        <v>#N/A</v>
      </c>
      <c r="CT121" s="11" t="e">
        <v>#N/A</v>
      </c>
      <c r="CU121" s="11" t="e">
        <v>#N/A</v>
      </c>
      <c r="CV121" s="21" t="e">
        <f t="shared" ca="1" si="120"/>
        <v>#N/A</v>
      </c>
      <c r="CW121" s="16">
        <f t="shared" ca="1" si="119"/>
        <v>6.083333333333333</v>
      </c>
    </row>
    <row r="122" spans="1:101" s="5" customFormat="1" x14ac:dyDescent="0.35">
      <c r="A122" s="4" t="s">
        <v>147</v>
      </c>
      <c r="B122" s="4">
        <v>6.083333333333333</v>
      </c>
      <c r="C122" s="4" t="s">
        <v>168</v>
      </c>
      <c r="D122" s="4" t="s">
        <v>404</v>
      </c>
      <c r="E122" s="3"/>
      <c r="F122" s="5">
        <v>4.0110000000000001</v>
      </c>
      <c r="G122" s="5">
        <v>4.016</v>
      </c>
      <c r="H122" s="5">
        <v>4.01</v>
      </c>
      <c r="I122" s="5">
        <v>4.0149999999999997</v>
      </c>
      <c r="K122" s="3">
        <f t="shared" ca="1" si="121"/>
        <v>0.99301919720767884</v>
      </c>
      <c r="L122" s="3">
        <f t="shared" ca="1" si="121"/>
        <v>0.99576693227091628</v>
      </c>
      <c r="M122" s="3">
        <f t="shared" ca="1" si="121"/>
        <v>0.99725685785536167</v>
      </c>
      <c r="N122" s="3">
        <f t="shared" ca="1" si="121"/>
        <v>0.99601494396014956</v>
      </c>
      <c r="P122" s="3">
        <f t="shared" ca="1" si="122"/>
        <v>0.95986040126568539</v>
      </c>
      <c r="Q122" s="3">
        <f t="shared" ca="1" si="122"/>
        <v>0.91757974309097246</v>
      </c>
      <c r="R122" s="3">
        <f t="shared" ca="1" si="122"/>
        <v>0.98079806379509393</v>
      </c>
      <c r="S122" s="3">
        <f t="shared" ca="1" si="122"/>
        <v>0.95442097337167264</v>
      </c>
      <c r="U122" s="3">
        <f t="shared" ca="1" si="123"/>
        <v>1.7452006980802792</v>
      </c>
      <c r="V122" s="3">
        <f t="shared" ca="1" si="123"/>
        <v>2.739043824701195</v>
      </c>
      <c r="W122" s="3">
        <f t="shared" ca="1" si="123"/>
        <v>1.2468827930174564</v>
      </c>
      <c r="X122" s="3">
        <f t="shared" ca="1" si="123"/>
        <v>1.9925280199252804</v>
      </c>
      <c r="Z122" s="3">
        <f t="shared" ca="1" si="124"/>
        <v>0.99301919720767884</v>
      </c>
      <c r="AA122" s="3">
        <f t="shared" ca="1" si="124"/>
        <v>0.97485059760956161</v>
      </c>
      <c r="AB122" s="3">
        <f t="shared" ca="1" si="124"/>
        <v>0.99725685785536167</v>
      </c>
      <c r="AC122" s="3">
        <f t="shared" ca="1" si="124"/>
        <v>0.99601494396014956</v>
      </c>
      <c r="AE122" s="3">
        <f t="shared" ca="1" si="125"/>
        <v>0.95986040126568539</v>
      </c>
      <c r="AF122" s="3">
        <f t="shared" ca="1" si="125"/>
        <v>0.91757974309097246</v>
      </c>
      <c r="AG122" s="3">
        <f t="shared" ca="1" si="125"/>
        <v>0.98079806379509393</v>
      </c>
      <c r="AH122" s="3">
        <f t="shared" ca="1" si="125"/>
        <v>0.95442097337167264</v>
      </c>
      <c r="AJ122" s="3">
        <f t="shared" ca="1" si="126"/>
        <v>1.7452006980802792</v>
      </c>
      <c r="AK122" s="3">
        <f t="shared" ca="1" si="126"/>
        <v>2.739043824701195</v>
      </c>
      <c r="AL122" s="3">
        <f t="shared" ca="1" si="126"/>
        <v>1.2468827930174564</v>
      </c>
      <c r="AM122" s="3">
        <f t="shared" ca="1" si="126"/>
        <v>1.9925280199252804</v>
      </c>
      <c r="AO122" s="3">
        <f t="shared" ca="1" si="127"/>
        <v>0.24931438544003989</v>
      </c>
      <c r="AP122" s="3">
        <f t="shared" ca="1" si="127"/>
        <v>0.74701195219123506</v>
      </c>
      <c r="AQ122" s="3">
        <f t="shared" ca="1" si="127"/>
        <v>0.24937655860349128</v>
      </c>
      <c r="AR122" s="3">
        <f t="shared" ca="1" si="127"/>
        <v>0.24906600249066005</v>
      </c>
      <c r="AT122" s="5">
        <v>1.4999999664723873E-2</v>
      </c>
      <c r="AU122" s="5">
        <v>1.0999999940395355E-2</v>
      </c>
      <c r="AV122" s="5">
        <v>7.0000002160668373E-3</v>
      </c>
      <c r="AW122" s="5">
        <v>6.0000000521540642E-3</v>
      </c>
      <c r="AY122" s="3">
        <f t="shared" ca="1" si="128"/>
        <v>0.13712291199202201</v>
      </c>
      <c r="AZ122" s="3">
        <f t="shared" ca="1" si="129"/>
        <v>0.35283864541832677</v>
      </c>
      <c r="BA122" s="3">
        <f t="shared" ca="1" si="130"/>
        <v>0.22019950124688281</v>
      </c>
      <c r="BB122" s="3">
        <f t="shared" ca="1" si="131"/>
        <v>0.17011207970112088</v>
      </c>
      <c r="BD122" s="3">
        <f t="shared" ca="1" si="132"/>
        <v>7.9032668030728601E-2</v>
      </c>
      <c r="BE122" s="3">
        <f t="shared" ca="1" si="133"/>
        <v>0.39890439683697615</v>
      </c>
      <c r="BF122" s="3">
        <f t="shared" ca="1" si="134"/>
        <v>3.7406507572925601E-2</v>
      </c>
      <c r="BG122" s="3">
        <f t="shared" ca="1" si="135"/>
        <v>0.17833122577643484</v>
      </c>
      <c r="BI122" s="3">
        <f t="shared" ca="1" si="136"/>
        <v>0.24931438544003989</v>
      </c>
      <c r="BJ122" s="3">
        <f t="shared" ca="1" si="137"/>
        <v>1.2450199203187251</v>
      </c>
      <c r="BK122" s="3">
        <f t="shared" ca="1" si="138"/>
        <v>0.24937655860349128</v>
      </c>
      <c r="BL122" s="3">
        <f t="shared" ca="1" si="139"/>
        <v>0.74719800747198017</v>
      </c>
      <c r="BN122" s="3">
        <f t="shared" ca="1" si="140"/>
        <v>0.99725754176015957</v>
      </c>
      <c r="BO122" s="3">
        <f t="shared" ca="1" si="141"/>
        <v>1.2450199203187251</v>
      </c>
      <c r="BP122" s="3">
        <f t="shared" ca="1" si="142"/>
        <v>0.49875311720698257</v>
      </c>
      <c r="BQ122" s="3">
        <f t="shared" ca="1" si="143"/>
        <v>0.4981320049813201</v>
      </c>
      <c r="BS122" s="5">
        <v>0.31499999761581421</v>
      </c>
      <c r="BT122" s="5">
        <v>0.36100000143051147</v>
      </c>
      <c r="BU122" s="5">
        <v>3.8559999465942383</v>
      </c>
      <c r="BV122" s="5">
        <v>0.48899999260902405</v>
      </c>
      <c r="BX122" s="3">
        <f t="shared" ca="1" si="144"/>
        <v>0</v>
      </c>
      <c r="BY122" s="3">
        <f t="shared" ca="1" si="145"/>
        <v>8.2918326693227143E-2</v>
      </c>
      <c r="BZ122" s="3">
        <f t="shared" ca="1" si="146"/>
        <v>0</v>
      </c>
      <c r="CA122" s="3">
        <f t="shared" ca="1" si="147"/>
        <v>5.8032378580323785E-2</v>
      </c>
      <c r="CC122" s="3">
        <f t="shared" ca="1" si="148"/>
        <v>0</v>
      </c>
      <c r="CD122" s="3">
        <f t="shared" ca="1" si="149"/>
        <v>8.2918372287218309E-2</v>
      </c>
      <c r="CE122" s="3">
        <f t="shared" ca="1" si="150"/>
        <v>0</v>
      </c>
      <c r="CF122" s="3">
        <f t="shared" ca="1" si="151"/>
        <v>0</v>
      </c>
      <c r="CH122" s="3">
        <f t="shared" ca="1" si="152"/>
        <v>0</v>
      </c>
      <c r="CI122" s="3">
        <f t="shared" ca="1" si="153"/>
        <v>0.24900398406374502</v>
      </c>
      <c r="CJ122" s="3">
        <f t="shared" ca="1" si="154"/>
        <v>0</v>
      </c>
      <c r="CK122" s="3">
        <f t="shared" ca="1" si="155"/>
        <v>0</v>
      </c>
      <c r="CM122" s="3">
        <f t="shared" ca="1" si="156"/>
        <v>0</v>
      </c>
      <c r="CN122" s="3">
        <f t="shared" ca="1" si="157"/>
        <v>0.24900398406374502</v>
      </c>
      <c r="CO122" s="3">
        <f t="shared" ca="1" si="158"/>
        <v>0</v>
      </c>
      <c r="CP122" s="3">
        <f t="shared" ca="1" si="159"/>
        <v>0.24906600249066005</v>
      </c>
      <c r="CR122" s="5">
        <v>4.0110000000000001</v>
      </c>
      <c r="CS122" s="5">
        <v>3.3269999027252197</v>
      </c>
      <c r="CT122" s="5">
        <v>4.01</v>
      </c>
      <c r="CU122" s="5">
        <v>4.0149999999999997</v>
      </c>
      <c r="CV122" s="21">
        <f t="shared" ca="1" si="120"/>
        <v>4.0149999999999997</v>
      </c>
      <c r="CW122" s="16">
        <f t="shared" ca="1" si="119"/>
        <v>6.083333333333333</v>
      </c>
    </row>
    <row r="123" spans="1:101" s="5" customFormat="1" x14ac:dyDescent="0.35">
      <c r="A123" s="4" t="s">
        <v>159</v>
      </c>
      <c r="B123" s="4">
        <v>6.083333333333333</v>
      </c>
      <c r="C123" s="4" t="s">
        <v>168</v>
      </c>
      <c r="D123" s="4" t="s">
        <v>404</v>
      </c>
      <c r="E123" s="3"/>
      <c r="F123" s="5" t="e">
        <v>#N/A</v>
      </c>
      <c r="G123" s="11" t="e">
        <v>#N/A</v>
      </c>
      <c r="H123" s="11" t="e">
        <v>#N/A</v>
      </c>
      <c r="I123" s="5">
        <v>4.0110000000000001</v>
      </c>
      <c r="K123" s="3" t="e">
        <f t="shared" ca="1" si="121"/>
        <v>#N/A</v>
      </c>
      <c r="L123" s="3" t="e">
        <f t="shared" ca="1" si="121"/>
        <v>#N/A</v>
      </c>
      <c r="M123" s="3" t="e">
        <f t="shared" ca="1" si="121"/>
        <v>#N/A</v>
      </c>
      <c r="N123" s="3">
        <f t="shared" ca="1" si="121"/>
        <v>0.85963600099725745</v>
      </c>
      <c r="P123" s="3" t="e">
        <f t="shared" ca="1" si="122"/>
        <v>#N/A</v>
      </c>
      <c r="Q123" s="3" t="e">
        <f t="shared" ca="1" si="122"/>
        <v>#N/A</v>
      </c>
      <c r="R123" s="3" t="e">
        <f t="shared" ca="1" si="122"/>
        <v>#N/A</v>
      </c>
      <c r="S123" s="3">
        <f t="shared" ca="1" si="122"/>
        <v>0.81077037503136207</v>
      </c>
      <c r="U123" s="3" t="e">
        <f t="shared" ca="1" si="123"/>
        <v>#N/A</v>
      </c>
      <c r="V123" s="3" t="e">
        <f t="shared" ca="1" si="123"/>
        <v>#N/A</v>
      </c>
      <c r="W123" s="3" t="e">
        <f t="shared" ca="1" si="123"/>
        <v>#N/A</v>
      </c>
      <c r="X123" s="3">
        <f t="shared" ca="1" si="123"/>
        <v>2.7424582398404387</v>
      </c>
      <c r="Z123" s="3" t="e">
        <f t="shared" ca="1" si="124"/>
        <v>#N/A</v>
      </c>
      <c r="AA123" s="3" t="e">
        <f t="shared" ca="1" si="124"/>
        <v>#N/A</v>
      </c>
      <c r="AB123" s="3" t="e">
        <f t="shared" ca="1" si="124"/>
        <v>#N/A</v>
      </c>
      <c r="AC123" s="3">
        <f t="shared" ca="1" si="124"/>
        <v>0.88057840937422083</v>
      </c>
      <c r="AE123" s="3" t="e">
        <f t="shared" ca="1" si="125"/>
        <v>#N/A</v>
      </c>
      <c r="AF123" s="3" t="e">
        <f t="shared" ca="1" si="125"/>
        <v>#N/A</v>
      </c>
      <c r="AG123" s="3" t="e">
        <f t="shared" ca="1" si="125"/>
        <v>#N/A</v>
      </c>
      <c r="AH123" s="3">
        <f t="shared" ca="1" si="125"/>
        <v>0.81077037503136207</v>
      </c>
      <c r="AJ123" s="3" t="e">
        <f t="shared" ca="1" si="126"/>
        <v>#N/A</v>
      </c>
      <c r="AK123" s="3" t="e">
        <f t="shared" ca="1" si="126"/>
        <v>#N/A</v>
      </c>
      <c r="AL123" s="3" t="e">
        <f t="shared" ca="1" si="126"/>
        <v>#N/A</v>
      </c>
      <c r="AM123" s="3">
        <f t="shared" ca="1" si="126"/>
        <v>2.7424582398404387</v>
      </c>
      <c r="AO123" s="3" t="e">
        <f t="shared" ca="1" si="127"/>
        <v>#N/A</v>
      </c>
      <c r="AP123" s="3" t="e">
        <f t="shared" ca="1" si="127"/>
        <v>#N/A</v>
      </c>
      <c r="AQ123" s="3" t="e">
        <f t="shared" ca="1" si="127"/>
        <v>#N/A</v>
      </c>
      <c r="AR123" s="3">
        <f t="shared" ca="1" si="127"/>
        <v>0.49862877088007979</v>
      </c>
      <c r="AT123" s="5">
        <v>0.28999999165534973</v>
      </c>
      <c r="AU123" s="11" t="e">
        <v>#N/A</v>
      </c>
      <c r="AV123" s="11" t="e">
        <v>#N/A</v>
      </c>
      <c r="AW123" s="5">
        <v>0.40200001001358032</v>
      </c>
      <c r="AY123" s="3" t="e">
        <f t="shared" ca="1" si="128"/>
        <v>#N/A</v>
      </c>
      <c r="AZ123" s="3" t="e">
        <f t="shared" ca="1" si="129"/>
        <v>#N/A</v>
      </c>
      <c r="BA123" s="3" t="e">
        <f t="shared" ca="1" si="130"/>
        <v>#N/A</v>
      </c>
      <c r="BB123" s="3">
        <f t="shared" ca="1" si="131"/>
        <v>0</v>
      </c>
      <c r="BD123" s="3" t="e">
        <f t="shared" ca="1" si="132"/>
        <v>#N/A</v>
      </c>
      <c r="BE123" s="3" t="e">
        <f t="shared" ca="1" si="133"/>
        <v>#N/A</v>
      </c>
      <c r="BF123" s="3" t="e">
        <f t="shared" ca="1" si="134"/>
        <v>#N/A</v>
      </c>
      <c r="BG123" s="3">
        <f t="shared" ca="1" si="135"/>
        <v>0</v>
      </c>
      <c r="BI123" s="3" t="e">
        <f t="shared" ca="1" si="136"/>
        <v>#N/A</v>
      </c>
      <c r="BJ123" s="3" t="e">
        <f t="shared" ca="1" si="137"/>
        <v>#N/A</v>
      </c>
      <c r="BK123" s="3" t="e">
        <f t="shared" ca="1" si="138"/>
        <v>#N/A</v>
      </c>
      <c r="BL123" s="3">
        <f t="shared" ca="1" si="139"/>
        <v>0</v>
      </c>
      <c r="BN123" s="3" t="e">
        <f t="shared" ca="1" si="140"/>
        <v>#N/A</v>
      </c>
      <c r="BO123" s="3" t="e">
        <f t="shared" ca="1" si="141"/>
        <v>#N/A</v>
      </c>
      <c r="BP123" s="3" t="e">
        <f t="shared" ca="1" si="142"/>
        <v>#N/A</v>
      </c>
      <c r="BQ123" s="3">
        <f t="shared" ca="1" si="143"/>
        <v>0</v>
      </c>
      <c r="BS123" s="5">
        <v>0.72399997711181641</v>
      </c>
      <c r="BT123" s="11" t="e">
        <v>#N/A</v>
      </c>
      <c r="BU123" s="11" t="e">
        <v>#N/A</v>
      </c>
      <c r="BV123" s="5">
        <v>4.0110000000000001</v>
      </c>
      <c r="BX123" s="3" t="e">
        <f t="shared" ca="1" si="144"/>
        <v>#N/A</v>
      </c>
      <c r="BY123" s="3" t="e">
        <f t="shared" ca="1" si="145"/>
        <v>#N/A</v>
      </c>
      <c r="BZ123" s="3" t="e">
        <f t="shared" ca="1" si="146"/>
        <v>#N/A</v>
      </c>
      <c r="CA123" s="3">
        <f t="shared" ca="1" si="147"/>
        <v>0</v>
      </c>
      <c r="CC123" s="3" t="e">
        <f t="shared" ca="1" si="148"/>
        <v>#N/A</v>
      </c>
      <c r="CD123" s="3" t="e">
        <f t="shared" ca="1" si="149"/>
        <v>#N/A</v>
      </c>
      <c r="CE123" s="3" t="e">
        <f t="shared" ca="1" si="150"/>
        <v>#N/A</v>
      </c>
      <c r="CF123" s="3">
        <f t="shared" ca="1" si="151"/>
        <v>0</v>
      </c>
      <c r="CH123" s="3" t="e">
        <f t="shared" ca="1" si="152"/>
        <v>#N/A</v>
      </c>
      <c r="CI123" s="3" t="e">
        <f t="shared" ca="1" si="153"/>
        <v>#N/A</v>
      </c>
      <c r="CJ123" s="3" t="e">
        <f t="shared" ca="1" si="154"/>
        <v>#N/A</v>
      </c>
      <c r="CK123" s="3">
        <f t="shared" ca="1" si="155"/>
        <v>0</v>
      </c>
      <c r="CM123" s="3" t="e">
        <f t="shared" ca="1" si="156"/>
        <v>#N/A</v>
      </c>
      <c r="CN123" s="3" t="e">
        <f t="shared" ca="1" si="157"/>
        <v>#N/A</v>
      </c>
      <c r="CO123" s="3" t="e">
        <f t="shared" ca="1" si="158"/>
        <v>#N/A</v>
      </c>
      <c r="CP123" s="3">
        <f t="shared" ca="1" si="159"/>
        <v>0</v>
      </c>
      <c r="CR123" s="5">
        <v>3.872999906539917</v>
      </c>
      <c r="CS123" s="11" t="e">
        <v>#N/A</v>
      </c>
      <c r="CT123" s="11" t="e">
        <v>#N/A</v>
      </c>
      <c r="CU123" s="5">
        <v>4.0110000000000001</v>
      </c>
      <c r="CV123" s="21">
        <f t="shared" ca="1" si="120"/>
        <v>4.0110000000000001</v>
      </c>
      <c r="CW123" s="16">
        <f t="shared" ca="1" si="119"/>
        <v>6.083333333333333</v>
      </c>
    </row>
    <row r="124" spans="1:101" s="5" customFormat="1" x14ac:dyDescent="0.35">
      <c r="A124" s="4" t="s">
        <v>136</v>
      </c>
      <c r="B124" s="4">
        <v>6.166666666666667</v>
      </c>
      <c r="C124" s="4" t="s">
        <v>168</v>
      </c>
      <c r="D124" s="4" t="s">
        <v>404</v>
      </c>
      <c r="E124" s="3"/>
      <c r="F124" s="5" t="e">
        <v>#N/A</v>
      </c>
      <c r="G124" s="5" t="e">
        <v>#N/A</v>
      </c>
      <c r="H124" s="5" t="e">
        <v>#N/A</v>
      </c>
      <c r="I124" s="5" t="e">
        <v>#N/A</v>
      </c>
      <c r="K124" s="3" t="e">
        <f t="shared" ca="1" si="121"/>
        <v>#N/A</v>
      </c>
      <c r="L124" s="3" t="e">
        <f t="shared" ca="1" si="121"/>
        <v>#N/A</v>
      </c>
      <c r="M124" s="3" t="e">
        <f t="shared" ca="1" si="121"/>
        <v>#N/A</v>
      </c>
      <c r="N124" s="3" t="e">
        <f t="shared" ca="1" si="121"/>
        <v>#N/A</v>
      </c>
      <c r="P124" s="3" t="e">
        <f t="shared" ca="1" si="122"/>
        <v>#N/A</v>
      </c>
      <c r="Q124" s="3" t="e">
        <f t="shared" ca="1" si="122"/>
        <v>#N/A</v>
      </c>
      <c r="R124" s="3" t="e">
        <f t="shared" ca="1" si="122"/>
        <v>#N/A</v>
      </c>
      <c r="S124" s="3" t="e">
        <f t="shared" ca="1" si="122"/>
        <v>#N/A</v>
      </c>
      <c r="U124" s="3" t="e">
        <f t="shared" ca="1" si="123"/>
        <v>#N/A</v>
      </c>
      <c r="V124" s="3" t="e">
        <f t="shared" ca="1" si="123"/>
        <v>#N/A</v>
      </c>
      <c r="W124" s="3" t="e">
        <f t="shared" ca="1" si="123"/>
        <v>#N/A</v>
      </c>
      <c r="X124" s="3" t="e">
        <f t="shared" ca="1" si="123"/>
        <v>#N/A</v>
      </c>
      <c r="Z124" s="3" t="e">
        <f t="shared" ca="1" si="124"/>
        <v>#N/A</v>
      </c>
      <c r="AA124" s="3" t="e">
        <f t="shared" ca="1" si="124"/>
        <v>#N/A</v>
      </c>
      <c r="AB124" s="3" t="e">
        <f t="shared" ca="1" si="124"/>
        <v>#N/A</v>
      </c>
      <c r="AC124" s="3" t="e">
        <f t="shared" ca="1" si="124"/>
        <v>#N/A</v>
      </c>
      <c r="AE124" s="3" t="e">
        <f t="shared" ca="1" si="125"/>
        <v>#N/A</v>
      </c>
      <c r="AF124" s="3" t="e">
        <f t="shared" ca="1" si="125"/>
        <v>#N/A</v>
      </c>
      <c r="AG124" s="3" t="e">
        <f t="shared" ca="1" si="125"/>
        <v>#N/A</v>
      </c>
      <c r="AH124" s="3" t="e">
        <f t="shared" ca="1" si="125"/>
        <v>#N/A</v>
      </c>
      <c r="AJ124" s="3" t="e">
        <f t="shared" ca="1" si="126"/>
        <v>#N/A</v>
      </c>
      <c r="AK124" s="3" t="e">
        <f t="shared" ca="1" si="126"/>
        <v>#N/A</v>
      </c>
      <c r="AL124" s="3" t="e">
        <f t="shared" ca="1" si="126"/>
        <v>#N/A</v>
      </c>
      <c r="AM124" s="3" t="e">
        <f t="shared" ca="1" si="126"/>
        <v>#N/A</v>
      </c>
      <c r="AO124" s="3" t="e">
        <f t="shared" ca="1" si="127"/>
        <v>#N/A</v>
      </c>
      <c r="AP124" s="3" t="e">
        <f t="shared" ca="1" si="127"/>
        <v>#N/A</v>
      </c>
      <c r="AQ124" s="3" t="e">
        <f t="shared" ca="1" si="127"/>
        <v>#N/A</v>
      </c>
      <c r="AR124" s="3" t="e">
        <f t="shared" ca="1" si="127"/>
        <v>#N/A</v>
      </c>
      <c r="AT124" s="11" t="e">
        <v>#N/A</v>
      </c>
      <c r="AU124" s="11" t="e">
        <v>#N/A</v>
      </c>
      <c r="AV124" s="11" t="e">
        <v>#N/A</v>
      </c>
      <c r="AW124" s="5">
        <v>4.0149999999999997</v>
      </c>
      <c r="AY124" s="3" t="e">
        <f t="shared" ca="1" si="128"/>
        <v>#N/A</v>
      </c>
      <c r="AZ124" s="3" t="e">
        <f t="shared" ca="1" si="129"/>
        <v>#N/A</v>
      </c>
      <c r="BA124" s="3" t="e">
        <f t="shared" ca="1" si="130"/>
        <v>#N/A</v>
      </c>
      <c r="BB124" s="3" t="e">
        <f t="shared" ca="1" si="131"/>
        <v>#N/A</v>
      </c>
      <c r="BD124" s="3" t="e">
        <f t="shared" ca="1" si="132"/>
        <v>#N/A</v>
      </c>
      <c r="BE124" s="3" t="e">
        <f t="shared" ca="1" si="133"/>
        <v>#N/A</v>
      </c>
      <c r="BF124" s="3" t="e">
        <f t="shared" ca="1" si="134"/>
        <v>#N/A</v>
      </c>
      <c r="BG124" s="3" t="e">
        <f t="shared" ca="1" si="135"/>
        <v>#N/A</v>
      </c>
      <c r="BI124" s="3" t="e">
        <f t="shared" ca="1" si="136"/>
        <v>#N/A</v>
      </c>
      <c r="BJ124" s="3" t="e">
        <f t="shared" ca="1" si="137"/>
        <v>#N/A</v>
      </c>
      <c r="BK124" s="3" t="e">
        <f t="shared" ca="1" si="138"/>
        <v>#N/A</v>
      </c>
      <c r="BL124" s="3" t="e">
        <f t="shared" ca="1" si="139"/>
        <v>#N/A</v>
      </c>
      <c r="BN124" s="3" t="e">
        <f t="shared" ca="1" si="140"/>
        <v>#N/A</v>
      </c>
      <c r="BO124" s="3" t="e">
        <f t="shared" ca="1" si="141"/>
        <v>#N/A</v>
      </c>
      <c r="BP124" s="3" t="e">
        <f t="shared" ca="1" si="142"/>
        <v>#N/A</v>
      </c>
      <c r="BQ124" s="3" t="e">
        <f t="shared" ca="1" si="143"/>
        <v>#N/A</v>
      </c>
      <c r="BS124" s="11" t="e">
        <v>#N/A</v>
      </c>
      <c r="BT124" s="11" t="e">
        <v>#N/A</v>
      </c>
      <c r="BU124" s="11" t="e">
        <v>#N/A</v>
      </c>
      <c r="BV124" s="5">
        <v>4.0149999999999997</v>
      </c>
      <c r="BX124" s="3" t="e">
        <f t="shared" ca="1" si="144"/>
        <v>#N/A</v>
      </c>
      <c r="BY124" s="3" t="e">
        <f t="shared" ca="1" si="145"/>
        <v>#N/A</v>
      </c>
      <c r="BZ124" s="3" t="e">
        <f t="shared" ca="1" si="146"/>
        <v>#N/A</v>
      </c>
      <c r="CA124" s="3" t="e">
        <f t="shared" ca="1" si="147"/>
        <v>#N/A</v>
      </c>
      <c r="CC124" s="3" t="e">
        <f t="shared" ca="1" si="148"/>
        <v>#N/A</v>
      </c>
      <c r="CD124" s="3" t="e">
        <f t="shared" ca="1" si="149"/>
        <v>#N/A</v>
      </c>
      <c r="CE124" s="3" t="e">
        <f t="shared" ca="1" si="150"/>
        <v>#N/A</v>
      </c>
      <c r="CF124" s="3" t="e">
        <f t="shared" ca="1" si="151"/>
        <v>#N/A</v>
      </c>
      <c r="CH124" s="3" t="e">
        <f t="shared" ca="1" si="152"/>
        <v>#N/A</v>
      </c>
      <c r="CI124" s="3" t="e">
        <f t="shared" ca="1" si="153"/>
        <v>#N/A</v>
      </c>
      <c r="CJ124" s="3" t="e">
        <f t="shared" ca="1" si="154"/>
        <v>#N/A</v>
      </c>
      <c r="CK124" s="3" t="e">
        <f t="shared" ca="1" si="155"/>
        <v>#N/A</v>
      </c>
      <c r="CM124" s="3" t="e">
        <f t="shared" ca="1" si="156"/>
        <v>#N/A</v>
      </c>
      <c r="CN124" s="3" t="e">
        <f t="shared" ca="1" si="157"/>
        <v>#N/A</v>
      </c>
      <c r="CO124" s="3" t="e">
        <f t="shared" ca="1" si="158"/>
        <v>#N/A</v>
      </c>
      <c r="CP124" s="3" t="e">
        <f t="shared" ca="1" si="159"/>
        <v>#N/A</v>
      </c>
      <c r="CR124" s="11" t="e">
        <v>#N/A</v>
      </c>
      <c r="CS124" s="11" t="e">
        <v>#N/A</v>
      </c>
      <c r="CT124" s="11" t="e">
        <v>#N/A</v>
      </c>
      <c r="CU124" s="5">
        <v>4.0149999999999997</v>
      </c>
      <c r="CV124" s="21">
        <f t="shared" ca="1" si="120"/>
        <v>4.0149999999999997</v>
      </c>
      <c r="CW124" s="16">
        <f t="shared" ca="1" si="119"/>
        <v>6.166666666666667</v>
      </c>
    </row>
    <row r="125" spans="1:101" s="5" customFormat="1" x14ac:dyDescent="0.35">
      <c r="A125" s="4" t="s">
        <v>139</v>
      </c>
      <c r="B125" s="4">
        <v>6.333333333333333</v>
      </c>
      <c r="C125" s="4" t="s">
        <v>168</v>
      </c>
      <c r="D125" s="4" t="s">
        <v>404</v>
      </c>
      <c r="E125" s="3"/>
      <c r="F125" s="5" t="e">
        <v>#N/A</v>
      </c>
      <c r="G125" s="5">
        <v>4.0259999999999998</v>
      </c>
      <c r="H125" s="5">
        <v>4.0110000000000001</v>
      </c>
      <c r="I125" s="5">
        <v>3.0439999999999996</v>
      </c>
      <c r="K125" s="3" t="e">
        <f t="shared" ca="1" si="121"/>
        <v>#N/A</v>
      </c>
      <c r="L125" s="3">
        <f t="shared" ca="1" si="121"/>
        <v>0.97267759562841538</v>
      </c>
      <c r="M125" s="3">
        <f t="shared" ca="1" si="121"/>
        <v>0.9970082273747195</v>
      </c>
      <c r="N125" s="3">
        <f t="shared" ca="1" si="121"/>
        <v>0.99080157687253612</v>
      </c>
      <c r="P125" s="3" t="e">
        <f t="shared" ca="1" si="122"/>
        <v>#N/A</v>
      </c>
      <c r="Q125" s="3">
        <f t="shared" ca="1" si="122"/>
        <v>0.91455525629452794</v>
      </c>
      <c r="R125" s="3">
        <f t="shared" ca="1" si="122"/>
        <v>0.90177010441102812</v>
      </c>
      <c r="S125" s="3">
        <f t="shared" ca="1" si="122"/>
        <v>0.8814060884930498</v>
      </c>
      <c r="U125" s="3" t="e">
        <f t="shared" ca="1" si="123"/>
        <v>#N/A</v>
      </c>
      <c r="V125" s="3">
        <f t="shared" ca="1" si="123"/>
        <v>3.2290114257327374</v>
      </c>
      <c r="W125" s="3">
        <f t="shared" ca="1" si="123"/>
        <v>1.7452006980802792</v>
      </c>
      <c r="X125" s="3">
        <f t="shared" ca="1" si="123"/>
        <v>2.2996057818659663</v>
      </c>
      <c r="Z125" s="3" t="e">
        <f t="shared" ca="1" si="124"/>
        <v>#N/A</v>
      </c>
      <c r="AA125" s="3">
        <f t="shared" ca="1" si="124"/>
        <v>0.97267759562841538</v>
      </c>
      <c r="AB125" s="3">
        <f t="shared" ca="1" si="124"/>
        <v>0.88057840937422083</v>
      </c>
      <c r="AC125" s="3">
        <f t="shared" ca="1" si="124"/>
        <v>0.99080157687253612</v>
      </c>
      <c r="AE125" s="3" t="e">
        <f t="shared" ca="1" si="125"/>
        <v>#N/A</v>
      </c>
      <c r="AF125" s="3">
        <f t="shared" ca="1" si="125"/>
        <v>0.91455525629452794</v>
      </c>
      <c r="AG125" s="3">
        <f t="shared" ca="1" si="125"/>
        <v>0.82697580066725251</v>
      </c>
      <c r="AH125" s="3">
        <f t="shared" ca="1" si="125"/>
        <v>0.8814060884930498</v>
      </c>
      <c r="AJ125" s="3" t="e">
        <f t="shared" ca="1" si="126"/>
        <v>#N/A</v>
      </c>
      <c r="AK125" s="3">
        <f t="shared" ca="1" si="126"/>
        <v>3.2290114257327374</v>
      </c>
      <c r="AL125" s="3">
        <f t="shared" ca="1" si="126"/>
        <v>1.4958863126402393</v>
      </c>
      <c r="AM125" s="3">
        <f t="shared" ca="1" si="126"/>
        <v>2.2996057818659663</v>
      </c>
      <c r="AO125" s="3" t="e">
        <f t="shared" ca="1" si="127"/>
        <v>#N/A</v>
      </c>
      <c r="AP125" s="3">
        <f t="shared" ca="1" si="127"/>
        <v>0.24838549428713363</v>
      </c>
      <c r="AQ125" s="3">
        <f t="shared" ca="1" si="127"/>
        <v>0.74794315632011965</v>
      </c>
      <c r="AR125" s="3">
        <f t="shared" ca="1" si="127"/>
        <v>0.65703022339027606</v>
      </c>
      <c r="AT125" s="5">
        <v>8.0000003799796104E-3</v>
      </c>
      <c r="AU125" s="5">
        <v>1.0000000474974513E-3</v>
      </c>
      <c r="AV125" s="5">
        <v>1.2000000104308128E-2</v>
      </c>
      <c r="AW125" s="5">
        <v>1.4999999664723873E-2</v>
      </c>
      <c r="AY125" s="3" t="e">
        <f t="shared" ca="1" si="128"/>
        <v>#N/A</v>
      </c>
      <c r="AZ125" s="3">
        <f t="shared" ca="1" si="129"/>
        <v>0.19076005961251868</v>
      </c>
      <c r="BA125" s="3">
        <f t="shared" ca="1" si="130"/>
        <v>0.34106207928197463</v>
      </c>
      <c r="BB125" s="3">
        <f t="shared" ca="1" si="131"/>
        <v>0.41557161629434947</v>
      </c>
      <c r="BD125" s="3" t="e">
        <f t="shared" ca="1" si="132"/>
        <v>#N/A</v>
      </c>
      <c r="BE125" s="3">
        <f t="shared" ca="1" si="133"/>
        <v>0.21112759463892491</v>
      </c>
      <c r="BF125" s="3">
        <f t="shared" ca="1" si="134"/>
        <v>0.22463225212753399</v>
      </c>
      <c r="BG125" s="3">
        <f t="shared" ca="1" si="135"/>
        <v>0.58574245663778313</v>
      </c>
      <c r="BI125" s="3" t="e">
        <f t="shared" ca="1" si="136"/>
        <v>#N/A</v>
      </c>
      <c r="BJ125" s="3">
        <f t="shared" ca="1" si="137"/>
        <v>0.99354197714853454</v>
      </c>
      <c r="BK125" s="3">
        <f t="shared" ca="1" si="138"/>
        <v>0.74794315632011965</v>
      </c>
      <c r="BL125" s="3">
        <f t="shared" ca="1" si="139"/>
        <v>1.3140604467805521</v>
      </c>
      <c r="BN125" s="3" t="e">
        <f t="shared" ca="1" si="140"/>
        <v>#N/A</v>
      </c>
      <c r="BO125" s="3">
        <f t="shared" ca="1" si="141"/>
        <v>0.7451564828614009</v>
      </c>
      <c r="BP125" s="3">
        <f t="shared" ca="1" si="142"/>
        <v>0.99725754176015957</v>
      </c>
      <c r="BQ125" s="3">
        <f t="shared" ca="1" si="143"/>
        <v>1.3140604467805521</v>
      </c>
      <c r="BS125" s="5">
        <v>8.0000003799796104E-3</v>
      </c>
      <c r="BT125" s="5">
        <v>0.36800000071525574</v>
      </c>
      <c r="BU125" s="5">
        <v>0.51200002431869507</v>
      </c>
      <c r="BV125" s="5">
        <v>1.4999999664723873E-2</v>
      </c>
      <c r="BX125" s="3" t="e">
        <f t="shared" ca="1" si="144"/>
        <v>#N/A</v>
      </c>
      <c r="BY125" s="3">
        <f t="shared" ca="1" si="145"/>
        <v>0</v>
      </c>
      <c r="BZ125" s="3">
        <f t="shared" ca="1" si="146"/>
        <v>0</v>
      </c>
      <c r="CA125" s="3">
        <f t="shared" ca="1" si="147"/>
        <v>0</v>
      </c>
      <c r="CC125" s="3" t="e">
        <f t="shared" ca="1" si="148"/>
        <v>#N/A</v>
      </c>
      <c r="CD125" s="3">
        <f t="shared" ca="1" si="149"/>
        <v>0</v>
      </c>
      <c r="CE125" s="3">
        <f t="shared" ca="1" si="150"/>
        <v>0</v>
      </c>
      <c r="CF125" s="3">
        <f t="shared" ca="1" si="151"/>
        <v>0</v>
      </c>
      <c r="CH125" s="3" t="e">
        <f t="shared" ca="1" si="152"/>
        <v>#N/A</v>
      </c>
      <c r="CI125" s="3">
        <f t="shared" ca="1" si="153"/>
        <v>0</v>
      </c>
      <c r="CJ125" s="3">
        <f t="shared" ca="1" si="154"/>
        <v>0</v>
      </c>
      <c r="CK125" s="3">
        <f t="shared" ca="1" si="155"/>
        <v>0</v>
      </c>
      <c r="CM125" s="3" t="e">
        <f t="shared" ca="1" si="156"/>
        <v>#N/A</v>
      </c>
      <c r="CN125" s="3">
        <f t="shared" ca="1" si="157"/>
        <v>0</v>
      </c>
      <c r="CO125" s="3">
        <f t="shared" ca="1" si="158"/>
        <v>0</v>
      </c>
      <c r="CP125" s="3">
        <f t="shared" ca="1" si="159"/>
        <v>0</v>
      </c>
      <c r="CR125" s="5">
        <v>4.0110000000000001</v>
      </c>
      <c r="CS125" s="5">
        <v>4.0259999999999998</v>
      </c>
      <c r="CT125" s="5">
        <v>4.0110000000000001</v>
      </c>
      <c r="CU125" s="5">
        <v>4.01</v>
      </c>
      <c r="CV125" s="21">
        <f t="shared" ca="1" si="120"/>
        <v>4.01</v>
      </c>
      <c r="CW125" s="16">
        <f t="shared" ca="1" si="119"/>
        <v>6.333333333333333</v>
      </c>
    </row>
    <row r="126" spans="1:101" s="5" customFormat="1" x14ac:dyDescent="0.35">
      <c r="A126" s="4" t="s">
        <v>161</v>
      </c>
      <c r="B126" s="4">
        <v>6.416666666666667</v>
      </c>
      <c r="C126" s="4" t="s">
        <v>168</v>
      </c>
      <c r="D126" s="4" t="s">
        <v>404</v>
      </c>
      <c r="E126" s="3"/>
      <c r="F126" s="5">
        <v>4.016</v>
      </c>
      <c r="G126" s="5" t="e">
        <v>#N/A</v>
      </c>
      <c r="H126" s="5">
        <v>4.0110000000000001</v>
      </c>
      <c r="I126" s="5">
        <v>4.0129999999999999</v>
      </c>
      <c r="K126" s="3">
        <f t="shared" ca="1" si="121"/>
        <v>0.9957669322709165</v>
      </c>
      <c r="L126" s="3" t="e">
        <f t="shared" ca="1" si="121"/>
        <v>#N/A</v>
      </c>
      <c r="M126" s="3">
        <f t="shared" ca="1" si="121"/>
        <v>0.9970082273747195</v>
      </c>
      <c r="N126" s="3">
        <f t="shared" ca="1" si="121"/>
        <v>0.99651133815100923</v>
      </c>
      <c r="P126" s="3">
        <f t="shared" ca="1" si="122"/>
        <v>0.3568226744261277</v>
      </c>
      <c r="Q126" s="3" t="e">
        <f t="shared" ca="1" si="122"/>
        <v>#N/A</v>
      </c>
      <c r="R126" s="3">
        <f t="shared" ca="1" si="122"/>
        <v>0.69384205909002394</v>
      </c>
      <c r="S126" s="3">
        <f t="shared" ca="1" si="122"/>
        <v>0.9421879059428323</v>
      </c>
      <c r="U126" s="3">
        <f t="shared" ca="1" si="123"/>
        <v>1.4940239043824701</v>
      </c>
      <c r="V126" s="3" t="e">
        <f t="shared" ca="1" si="123"/>
        <v>#N/A</v>
      </c>
      <c r="W126" s="3">
        <f t="shared" ca="1" si="123"/>
        <v>2.7424582398404387</v>
      </c>
      <c r="X126" s="3">
        <f t="shared" ca="1" si="123"/>
        <v>1.9935210565661601</v>
      </c>
      <c r="Z126" s="3">
        <f t="shared" ca="1" si="124"/>
        <v>0.91708167330677293</v>
      </c>
      <c r="AA126" s="3" t="e">
        <f t="shared" ca="1" si="124"/>
        <v>#N/A</v>
      </c>
      <c r="AB126" s="3">
        <f t="shared" ca="1" si="124"/>
        <v>0.90575916230366493</v>
      </c>
      <c r="AC126" s="3">
        <f t="shared" ca="1" si="124"/>
        <v>0.99651133815100923</v>
      </c>
      <c r="AE126" s="3">
        <f t="shared" ca="1" si="125"/>
        <v>0.30702187779890111</v>
      </c>
      <c r="AF126" s="3" t="e">
        <f t="shared" ca="1" si="125"/>
        <v>#N/A</v>
      </c>
      <c r="AG126" s="3">
        <f t="shared" ca="1" si="125"/>
        <v>0.69384205909002394</v>
      </c>
      <c r="AH126" s="3">
        <f t="shared" ca="1" si="125"/>
        <v>0.9421879059428323</v>
      </c>
      <c r="AJ126" s="3">
        <f t="shared" ca="1" si="126"/>
        <v>1.2450199203187251</v>
      </c>
      <c r="AK126" s="3" t="e">
        <f t="shared" ca="1" si="126"/>
        <v>#N/A</v>
      </c>
      <c r="AL126" s="3">
        <f t="shared" ca="1" si="126"/>
        <v>2.7424582398404387</v>
      </c>
      <c r="AM126" s="3">
        <f t="shared" ca="1" si="126"/>
        <v>1.9935210565661601</v>
      </c>
      <c r="AO126" s="3">
        <f t="shared" ca="1" si="127"/>
        <v>0.74701195219123506</v>
      </c>
      <c r="AP126" s="3" t="e">
        <f t="shared" ca="1" si="127"/>
        <v>#N/A</v>
      </c>
      <c r="AQ126" s="3">
        <f t="shared" ca="1" si="127"/>
        <v>0.24931438544003989</v>
      </c>
      <c r="AR126" s="3">
        <f t="shared" ca="1" si="127"/>
        <v>0.24919013207077001</v>
      </c>
      <c r="AT126" s="5">
        <v>0.70200002193450928</v>
      </c>
      <c r="AU126" s="11" t="e">
        <v>#N/A</v>
      </c>
      <c r="AV126" s="5">
        <v>0.36700001358985901</v>
      </c>
      <c r="AW126" s="5">
        <v>2.4000000208616257E-2</v>
      </c>
      <c r="AY126" s="3">
        <f t="shared" ca="1" si="128"/>
        <v>0.80502988047808766</v>
      </c>
      <c r="AZ126" s="3" t="e">
        <f t="shared" ca="1" si="129"/>
        <v>#N/A</v>
      </c>
      <c r="BA126" s="3">
        <f t="shared" ca="1" si="130"/>
        <v>0.45674395412615315</v>
      </c>
      <c r="BB126" s="3">
        <f t="shared" ca="1" si="131"/>
        <v>0.52329927734861703</v>
      </c>
      <c r="BD126" s="3">
        <f t="shared" ca="1" si="132"/>
        <v>0.30702187779890111</v>
      </c>
      <c r="BE126" s="3" t="e">
        <f t="shared" ca="1" si="133"/>
        <v>#N/A</v>
      </c>
      <c r="BF126" s="3">
        <f t="shared" ca="1" si="134"/>
        <v>0.3323361883137298</v>
      </c>
      <c r="BG126" s="3">
        <f t="shared" ca="1" si="135"/>
        <v>0.50211812741079742</v>
      </c>
      <c r="BI126" s="3">
        <f t="shared" ca="1" si="136"/>
        <v>1.2450199203187251</v>
      </c>
      <c r="BJ126" s="3" t="e">
        <f t="shared" ca="1" si="137"/>
        <v>#N/A</v>
      </c>
      <c r="BK126" s="3">
        <f t="shared" ca="1" si="138"/>
        <v>1.7452006980802792</v>
      </c>
      <c r="BL126" s="3">
        <f t="shared" ca="1" si="139"/>
        <v>1.2459506603538499</v>
      </c>
      <c r="BN126" s="3">
        <f t="shared" ca="1" si="140"/>
        <v>0.99601593625498008</v>
      </c>
      <c r="BO126" s="3" t="e">
        <f t="shared" ca="1" si="141"/>
        <v>#N/A</v>
      </c>
      <c r="BP126" s="3">
        <f t="shared" ca="1" si="142"/>
        <v>0.99725754176015957</v>
      </c>
      <c r="BQ126" s="3">
        <f t="shared" ca="1" si="143"/>
        <v>0.49838026414154002</v>
      </c>
      <c r="BS126" s="5">
        <v>0.70200002193450928</v>
      </c>
      <c r="BT126" s="11" t="e">
        <v>#N/A</v>
      </c>
      <c r="BU126" s="5">
        <v>0.36700001358985901</v>
      </c>
      <c r="BV126" s="5">
        <v>0.87400001287460327</v>
      </c>
      <c r="BX126" s="3">
        <f t="shared" ca="1" si="144"/>
        <v>0</v>
      </c>
      <c r="BY126" s="3" t="e">
        <f t="shared" ca="1" si="145"/>
        <v>#N/A</v>
      </c>
      <c r="BZ126" s="3">
        <f t="shared" ca="1" si="146"/>
        <v>0</v>
      </c>
      <c r="CA126" s="3">
        <f t="shared" ca="1" si="147"/>
        <v>0</v>
      </c>
      <c r="CC126" s="3">
        <f t="shared" ca="1" si="148"/>
        <v>0</v>
      </c>
      <c r="CD126" s="3" t="e">
        <f t="shared" ca="1" si="149"/>
        <v>#N/A</v>
      </c>
      <c r="CE126" s="3">
        <f t="shared" ca="1" si="150"/>
        <v>0</v>
      </c>
      <c r="CF126" s="3">
        <f t="shared" ca="1" si="151"/>
        <v>0</v>
      </c>
      <c r="CH126" s="3">
        <f t="shared" ca="1" si="152"/>
        <v>0</v>
      </c>
      <c r="CI126" s="3" t="e">
        <f t="shared" ca="1" si="153"/>
        <v>#N/A</v>
      </c>
      <c r="CJ126" s="3">
        <f t="shared" ca="1" si="154"/>
        <v>0</v>
      </c>
      <c r="CK126" s="3">
        <f t="shared" ca="1" si="155"/>
        <v>0</v>
      </c>
      <c r="CM126" s="3">
        <f t="shared" ca="1" si="156"/>
        <v>0.49800796812749004</v>
      </c>
      <c r="CN126" s="3" t="e">
        <f t="shared" ca="1" si="157"/>
        <v>#N/A</v>
      </c>
      <c r="CO126" s="3">
        <f t="shared" ca="1" si="158"/>
        <v>0</v>
      </c>
      <c r="CP126" s="3">
        <f t="shared" ca="1" si="159"/>
        <v>0</v>
      </c>
      <c r="CR126" s="5">
        <v>4.016</v>
      </c>
      <c r="CS126" s="11" t="e">
        <v>#N/A</v>
      </c>
      <c r="CT126" s="5">
        <v>4.0110000000000001</v>
      </c>
      <c r="CU126" s="5">
        <v>4.0129999999999999</v>
      </c>
      <c r="CV126" s="21">
        <f t="shared" ca="1" si="120"/>
        <v>4.0129999999999999</v>
      </c>
      <c r="CW126" s="16">
        <f t="shared" ca="1" si="119"/>
        <v>6.416666666666667</v>
      </c>
    </row>
    <row r="127" spans="1:101" s="5" customFormat="1" x14ac:dyDescent="0.35">
      <c r="A127" s="4" t="s">
        <v>101</v>
      </c>
      <c r="B127" s="4">
        <v>6.583333333333333</v>
      </c>
      <c r="C127" s="4" t="s">
        <v>168</v>
      </c>
      <c r="D127" s="4" t="s">
        <v>404</v>
      </c>
      <c r="E127" s="3"/>
      <c r="F127" s="5">
        <v>3.98</v>
      </c>
      <c r="G127" s="5">
        <v>4.01</v>
      </c>
      <c r="H127" s="5">
        <v>4.0090000000000003</v>
      </c>
      <c r="I127" s="5">
        <v>4.0010000000000003</v>
      </c>
      <c r="K127" s="3">
        <f t="shared" ca="1" si="121"/>
        <v>0.99221105527638187</v>
      </c>
      <c r="L127" s="3">
        <f t="shared" ca="1" si="121"/>
        <v>0.99326683291770579</v>
      </c>
      <c r="M127" s="3">
        <f t="shared" ca="1" si="121"/>
        <v>0.99750561237216262</v>
      </c>
      <c r="N127" s="3">
        <f t="shared" ca="1" si="121"/>
        <v>0.99525118720319916</v>
      </c>
      <c r="P127" s="3">
        <f t="shared" ca="1" si="122"/>
        <v>0.97537691138647309</v>
      </c>
      <c r="Q127" s="3">
        <f t="shared" ca="1" si="122"/>
        <v>0.90199495500831539</v>
      </c>
      <c r="R127" s="3">
        <f t="shared" ca="1" si="122"/>
        <v>0.8348715769200884</v>
      </c>
      <c r="S127" s="3">
        <f t="shared" ca="1" si="122"/>
        <v>0.96225940339105231</v>
      </c>
      <c r="U127" s="3">
        <f t="shared" ca="1" si="123"/>
        <v>1.256281407035176</v>
      </c>
      <c r="V127" s="3">
        <f t="shared" ca="1" si="123"/>
        <v>3.7406483790523692</v>
      </c>
      <c r="W127" s="3">
        <f t="shared" ca="1" si="123"/>
        <v>3.2427039161885753</v>
      </c>
      <c r="X127" s="3">
        <f t="shared" ca="1" si="123"/>
        <v>2.2494376405898522</v>
      </c>
      <c r="Z127" s="3">
        <f t="shared" ca="1" si="124"/>
        <v>0.99221105527638187</v>
      </c>
      <c r="AA127" s="3">
        <f t="shared" ca="1" si="124"/>
        <v>0.99326683291770579</v>
      </c>
      <c r="AB127" s="3">
        <f t="shared" ca="1" si="124"/>
        <v>0.8311299575954102</v>
      </c>
      <c r="AC127" s="3">
        <f t="shared" ca="1" si="124"/>
        <v>0.99525118720319916</v>
      </c>
      <c r="AE127" s="3">
        <f t="shared" ca="1" si="125"/>
        <v>0.97537691138647309</v>
      </c>
      <c r="AF127" s="3">
        <f t="shared" ca="1" si="125"/>
        <v>0.90199495500831539</v>
      </c>
      <c r="AG127" s="3">
        <f t="shared" ca="1" si="125"/>
        <v>0.73908707631083304</v>
      </c>
      <c r="AH127" s="3">
        <f t="shared" ca="1" si="125"/>
        <v>0.96225940339105231</v>
      </c>
      <c r="AJ127" s="3">
        <f t="shared" ca="1" si="126"/>
        <v>1.256281407035176</v>
      </c>
      <c r="AK127" s="3">
        <f t="shared" ca="1" si="126"/>
        <v>3.7406483790523692</v>
      </c>
      <c r="AL127" s="3">
        <f t="shared" ca="1" si="126"/>
        <v>2.9932651534048387</v>
      </c>
      <c r="AM127" s="3">
        <f t="shared" ca="1" si="126"/>
        <v>2.2494376405898522</v>
      </c>
      <c r="AO127" s="3">
        <f t="shared" ca="1" si="127"/>
        <v>0.25125628140703515</v>
      </c>
      <c r="AP127" s="3">
        <f t="shared" ca="1" si="127"/>
        <v>0.24937655860349128</v>
      </c>
      <c r="AQ127" s="3">
        <f t="shared" ca="1" si="127"/>
        <v>0.49887752556747317</v>
      </c>
      <c r="AR127" s="3">
        <f t="shared" ca="1" si="127"/>
        <v>0.2499375156210947</v>
      </c>
      <c r="AT127" s="5">
        <v>2.4000000208616257E-2</v>
      </c>
      <c r="AU127" s="5">
        <v>1.2000000104308128E-2</v>
      </c>
      <c r="AV127" s="5">
        <v>0</v>
      </c>
      <c r="AW127" s="5">
        <v>1.4000000432133675E-2</v>
      </c>
      <c r="AY127" s="3">
        <f t="shared" ca="1" si="128"/>
        <v>0.90427135678391957</v>
      </c>
      <c r="AZ127" s="3">
        <f t="shared" ca="1" si="129"/>
        <v>0.3743142144638405</v>
      </c>
      <c r="BA127" s="3">
        <f t="shared" ca="1" si="130"/>
        <v>0.27837365926664992</v>
      </c>
      <c r="BB127" s="3">
        <f t="shared" ca="1" si="131"/>
        <v>0.59135216195951001</v>
      </c>
      <c r="BD127" s="3">
        <f t="shared" ca="1" si="132"/>
        <v>0.89597992561570361</v>
      </c>
      <c r="BE127" s="3">
        <f t="shared" ca="1" si="133"/>
        <v>0.40748124417298454</v>
      </c>
      <c r="BF127" s="3">
        <f t="shared" ca="1" si="134"/>
        <v>0.2614118625291656</v>
      </c>
      <c r="BG127" s="3">
        <f t="shared" ca="1" si="135"/>
        <v>0.58735311552751834</v>
      </c>
      <c r="BI127" s="3">
        <f t="shared" ca="1" si="136"/>
        <v>1.0050251256281406</v>
      </c>
      <c r="BJ127" s="3">
        <f t="shared" ca="1" si="137"/>
        <v>1.745635910224439</v>
      </c>
      <c r="BK127" s="3">
        <f t="shared" ca="1" si="138"/>
        <v>1.2471938139186829</v>
      </c>
      <c r="BL127" s="3">
        <f t="shared" ca="1" si="139"/>
        <v>1.2496875781054735</v>
      </c>
      <c r="BN127" s="3">
        <f t="shared" ca="1" si="140"/>
        <v>0.25125628140703515</v>
      </c>
      <c r="BO127" s="3">
        <f t="shared" ca="1" si="141"/>
        <v>1.2468827930174564</v>
      </c>
      <c r="BP127" s="3">
        <f t="shared" ca="1" si="142"/>
        <v>1.4966325767024193</v>
      </c>
      <c r="BQ127" s="3">
        <f t="shared" ca="1" si="143"/>
        <v>0.99975006248437881</v>
      </c>
      <c r="BS127" s="5">
        <v>0.35699999332427979</v>
      </c>
      <c r="BT127" s="5">
        <v>1.2000000104308128E-2</v>
      </c>
      <c r="BU127" s="5">
        <v>0.41600000858306885</v>
      </c>
      <c r="BV127" s="5">
        <v>0.47999998927116394</v>
      </c>
      <c r="BX127" s="3">
        <f t="shared" ca="1" si="144"/>
        <v>0</v>
      </c>
      <c r="BY127" s="3">
        <f t="shared" ca="1" si="145"/>
        <v>0</v>
      </c>
      <c r="BZ127" s="3">
        <f t="shared" ca="1" si="146"/>
        <v>0</v>
      </c>
      <c r="CA127" s="3">
        <f t="shared" ca="1" si="147"/>
        <v>0</v>
      </c>
      <c r="CC127" s="3">
        <f t="shared" ca="1" si="148"/>
        <v>0</v>
      </c>
      <c r="CD127" s="3">
        <f t="shared" ca="1" si="149"/>
        <v>0</v>
      </c>
      <c r="CE127" s="3">
        <f t="shared" ca="1" si="150"/>
        <v>0</v>
      </c>
      <c r="CF127" s="3">
        <f t="shared" ca="1" si="151"/>
        <v>0</v>
      </c>
      <c r="CH127" s="3">
        <f t="shared" ca="1" si="152"/>
        <v>0</v>
      </c>
      <c r="CI127" s="3">
        <f t="shared" ca="1" si="153"/>
        <v>0</v>
      </c>
      <c r="CJ127" s="3">
        <f t="shared" ca="1" si="154"/>
        <v>0</v>
      </c>
      <c r="CK127" s="3">
        <f t="shared" ca="1" si="155"/>
        <v>0</v>
      </c>
      <c r="CM127" s="3">
        <f t="shared" ca="1" si="156"/>
        <v>0</v>
      </c>
      <c r="CN127" s="3">
        <f t="shared" ca="1" si="157"/>
        <v>0</v>
      </c>
      <c r="CO127" s="3">
        <f t="shared" ca="1" si="158"/>
        <v>0</v>
      </c>
      <c r="CP127" s="3">
        <f t="shared" ca="1" si="159"/>
        <v>0</v>
      </c>
      <c r="CR127" s="5">
        <v>3.98</v>
      </c>
      <c r="CS127" s="5">
        <v>4.01</v>
      </c>
      <c r="CT127" s="5">
        <v>4.0090000000000003</v>
      </c>
      <c r="CU127" s="5">
        <v>4.0010000000000003</v>
      </c>
      <c r="CV127" s="21">
        <f t="shared" ca="1" si="120"/>
        <v>4.0010000000000003</v>
      </c>
      <c r="CW127" s="16">
        <f t="shared" ca="1" si="119"/>
        <v>6.583333333333333</v>
      </c>
    </row>
    <row r="128" spans="1:101" s="5" customFormat="1" x14ac:dyDescent="0.35">
      <c r="A128" s="4" t="s">
        <v>145</v>
      </c>
      <c r="B128" s="4">
        <v>6.583333333333333</v>
      </c>
      <c r="C128" s="4" t="s">
        <v>168</v>
      </c>
      <c r="D128" s="4" t="s">
        <v>404</v>
      </c>
      <c r="E128" s="3"/>
      <c r="F128" s="5">
        <v>4.016</v>
      </c>
      <c r="G128" s="5">
        <v>4.0629999999999997</v>
      </c>
      <c r="H128" s="5">
        <v>4.0019999999999998</v>
      </c>
      <c r="I128" s="5">
        <v>4.0259999999999998</v>
      </c>
      <c r="K128" s="3">
        <f t="shared" ca="1" si="121"/>
        <v>0.99576693227091639</v>
      </c>
      <c r="L128" s="3">
        <f t="shared" ca="1" si="121"/>
        <v>0.9965542702436625</v>
      </c>
      <c r="M128" s="3">
        <f t="shared" ca="1" si="121"/>
        <v>0.9952523738130935</v>
      </c>
      <c r="N128" s="3">
        <f t="shared" ca="1" si="121"/>
        <v>0.99726775956284175</v>
      </c>
      <c r="P128" s="3">
        <f t="shared" ca="1" si="122"/>
        <v>0.66384468394595075</v>
      </c>
      <c r="Q128" s="3">
        <f t="shared" ca="1" si="122"/>
        <v>0.97194191702434563</v>
      </c>
      <c r="R128" s="3">
        <f t="shared" ca="1" si="122"/>
        <v>0.81959025383271145</v>
      </c>
      <c r="S128" s="3">
        <f t="shared" ca="1" si="122"/>
        <v>0.81520128747197573</v>
      </c>
      <c r="U128" s="3">
        <f t="shared" ca="1" si="123"/>
        <v>2.241035856573705</v>
      </c>
      <c r="V128" s="3">
        <f t="shared" ca="1" si="123"/>
        <v>1.7228648781688409</v>
      </c>
      <c r="W128" s="3">
        <f t="shared" ca="1" si="123"/>
        <v>2.2488755622188905</v>
      </c>
      <c r="X128" s="3">
        <f t="shared" ca="1" si="123"/>
        <v>2.4838549428713366</v>
      </c>
      <c r="Z128" s="3">
        <f t="shared" ca="1" si="124"/>
        <v>0.80054780876494025</v>
      </c>
      <c r="AA128" s="3">
        <f t="shared" ca="1" si="124"/>
        <v>0.9965542702436625</v>
      </c>
      <c r="AB128" s="3">
        <f t="shared" ca="1" si="124"/>
        <v>0.9952523738130935</v>
      </c>
      <c r="AC128" s="3">
        <f t="shared" ca="1" si="124"/>
        <v>0.79855936413313489</v>
      </c>
      <c r="AE128" s="3">
        <f t="shared" ca="1" si="125"/>
        <v>0.66384468394595075</v>
      </c>
      <c r="AF128" s="3">
        <f t="shared" ca="1" si="125"/>
        <v>0.97194191702434563</v>
      </c>
      <c r="AG128" s="3">
        <f t="shared" ca="1" si="125"/>
        <v>0.81959025383271145</v>
      </c>
      <c r="AH128" s="3">
        <f t="shared" ca="1" si="125"/>
        <v>0.72006963913306277</v>
      </c>
      <c r="AJ128" s="3">
        <f t="shared" ca="1" si="126"/>
        <v>2.241035856573705</v>
      </c>
      <c r="AK128" s="3">
        <f t="shared" ca="1" si="126"/>
        <v>1.7228648781688409</v>
      </c>
      <c r="AL128" s="3">
        <f t="shared" ca="1" si="126"/>
        <v>2.2488755622188905</v>
      </c>
      <c r="AM128" s="3">
        <f t="shared" ca="1" si="126"/>
        <v>1.9870839542970691</v>
      </c>
      <c r="AO128" s="3">
        <f t="shared" ca="1" si="127"/>
        <v>0.74701195219123506</v>
      </c>
      <c r="AP128" s="3">
        <f t="shared" ca="1" si="127"/>
        <v>0.24612355402412012</v>
      </c>
      <c r="AQ128" s="3">
        <f t="shared" ca="1" si="127"/>
        <v>0.24987506246876562</v>
      </c>
      <c r="AR128" s="3">
        <f t="shared" ca="1" si="127"/>
        <v>0.49677098857426727</v>
      </c>
      <c r="AT128" s="5">
        <v>8.999999612569809E-3</v>
      </c>
      <c r="AU128" s="5">
        <v>4.0000001899898052E-3</v>
      </c>
      <c r="AV128" s="5">
        <v>1.4999999664723873E-2</v>
      </c>
      <c r="AW128" s="5">
        <v>9.9999997764825821E-3</v>
      </c>
      <c r="AY128" s="3">
        <f t="shared" ca="1" si="128"/>
        <v>0.43525896414342635</v>
      </c>
      <c r="AZ128" s="3">
        <f t="shared" ca="1" si="129"/>
        <v>0.63573714004430237</v>
      </c>
      <c r="BA128" s="3">
        <f t="shared" ca="1" si="130"/>
        <v>0.14167916041979015</v>
      </c>
      <c r="BB128" s="3">
        <f t="shared" ca="1" si="131"/>
        <v>0.3390461997019375</v>
      </c>
      <c r="BD128" s="3">
        <f t="shared" ca="1" si="132"/>
        <v>0.42305776916177151</v>
      </c>
      <c r="BE128" s="3">
        <f t="shared" ca="1" si="133"/>
        <v>0.55771596672908741</v>
      </c>
      <c r="BF128" s="3">
        <f t="shared" ca="1" si="134"/>
        <v>0.12468768917638502</v>
      </c>
      <c r="BG128" s="3">
        <f t="shared" ca="1" si="135"/>
        <v>0.38102338755835485</v>
      </c>
      <c r="BI128" s="3">
        <f t="shared" ca="1" si="136"/>
        <v>1.2450199203187251</v>
      </c>
      <c r="BJ128" s="3">
        <f t="shared" ca="1" si="137"/>
        <v>0.98449421609648047</v>
      </c>
      <c r="BK128" s="3">
        <f t="shared" ca="1" si="138"/>
        <v>0.49975012493753124</v>
      </c>
      <c r="BL128" s="3">
        <f t="shared" ca="1" si="139"/>
        <v>0.7451564828614009</v>
      </c>
      <c r="BN128" s="3">
        <f t="shared" ca="1" si="140"/>
        <v>0.74701195219123506</v>
      </c>
      <c r="BO128" s="3">
        <f t="shared" ca="1" si="141"/>
        <v>0.73837066207236035</v>
      </c>
      <c r="BP128" s="3">
        <f t="shared" ca="1" si="142"/>
        <v>0.74962518740629691</v>
      </c>
      <c r="BQ128" s="3">
        <f t="shared" ca="1" si="143"/>
        <v>0.99354197714853454</v>
      </c>
      <c r="BS128" s="5">
        <v>0.55900001525878906</v>
      </c>
      <c r="BT128" s="5">
        <v>0.50400000810623169</v>
      </c>
      <c r="BU128" s="5">
        <v>0.68199998140335083</v>
      </c>
      <c r="BV128" s="5">
        <v>0.57599997520446777</v>
      </c>
      <c r="BX128" s="3">
        <f t="shared" ca="1" si="144"/>
        <v>0</v>
      </c>
      <c r="BY128" s="3">
        <f t="shared" ca="1" si="145"/>
        <v>0</v>
      </c>
      <c r="BZ128" s="3">
        <f t="shared" ca="1" si="146"/>
        <v>0</v>
      </c>
      <c r="CA128" s="3">
        <f t="shared" ca="1" si="147"/>
        <v>5.7873820168902135E-2</v>
      </c>
      <c r="CC128" s="3">
        <f t="shared" ca="1" si="148"/>
        <v>0</v>
      </c>
      <c r="CD128" s="3">
        <f t="shared" ca="1" si="149"/>
        <v>0</v>
      </c>
      <c r="CE128" s="3">
        <f t="shared" ca="1" si="150"/>
        <v>0</v>
      </c>
      <c r="CF128" s="3">
        <f t="shared" ca="1" si="151"/>
        <v>0</v>
      </c>
      <c r="CH128" s="3">
        <f t="shared" ca="1" si="152"/>
        <v>0</v>
      </c>
      <c r="CI128" s="3">
        <f t="shared" ca="1" si="153"/>
        <v>0</v>
      </c>
      <c r="CJ128" s="3">
        <f t="shared" ca="1" si="154"/>
        <v>0</v>
      </c>
      <c r="CK128" s="3">
        <f t="shared" ca="1" si="155"/>
        <v>0</v>
      </c>
      <c r="CM128" s="3">
        <f t="shared" ca="1" si="156"/>
        <v>0</v>
      </c>
      <c r="CN128" s="3">
        <f t="shared" ca="1" si="157"/>
        <v>0</v>
      </c>
      <c r="CO128" s="3">
        <f t="shared" ca="1" si="158"/>
        <v>0</v>
      </c>
      <c r="CP128" s="3">
        <f t="shared" ca="1" si="159"/>
        <v>0.24838549428713363</v>
      </c>
      <c r="CR128" s="5">
        <v>4.016</v>
      </c>
      <c r="CS128" s="5">
        <v>4.0629999999999997</v>
      </c>
      <c r="CT128" s="5">
        <v>4.0019999999999998</v>
      </c>
      <c r="CU128" s="5">
        <v>4.0259999999999998</v>
      </c>
      <c r="CV128" s="21">
        <f t="shared" ca="1" si="120"/>
        <v>4.0259999999999998</v>
      </c>
      <c r="CW128" s="16">
        <f t="shared" ca="1" si="119"/>
        <v>6.583333333333333</v>
      </c>
    </row>
    <row r="129" spans="1:101" s="5" customFormat="1" x14ac:dyDescent="0.35">
      <c r="A129" s="4" t="s">
        <v>144</v>
      </c>
      <c r="B129" s="4">
        <v>6.833333333333333</v>
      </c>
      <c r="C129" s="4" t="s">
        <v>168</v>
      </c>
      <c r="D129" s="4" t="s">
        <v>404</v>
      </c>
      <c r="E129" s="3"/>
      <c r="F129" s="5" t="e">
        <v>#N/A</v>
      </c>
      <c r="G129" s="5" t="e">
        <v>#N/A</v>
      </c>
      <c r="H129" s="11" t="e">
        <v>#N/A</v>
      </c>
      <c r="I129" s="5">
        <v>4.0110000000000001</v>
      </c>
      <c r="K129" s="3" t="e">
        <f t="shared" ca="1" si="121"/>
        <v>#N/A</v>
      </c>
      <c r="L129" s="3" t="e">
        <f t="shared" ca="1" si="121"/>
        <v>#N/A</v>
      </c>
      <c r="M129" s="3" t="e">
        <f t="shared" ca="1" si="121"/>
        <v>#N/A</v>
      </c>
      <c r="N129" s="3">
        <f t="shared" ca="1" si="121"/>
        <v>0.93467963101470941</v>
      </c>
      <c r="P129" s="3" t="e">
        <f t="shared" ca="1" si="122"/>
        <v>#N/A</v>
      </c>
      <c r="Q129" s="3" t="e">
        <f t="shared" ca="1" si="122"/>
        <v>#N/A</v>
      </c>
      <c r="R129" s="3" t="e">
        <f t="shared" ca="1" si="122"/>
        <v>#N/A</v>
      </c>
      <c r="S129" s="3">
        <f t="shared" ca="1" si="122"/>
        <v>0.7102967007027633</v>
      </c>
      <c r="U129" s="3" t="e">
        <f t="shared" ca="1" si="123"/>
        <v>#N/A</v>
      </c>
      <c r="V129" s="3" t="e">
        <f t="shared" ca="1" si="123"/>
        <v>#N/A</v>
      </c>
      <c r="W129" s="3" t="e">
        <f t="shared" ca="1" si="123"/>
        <v>#N/A</v>
      </c>
      <c r="X129" s="3">
        <f t="shared" ca="1" si="123"/>
        <v>2.2438294689603588</v>
      </c>
      <c r="Z129" s="3" t="e">
        <f t="shared" ca="1" si="124"/>
        <v>#N/A</v>
      </c>
      <c r="AA129" s="3" t="e">
        <f t="shared" ca="1" si="124"/>
        <v>#N/A</v>
      </c>
      <c r="AB129" s="3" t="e">
        <f t="shared" ca="1" si="124"/>
        <v>#N/A</v>
      </c>
      <c r="AC129" s="3">
        <f t="shared" ca="1" si="124"/>
        <v>0.93467963101470941</v>
      </c>
      <c r="AE129" s="3" t="e">
        <f t="shared" ca="1" si="125"/>
        <v>#N/A</v>
      </c>
      <c r="AF129" s="3" t="e">
        <f t="shared" ca="1" si="125"/>
        <v>#N/A</v>
      </c>
      <c r="AG129" s="3" t="e">
        <f t="shared" ca="1" si="125"/>
        <v>#N/A</v>
      </c>
      <c r="AH129" s="3">
        <f t="shared" ca="1" si="125"/>
        <v>0.7102967007027633</v>
      </c>
      <c r="AJ129" s="3" t="e">
        <f t="shared" ca="1" si="126"/>
        <v>#N/A</v>
      </c>
      <c r="AK129" s="3" t="e">
        <f t="shared" ca="1" si="126"/>
        <v>#N/A</v>
      </c>
      <c r="AL129" s="3" t="e">
        <f t="shared" ca="1" si="126"/>
        <v>#N/A</v>
      </c>
      <c r="AM129" s="3">
        <f t="shared" ca="1" si="126"/>
        <v>2.2438294689603588</v>
      </c>
      <c r="AO129" s="3" t="e">
        <f t="shared" ca="1" si="127"/>
        <v>#N/A</v>
      </c>
      <c r="AP129" s="3" t="e">
        <f t="shared" ca="1" si="127"/>
        <v>#N/A</v>
      </c>
      <c r="AQ129" s="3" t="e">
        <f t="shared" ca="1" si="127"/>
        <v>#N/A</v>
      </c>
      <c r="AR129" s="3">
        <f t="shared" ca="1" si="127"/>
        <v>0.24931438544003989</v>
      </c>
      <c r="AT129" s="5">
        <v>0.22300000488758087</v>
      </c>
      <c r="AU129" s="5">
        <v>1.2020000219345093</v>
      </c>
      <c r="AV129" s="11" t="e">
        <v>#N/A</v>
      </c>
      <c r="AW129" s="5">
        <v>0.25600001215934753</v>
      </c>
      <c r="AY129" s="3" t="e">
        <f t="shared" ca="1" si="128"/>
        <v>#N/A</v>
      </c>
      <c r="AZ129" s="3" t="e">
        <f t="shared" ca="1" si="129"/>
        <v>#N/A</v>
      </c>
      <c r="BA129" s="3" t="e">
        <f t="shared" ca="1" si="130"/>
        <v>#N/A</v>
      </c>
      <c r="BB129" s="3">
        <f t="shared" ca="1" si="131"/>
        <v>0.34455248067813504</v>
      </c>
      <c r="BD129" s="3" t="e">
        <f t="shared" ca="1" si="132"/>
        <v>#N/A</v>
      </c>
      <c r="BE129" s="3" t="e">
        <f t="shared" ca="1" si="133"/>
        <v>#N/A</v>
      </c>
      <c r="BF129" s="3" t="e">
        <f t="shared" ca="1" si="134"/>
        <v>#N/A</v>
      </c>
      <c r="BG129" s="3">
        <f t="shared" ca="1" si="135"/>
        <v>0.35726747676875042</v>
      </c>
      <c r="BI129" s="3" t="e">
        <f t="shared" ca="1" si="136"/>
        <v>#N/A</v>
      </c>
      <c r="BJ129" s="3" t="e">
        <f t="shared" ca="1" si="137"/>
        <v>#N/A</v>
      </c>
      <c r="BK129" s="3" t="e">
        <f t="shared" ca="1" si="138"/>
        <v>#N/A</v>
      </c>
      <c r="BL129" s="3">
        <f t="shared" ca="1" si="139"/>
        <v>0.74794315632011965</v>
      </c>
      <c r="BN129" s="3" t="e">
        <f t="shared" ca="1" si="140"/>
        <v>#N/A</v>
      </c>
      <c r="BO129" s="3" t="e">
        <f t="shared" ca="1" si="141"/>
        <v>#N/A</v>
      </c>
      <c r="BP129" s="3" t="e">
        <f t="shared" ca="1" si="142"/>
        <v>#N/A</v>
      </c>
      <c r="BQ129" s="3">
        <f t="shared" ca="1" si="143"/>
        <v>0.74794315632011965</v>
      </c>
      <c r="BS129" s="5">
        <v>0.22300000488758087</v>
      </c>
      <c r="BT129" s="5">
        <v>1.3190000057220459</v>
      </c>
      <c r="BU129" s="11" t="e">
        <v>#N/A</v>
      </c>
      <c r="BV129" s="5">
        <v>1.0729999542236328</v>
      </c>
      <c r="BX129" s="3" t="e">
        <f t="shared" ca="1" si="144"/>
        <v>#N/A</v>
      </c>
      <c r="BY129" s="3" t="e">
        <f t="shared" ca="1" si="145"/>
        <v>#N/A</v>
      </c>
      <c r="BZ129" s="3" t="e">
        <f t="shared" ca="1" si="146"/>
        <v>#N/A</v>
      </c>
      <c r="CA129" s="3">
        <f t="shared" ca="1" si="147"/>
        <v>0.15382697581650467</v>
      </c>
      <c r="CC129" s="3" t="e">
        <f t="shared" ca="1" si="148"/>
        <v>#N/A</v>
      </c>
      <c r="CD129" s="3" t="e">
        <f t="shared" ca="1" si="149"/>
        <v>#N/A</v>
      </c>
      <c r="CE129" s="3" t="e">
        <f t="shared" ca="1" si="150"/>
        <v>#N/A</v>
      </c>
      <c r="CF129" s="3">
        <f t="shared" ca="1" si="151"/>
        <v>0.17003245081458118</v>
      </c>
      <c r="CH129" s="3" t="e">
        <f t="shared" ca="1" si="152"/>
        <v>#N/A</v>
      </c>
      <c r="CI129" s="3" t="e">
        <f t="shared" ca="1" si="153"/>
        <v>#N/A</v>
      </c>
      <c r="CJ129" s="3" t="e">
        <f t="shared" ca="1" si="154"/>
        <v>#N/A</v>
      </c>
      <c r="CK129" s="3">
        <f t="shared" ca="1" si="155"/>
        <v>0.74794315632011965</v>
      </c>
      <c r="CM129" s="3" t="e">
        <f t="shared" ca="1" si="156"/>
        <v>#N/A</v>
      </c>
      <c r="CN129" s="3" t="e">
        <f t="shared" ca="1" si="157"/>
        <v>#N/A</v>
      </c>
      <c r="CO129" s="3" t="e">
        <f t="shared" ca="1" si="158"/>
        <v>#N/A</v>
      </c>
      <c r="CP129" s="3">
        <f t="shared" ca="1" si="159"/>
        <v>0.99725754176015957</v>
      </c>
      <c r="CR129" s="5">
        <v>4.01</v>
      </c>
      <c r="CS129" s="5">
        <v>4.01</v>
      </c>
      <c r="CT129" s="11" t="e">
        <v>#N/A</v>
      </c>
      <c r="CU129" s="5">
        <v>3.0559999942779541</v>
      </c>
      <c r="CV129" s="21">
        <f t="shared" ca="1" si="120"/>
        <v>3.0559999942779541</v>
      </c>
      <c r="CW129" s="16">
        <f t="shared" ca="1" si="119"/>
        <v>6.833333333333333</v>
      </c>
    </row>
    <row r="130" spans="1:101" s="5" customFormat="1" x14ac:dyDescent="0.35">
      <c r="A130" s="4" t="s">
        <v>162</v>
      </c>
      <c r="B130" s="4">
        <v>6.833333333333333</v>
      </c>
      <c r="C130" s="4" t="s">
        <v>168</v>
      </c>
      <c r="D130" s="4" t="s">
        <v>404</v>
      </c>
      <c r="E130" s="3"/>
      <c r="F130" s="5">
        <v>4.0149999999999997</v>
      </c>
      <c r="G130" s="5" t="e">
        <v>#N/A</v>
      </c>
      <c r="H130" s="5" t="e">
        <v>#N/A</v>
      </c>
      <c r="I130" s="5">
        <v>4.016</v>
      </c>
      <c r="K130" s="3">
        <f t="shared" ca="1" si="121"/>
        <v>0.98356164383561662</v>
      </c>
      <c r="L130" s="3" t="e">
        <f t="shared" ca="1" si="121"/>
        <v>#N/A</v>
      </c>
      <c r="M130" s="3" t="e">
        <f t="shared" ca="1" si="121"/>
        <v>#N/A</v>
      </c>
      <c r="N130" s="3">
        <f t="shared" ca="1" si="121"/>
        <v>0.91284860557768921</v>
      </c>
      <c r="P130" s="3">
        <f t="shared" ca="1" si="122"/>
        <v>0.83387299709875673</v>
      </c>
      <c r="Q130" s="3" t="e">
        <f t="shared" ca="1" si="122"/>
        <v>#N/A</v>
      </c>
      <c r="R130" s="3" t="e">
        <f t="shared" ca="1" si="122"/>
        <v>#N/A</v>
      </c>
      <c r="S130" s="3">
        <f t="shared" ca="1" si="122"/>
        <v>0.8508466059839227</v>
      </c>
      <c r="U130" s="3">
        <f t="shared" ca="1" si="123"/>
        <v>1.4943960149439603</v>
      </c>
      <c r="V130" s="3" t="e">
        <f t="shared" ca="1" si="123"/>
        <v>#N/A</v>
      </c>
      <c r="W130" s="3" t="e">
        <f t="shared" ca="1" si="123"/>
        <v>#N/A</v>
      </c>
      <c r="X130" s="3">
        <f t="shared" ca="1" si="123"/>
        <v>3.237051792828685</v>
      </c>
      <c r="Z130" s="3">
        <f t="shared" ca="1" si="124"/>
        <v>0.98356164383561662</v>
      </c>
      <c r="AA130" s="3" t="e">
        <f t="shared" ca="1" si="124"/>
        <v>#N/A</v>
      </c>
      <c r="AB130" s="3" t="e">
        <f t="shared" ca="1" si="124"/>
        <v>#N/A</v>
      </c>
      <c r="AC130" s="3">
        <f t="shared" ca="1" si="124"/>
        <v>0.85458167330677293</v>
      </c>
      <c r="AE130" s="3">
        <f t="shared" ca="1" si="125"/>
        <v>0.83387299709875673</v>
      </c>
      <c r="AF130" s="3" t="e">
        <f t="shared" ca="1" si="125"/>
        <v>#N/A</v>
      </c>
      <c r="AG130" s="3" t="e">
        <f t="shared" ca="1" si="125"/>
        <v>#N/A</v>
      </c>
      <c r="AH130" s="3">
        <f t="shared" ca="1" si="125"/>
        <v>0.8010457972977385</v>
      </c>
      <c r="AJ130" s="3">
        <f t="shared" ca="1" si="126"/>
        <v>1.4943960149439603</v>
      </c>
      <c r="AK130" s="3" t="e">
        <f t="shared" ca="1" si="126"/>
        <v>#N/A</v>
      </c>
      <c r="AL130" s="3" t="e">
        <f t="shared" ca="1" si="126"/>
        <v>#N/A</v>
      </c>
      <c r="AM130" s="3">
        <f t="shared" ca="1" si="126"/>
        <v>2.9880478087649402</v>
      </c>
      <c r="AO130" s="3">
        <f t="shared" ca="1" si="127"/>
        <v>0.24906600249066005</v>
      </c>
      <c r="AP130" s="3" t="e">
        <f t="shared" ca="1" si="127"/>
        <v>#N/A</v>
      </c>
      <c r="AQ130" s="3" t="e">
        <f t="shared" ca="1" si="127"/>
        <v>#N/A</v>
      </c>
      <c r="AR130" s="3">
        <f t="shared" ca="1" si="127"/>
        <v>0.24900398406374502</v>
      </c>
      <c r="AT130" s="5">
        <v>2.0000000949949026E-3</v>
      </c>
      <c r="AU130" s="11" t="e">
        <v>#N/A</v>
      </c>
      <c r="AV130" s="5">
        <v>6.0000000521540642E-3</v>
      </c>
      <c r="AW130" s="5">
        <v>8.999999612569809E-3</v>
      </c>
      <c r="AY130" s="3">
        <f t="shared" ca="1" si="128"/>
        <v>0.48567870485678721</v>
      </c>
      <c r="AZ130" s="3" t="e">
        <f t="shared" ca="1" si="129"/>
        <v>#N/A</v>
      </c>
      <c r="BA130" s="3" t="e">
        <f t="shared" ca="1" si="130"/>
        <v>#N/A</v>
      </c>
      <c r="BB130" s="3">
        <f t="shared" ca="1" si="131"/>
        <v>4.1334661354581671E-2</v>
      </c>
      <c r="BD130" s="3">
        <f t="shared" ca="1" si="132"/>
        <v>0.65554174905408591</v>
      </c>
      <c r="BE130" s="3" t="e">
        <f t="shared" ca="1" si="133"/>
        <v>#N/A</v>
      </c>
      <c r="BF130" s="3" t="e">
        <f t="shared" ca="1" si="134"/>
        <v>#N/A</v>
      </c>
      <c r="BG130" s="3">
        <f t="shared" ca="1" si="135"/>
        <v>3.3117533917446061E-2</v>
      </c>
      <c r="BI130" s="3">
        <f t="shared" ca="1" si="136"/>
        <v>0.9962640099626402</v>
      </c>
      <c r="BJ130" s="3" t="e">
        <f t="shared" ca="1" si="137"/>
        <v>#N/A</v>
      </c>
      <c r="BK130" s="3" t="e">
        <f t="shared" ca="1" si="138"/>
        <v>#N/A</v>
      </c>
      <c r="BL130" s="3">
        <f t="shared" ca="1" si="139"/>
        <v>0.24900398406374502</v>
      </c>
      <c r="BN130" s="3">
        <f t="shared" ca="1" si="140"/>
        <v>0.9962640099626402</v>
      </c>
      <c r="BO130" s="3" t="e">
        <f t="shared" ca="1" si="141"/>
        <v>#N/A</v>
      </c>
      <c r="BP130" s="3" t="e">
        <f t="shared" ca="1" si="142"/>
        <v>#N/A</v>
      </c>
      <c r="BQ130" s="3">
        <f t="shared" ca="1" si="143"/>
        <v>0.24900398406374502</v>
      </c>
      <c r="BS130" s="5">
        <v>2.0000000949949026E-3</v>
      </c>
      <c r="BT130" s="11" t="e">
        <v>#N/A</v>
      </c>
      <c r="BU130" s="5">
        <v>6.0000000521540642E-3</v>
      </c>
      <c r="BV130" s="5">
        <v>0.45899999141693115</v>
      </c>
      <c r="BX130" s="3">
        <f t="shared" ca="1" si="144"/>
        <v>1.6687422166874154E-2</v>
      </c>
      <c r="BY130" s="3" t="e">
        <f t="shared" ca="1" si="145"/>
        <v>#N/A</v>
      </c>
      <c r="BZ130" s="3" t="e">
        <f t="shared" ca="1" si="146"/>
        <v>#N/A</v>
      </c>
      <c r="CA130" s="3">
        <f t="shared" ca="1" si="147"/>
        <v>0</v>
      </c>
      <c r="CC130" s="3">
        <f t="shared" ca="1" si="148"/>
        <v>0</v>
      </c>
      <c r="CD130" s="3" t="e">
        <f t="shared" ca="1" si="149"/>
        <v>#N/A</v>
      </c>
      <c r="CE130" s="3" t="e">
        <f t="shared" ca="1" si="150"/>
        <v>#N/A</v>
      </c>
      <c r="CF130" s="3">
        <f t="shared" ca="1" si="151"/>
        <v>0</v>
      </c>
      <c r="CH130" s="3">
        <f t="shared" ca="1" si="152"/>
        <v>0</v>
      </c>
      <c r="CI130" s="3" t="e">
        <f t="shared" ca="1" si="153"/>
        <v>#N/A</v>
      </c>
      <c r="CJ130" s="3" t="e">
        <f t="shared" ca="1" si="154"/>
        <v>#N/A</v>
      </c>
      <c r="CK130" s="3">
        <f t="shared" ca="1" si="155"/>
        <v>0</v>
      </c>
      <c r="CM130" s="3">
        <f t="shared" ca="1" si="156"/>
        <v>0.4981320049813201</v>
      </c>
      <c r="CN130" s="3" t="e">
        <f t="shared" ca="1" si="157"/>
        <v>#N/A</v>
      </c>
      <c r="CO130" s="3" t="e">
        <f t="shared" ca="1" si="158"/>
        <v>#N/A</v>
      </c>
      <c r="CP130" s="3">
        <f t="shared" ca="1" si="159"/>
        <v>0</v>
      </c>
      <c r="CR130" s="5">
        <v>4.0149999999999997</v>
      </c>
      <c r="CS130" s="11" t="e">
        <v>#N/A</v>
      </c>
      <c r="CT130" s="5">
        <v>4.0419999999999998</v>
      </c>
      <c r="CU130" s="5">
        <v>4.016</v>
      </c>
      <c r="CV130" s="21">
        <f t="shared" ca="1" si="120"/>
        <v>4.016</v>
      </c>
      <c r="CW130" s="16">
        <f t="shared" ca="1" si="119"/>
        <v>6.833333333333333</v>
      </c>
    </row>
    <row r="131" spans="1:101" s="5" customFormat="1" x14ac:dyDescent="0.35">
      <c r="A131" s="4" t="s">
        <v>157</v>
      </c>
      <c r="B131" s="4">
        <v>7</v>
      </c>
      <c r="C131" s="4" t="s">
        <v>168</v>
      </c>
      <c r="D131" s="4" t="s">
        <v>404</v>
      </c>
      <c r="E131" s="3"/>
      <c r="F131" s="5" t="e">
        <v>#N/A</v>
      </c>
      <c r="G131" s="5" t="e">
        <v>#N/A</v>
      </c>
      <c r="H131" s="5" t="e">
        <v>#N/A</v>
      </c>
      <c r="I131" s="5" t="e">
        <v>#N/A</v>
      </c>
      <c r="K131" s="3" t="e">
        <f t="shared" ca="1" si="121"/>
        <v>#N/A</v>
      </c>
      <c r="L131" s="3" t="e">
        <f t="shared" ca="1" si="121"/>
        <v>#N/A</v>
      </c>
      <c r="M131" s="3" t="e">
        <f t="shared" ca="1" si="121"/>
        <v>#N/A</v>
      </c>
      <c r="N131" s="3" t="e">
        <f t="shared" ca="1" si="121"/>
        <v>#N/A</v>
      </c>
      <c r="P131" s="3" t="e">
        <f t="shared" ca="1" si="122"/>
        <v>#N/A</v>
      </c>
      <c r="Q131" s="3" t="e">
        <f t="shared" ca="1" si="122"/>
        <v>#N/A</v>
      </c>
      <c r="R131" s="3" t="e">
        <f t="shared" ca="1" si="122"/>
        <v>#N/A</v>
      </c>
      <c r="S131" s="3" t="e">
        <f t="shared" ca="1" si="122"/>
        <v>#N/A</v>
      </c>
      <c r="U131" s="3" t="e">
        <f t="shared" ca="1" si="123"/>
        <v>#N/A</v>
      </c>
      <c r="V131" s="3" t="e">
        <f t="shared" ca="1" si="123"/>
        <v>#N/A</v>
      </c>
      <c r="W131" s="3" t="e">
        <f t="shared" ca="1" si="123"/>
        <v>#N/A</v>
      </c>
      <c r="X131" s="3" t="e">
        <f t="shared" ca="1" si="123"/>
        <v>#N/A</v>
      </c>
      <c r="Z131" s="3" t="e">
        <f t="shared" ca="1" si="124"/>
        <v>#N/A</v>
      </c>
      <c r="AA131" s="3" t="e">
        <f t="shared" ca="1" si="124"/>
        <v>#N/A</v>
      </c>
      <c r="AB131" s="3" t="e">
        <f t="shared" ca="1" si="124"/>
        <v>#N/A</v>
      </c>
      <c r="AC131" s="3" t="e">
        <f t="shared" ca="1" si="124"/>
        <v>#N/A</v>
      </c>
      <c r="AE131" s="3" t="e">
        <f t="shared" ca="1" si="125"/>
        <v>#N/A</v>
      </c>
      <c r="AF131" s="3" t="e">
        <f t="shared" ca="1" si="125"/>
        <v>#N/A</v>
      </c>
      <c r="AG131" s="3" t="e">
        <f t="shared" ca="1" si="125"/>
        <v>#N/A</v>
      </c>
      <c r="AH131" s="3" t="e">
        <f t="shared" ca="1" si="125"/>
        <v>#N/A</v>
      </c>
      <c r="AJ131" s="3" t="e">
        <f t="shared" ca="1" si="126"/>
        <v>#N/A</v>
      </c>
      <c r="AK131" s="3" t="e">
        <f t="shared" ca="1" si="126"/>
        <v>#N/A</v>
      </c>
      <c r="AL131" s="3" t="e">
        <f t="shared" ca="1" si="126"/>
        <v>#N/A</v>
      </c>
      <c r="AM131" s="3" t="e">
        <f t="shared" ca="1" si="126"/>
        <v>#N/A</v>
      </c>
      <c r="AO131" s="3" t="e">
        <f t="shared" ca="1" si="127"/>
        <v>#N/A</v>
      </c>
      <c r="AP131" s="3" t="e">
        <f t="shared" ca="1" si="127"/>
        <v>#N/A</v>
      </c>
      <c r="AQ131" s="3" t="e">
        <f t="shared" ca="1" si="127"/>
        <v>#N/A</v>
      </c>
      <c r="AR131" s="3" t="e">
        <f t="shared" ca="1" si="127"/>
        <v>#N/A</v>
      </c>
      <c r="AT131" s="5">
        <v>0.19699999690055847</v>
      </c>
      <c r="AU131" s="11" t="e">
        <v>#N/A</v>
      </c>
      <c r="AV131" s="11" t="e">
        <v>#N/A</v>
      </c>
      <c r="AW131" s="11" t="e">
        <v>#N/A</v>
      </c>
      <c r="AY131" s="3" t="e">
        <f t="shared" ca="1" si="128"/>
        <v>#N/A</v>
      </c>
      <c r="AZ131" s="3" t="e">
        <f t="shared" ca="1" si="129"/>
        <v>#N/A</v>
      </c>
      <c r="BA131" s="3" t="e">
        <f t="shared" ca="1" si="130"/>
        <v>#N/A</v>
      </c>
      <c r="BB131" s="3" t="e">
        <f t="shared" ca="1" si="131"/>
        <v>#N/A</v>
      </c>
      <c r="BD131" s="3" t="e">
        <f t="shared" ca="1" si="132"/>
        <v>#N/A</v>
      </c>
      <c r="BE131" s="3" t="e">
        <f t="shared" ca="1" si="133"/>
        <v>#N/A</v>
      </c>
      <c r="BF131" s="3" t="e">
        <f t="shared" ca="1" si="134"/>
        <v>#N/A</v>
      </c>
      <c r="BG131" s="3" t="e">
        <f t="shared" ca="1" si="135"/>
        <v>#N/A</v>
      </c>
      <c r="BI131" s="3" t="e">
        <f t="shared" ca="1" si="136"/>
        <v>#N/A</v>
      </c>
      <c r="BJ131" s="3" t="e">
        <f t="shared" ca="1" si="137"/>
        <v>#N/A</v>
      </c>
      <c r="BK131" s="3" t="e">
        <f t="shared" ca="1" si="138"/>
        <v>#N/A</v>
      </c>
      <c r="BL131" s="3" t="e">
        <f t="shared" ca="1" si="139"/>
        <v>#N/A</v>
      </c>
      <c r="BN131" s="3" t="e">
        <f t="shared" ca="1" si="140"/>
        <v>#N/A</v>
      </c>
      <c r="BO131" s="3" t="e">
        <f t="shared" ca="1" si="141"/>
        <v>#N/A</v>
      </c>
      <c r="BP131" s="3" t="e">
        <f t="shared" ca="1" si="142"/>
        <v>#N/A</v>
      </c>
      <c r="BQ131" s="3" t="e">
        <f t="shared" ca="1" si="143"/>
        <v>#N/A</v>
      </c>
      <c r="BS131" s="5">
        <v>1.1130000352859497</v>
      </c>
      <c r="BT131" s="11" t="e">
        <v>#N/A</v>
      </c>
      <c r="BU131" s="11" t="e">
        <v>#N/A</v>
      </c>
      <c r="BV131" s="11" t="e">
        <v>#N/A</v>
      </c>
      <c r="BX131" s="3" t="e">
        <f t="shared" ca="1" si="144"/>
        <v>#N/A</v>
      </c>
      <c r="BY131" s="3" t="e">
        <f t="shared" ca="1" si="145"/>
        <v>#N/A</v>
      </c>
      <c r="BZ131" s="3" t="e">
        <f t="shared" ca="1" si="146"/>
        <v>#N/A</v>
      </c>
      <c r="CA131" s="3" t="e">
        <f t="shared" ca="1" si="147"/>
        <v>#N/A</v>
      </c>
      <c r="CC131" s="3" t="e">
        <f t="shared" ca="1" si="148"/>
        <v>#N/A</v>
      </c>
      <c r="CD131" s="3" t="e">
        <f t="shared" ca="1" si="149"/>
        <v>#N/A</v>
      </c>
      <c r="CE131" s="3" t="e">
        <f t="shared" ca="1" si="150"/>
        <v>#N/A</v>
      </c>
      <c r="CF131" s="3" t="e">
        <f t="shared" ca="1" si="151"/>
        <v>#N/A</v>
      </c>
      <c r="CH131" s="3" t="e">
        <f t="shared" ca="1" si="152"/>
        <v>#N/A</v>
      </c>
      <c r="CI131" s="3" t="e">
        <f t="shared" ca="1" si="153"/>
        <v>#N/A</v>
      </c>
      <c r="CJ131" s="3" t="e">
        <f t="shared" ca="1" si="154"/>
        <v>#N/A</v>
      </c>
      <c r="CK131" s="3" t="e">
        <f t="shared" ca="1" si="155"/>
        <v>#N/A</v>
      </c>
      <c r="CM131" s="3" t="e">
        <f t="shared" ca="1" si="156"/>
        <v>#N/A</v>
      </c>
      <c r="CN131" s="3" t="e">
        <f t="shared" ca="1" si="157"/>
        <v>#N/A</v>
      </c>
      <c r="CO131" s="3" t="e">
        <f t="shared" ca="1" si="158"/>
        <v>#N/A</v>
      </c>
      <c r="CP131" s="3" t="e">
        <f t="shared" ca="1" si="159"/>
        <v>#N/A</v>
      </c>
      <c r="CR131" s="5">
        <v>4.0289999999999999</v>
      </c>
      <c r="CS131" s="11" t="e">
        <v>#N/A</v>
      </c>
      <c r="CT131" s="11" t="e">
        <v>#N/A</v>
      </c>
      <c r="CU131" s="11" t="e">
        <v>#N/A</v>
      </c>
      <c r="CV131" s="21" t="e">
        <f t="shared" ca="1" si="120"/>
        <v>#N/A</v>
      </c>
      <c r="CW131" s="16">
        <f t="shared" ca="1" si="119"/>
        <v>7</v>
      </c>
    </row>
    <row r="132" spans="1:101" s="5" customFormat="1" x14ac:dyDescent="0.35">
      <c r="A132" s="4" t="s">
        <v>95</v>
      </c>
      <c r="B132" s="4">
        <v>7.25</v>
      </c>
      <c r="C132" s="4" t="s">
        <v>168</v>
      </c>
      <c r="D132" s="4" t="s">
        <v>404</v>
      </c>
      <c r="E132" s="3"/>
      <c r="F132" s="5" t="e">
        <v>#N/A</v>
      </c>
      <c r="G132" s="11" t="e">
        <v>#N/A</v>
      </c>
      <c r="H132" s="11" t="e">
        <v>#N/A</v>
      </c>
      <c r="I132" s="5" t="e">
        <v>#N/A</v>
      </c>
      <c r="K132" s="3" t="e">
        <f t="shared" ref="K132:N168" ca="1" si="160">INDIRECT("'Data_Netteyage'!" &amp; LEFT(ADDRESS(1,COLUMN(),4),LEN(ADDRESS(1,COLUMN(),4))-1) &amp; ROW())/F132</f>
        <v>#N/A</v>
      </c>
      <c r="L132" s="3" t="e">
        <f t="shared" ca="1" si="160"/>
        <v>#N/A</v>
      </c>
      <c r="M132" s="3" t="e">
        <f t="shared" ca="1" si="160"/>
        <v>#N/A</v>
      </c>
      <c r="N132" s="3" t="e">
        <f t="shared" ca="1" si="160"/>
        <v>#N/A</v>
      </c>
      <c r="P132" s="3" t="e">
        <f t="shared" ref="P132:S168" ca="1" si="161">INDIRECT("'Data_Netteyage'!" &amp; LEFT(ADDRESS(1,COLUMN(),4),LEN(ADDRESS(1,COLUMN(),4))-1) &amp; ROW())/F132</f>
        <v>#N/A</v>
      </c>
      <c r="Q132" s="3" t="e">
        <f t="shared" ca="1" si="161"/>
        <v>#N/A</v>
      </c>
      <c r="R132" s="3" t="e">
        <f t="shared" ca="1" si="161"/>
        <v>#N/A</v>
      </c>
      <c r="S132" s="3" t="e">
        <f t="shared" ca="1" si="161"/>
        <v>#N/A</v>
      </c>
      <c r="U132" s="3" t="e">
        <f t="shared" ref="U132:X168" ca="1" si="162">INDIRECT("'Data_Netteyage'!" &amp; LEFT(ADDRESS(1,COLUMN(),4),LEN(ADDRESS(1,COLUMN(),4))-1) &amp; ROW())/F132</f>
        <v>#N/A</v>
      </c>
      <c r="V132" s="3" t="e">
        <f t="shared" ca="1" si="162"/>
        <v>#N/A</v>
      </c>
      <c r="W132" s="3" t="e">
        <f t="shared" ca="1" si="162"/>
        <v>#N/A</v>
      </c>
      <c r="X132" s="3" t="e">
        <f t="shared" ca="1" si="162"/>
        <v>#N/A</v>
      </c>
      <c r="Z132" s="3" t="e">
        <f t="shared" ref="Z132:AC168" ca="1" si="163">INDIRECT("'Data_Netteyage'!" &amp; LEFT(ADDRESS(1,COLUMN(),4),LEN(ADDRESS(1,COLUMN(),4))-1) &amp; ROW())/F132</f>
        <v>#N/A</v>
      </c>
      <c r="AA132" s="3" t="e">
        <f t="shared" ca="1" si="163"/>
        <v>#N/A</v>
      </c>
      <c r="AB132" s="3" t="e">
        <f t="shared" ca="1" si="163"/>
        <v>#N/A</v>
      </c>
      <c r="AC132" s="3" t="e">
        <f t="shared" ca="1" si="163"/>
        <v>#N/A</v>
      </c>
      <c r="AE132" s="3" t="e">
        <f t="shared" ref="AE132:AH168" ca="1" si="164">INDIRECT("'Data_Netteyage'!" &amp; LEFT(ADDRESS(1,COLUMN(),4),LEN(ADDRESS(1,COLUMN(),4))-1) &amp; ROW())/F132</f>
        <v>#N/A</v>
      </c>
      <c r="AF132" s="3" t="e">
        <f t="shared" ca="1" si="164"/>
        <v>#N/A</v>
      </c>
      <c r="AG132" s="3" t="e">
        <f t="shared" ca="1" si="164"/>
        <v>#N/A</v>
      </c>
      <c r="AH132" s="3" t="e">
        <f t="shared" ca="1" si="164"/>
        <v>#N/A</v>
      </c>
      <c r="AJ132" s="3" t="e">
        <f t="shared" ref="AJ132:AM168" ca="1" si="165">INDIRECT("'Data_Netteyage'!" &amp; LEFT(ADDRESS(1,COLUMN(),4),LEN(ADDRESS(1,COLUMN(),4))-1) &amp; ROW())/F132</f>
        <v>#N/A</v>
      </c>
      <c r="AK132" s="3" t="e">
        <f t="shared" ca="1" si="165"/>
        <v>#N/A</v>
      </c>
      <c r="AL132" s="3" t="e">
        <f t="shared" ca="1" si="165"/>
        <v>#N/A</v>
      </c>
      <c r="AM132" s="3" t="e">
        <f t="shared" ca="1" si="165"/>
        <v>#N/A</v>
      </c>
      <c r="AO132" s="3" t="e">
        <f t="shared" ref="AO132:AR168" ca="1" si="166">INDIRECT("'Data_Netteyage'!" &amp; LEFT(ADDRESS(1,COLUMN(),4),LEN(ADDRESS(1,COLUMN(),4))-1) &amp; ROW())/F132</f>
        <v>#N/A</v>
      </c>
      <c r="AP132" s="3" t="e">
        <f t="shared" ca="1" si="166"/>
        <v>#N/A</v>
      </c>
      <c r="AQ132" s="3" t="e">
        <f t="shared" ca="1" si="166"/>
        <v>#N/A</v>
      </c>
      <c r="AR132" s="3" t="e">
        <f t="shared" ca="1" si="166"/>
        <v>#N/A</v>
      </c>
      <c r="AT132" s="11" t="e">
        <v>#N/A</v>
      </c>
      <c r="AU132" s="11" t="e">
        <v>#N/A</v>
      </c>
      <c r="AV132" s="11" t="e">
        <v>#N/A</v>
      </c>
      <c r="AW132" s="5">
        <v>2.0190000534057617</v>
      </c>
      <c r="AY132" s="3" t="e">
        <f t="shared" ref="AY132:AY168" ca="1" si="167">INDIRECT("'Data_Netteyage'!" &amp; LEFT(ADDRESS(1,COLUMN(),4),LEN(ADDRESS(1,COLUMN(),4))-1) &amp; ROW())/F132</f>
        <v>#N/A</v>
      </c>
      <c r="AZ132" s="3" t="e">
        <f t="shared" ref="AZ132:AZ168" ca="1" si="168">INDIRECT("'Data_Netteyage'!" &amp; LEFT(ADDRESS(1,COLUMN(),4),LEN(ADDRESS(1,COLUMN(),4))-1) &amp; ROW())/G132</f>
        <v>#N/A</v>
      </c>
      <c r="BA132" s="3" t="e">
        <f t="shared" ref="BA132:BA168" ca="1" si="169">INDIRECT("'Data_Netteyage'!" &amp; LEFT(ADDRESS(1,COLUMN(),4),LEN(ADDRESS(1,COLUMN(),4))-1) &amp; ROW())/H132</f>
        <v>#N/A</v>
      </c>
      <c r="BB132" s="3" t="e">
        <f t="shared" ref="BB132:BB168" ca="1" si="170">INDIRECT("'Data_Netteyage'!" &amp; LEFT(ADDRESS(1,COLUMN(),4),LEN(ADDRESS(1,COLUMN(),4))-1) &amp; ROW())/I132</f>
        <v>#N/A</v>
      </c>
      <c r="BD132" s="3" t="e">
        <f t="shared" ref="BD132:BD168" ca="1" si="171">INDIRECT("'Data_Netteyage'!" &amp; LEFT(ADDRESS(1,COLUMN(),4),LEN(ADDRESS(1,COLUMN(),4))-1) &amp; ROW())/F132</f>
        <v>#N/A</v>
      </c>
      <c r="BE132" s="3" t="e">
        <f t="shared" ref="BE132:BE168" ca="1" si="172">INDIRECT("'Data_Netteyage'!" &amp; LEFT(ADDRESS(1,COLUMN(),4),LEN(ADDRESS(1,COLUMN(),4))-1) &amp; ROW())/G132</f>
        <v>#N/A</v>
      </c>
      <c r="BF132" s="3" t="e">
        <f t="shared" ref="BF132:BF168" ca="1" si="173">INDIRECT("'Data_Netteyage'!" &amp; LEFT(ADDRESS(1,COLUMN(),4),LEN(ADDRESS(1,COLUMN(),4))-1) &amp; ROW())/H132</f>
        <v>#N/A</v>
      </c>
      <c r="BG132" s="3" t="e">
        <f t="shared" ref="BG132:BG168" ca="1" si="174">INDIRECT("'Data_Netteyage'!" &amp; LEFT(ADDRESS(1,COLUMN(),4),LEN(ADDRESS(1,COLUMN(),4))-1) &amp; ROW())/I132</f>
        <v>#N/A</v>
      </c>
      <c r="BI132" s="3" t="e">
        <f t="shared" ref="BI132:BI168" ca="1" si="175">INDIRECT("'Data_Netteyage'!" &amp; LEFT(ADDRESS(1,COLUMN(),4),LEN(ADDRESS(1,COLUMN(),4))-1) &amp; ROW())/F132</f>
        <v>#N/A</v>
      </c>
      <c r="BJ132" s="3" t="e">
        <f t="shared" ref="BJ132:BJ168" ca="1" si="176">INDIRECT("'Data_Netteyage'!" &amp; LEFT(ADDRESS(1,COLUMN(),4),LEN(ADDRESS(1,COLUMN(),4))-1) &amp; ROW())/G132</f>
        <v>#N/A</v>
      </c>
      <c r="BK132" s="3" t="e">
        <f t="shared" ref="BK132:BK168" ca="1" si="177">INDIRECT("'Data_Netteyage'!" &amp; LEFT(ADDRESS(1,COLUMN(),4),LEN(ADDRESS(1,COLUMN(),4))-1) &amp; ROW())/H132</f>
        <v>#N/A</v>
      </c>
      <c r="BL132" s="3" t="e">
        <f t="shared" ref="BL132:BL168" ca="1" si="178">INDIRECT("'Data_Netteyage'!" &amp; LEFT(ADDRESS(1,COLUMN(),4),LEN(ADDRESS(1,COLUMN(),4))-1) &amp; ROW())/I132</f>
        <v>#N/A</v>
      </c>
      <c r="BN132" s="3" t="e">
        <f t="shared" ref="BN132:BN168" ca="1" si="179">INDIRECT("'Data_Netteyage'!" &amp; LEFT(ADDRESS(1,COLUMN(),4),LEN(ADDRESS(1,COLUMN(),4))-1) &amp; ROW())/F132</f>
        <v>#N/A</v>
      </c>
      <c r="BO132" s="3" t="e">
        <f t="shared" ref="BO132:BO168" ca="1" si="180">INDIRECT("'Data_Netteyage'!" &amp; LEFT(ADDRESS(1,COLUMN(),4),LEN(ADDRESS(1,COLUMN(),4))-1) &amp; ROW())/G132</f>
        <v>#N/A</v>
      </c>
      <c r="BP132" s="3" t="e">
        <f t="shared" ref="BP132:BP168" ca="1" si="181">INDIRECT("'Data_Netteyage'!" &amp; LEFT(ADDRESS(1,COLUMN(),4),LEN(ADDRESS(1,COLUMN(),4))-1) &amp; ROW())/H132</f>
        <v>#N/A</v>
      </c>
      <c r="BQ132" s="3" t="e">
        <f t="shared" ref="BQ132:BQ168" ca="1" si="182">INDIRECT("'Data_Netteyage'!" &amp; LEFT(ADDRESS(1,COLUMN(),4),LEN(ADDRESS(1,COLUMN(),4))-1) &amp; ROW())/I132</f>
        <v>#N/A</v>
      </c>
      <c r="BS132" s="11" t="e">
        <v>#N/A</v>
      </c>
      <c r="BT132" s="11" t="e">
        <v>#N/A</v>
      </c>
      <c r="BU132" s="11" t="e">
        <v>#N/A</v>
      </c>
      <c r="BV132" s="5">
        <v>3.7679998874664307</v>
      </c>
      <c r="BX132" s="3" t="e">
        <f t="shared" ref="BX132:BX168" ca="1" si="183">INDIRECT("'Data_Netteyage'!" &amp; LEFT(ADDRESS(1,COLUMN(),4),LEN(ADDRESS(1,COLUMN(),4))-1) &amp; ROW())/F132</f>
        <v>#N/A</v>
      </c>
      <c r="BY132" s="3" t="e">
        <f t="shared" ref="BY132:BY168" ca="1" si="184">INDIRECT("'Data_Netteyage'!" &amp; LEFT(ADDRESS(1,COLUMN(),4),LEN(ADDRESS(1,COLUMN(),4))-1) &amp; ROW())/G132</f>
        <v>#N/A</v>
      </c>
      <c r="BZ132" s="3" t="e">
        <f t="shared" ref="BZ132:BZ168" ca="1" si="185">INDIRECT("'Data_Netteyage'!" &amp; LEFT(ADDRESS(1,COLUMN(),4),LEN(ADDRESS(1,COLUMN(),4))-1) &amp; ROW())/H132</f>
        <v>#N/A</v>
      </c>
      <c r="CA132" s="3" t="e">
        <f t="shared" ref="CA132:CA168" ca="1" si="186">INDIRECT("'Data_Netteyage'!" &amp; LEFT(ADDRESS(1,COLUMN(),4),LEN(ADDRESS(1,COLUMN(),4))-1) &amp; ROW())/I132</f>
        <v>#N/A</v>
      </c>
      <c r="CC132" s="3" t="e">
        <f t="shared" ref="CC132:CC168" ca="1" si="187">INDIRECT("'Data_Netteyage'!" &amp; LEFT(ADDRESS(1,COLUMN(),4),LEN(ADDRESS(1,COLUMN(),4))-1) &amp; ROW())/F132</f>
        <v>#N/A</v>
      </c>
      <c r="CD132" s="3" t="e">
        <f t="shared" ref="CD132:CD168" ca="1" si="188">INDIRECT("'Data_Netteyage'!" &amp; LEFT(ADDRESS(1,COLUMN(),4),LEN(ADDRESS(1,COLUMN(),4))-1) &amp; ROW())/G132</f>
        <v>#N/A</v>
      </c>
      <c r="CE132" s="3" t="e">
        <f t="shared" ref="CE132:CE168" ca="1" si="189">INDIRECT("'Data_Netteyage'!" &amp; LEFT(ADDRESS(1,COLUMN(),4),LEN(ADDRESS(1,COLUMN(),4))-1) &amp; ROW())/H132</f>
        <v>#N/A</v>
      </c>
      <c r="CF132" s="3" t="e">
        <f t="shared" ref="CF132:CF168" ca="1" si="190">INDIRECT("'Data_Netteyage'!" &amp; LEFT(ADDRESS(1,COLUMN(),4),LEN(ADDRESS(1,COLUMN(),4))-1) &amp; ROW())/I132</f>
        <v>#N/A</v>
      </c>
      <c r="CH132" s="3" t="e">
        <f t="shared" ref="CH132:CH168" ca="1" si="191">INDIRECT("'Data_Netteyage'!" &amp; LEFT(ADDRESS(1,COLUMN(),4),LEN(ADDRESS(1,COLUMN(),4))-1) &amp; ROW())/F132</f>
        <v>#N/A</v>
      </c>
      <c r="CI132" s="3" t="e">
        <f t="shared" ref="CI132:CI168" ca="1" si="192">INDIRECT("'Data_Netteyage'!" &amp; LEFT(ADDRESS(1,COLUMN(),4),LEN(ADDRESS(1,COLUMN(),4))-1) &amp; ROW())/G132</f>
        <v>#N/A</v>
      </c>
      <c r="CJ132" s="3" t="e">
        <f t="shared" ref="CJ132:CJ168" ca="1" si="193">INDIRECT("'Data_Netteyage'!" &amp; LEFT(ADDRESS(1,COLUMN(),4),LEN(ADDRESS(1,COLUMN(),4))-1) &amp; ROW())/H132</f>
        <v>#N/A</v>
      </c>
      <c r="CK132" s="3" t="e">
        <f t="shared" ref="CK132:CK168" ca="1" si="194">INDIRECT("'Data_Netteyage'!" &amp; LEFT(ADDRESS(1,COLUMN(),4),LEN(ADDRESS(1,COLUMN(),4))-1) &amp; ROW())/I132</f>
        <v>#N/A</v>
      </c>
      <c r="CM132" s="3" t="e">
        <f t="shared" ref="CM132:CM168" ca="1" si="195">INDIRECT("'Data_Netteyage'!" &amp; LEFT(ADDRESS(1,COLUMN(),4),LEN(ADDRESS(1,COLUMN(),4))-1) &amp; ROW())/F132</f>
        <v>#N/A</v>
      </c>
      <c r="CN132" s="3" t="e">
        <f t="shared" ref="CN132:CN168" ca="1" si="196">INDIRECT("'Data_Netteyage'!" &amp; LEFT(ADDRESS(1,COLUMN(),4),LEN(ADDRESS(1,COLUMN(),4))-1) &amp; ROW())/G132</f>
        <v>#N/A</v>
      </c>
      <c r="CO132" s="3" t="e">
        <f t="shared" ref="CO132:CO168" ca="1" si="197">INDIRECT("'Data_Netteyage'!" &amp; LEFT(ADDRESS(1,COLUMN(),4),LEN(ADDRESS(1,COLUMN(),4))-1) &amp; ROW())/H132</f>
        <v>#N/A</v>
      </c>
      <c r="CP132" s="3" t="e">
        <f t="shared" ref="CP132:CP168" ca="1" si="198">INDIRECT("'Data_Netteyage'!" &amp; LEFT(ADDRESS(1,COLUMN(),4),LEN(ADDRESS(1,COLUMN(),4))-1) &amp; ROW())/I132</f>
        <v>#N/A</v>
      </c>
      <c r="CR132" s="11" t="e">
        <v>#N/A</v>
      </c>
      <c r="CS132" s="11" t="e">
        <v>#N/A</v>
      </c>
      <c r="CT132" s="11" t="e">
        <v>#N/A</v>
      </c>
      <c r="CU132" s="5">
        <v>3.6019999980926514</v>
      </c>
      <c r="CV132" s="21">
        <f t="shared" ca="1" si="120"/>
        <v>3.6019999980926514</v>
      </c>
      <c r="CW132" s="16">
        <f t="shared" ca="1" si="119"/>
        <v>7.25</v>
      </c>
    </row>
    <row r="133" spans="1:101" s="5" customFormat="1" x14ac:dyDescent="0.35">
      <c r="A133" s="4" t="s">
        <v>97</v>
      </c>
      <c r="B133" s="4">
        <v>7.25</v>
      </c>
      <c r="C133" s="4" t="s">
        <v>168</v>
      </c>
      <c r="D133" s="4" t="s">
        <v>404</v>
      </c>
      <c r="E133" s="3"/>
      <c r="F133" s="11" t="e">
        <v>#N/A</v>
      </c>
      <c r="G133" s="5" t="e">
        <v>#N/A</v>
      </c>
      <c r="H133" s="5">
        <v>3.0319999999999996</v>
      </c>
      <c r="I133" s="5" t="e">
        <v>#N/A</v>
      </c>
      <c r="K133" s="3" t="e">
        <f t="shared" ca="1" si="160"/>
        <v>#N/A</v>
      </c>
      <c r="L133" s="3" t="e">
        <f t="shared" ca="1" si="160"/>
        <v>#N/A</v>
      </c>
      <c r="M133" s="3">
        <f t="shared" ca="1" si="160"/>
        <v>0.99472295514511888</v>
      </c>
      <c r="N133" s="3" t="e">
        <f t="shared" ca="1" si="160"/>
        <v>#N/A</v>
      </c>
      <c r="P133" s="3" t="e">
        <f t="shared" ca="1" si="161"/>
        <v>#N/A</v>
      </c>
      <c r="Q133" s="3" t="e">
        <f t="shared" ca="1" si="161"/>
        <v>#N/A</v>
      </c>
      <c r="R133" s="3">
        <f t="shared" ca="1" si="161"/>
        <v>0.96141159691722555</v>
      </c>
      <c r="S133" s="3" t="e">
        <f t="shared" ca="1" si="161"/>
        <v>#N/A</v>
      </c>
      <c r="U133" s="3" t="e">
        <f t="shared" ca="1" si="162"/>
        <v>#N/A</v>
      </c>
      <c r="V133" s="3" t="e">
        <f t="shared" ca="1" si="162"/>
        <v>#N/A</v>
      </c>
      <c r="W133" s="3">
        <f t="shared" ca="1" si="162"/>
        <v>1.3192612137203168</v>
      </c>
      <c r="X133" s="3" t="e">
        <f t="shared" ca="1" si="162"/>
        <v>#N/A</v>
      </c>
      <c r="Z133" s="3" t="e">
        <f t="shared" ca="1" si="163"/>
        <v>#N/A</v>
      </c>
      <c r="AA133" s="3" t="e">
        <f t="shared" ca="1" si="163"/>
        <v>#N/A</v>
      </c>
      <c r="AB133" s="3">
        <f t="shared" ca="1" si="163"/>
        <v>0.97823218997361494</v>
      </c>
      <c r="AC133" s="3" t="e">
        <f t="shared" ca="1" si="163"/>
        <v>#N/A</v>
      </c>
      <c r="AE133" s="3" t="e">
        <f t="shared" ca="1" si="164"/>
        <v>#N/A</v>
      </c>
      <c r="AF133" s="3" t="e">
        <f t="shared" ca="1" si="164"/>
        <v>#N/A</v>
      </c>
      <c r="AG133" s="3">
        <f t="shared" ca="1" si="164"/>
        <v>0.96141159691722555</v>
      </c>
      <c r="AH133" s="3" t="e">
        <f t="shared" ca="1" si="164"/>
        <v>#N/A</v>
      </c>
      <c r="AJ133" s="3" t="e">
        <f t="shared" ca="1" si="165"/>
        <v>#N/A</v>
      </c>
      <c r="AK133" s="3" t="e">
        <f t="shared" ca="1" si="165"/>
        <v>#N/A</v>
      </c>
      <c r="AL133" s="3">
        <f t="shared" ca="1" si="165"/>
        <v>1.3192612137203168</v>
      </c>
      <c r="AM133" s="3" t="e">
        <f t="shared" ca="1" si="165"/>
        <v>#N/A</v>
      </c>
      <c r="AO133" s="3" t="e">
        <f t="shared" ca="1" si="166"/>
        <v>#N/A</v>
      </c>
      <c r="AP133" s="3" t="e">
        <f t="shared" ca="1" si="166"/>
        <v>#N/A</v>
      </c>
      <c r="AQ133" s="3">
        <f t="shared" ca="1" si="166"/>
        <v>0.3298153034300792</v>
      </c>
      <c r="AR133" s="3" t="e">
        <f t="shared" ca="1" si="166"/>
        <v>#N/A</v>
      </c>
      <c r="AT133" s="11" t="e">
        <v>#N/A</v>
      </c>
      <c r="AU133" s="11" t="e">
        <v>#N/A</v>
      </c>
      <c r="AV133" s="5">
        <v>1.0279999971389771</v>
      </c>
      <c r="AW133" s="11" t="e">
        <v>#N/A</v>
      </c>
      <c r="AY133" s="3" t="e">
        <f t="shared" ca="1" si="167"/>
        <v>#N/A</v>
      </c>
      <c r="AZ133" s="3" t="e">
        <f t="shared" ca="1" si="168"/>
        <v>#N/A</v>
      </c>
      <c r="BA133" s="3">
        <f t="shared" ca="1" si="169"/>
        <v>0.54419525065963081</v>
      </c>
      <c r="BB133" s="3" t="e">
        <f t="shared" ca="1" si="170"/>
        <v>#N/A</v>
      </c>
      <c r="BD133" s="3" t="e">
        <f t="shared" ca="1" si="171"/>
        <v>#N/A</v>
      </c>
      <c r="BE133" s="3" t="e">
        <f t="shared" ca="1" si="172"/>
        <v>#N/A</v>
      </c>
      <c r="BF133" s="3">
        <f t="shared" ca="1" si="173"/>
        <v>0.56596308710707222</v>
      </c>
      <c r="BG133" s="3" t="e">
        <f t="shared" ca="1" si="174"/>
        <v>#N/A</v>
      </c>
      <c r="BI133" s="3" t="e">
        <f t="shared" ca="1" si="175"/>
        <v>#N/A</v>
      </c>
      <c r="BJ133" s="3" t="e">
        <f t="shared" ca="1" si="176"/>
        <v>#N/A</v>
      </c>
      <c r="BK133" s="3">
        <f t="shared" ca="1" si="177"/>
        <v>0.6596306068601584</v>
      </c>
      <c r="BL133" s="3" t="e">
        <f t="shared" ca="1" si="178"/>
        <v>#N/A</v>
      </c>
      <c r="BN133" s="3" t="e">
        <f t="shared" ca="1" si="179"/>
        <v>#N/A</v>
      </c>
      <c r="BO133" s="3" t="e">
        <f t="shared" ca="1" si="180"/>
        <v>#N/A</v>
      </c>
      <c r="BP133" s="3">
        <f t="shared" ca="1" si="181"/>
        <v>0.3298153034300792</v>
      </c>
      <c r="BQ133" s="3" t="e">
        <f t="shared" ca="1" si="182"/>
        <v>#N/A</v>
      </c>
      <c r="BS133" s="11" t="e">
        <v>#N/A</v>
      </c>
      <c r="BT133" s="11" t="e">
        <v>#N/A</v>
      </c>
      <c r="BU133" s="5">
        <v>2.2609999179840088</v>
      </c>
      <c r="BV133" s="11" t="e">
        <v>#N/A</v>
      </c>
      <c r="BX133" s="3" t="e">
        <f t="shared" ca="1" si="183"/>
        <v>#N/A</v>
      </c>
      <c r="BY133" s="3" t="e">
        <f t="shared" ca="1" si="184"/>
        <v>#N/A</v>
      </c>
      <c r="BZ133" s="3">
        <f t="shared" ca="1" si="185"/>
        <v>0</v>
      </c>
      <c r="CA133" s="3" t="e">
        <f t="shared" ca="1" si="186"/>
        <v>#N/A</v>
      </c>
      <c r="CC133" s="3" t="e">
        <f t="shared" ca="1" si="187"/>
        <v>#N/A</v>
      </c>
      <c r="CD133" s="3" t="e">
        <f t="shared" ca="1" si="188"/>
        <v>#N/A</v>
      </c>
      <c r="CE133" s="3">
        <f t="shared" ca="1" si="189"/>
        <v>0</v>
      </c>
      <c r="CF133" s="3" t="e">
        <f t="shared" ca="1" si="190"/>
        <v>#N/A</v>
      </c>
      <c r="CH133" s="3" t="e">
        <f t="shared" ca="1" si="191"/>
        <v>#N/A</v>
      </c>
      <c r="CI133" s="3" t="e">
        <f t="shared" ca="1" si="192"/>
        <v>#N/A</v>
      </c>
      <c r="CJ133" s="3">
        <f t="shared" ca="1" si="193"/>
        <v>0</v>
      </c>
      <c r="CK133" s="3" t="e">
        <f t="shared" ca="1" si="194"/>
        <v>#N/A</v>
      </c>
      <c r="CM133" s="3" t="e">
        <f t="shared" ca="1" si="195"/>
        <v>#N/A</v>
      </c>
      <c r="CN133" s="3" t="e">
        <f t="shared" ca="1" si="196"/>
        <v>#N/A</v>
      </c>
      <c r="CO133" s="3">
        <f t="shared" ca="1" si="197"/>
        <v>0</v>
      </c>
      <c r="CP133" s="3" t="e">
        <f t="shared" ca="1" si="198"/>
        <v>#N/A</v>
      </c>
      <c r="CR133" s="11" t="e">
        <v>#N/A</v>
      </c>
      <c r="CS133" s="11" t="e">
        <v>#N/A</v>
      </c>
      <c r="CT133" s="5">
        <v>4.01</v>
      </c>
      <c r="CU133" s="11" t="e">
        <v>#N/A</v>
      </c>
      <c r="CV133" s="21" t="e">
        <f t="shared" ca="1" si="120"/>
        <v>#N/A</v>
      </c>
      <c r="CW133" s="16">
        <f t="shared" ref="CW133:CW168" ca="1" si="199">INDIRECT("Graphique_interactif_Param"&amp;"!B"&amp;ROW())</f>
        <v>7.25</v>
      </c>
    </row>
    <row r="134" spans="1:101" s="5" customFormat="1" x14ac:dyDescent="0.35">
      <c r="A134" s="4" t="s">
        <v>126</v>
      </c>
      <c r="B134" s="4">
        <v>7.25</v>
      </c>
      <c r="C134" s="4" t="s">
        <v>168</v>
      </c>
      <c r="D134" s="4" t="s">
        <v>404</v>
      </c>
      <c r="E134" s="3"/>
      <c r="F134" s="5" t="e">
        <v>#N/A</v>
      </c>
      <c r="G134" s="5">
        <v>4.016</v>
      </c>
      <c r="H134" s="5">
        <v>4.0259999999999998</v>
      </c>
      <c r="I134" s="5">
        <v>4.01</v>
      </c>
      <c r="K134" s="3" t="e">
        <f t="shared" ca="1" si="160"/>
        <v>#N/A</v>
      </c>
      <c r="L134" s="3">
        <f t="shared" ca="1" si="160"/>
        <v>0.85881474103585675</v>
      </c>
      <c r="M134" s="3">
        <f t="shared" ca="1" si="160"/>
        <v>0.99751614505712871</v>
      </c>
      <c r="N134" s="3">
        <f t="shared" ca="1" si="160"/>
        <v>0.89750623441396515</v>
      </c>
      <c r="P134" s="3" t="e">
        <f t="shared" ca="1" si="161"/>
        <v>#N/A</v>
      </c>
      <c r="Q134" s="3">
        <f t="shared" ca="1" si="161"/>
        <v>0.97061750165741534</v>
      </c>
      <c r="R134" s="3">
        <f t="shared" ca="1" si="161"/>
        <v>0.71584704617511208</v>
      </c>
      <c r="S134" s="3">
        <f t="shared" ca="1" si="161"/>
        <v>0.73541143439951684</v>
      </c>
      <c r="U134" s="3" t="e">
        <f t="shared" ca="1" si="162"/>
        <v>#N/A</v>
      </c>
      <c r="V134" s="3">
        <f t="shared" ca="1" si="162"/>
        <v>1.7430278884462151</v>
      </c>
      <c r="W134" s="3">
        <f t="shared" ca="1" si="162"/>
        <v>1.4903129657228018</v>
      </c>
      <c r="X134" s="3">
        <f t="shared" ca="1" si="162"/>
        <v>2.4937655860349128</v>
      </c>
      <c r="Z134" s="3" t="e">
        <f t="shared" ca="1" si="163"/>
        <v>#N/A</v>
      </c>
      <c r="AA134" s="3">
        <f t="shared" ca="1" si="163"/>
        <v>0.9957669322709165</v>
      </c>
      <c r="AB134" s="3">
        <f t="shared" ca="1" si="163"/>
        <v>0.81520119225037257</v>
      </c>
      <c r="AC134" s="3">
        <f t="shared" ca="1" si="163"/>
        <v>0.49027431421446388</v>
      </c>
      <c r="AE134" s="3" t="e">
        <f t="shared" ca="1" si="164"/>
        <v>#N/A</v>
      </c>
      <c r="AF134" s="3">
        <f t="shared" ca="1" si="164"/>
        <v>0.97061750165741534</v>
      </c>
      <c r="AG134" s="3">
        <f t="shared" ca="1" si="164"/>
        <v>0.71584704617511208</v>
      </c>
      <c r="AH134" s="3">
        <f t="shared" ca="1" si="164"/>
        <v>0.41970073284948262</v>
      </c>
      <c r="AJ134" s="3" t="e">
        <f t="shared" ca="1" si="165"/>
        <v>#N/A</v>
      </c>
      <c r="AK134" s="3">
        <f t="shared" ca="1" si="165"/>
        <v>1.7430278884462151</v>
      </c>
      <c r="AL134" s="3">
        <f t="shared" ca="1" si="165"/>
        <v>1.4903129657228018</v>
      </c>
      <c r="AM134" s="3">
        <f t="shared" ca="1" si="165"/>
        <v>1.745635910224439</v>
      </c>
      <c r="AO134" s="3" t="e">
        <f t="shared" ca="1" si="166"/>
        <v>#N/A</v>
      </c>
      <c r="AP134" s="3">
        <f t="shared" ca="1" si="166"/>
        <v>0.24900398406374502</v>
      </c>
      <c r="AQ134" s="3">
        <f t="shared" ca="1" si="166"/>
        <v>0.49677098857426727</v>
      </c>
      <c r="AR134" s="3">
        <f t="shared" ca="1" si="166"/>
        <v>1.4962593516209477</v>
      </c>
      <c r="AT134" s="11" t="e">
        <v>#N/A</v>
      </c>
      <c r="AU134" s="5">
        <v>2.0000000949949026E-3</v>
      </c>
      <c r="AV134" s="5">
        <v>0.27700001001358032</v>
      </c>
      <c r="AW134" s="5">
        <v>0.43200001120567322</v>
      </c>
      <c r="AY134" s="3" t="e">
        <f t="shared" ca="1" si="167"/>
        <v>#N/A</v>
      </c>
      <c r="AZ134" s="3">
        <f t="shared" ca="1" si="168"/>
        <v>0</v>
      </c>
      <c r="BA134" s="3">
        <f t="shared" ca="1" si="169"/>
        <v>4.9677098857426716E-2</v>
      </c>
      <c r="BB134" s="3">
        <f t="shared" ca="1" si="170"/>
        <v>8.2294264339151917E-3</v>
      </c>
      <c r="BD134" s="3" t="e">
        <f t="shared" ca="1" si="171"/>
        <v>#N/A</v>
      </c>
      <c r="BE134" s="3">
        <f t="shared" ca="1" si="172"/>
        <v>0</v>
      </c>
      <c r="BF134" s="3">
        <f t="shared" ca="1" si="173"/>
        <v>6.2096373571783409E-2</v>
      </c>
      <c r="BG134" s="3">
        <f t="shared" ca="1" si="174"/>
        <v>0</v>
      </c>
      <c r="BI134" s="3" t="e">
        <f t="shared" ca="1" si="175"/>
        <v>#N/A</v>
      </c>
      <c r="BJ134" s="3">
        <f t="shared" ca="1" si="176"/>
        <v>0</v>
      </c>
      <c r="BK134" s="3">
        <f t="shared" ca="1" si="177"/>
        <v>0.24838549428713363</v>
      </c>
      <c r="BL134" s="3">
        <f t="shared" ca="1" si="178"/>
        <v>0</v>
      </c>
      <c r="BN134" s="3" t="e">
        <f t="shared" ca="1" si="179"/>
        <v>#N/A</v>
      </c>
      <c r="BO134" s="3">
        <f t="shared" ca="1" si="180"/>
        <v>0</v>
      </c>
      <c r="BP134" s="3">
        <f t="shared" ca="1" si="181"/>
        <v>0.24838549428713363</v>
      </c>
      <c r="BQ134" s="3">
        <f t="shared" ca="1" si="182"/>
        <v>0.49875311720698257</v>
      </c>
      <c r="BS134" s="11" t="e">
        <v>#N/A</v>
      </c>
      <c r="BT134" s="5">
        <v>4.016</v>
      </c>
      <c r="BU134" s="5">
        <v>0.27700001001358032</v>
      </c>
      <c r="BV134" s="5">
        <v>4.01</v>
      </c>
      <c r="BX134" s="3" t="e">
        <f t="shared" ca="1" si="183"/>
        <v>#N/A</v>
      </c>
      <c r="BY134" s="3">
        <f t="shared" ca="1" si="184"/>
        <v>0.24875498007968133</v>
      </c>
      <c r="BZ134" s="3">
        <f t="shared" ca="1" si="185"/>
        <v>9.9602583209140561E-2</v>
      </c>
      <c r="CA134" s="3">
        <f t="shared" ca="1" si="186"/>
        <v>8.304239401496262E-2</v>
      </c>
      <c r="CC134" s="3" t="e">
        <f t="shared" ca="1" si="187"/>
        <v>#N/A</v>
      </c>
      <c r="CD134" s="3">
        <f t="shared" ca="1" si="188"/>
        <v>0.37300794485555699</v>
      </c>
      <c r="CE134" s="3">
        <f t="shared" ca="1" si="189"/>
        <v>8.2712385468499558E-2</v>
      </c>
      <c r="CF134" s="3">
        <f t="shared" ca="1" si="190"/>
        <v>0.12892770796939917</v>
      </c>
      <c r="CH134" s="3" t="e">
        <f t="shared" ca="1" si="191"/>
        <v>#N/A</v>
      </c>
      <c r="CI134" s="3">
        <f t="shared" ca="1" si="192"/>
        <v>0.99601593625498008</v>
      </c>
      <c r="CJ134" s="3">
        <f t="shared" ca="1" si="193"/>
        <v>0.24838549428713363</v>
      </c>
      <c r="CK134" s="3">
        <f t="shared" ca="1" si="194"/>
        <v>0.49875311720698257</v>
      </c>
      <c r="CM134" s="3" t="e">
        <f t="shared" ca="1" si="195"/>
        <v>#N/A</v>
      </c>
      <c r="CN134" s="3">
        <f t="shared" ca="1" si="196"/>
        <v>1.9920318725099602</v>
      </c>
      <c r="CO134" s="3">
        <f t="shared" ca="1" si="197"/>
        <v>0.99354197714853454</v>
      </c>
      <c r="CP134" s="3">
        <f t="shared" ca="1" si="198"/>
        <v>1.2468827930174564</v>
      </c>
      <c r="CR134" s="11" t="e">
        <v>#N/A</v>
      </c>
      <c r="CS134" s="5">
        <v>1.3190000057220459</v>
      </c>
      <c r="CT134" s="5">
        <v>1.9759999513626099</v>
      </c>
      <c r="CU134" s="5">
        <v>0.43200001120567322</v>
      </c>
      <c r="CV134" s="21">
        <f t="shared" ref="CV134:CV168" ca="1" si="200">INDIRECT("Graphique_interactif_Param!"&amp;$DG$12 &amp; ROW() )</f>
        <v>0.43200001120567322</v>
      </c>
      <c r="CW134" s="16">
        <f t="shared" ca="1" si="199"/>
        <v>7.25</v>
      </c>
    </row>
    <row r="135" spans="1:101" s="5" customFormat="1" x14ac:dyDescent="0.35">
      <c r="A135" s="4" t="s">
        <v>163</v>
      </c>
      <c r="B135" s="4">
        <v>7.333333333333333</v>
      </c>
      <c r="C135" s="4" t="s">
        <v>168</v>
      </c>
      <c r="D135" s="4" t="s">
        <v>404</v>
      </c>
      <c r="E135" s="3"/>
      <c r="F135" s="5" t="e">
        <v>#N/A</v>
      </c>
      <c r="G135" s="5" t="e">
        <v>#N/A</v>
      </c>
      <c r="H135" s="5">
        <v>3.1019999999999994</v>
      </c>
      <c r="I135" s="11" t="e">
        <v>#N/A</v>
      </c>
      <c r="K135" s="3" t="e">
        <f t="shared" ca="1" si="160"/>
        <v>#N/A</v>
      </c>
      <c r="L135" s="3" t="e">
        <f t="shared" ca="1" si="160"/>
        <v>#N/A</v>
      </c>
      <c r="M135" s="3">
        <f t="shared" ca="1" si="160"/>
        <v>0.9078014184397164</v>
      </c>
      <c r="N135" s="3" t="e">
        <f t="shared" ca="1" si="160"/>
        <v>#N/A</v>
      </c>
      <c r="P135" s="3" t="e">
        <f t="shared" ca="1" si="161"/>
        <v>#N/A</v>
      </c>
      <c r="Q135" s="3" t="e">
        <f t="shared" ca="1" si="161"/>
        <v>#N/A</v>
      </c>
      <c r="R135" s="3">
        <f t="shared" ca="1" si="161"/>
        <v>0.8916827765378087</v>
      </c>
      <c r="S135" s="3" t="e">
        <f t="shared" ca="1" si="161"/>
        <v>#N/A</v>
      </c>
      <c r="U135" s="3" t="e">
        <f t="shared" ca="1" si="162"/>
        <v>#N/A</v>
      </c>
      <c r="V135" s="3" t="e">
        <f t="shared" ca="1" si="162"/>
        <v>#N/A</v>
      </c>
      <c r="W135" s="3">
        <f t="shared" ca="1" si="162"/>
        <v>0.64474532559638953</v>
      </c>
      <c r="X135" s="3" t="e">
        <f t="shared" ca="1" si="162"/>
        <v>#N/A</v>
      </c>
      <c r="Z135" s="3" t="e">
        <f t="shared" ca="1" si="163"/>
        <v>#N/A</v>
      </c>
      <c r="AA135" s="3" t="e">
        <f t="shared" ca="1" si="163"/>
        <v>#N/A</v>
      </c>
      <c r="AB135" s="3">
        <f t="shared" ca="1" si="163"/>
        <v>0.9078014184397164</v>
      </c>
      <c r="AC135" s="3" t="e">
        <f t="shared" ca="1" si="163"/>
        <v>#N/A</v>
      </c>
      <c r="AE135" s="3" t="e">
        <f t="shared" ca="1" si="164"/>
        <v>#N/A</v>
      </c>
      <c r="AF135" s="3" t="e">
        <f t="shared" ca="1" si="164"/>
        <v>#N/A</v>
      </c>
      <c r="AG135" s="3">
        <f t="shared" ca="1" si="164"/>
        <v>0.8916827765378087</v>
      </c>
      <c r="AH135" s="3" t="e">
        <f t="shared" ca="1" si="164"/>
        <v>#N/A</v>
      </c>
      <c r="AJ135" s="3" t="e">
        <f t="shared" ca="1" si="165"/>
        <v>#N/A</v>
      </c>
      <c r="AK135" s="3" t="e">
        <f t="shared" ca="1" si="165"/>
        <v>#N/A</v>
      </c>
      <c r="AL135" s="3">
        <f t="shared" ca="1" si="165"/>
        <v>0.64474532559638953</v>
      </c>
      <c r="AM135" s="3" t="e">
        <f t="shared" ca="1" si="165"/>
        <v>#N/A</v>
      </c>
      <c r="AO135" s="3" t="e">
        <f t="shared" ca="1" si="166"/>
        <v>#N/A</v>
      </c>
      <c r="AP135" s="3" t="e">
        <f t="shared" ca="1" si="166"/>
        <v>#N/A</v>
      </c>
      <c r="AQ135" s="3">
        <f t="shared" ca="1" si="166"/>
        <v>0.32237266279819476</v>
      </c>
      <c r="AR135" s="3" t="e">
        <f t="shared" ca="1" si="166"/>
        <v>#N/A</v>
      </c>
      <c r="AT135" s="5">
        <v>1.0950000286102295</v>
      </c>
      <c r="AU135" s="5">
        <v>9.9999997764825821E-3</v>
      </c>
      <c r="AV135" s="5">
        <v>0.93800002336502075</v>
      </c>
      <c r="AW135" s="11" t="e">
        <v>#N/A</v>
      </c>
      <c r="AY135" s="3" t="e">
        <f t="shared" ca="1" si="167"/>
        <v>#N/A</v>
      </c>
      <c r="AZ135" s="3" t="e">
        <f t="shared" ca="1" si="168"/>
        <v>#N/A</v>
      </c>
      <c r="BA135" s="3">
        <f t="shared" ca="1" si="169"/>
        <v>0.85396518375241792</v>
      </c>
      <c r="BB135" s="3" t="e">
        <f t="shared" ca="1" si="170"/>
        <v>#N/A</v>
      </c>
      <c r="BD135" s="3" t="e">
        <f t="shared" ca="1" si="171"/>
        <v>#N/A</v>
      </c>
      <c r="BE135" s="3" t="e">
        <f t="shared" ca="1" si="172"/>
        <v>#N/A</v>
      </c>
      <c r="BF135" s="3">
        <f t="shared" ca="1" si="173"/>
        <v>0.8916827765378087</v>
      </c>
      <c r="BG135" s="3" t="e">
        <f t="shared" ca="1" si="174"/>
        <v>#N/A</v>
      </c>
      <c r="BI135" s="3" t="e">
        <f t="shared" ca="1" si="175"/>
        <v>#N/A</v>
      </c>
      <c r="BJ135" s="3" t="e">
        <f t="shared" ca="1" si="176"/>
        <v>#N/A</v>
      </c>
      <c r="BK135" s="3">
        <f t="shared" ca="1" si="177"/>
        <v>0.64474532559638953</v>
      </c>
      <c r="BL135" s="3" t="e">
        <f t="shared" ca="1" si="178"/>
        <v>#N/A</v>
      </c>
      <c r="BN135" s="3" t="e">
        <f t="shared" ca="1" si="179"/>
        <v>#N/A</v>
      </c>
      <c r="BO135" s="3" t="e">
        <f t="shared" ca="1" si="180"/>
        <v>#N/A</v>
      </c>
      <c r="BP135" s="3">
        <f t="shared" ca="1" si="181"/>
        <v>0.64474532559638953</v>
      </c>
      <c r="BQ135" s="3" t="e">
        <f t="shared" ca="1" si="182"/>
        <v>#N/A</v>
      </c>
      <c r="BS135" s="5">
        <v>2.2119998931884766</v>
      </c>
      <c r="BT135" s="5">
        <v>0.37700000405311584</v>
      </c>
      <c r="BU135" s="5">
        <v>0.93800002336502075</v>
      </c>
      <c r="BV135" s="11" t="e">
        <v>#N/A</v>
      </c>
      <c r="BX135" s="3" t="e">
        <f t="shared" ca="1" si="183"/>
        <v>#N/A</v>
      </c>
      <c r="BY135" s="3" t="e">
        <f t="shared" ca="1" si="184"/>
        <v>#N/A</v>
      </c>
      <c r="BZ135" s="3">
        <f t="shared" ca="1" si="185"/>
        <v>0</v>
      </c>
      <c r="CA135" s="3" t="e">
        <f t="shared" ca="1" si="186"/>
        <v>#N/A</v>
      </c>
      <c r="CC135" s="3" t="e">
        <f t="shared" ca="1" si="187"/>
        <v>#N/A</v>
      </c>
      <c r="CD135" s="3" t="e">
        <f t="shared" ca="1" si="188"/>
        <v>#N/A</v>
      </c>
      <c r="CE135" s="3">
        <f t="shared" ca="1" si="189"/>
        <v>0</v>
      </c>
      <c r="CF135" s="3" t="e">
        <f t="shared" ca="1" si="190"/>
        <v>#N/A</v>
      </c>
      <c r="CH135" s="3" t="e">
        <f t="shared" ca="1" si="191"/>
        <v>#N/A</v>
      </c>
      <c r="CI135" s="3" t="e">
        <f t="shared" ca="1" si="192"/>
        <v>#N/A</v>
      </c>
      <c r="CJ135" s="3">
        <f t="shared" ca="1" si="193"/>
        <v>0</v>
      </c>
      <c r="CK135" s="3" t="e">
        <f t="shared" ca="1" si="194"/>
        <v>#N/A</v>
      </c>
      <c r="CM135" s="3" t="e">
        <f t="shared" ca="1" si="195"/>
        <v>#N/A</v>
      </c>
      <c r="CN135" s="3" t="e">
        <f t="shared" ca="1" si="196"/>
        <v>#N/A</v>
      </c>
      <c r="CO135" s="3">
        <f t="shared" ca="1" si="197"/>
        <v>0.32237266279819476</v>
      </c>
      <c r="CP135" s="3" t="e">
        <f t="shared" ca="1" si="198"/>
        <v>#N/A</v>
      </c>
      <c r="CR135" s="5">
        <v>1.0950000286102295</v>
      </c>
      <c r="CS135" s="5">
        <v>4.0110000000000001</v>
      </c>
      <c r="CT135" s="5">
        <v>4.0069999999999997</v>
      </c>
      <c r="CU135" s="11" t="e">
        <v>#N/A</v>
      </c>
      <c r="CV135" s="21" t="e">
        <f t="shared" ca="1" si="200"/>
        <v>#N/A</v>
      </c>
      <c r="CW135" s="16">
        <f t="shared" ca="1" si="199"/>
        <v>7.333333333333333</v>
      </c>
    </row>
    <row r="136" spans="1:101" s="5" customFormat="1" x14ac:dyDescent="0.35">
      <c r="A136" s="4" t="s">
        <v>141</v>
      </c>
      <c r="B136" s="4">
        <v>7.75</v>
      </c>
      <c r="C136" s="4" t="s">
        <v>168</v>
      </c>
      <c r="D136" s="4" t="s">
        <v>404</v>
      </c>
      <c r="E136" s="3"/>
      <c r="F136" s="5">
        <v>4.0110000000000001</v>
      </c>
      <c r="G136" s="5">
        <v>4.01</v>
      </c>
      <c r="H136" s="5">
        <v>4.016</v>
      </c>
      <c r="I136" s="5">
        <v>4.0460000000000003</v>
      </c>
      <c r="K136" s="3">
        <f t="shared" ca="1" si="160"/>
        <v>0.99650959860383947</v>
      </c>
      <c r="L136" s="3">
        <f t="shared" ca="1" si="160"/>
        <v>0.99276807980049886</v>
      </c>
      <c r="M136" s="3">
        <f t="shared" ca="1" si="160"/>
        <v>0.99576693227091639</v>
      </c>
      <c r="N136" s="3">
        <f t="shared" ca="1" si="160"/>
        <v>0.99555116164112711</v>
      </c>
      <c r="P136" s="3">
        <f t="shared" ca="1" si="161"/>
        <v>0.60259289553096851</v>
      </c>
      <c r="Q136" s="3">
        <f t="shared" ca="1" si="161"/>
        <v>0.44014959263979947</v>
      </c>
      <c r="R136" s="3">
        <f t="shared" ca="1" si="161"/>
        <v>0.84238043759923531</v>
      </c>
      <c r="S136" s="3">
        <f t="shared" ca="1" si="161"/>
        <v>0.85145824527146052</v>
      </c>
      <c r="U136" s="3">
        <f t="shared" ca="1" si="162"/>
        <v>3.4904013961605584</v>
      </c>
      <c r="V136" s="3">
        <f t="shared" ca="1" si="162"/>
        <v>2.4937655860349128</v>
      </c>
      <c r="W136" s="3">
        <f t="shared" ca="1" si="162"/>
        <v>1.9920318725099602</v>
      </c>
      <c r="X136" s="3">
        <f t="shared" ca="1" si="162"/>
        <v>2.4715768660405337</v>
      </c>
      <c r="Z136" s="3">
        <f t="shared" ca="1" si="163"/>
        <v>0.85140862627773617</v>
      </c>
      <c r="AA136" s="3">
        <f t="shared" ca="1" si="163"/>
        <v>0.90124688279301768</v>
      </c>
      <c r="AB136" s="3">
        <f t="shared" ca="1" si="163"/>
        <v>0.98754980079681276</v>
      </c>
      <c r="AC136" s="3">
        <f t="shared" ca="1" si="163"/>
        <v>0.99555116164112711</v>
      </c>
      <c r="AE136" s="3">
        <f t="shared" ca="1" si="164"/>
        <v>0.60259289553096851</v>
      </c>
      <c r="AF136" s="3">
        <f t="shared" ca="1" si="164"/>
        <v>0.44014959263979947</v>
      </c>
      <c r="AG136" s="3">
        <f t="shared" ca="1" si="164"/>
        <v>0.84238043759923531</v>
      </c>
      <c r="AH136" s="3">
        <f t="shared" ca="1" si="164"/>
        <v>0.85145824527146052</v>
      </c>
      <c r="AJ136" s="3">
        <f t="shared" ca="1" si="165"/>
        <v>3.4904013961605584</v>
      </c>
      <c r="AK136" s="3">
        <f t="shared" ca="1" si="165"/>
        <v>2.4937655860349128</v>
      </c>
      <c r="AL136" s="3">
        <f t="shared" ca="1" si="165"/>
        <v>1.9920318725099602</v>
      </c>
      <c r="AM136" s="3">
        <f t="shared" ca="1" si="165"/>
        <v>2.4715768660405337</v>
      </c>
      <c r="AO136" s="3">
        <f t="shared" ca="1" si="166"/>
        <v>2.9917726252804786</v>
      </c>
      <c r="AP136" s="3">
        <f t="shared" ca="1" si="166"/>
        <v>1.4962593516209477</v>
      </c>
      <c r="AQ136" s="3">
        <f t="shared" ca="1" si="166"/>
        <v>0.24900398406374502</v>
      </c>
      <c r="AR136" s="3">
        <f t="shared" ca="1" si="166"/>
        <v>0.24715768660405338</v>
      </c>
      <c r="AT136" s="5">
        <v>2.0000000949949026E-3</v>
      </c>
      <c r="AU136" s="5">
        <v>0.68000000715255737</v>
      </c>
      <c r="AV136" s="5">
        <v>0</v>
      </c>
      <c r="AW136" s="5">
        <v>4.0000001899898052E-3</v>
      </c>
      <c r="AY136" s="3">
        <f t="shared" ca="1" si="167"/>
        <v>0.35776614310645705</v>
      </c>
      <c r="AZ136" s="3">
        <f t="shared" ca="1" si="168"/>
        <v>0.18678304239401522</v>
      </c>
      <c r="BA136" s="3">
        <f t="shared" ca="1" si="169"/>
        <v>0.31972111553784854</v>
      </c>
      <c r="BB136" s="3">
        <f t="shared" ca="1" si="170"/>
        <v>0.12728620860108766</v>
      </c>
      <c r="BD136" s="3">
        <f t="shared" ca="1" si="171"/>
        <v>0.33258538803713067</v>
      </c>
      <c r="BE136" s="3">
        <f t="shared" ca="1" si="172"/>
        <v>0.10798007175512148</v>
      </c>
      <c r="BF136" s="3">
        <f t="shared" ca="1" si="173"/>
        <v>0.45642424449027774</v>
      </c>
      <c r="BG136" s="3">
        <f t="shared" ca="1" si="174"/>
        <v>0.27483941833394265</v>
      </c>
      <c r="BI136" s="3">
        <f t="shared" ca="1" si="175"/>
        <v>1.9945150835203191</v>
      </c>
      <c r="BJ136" s="3">
        <f t="shared" ca="1" si="176"/>
        <v>0.49875311720698257</v>
      </c>
      <c r="BK136" s="3">
        <f t="shared" ca="1" si="177"/>
        <v>0.74701195219123506</v>
      </c>
      <c r="BL136" s="3">
        <f t="shared" ca="1" si="178"/>
        <v>0.74147305981216016</v>
      </c>
      <c r="BN136" s="3">
        <f t="shared" ca="1" si="179"/>
        <v>4.2383445524806778</v>
      </c>
      <c r="BO136" s="3">
        <f t="shared" ca="1" si="180"/>
        <v>2.2443890274314215</v>
      </c>
      <c r="BP136" s="3">
        <f t="shared" ca="1" si="181"/>
        <v>2.4900398406374502</v>
      </c>
      <c r="BQ136" s="3">
        <f t="shared" ca="1" si="182"/>
        <v>2.4715768660405337</v>
      </c>
      <c r="BS136" s="5">
        <v>0.9179999828338623</v>
      </c>
      <c r="BT136" s="5">
        <v>2.9279999732971191</v>
      </c>
      <c r="BU136" s="5">
        <v>0.88400000333786011</v>
      </c>
      <c r="BV136" s="5">
        <v>0.2720000147819519</v>
      </c>
      <c r="BX136" s="3">
        <f t="shared" ca="1" si="183"/>
        <v>0</v>
      </c>
      <c r="BY136" s="3">
        <f t="shared" ca="1" si="184"/>
        <v>2.4937655860349149E-2</v>
      </c>
      <c r="BZ136" s="3">
        <f t="shared" ca="1" si="185"/>
        <v>9.9850597609561706E-2</v>
      </c>
      <c r="CA136" s="3">
        <f t="shared" ca="1" si="186"/>
        <v>0</v>
      </c>
      <c r="CC136" s="3">
        <f t="shared" ca="1" si="187"/>
        <v>0</v>
      </c>
      <c r="CD136" s="3">
        <f t="shared" ca="1" si="188"/>
        <v>2.4937632077947223E-2</v>
      </c>
      <c r="CE136" s="3">
        <f t="shared" ca="1" si="189"/>
        <v>4.1583679111830266E-2</v>
      </c>
      <c r="CF136" s="3">
        <f t="shared" ca="1" si="190"/>
        <v>0</v>
      </c>
      <c r="CH136" s="3">
        <f t="shared" ca="1" si="191"/>
        <v>0</v>
      </c>
      <c r="CI136" s="3">
        <f t="shared" ca="1" si="192"/>
        <v>0.24937655860349128</v>
      </c>
      <c r="CJ136" s="3">
        <f t="shared" ca="1" si="193"/>
        <v>0.24900398406374502</v>
      </c>
      <c r="CK136" s="3">
        <f t="shared" ca="1" si="194"/>
        <v>0</v>
      </c>
      <c r="CM136" s="3">
        <f t="shared" ca="1" si="195"/>
        <v>0</v>
      </c>
      <c r="CN136" s="3">
        <f t="shared" ca="1" si="196"/>
        <v>0.74812967581047385</v>
      </c>
      <c r="CO136" s="3">
        <f t="shared" ca="1" si="197"/>
        <v>0.74701195219123506</v>
      </c>
      <c r="CP136" s="3">
        <f t="shared" ca="1" si="198"/>
        <v>0</v>
      </c>
      <c r="CR136" s="5">
        <v>4.0110000000000001</v>
      </c>
      <c r="CS136" s="5">
        <v>3.8110001087188721</v>
      </c>
      <c r="CT136" s="5">
        <v>3.3829998970031738</v>
      </c>
      <c r="CU136" s="5">
        <v>4.0460000000000003</v>
      </c>
      <c r="CV136" s="21">
        <f t="shared" ca="1" si="200"/>
        <v>4.0460000000000003</v>
      </c>
      <c r="CW136" s="16">
        <f t="shared" ca="1" si="199"/>
        <v>7.75</v>
      </c>
    </row>
    <row r="137" spans="1:101" s="5" customFormat="1" x14ac:dyDescent="0.35">
      <c r="A137" s="4" t="s">
        <v>154</v>
      </c>
      <c r="B137" s="4">
        <v>7.916666666666667</v>
      </c>
      <c r="C137" s="4" t="s">
        <v>168</v>
      </c>
      <c r="D137" s="4" t="s">
        <v>404</v>
      </c>
      <c r="E137" s="3"/>
      <c r="F137" s="5">
        <v>4.016</v>
      </c>
      <c r="G137" s="5">
        <v>4.0270000000000001</v>
      </c>
      <c r="H137" s="5">
        <v>4.01</v>
      </c>
      <c r="I137" s="5" t="e">
        <v>#N/A</v>
      </c>
      <c r="K137" s="3">
        <f t="shared" ca="1" si="160"/>
        <v>0.99601593625498008</v>
      </c>
      <c r="L137" s="3">
        <f t="shared" ca="1" si="160"/>
        <v>0.99304693320089399</v>
      </c>
      <c r="M137" s="3">
        <f t="shared" ca="1" si="160"/>
        <v>0.99301745635910232</v>
      </c>
      <c r="N137" s="3" t="e">
        <f t="shared" ca="1" si="160"/>
        <v>#N/A</v>
      </c>
      <c r="P137" s="3">
        <f t="shared" ca="1" si="161"/>
        <v>0.78486048999572711</v>
      </c>
      <c r="Q137" s="3">
        <f t="shared" ca="1" si="161"/>
        <v>0.6828904878102966</v>
      </c>
      <c r="R137" s="3">
        <f t="shared" ca="1" si="161"/>
        <v>0.73541141256801512</v>
      </c>
      <c r="S137" s="3" t="e">
        <f t="shared" ca="1" si="161"/>
        <v>#N/A</v>
      </c>
      <c r="U137" s="3">
        <f t="shared" ca="1" si="162"/>
        <v>2.739043824701195</v>
      </c>
      <c r="V137" s="3">
        <f t="shared" ca="1" si="162"/>
        <v>2.9798857710454429</v>
      </c>
      <c r="W137" s="3">
        <f t="shared" ca="1" si="162"/>
        <v>2.4937655860349128</v>
      </c>
      <c r="X137" s="3" t="e">
        <f t="shared" ca="1" si="162"/>
        <v>#N/A</v>
      </c>
      <c r="Z137" s="3">
        <f t="shared" ca="1" si="163"/>
        <v>0.99601593625498008</v>
      </c>
      <c r="AA137" s="3">
        <f t="shared" ca="1" si="163"/>
        <v>0.95157685622051158</v>
      </c>
      <c r="AB137" s="3">
        <f t="shared" ca="1" si="163"/>
        <v>0.82668329177057376</v>
      </c>
      <c r="AC137" s="3" t="e">
        <f t="shared" ca="1" si="163"/>
        <v>#N/A</v>
      </c>
      <c r="AE137" s="3">
        <f t="shared" ca="1" si="164"/>
        <v>0.78486048999572711</v>
      </c>
      <c r="AF137" s="3">
        <f t="shared" ca="1" si="164"/>
        <v>0.6828904878102966</v>
      </c>
      <c r="AG137" s="3">
        <f t="shared" ca="1" si="164"/>
        <v>0.73541141256801512</v>
      </c>
      <c r="AH137" s="3" t="e">
        <f t="shared" ca="1" si="164"/>
        <v>#N/A</v>
      </c>
      <c r="AJ137" s="3">
        <f t="shared" ca="1" si="165"/>
        <v>2.739043824701195</v>
      </c>
      <c r="AK137" s="3">
        <f t="shared" ca="1" si="165"/>
        <v>2.9798857710454429</v>
      </c>
      <c r="AL137" s="3">
        <f t="shared" ca="1" si="165"/>
        <v>2.4937655860349128</v>
      </c>
      <c r="AM137" s="3" t="e">
        <f t="shared" ca="1" si="165"/>
        <v>#N/A</v>
      </c>
      <c r="AO137" s="3">
        <f t="shared" ca="1" si="166"/>
        <v>0.24900398406374502</v>
      </c>
      <c r="AP137" s="3">
        <f t="shared" ca="1" si="166"/>
        <v>0.49664762850757388</v>
      </c>
      <c r="AQ137" s="3">
        <f t="shared" ca="1" si="166"/>
        <v>0.74812967581047385</v>
      </c>
      <c r="AR137" s="3" t="e">
        <f t="shared" ca="1" si="166"/>
        <v>#N/A</v>
      </c>
      <c r="AT137" s="5">
        <v>8.0000003799796104E-3</v>
      </c>
      <c r="AU137" s="5">
        <v>1.2000000104308128E-2</v>
      </c>
      <c r="AV137" s="5">
        <v>1.6000000759959221E-2</v>
      </c>
      <c r="AW137" s="5">
        <v>1.0000000474974513E-3</v>
      </c>
      <c r="AY137" s="3">
        <f t="shared" ca="1" si="167"/>
        <v>0.3027888446215139</v>
      </c>
      <c r="AZ137" s="3">
        <f t="shared" ca="1" si="168"/>
        <v>0.21554507077228702</v>
      </c>
      <c r="BA137" s="3">
        <f t="shared" ca="1" si="169"/>
        <v>0.36533665835411472</v>
      </c>
      <c r="BB137" s="3" t="e">
        <f t="shared" ca="1" si="170"/>
        <v>#N/A</v>
      </c>
      <c r="BD137" s="3">
        <f t="shared" ca="1" si="171"/>
        <v>0.37350595035438106</v>
      </c>
      <c r="BE137" s="3">
        <f t="shared" ca="1" si="172"/>
        <v>0.16563192383657474</v>
      </c>
      <c r="BF137" s="3">
        <f t="shared" ca="1" si="173"/>
        <v>0.22867831803319461</v>
      </c>
      <c r="BG137" s="3" t="e">
        <f t="shared" ca="1" si="174"/>
        <v>#N/A</v>
      </c>
      <c r="BI137" s="3">
        <f t="shared" ca="1" si="175"/>
        <v>1.2450199203187251</v>
      </c>
      <c r="BJ137" s="3">
        <f t="shared" ca="1" si="176"/>
        <v>0.99329525701514776</v>
      </c>
      <c r="BK137" s="3">
        <f t="shared" ca="1" si="177"/>
        <v>0.49875311720698257</v>
      </c>
      <c r="BL137" s="3" t="e">
        <f t="shared" ca="1" si="178"/>
        <v>#N/A</v>
      </c>
      <c r="BN137" s="3">
        <f t="shared" ca="1" si="179"/>
        <v>1.7430278884462151</v>
      </c>
      <c r="BO137" s="3">
        <f t="shared" ca="1" si="180"/>
        <v>2.4832381425378691</v>
      </c>
      <c r="BP137" s="3">
        <f t="shared" ca="1" si="181"/>
        <v>1.745635910224439</v>
      </c>
      <c r="BQ137" s="3" t="e">
        <f t="shared" ca="1" si="182"/>
        <v>#N/A</v>
      </c>
      <c r="BS137" s="5">
        <v>8.0000003799796104E-3</v>
      </c>
      <c r="BT137" s="5">
        <v>0.87900000810623169</v>
      </c>
      <c r="BU137" s="5">
        <v>0.44900000095367432</v>
      </c>
      <c r="BV137" s="5">
        <v>0.51800000667572021</v>
      </c>
      <c r="BX137" s="3">
        <f t="shared" ca="1" si="183"/>
        <v>4.2330677290837518E-3</v>
      </c>
      <c r="BY137" s="3">
        <f t="shared" ca="1" si="184"/>
        <v>1.2664514526943173E-2</v>
      </c>
      <c r="BZ137" s="3">
        <f t="shared" ca="1" si="185"/>
        <v>2.4688279301745632E-2</v>
      </c>
      <c r="CA137" s="3" t="e">
        <f t="shared" ca="1" si="186"/>
        <v>#N/A</v>
      </c>
      <c r="CC137" s="3">
        <f t="shared" ca="1" si="187"/>
        <v>0</v>
      </c>
      <c r="CD137" s="3">
        <f t="shared" ca="1" si="188"/>
        <v>0</v>
      </c>
      <c r="CE137" s="3">
        <f t="shared" ca="1" si="189"/>
        <v>0</v>
      </c>
      <c r="CF137" s="3" t="e">
        <f t="shared" ca="1" si="190"/>
        <v>#N/A</v>
      </c>
      <c r="CH137" s="3">
        <f t="shared" ca="1" si="191"/>
        <v>0</v>
      </c>
      <c r="CI137" s="3">
        <f t="shared" ca="1" si="192"/>
        <v>0</v>
      </c>
      <c r="CJ137" s="3">
        <f t="shared" ca="1" si="193"/>
        <v>0</v>
      </c>
      <c r="CK137" s="3" t="e">
        <f t="shared" ca="1" si="194"/>
        <v>#N/A</v>
      </c>
      <c r="CM137" s="3">
        <f t="shared" ca="1" si="195"/>
        <v>0.49800796812749004</v>
      </c>
      <c r="CN137" s="3">
        <f t="shared" ca="1" si="196"/>
        <v>0.99329525701514776</v>
      </c>
      <c r="CO137" s="3">
        <f t="shared" ca="1" si="197"/>
        <v>0.49875311720698257</v>
      </c>
      <c r="CP137" s="3" t="e">
        <f t="shared" ca="1" si="198"/>
        <v>#N/A</v>
      </c>
      <c r="CR137" s="5">
        <v>4.016</v>
      </c>
      <c r="CS137" s="5">
        <v>4.0270000000000001</v>
      </c>
      <c r="CT137" s="5">
        <v>4.01</v>
      </c>
      <c r="CU137" s="5">
        <v>4.0030000000000001</v>
      </c>
      <c r="CV137" s="21">
        <f t="shared" ca="1" si="200"/>
        <v>4.0030000000000001</v>
      </c>
      <c r="CW137" s="16">
        <f t="shared" ca="1" si="199"/>
        <v>7.916666666666667</v>
      </c>
    </row>
    <row r="138" spans="1:101" s="5" customFormat="1" x14ac:dyDescent="0.35">
      <c r="A138" s="4" t="s">
        <v>146</v>
      </c>
      <c r="B138" s="4">
        <v>8.25</v>
      </c>
      <c r="C138" s="4" t="s">
        <v>167</v>
      </c>
      <c r="D138" s="4" t="s">
        <v>404</v>
      </c>
      <c r="E138" s="3"/>
      <c r="F138" s="11" t="e">
        <v>#N/A</v>
      </c>
      <c r="G138" s="5">
        <v>4.0259999999999998</v>
      </c>
      <c r="H138" s="5" t="e">
        <v>#N/A</v>
      </c>
      <c r="I138" s="5" t="e">
        <v>#N/A</v>
      </c>
      <c r="K138" s="3" t="e">
        <f t="shared" ca="1" si="160"/>
        <v>#N/A</v>
      </c>
      <c r="L138" s="3">
        <f t="shared" ca="1" si="160"/>
        <v>0.93119721808246392</v>
      </c>
      <c r="M138" s="3" t="e">
        <f t="shared" ca="1" si="160"/>
        <v>#N/A</v>
      </c>
      <c r="N138" s="3" t="e">
        <f t="shared" ca="1" si="160"/>
        <v>#N/A</v>
      </c>
      <c r="P138" s="3" t="e">
        <f t="shared" ca="1" si="161"/>
        <v>#N/A</v>
      </c>
      <c r="Q138" s="3">
        <f t="shared" ca="1" si="161"/>
        <v>0.4056135087953654</v>
      </c>
      <c r="R138" s="3" t="e">
        <f t="shared" ca="1" si="161"/>
        <v>#N/A</v>
      </c>
      <c r="S138" s="3" t="e">
        <f t="shared" ca="1" si="161"/>
        <v>#N/A</v>
      </c>
      <c r="U138" s="3" t="e">
        <f t="shared" ca="1" si="162"/>
        <v>#N/A</v>
      </c>
      <c r="V138" s="3">
        <f t="shared" ca="1" si="162"/>
        <v>1.4903129657228018</v>
      </c>
      <c r="W138" s="3" t="e">
        <f t="shared" ca="1" si="162"/>
        <v>#N/A</v>
      </c>
      <c r="X138" s="3" t="e">
        <f t="shared" ca="1" si="162"/>
        <v>#N/A</v>
      </c>
      <c r="Z138" s="3" t="e">
        <f t="shared" ca="1" si="163"/>
        <v>#N/A</v>
      </c>
      <c r="AA138" s="3">
        <f t="shared" ca="1" si="163"/>
        <v>0.8775459513164432</v>
      </c>
      <c r="AB138" s="3" t="e">
        <f t="shared" ca="1" si="163"/>
        <v>#N/A</v>
      </c>
      <c r="AC138" s="3" t="e">
        <f t="shared" ca="1" si="163"/>
        <v>#N/A</v>
      </c>
      <c r="AE138" s="3" t="e">
        <f t="shared" ca="1" si="164"/>
        <v>#N/A</v>
      </c>
      <c r="AF138" s="3">
        <f t="shared" ca="1" si="164"/>
        <v>0.4056135087953654</v>
      </c>
      <c r="AG138" s="3" t="e">
        <f t="shared" ca="1" si="164"/>
        <v>#N/A</v>
      </c>
      <c r="AH138" s="3" t="e">
        <f t="shared" ca="1" si="164"/>
        <v>#N/A</v>
      </c>
      <c r="AJ138" s="3" t="e">
        <f t="shared" ca="1" si="165"/>
        <v>#N/A</v>
      </c>
      <c r="AK138" s="3">
        <f t="shared" ca="1" si="165"/>
        <v>1.4903129657228018</v>
      </c>
      <c r="AL138" s="3" t="e">
        <f t="shared" ca="1" si="165"/>
        <v>#N/A</v>
      </c>
      <c r="AM138" s="3" t="e">
        <f t="shared" ca="1" si="165"/>
        <v>#N/A</v>
      </c>
      <c r="AO138" s="3" t="e">
        <f t="shared" ca="1" si="166"/>
        <v>#N/A</v>
      </c>
      <c r="AP138" s="3">
        <f t="shared" ca="1" si="166"/>
        <v>0.99354197714853454</v>
      </c>
      <c r="AQ138" s="3" t="e">
        <f t="shared" ca="1" si="166"/>
        <v>#N/A</v>
      </c>
      <c r="AR138" s="3" t="e">
        <f t="shared" ca="1" si="166"/>
        <v>#N/A</v>
      </c>
      <c r="AT138" s="11" t="e">
        <v>#N/A</v>
      </c>
      <c r="AU138" s="5">
        <v>0.43200001120567322</v>
      </c>
      <c r="AV138" s="11" t="e">
        <v>#N/A</v>
      </c>
      <c r="AW138" s="5">
        <v>2.0000000949949026E-3</v>
      </c>
      <c r="AY138" s="3" t="e">
        <f t="shared" ca="1" si="167"/>
        <v>#N/A</v>
      </c>
      <c r="AZ138" s="3">
        <f t="shared" ca="1" si="168"/>
        <v>6.2096373571783464E-2</v>
      </c>
      <c r="BA138" s="3" t="e">
        <f t="shared" ca="1" si="169"/>
        <v>#N/A</v>
      </c>
      <c r="BB138" s="3" t="e">
        <f t="shared" ca="1" si="170"/>
        <v>#N/A</v>
      </c>
      <c r="BD138" s="3" t="e">
        <f t="shared" ca="1" si="171"/>
        <v>#N/A</v>
      </c>
      <c r="BE138" s="3">
        <f t="shared" ca="1" si="172"/>
        <v>2.8812709105766894E-2</v>
      </c>
      <c r="BF138" s="3" t="e">
        <f t="shared" ca="1" si="173"/>
        <v>#N/A</v>
      </c>
      <c r="BG138" s="3" t="e">
        <f t="shared" ca="1" si="174"/>
        <v>#N/A</v>
      </c>
      <c r="BI138" s="3" t="e">
        <f t="shared" ca="1" si="175"/>
        <v>#N/A</v>
      </c>
      <c r="BJ138" s="3">
        <f t="shared" ca="1" si="176"/>
        <v>0.24838549428713363</v>
      </c>
      <c r="BK138" s="3" t="e">
        <f t="shared" ca="1" si="177"/>
        <v>#N/A</v>
      </c>
      <c r="BL138" s="3" t="e">
        <f t="shared" ca="1" si="178"/>
        <v>#N/A</v>
      </c>
      <c r="BN138" s="3" t="e">
        <f t="shared" ca="1" si="179"/>
        <v>#N/A</v>
      </c>
      <c r="BO138" s="3">
        <f t="shared" ca="1" si="180"/>
        <v>3.2290114257327374</v>
      </c>
      <c r="BP138" s="3" t="e">
        <f t="shared" ca="1" si="181"/>
        <v>#N/A</v>
      </c>
      <c r="BQ138" s="3" t="e">
        <f t="shared" ca="1" si="182"/>
        <v>#N/A</v>
      </c>
      <c r="BS138" s="11" t="e">
        <v>#N/A</v>
      </c>
      <c r="BT138" s="5">
        <v>0.43200001120567322</v>
      </c>
      <c r="BU138" s="11" t="e">
        <v>#N/A</v>
      </c>
      <c r="BV138" s="5">
        <v>4.0110000000000001</v>
      </c>
      <c r="BX138" s="3" t="e">
        <f t="shared" ca="1" si="183"/>
        <v>#N/A</v>
      </c>
      <c r="BY138" s="3">
        <f t="shared" ca="1" si="184"/>
        <v>0</v>
      </c>
      <c r="BZ138" s="3" t="e">
        <f t="shared" ca="1" si="185"/>
        <v>#N/A</v>
      </c>
      <c r="CA138" s="3" t="e">
        <f t="shared" ca="1" si="186"/>
        <v>#N/A</v>
      </c>
      <c r="CC138" s="3" t="e">
        <f t="shared" ca="1" si="187"/>
        <v>#N/A</v>
      </c>
      <c r="CD138" s="3">
        <f t="shared" ca="1" si="188"/>
        <v>0</v>
      </c>
      <c r="CE138" s="3" t="e">
        <f t="shared" ca="1" si="189"/>
        <v>#N/A</v>
      </c>
      <c r="CF138" s="3" t="e">
        <f t="shared" ca="1" si="190"/>
        <v>#N/A</v>
      </c>
      <c r="CH138" s="3" t="e">
        <f t="shared" ca="1" si="191"/>
        <v>#N/A</v>
      </c>
      <c r="CI138" s="3">
        <f t="shared" ca="1" si="192"/>
        <v>0</v>
      </c>
      <c r="CJ138" s="3" t="e">
        <f t="shared" ca="1" si="193"/>
        <v>#N/A</v>
      </c>
      <c r="CK138" s="3" t="e">
        <f t="shared" ca="1" si="194"/>
        <v>#N/A</v>
      </c>
      <c r="CM138" s="3" t="e">
        <f t="shared" ca="1" si="195"/>
        <v>#N/A</v>
      </c>
      <c r="CN138" s="3">
        <f t="shared" ca="1" si="196"/>
        <v>0</v>
      </c>
      <c r="CO138" s="3" t="e">
        <f t="shared" ca="1" si="197"/>
        <v>#N/A</v>
      </c>
      <c r="CP138" s="3" t="e">
        <f t="shared" ca="1" si="198"/>
        <v>#N/A</v>
      </c>
      <c r="CR138" s="11" t="e">
        <v>#N/A</v>
      </c>
      <c r="CS138" s="5">
        <v>4.0259999999999998</v>
      </c>
      <c r="CT138" s="11" t="e">
        <v>#N/A</v>
      </c>
      <c r="CU138" s="5">
        <v>4.0110000000000001</v>
      </c>
      <c r="CV138" s="21">
        <f t="shared" ca="1" si="200"/>
        <v>4.0110000000000001</v>
      </c>
      <c r="CW138" s="16">
        <f t="shared" ca="1" si="199"/>
        <v>8.25</v>
      </c>
    </row>
    <row r="139" spans="1:101" s="5" customFormat="1" x14ac:dyDescent="0.35">
      <c r="A139" s="4" t="s">
        <v>109</v>
      </c>
      <c r="B139" s="4">
        <v>8.3333333333333339</v>
      </c>
      <c r="C139" s="4" t="s">
        <v>168</v>
      </c>
      <c r="D139" s="4" t="s">
        <v>404</v>
      </c>
      <c r="E139" s="3"/>
      <c r="F139" s="5">
        <v>4.0149999999999997</v>
      </c>
      <c r="G139" s="5" t="e">
        <v>#N/A</v>
      </c>
      <c r="H139" s="5">
        <v>3.0640000000000001</v>
      </c>
      <c r="I139" s="11" t="e">
        <v>#N/A</v>
      </c>
      <c r="K139" s="3">
        <f t="shared" ca="1" si="160"/>
        <v>0.66002490660024915</v>
      </c>
      <c r="L139" s="3" t="e">
        <f t="shared" ca="1" si="160"/>
        <v>#N/A</v>
      </c>
      <c r="M139" s="3">
        <f t="shared" ca="1" si="160"/>
        <v>0.95169712793733674</v>
      </c>
      <c r="N139" s="3" t="e">
        <f t="shared" ca="1" si="160"/>
        <v>#N/A</v>
      </c>
      <c r="P139" s="3">
        <f t="shared" ca="1" si="161"/>
        <v>0.29090910147908022</v>
      </c>
      <c r="Q139" s="3" t="e">
        <f t="shared" ca="1" si="161"/>
        <v>#N/A</v>
      </c>
      <c r="R139" s="3">
        <f t="shared" ca="1" si="161"/>
        <v>0.73433424807098924</v>
      </c>
      <c r="S139" s="3" t="e">
        <f t="shared" ca="1" si="161"/>
        <v>#N/A</v>
      </c>
      <c r="U139" s="3">
        <f t="shared" ca="1" si="162"/>
        <v>1.2453300124533002</v>
      </c>
      <c r="V139" s="3" t="e">
        <f t="shared" ca="1" si="162"/>
        <v>#N/A</v>
      </c>
      <c r="W139" s="3">
        <f t="shared" ca="1" si="162"/>
        <v>3.2637075718015667</v>
      </c>
      <c r="X139" s="3" t="e">
        <f t="shared" ca="1" si="162"/>
        <v>#N/A</v>
      </c>
      <c r="Z139" s="3">
        <f t="shared" ca="1" si="163"/>
        <v>0.43561643835616443</v>
      </c>
      <c r="AA139" s="3" t="e">
        <f t="shared" ca="1" si="163"/>
        <v>#N/A</v>
      </c>
      <c r="AB139" s="3">
        <f t="shared" ca="1" si="163"/>
        <v>0.63087467362924277</v>
      </c>
      <c r="AC139" s="3" t="e">
        <f t="shared" ca="1" si="163"/>
        <v>#N/A</v>
      </c>
      <c r="AE139" s="3">
        <f t="shared" ca="1" si="164"/>
        <v>0.29090910147908022</v>
      </c>
      <c r="AF139" s="3" t="e">
        <f t="shared" ca="1" si="164"/>
        <v>#N/A</v>
      </c>
      <c r="AG139" s="3">
        <f t="shared" ca="1" si="164"/>
        <v>0.57114886948091093</v>
      </c>
      <c r="AH139" s="3" t="e">
        <f t="shared" ca="1" si="164"/>
        <v>#N/A</v>
      </c>
      <c r="AJ139" s="3">
        <f t="shared" ca="1" si="165"/>
        <v>1.2453300124533002</v>
      </c>
      <c r="AK139" s="3" t="e">
        <f t="shared" ca="1" si="165"/>
        <v>#N/A</v>
      </c>
      <c r="AL139" s="3">
        <f t="shared" ca="1" si="165"/>
        <v>2.2845953002610964</v>
      </c>
      <c r="AM139" s="3" t="e">
        <f t="shared" ca="1" si="165"/>
        <v>#N/A</v>
      </c>
      <c r="AO139" s="3">
        <f t="shared" ca="1" si="166"/>
        <v>0.24906600249066005</v>
      </c>
      <c r="AP139" s="3" t="e">
        <f t="shared" ca="1" si="166"/>
        <v>#N/A</v>
      </c>
      <c r="AQ139" s="3">
        <f t="shared" ca="1" si="166"/>
        <v>0.65274151436031336</v>
      </c>
      <c r="AR139" s="3" t="e">
        <f t="shared" ca="1" si="166"/>
        <v>#N/A</v>
      </c>
      <c r="AT139" s="5">
        <v>0.91200000047683716</v>
      </c>
      <c r="AU139" s="5">
        <v>2.5559999942779541</v>
      </c>
      <c r="AV139" s="5">
        <v>1.0000000474974513E-3</v>
      </c>
      <c r="AW139" s="11" t="e">
        <v>#N/A</v>
      </c>
      <c r="AY139" s="3">
        <f t="shared" ca="1" si="167"/>
        <v>3.3125778331257731E-2</v>
      </c>
      <c r="AZ139" s="3" t="e">
        <f t="shared" ca="1" si="168"/>
        <v>#N/A</v>
      </c>
      <c r="BA139" s="3">
        <f t="shared" ca="1" si="169"/>
        <v>2.7088772845953062E-2</v>
      </c>
      <c r="BB139" s="3" t="e">
        <f t="shared" ca="1" si="170"/>
        <v>#N/A</v>
      </c>
      <c r="BD139" s="3">
        <f t="shared" ca="1" si="171"/>
        <v>2.9140747944414989E-2</v>
      </c>
      <c r="BE139" s="3" t="e">
        <f t="shared" ca="1" si="172"/>
        <v>#N/A</v>
      </c>
      <c r="BF139" s="3">
        <f t="shared" ca="1" si="173"/>
        <v>0</v>
      </c>
      <c r="BG139" s="3" t="e">
        <f t="shared" ca="1" si="174"/>
        <v>#N/A</v>
      </c>
      <c r="BI139" s="3">
        <f t="shared" ca="1" si="175"/>
        <v>0.24906600249066005</v>
      </c>
      <c r="BJ139" s="3" t="e">
        <f t="shared" ca="1" si="176"/>
        <v>#N/A</v>
      </c>
      <c r="BK139" s="3">
        <f t="shared" ca="1" si="177"/>
        <v>0</v>
      </c>
      <c r="BL139" s="3" t="e">
        <f t="shared" ca="1" si="178"/>
        <v>#N/A</v>
      </c>
      <c r="BN139" s="3">
        <f t="shared" ca="1" si="179"/>
        <v>0.24906600249066005</v>
      </c>
      <c r="BO139" s="3" t="e">
        <f t="shared" ca="1" si="180"/>
        <v>#N/A</v>
      </c>
      <c r="BP139" s="3">
        <f t="shared" ca="1" si="181"/>
        <v>0.65274151436031336</v>
      </c>
      <c r="BQ139" s="3" t="e">
        <f t="shared" ca="1" si="182"/>
        <v>#N/A</v>
      </c>
      <c r="BS139" s="5">
        <v>1.8789999485015869</v>
      </c>
      <c r="BT139" s="5">
        <v>3.8389999866485596</v>
      </c>
      <c r="BU139" s="5">
        <v>4.0140000000000002</v>
      </c>
      <c r="BV139" s="11" t="e">
        <v>#N/A</v>
      </c>
      <c r="BX139" s="3">
        <f t="shared" ca="1" si="183"/>
        <v>0.10809464508094645</v>
      </c>
      <c r="BY139" s="3" t="e">
        <f t="shared" ca="1" si="184"/>
        <v>#N/A</v>
      </c>
      <c r="BZ139" s="3">
        <f t="shared" ca="1" si="185"/>
        <v>3.8185378590078325E-2</v>
      </c>
      <c r="CA139" s="3" t="e">
        <f t="shared" ca="1" si="186"/>
        <v>#N/A</v>
      </c>
      <c r="CC139" s="3">
        <f t="shared" ca="1" si="187"/>
        <v>0.16189292537171399</v>
      </c>
      <c r="CD139" s="3" t="e">
        <f t="shared" ca="1" si="188"/>
        <v>#N/A</v>
      </c>
      <c r="CE139" s="3">
        <f t="shared" ca="1" si="189"/>
        <v>3.2637122405726977E-2</v>
      </c>
      <c r="CF139" s="3" t="e">
        <f t="shared" ca="1" si="190"/>
        <v>#N/A</v>
      </c>
      <c r="CH139" s="3">
        <f t="shared" ca="1" si="191"/>
        <v>0.4981320049813201</v>
      </c>
      <c r="CI139" s="3" t="e">
        <f t="shared" ca="1" si="192"/>
        <v>#N/A</v>
      </c>
      <c r="CJ139" s="3">
        <f t="shared" ca="1" si="193"/>
        <v>0.32637075718015668</v>
      </c>
      <c r="CK139" s="3" t="e">
        <f t="shared" ca="1" si="194"/>
        <v>#N/A</v>
      </c>
      <c r="CM139" s="3">
        <f t="shared" ca="1" si="195"/>
        <v>0.4981320049813201</v>
      </c>
      <c r="CN139" s="3" t="e">
        <f t="shared" ca="1" si="196"/>
        <v>#N/A</v>
      </c>
      <c r="CO139" s="3">
        <f t="shared" ca="1" si="197"/>
        <v>0.32637075718015668</v>
      </c>
      <c r="CP139" s="3" t="e">
        <f t="shared" ca="1" si="198"/>
        <v>#N/A</v>
      </c>
      <c r="CR139" s="5">
        <v>1.1619999408721924</v>
      </c>
      <c r="CS139" s="5">
        <v>3.4730000495910645</v>
      </c>
      <c r="CT139" s="5">
        <v>2.5499999523162842</v>
      </c>
      <c r="CU139" s="11" t="e">
        <v>#N/A</v>
      </c>
      <c r="CV139" s="21" t="e">
        <f t="shared" ca="1" si="200"/>
        <v>#N/A</v>
      </c>
      <c r="CW139" s="16">
        <f t="shared" ca="1" si="199"/>
        <v>8.3333333333333339</v>
      </c>
    </row>
    <row r="140" spans="1:101" s="5" customFormat="1" x14ac:dyDescent="0.35">
      <c r="A140" s="4" t="s">
        <v>165</v>
      </c>
      <c r="B140" s="4">
        <v>8.3333333333333339</v>
      </c>
      <c r="C140" s="4" t="s">
        <v>168</v>
      </c>
      <c r="D140" s="4" t="s">
        <v>404</v>
      </c>
      <c r="E140" s="3"/>
      <c r="F140" s="5">
        <v>4.01</v>
      </c>
      <c r="G140" s="11" t="e">
        <v>#N/A</v>
      </c>
      <c r="H140" s="5" t="e">
        <v>#N/A</v>
      </c>
      <c r="I140" s="5" t="e">
        <v>#N/A</v>
      </c>
      <c r="K140" s="3">
        <f t="shared" ca="1" si="160"/>
        <v>0.88503740648379059</v>
      </c>
      <c r="L140" s="3" t="e">
        <f t="shared" ca="1" si="160"/>
        <v>#N/A</v>
      </c>
      <c r="M140" s="3" t="e">
        <f t="shared" ca="1" si="160"/>
        <v>#N/A</v>
      </c>
      <c r="N140" s="3" t="e">
        <f t="shared" ca="1" si="160"/>
        <v>#N/A</v>
      </c>
      <c r="P140" s="3">
        <f t="shared" ca="1" si="161"/>
        <v>0.81820449109033611</v>
      </c>
      <c r="Q140" s="3" t="e">
        <f t="shared" ca="1" si="161"/>
        <v>#N/A</v>
      </c>
      <c r="R140" s="3" t="e">
        <f t="shared" ca="1" si="161"/>
        <v>#N/A</v>
      </c>
      <c r="S140" s="3" t="e">
        <f t="shared" ca="1" si="161"/>
        <v>#N/A</v>
      </c>
      <c r="U140" s="3">
        <f t="shared" ca="1" si="162"/>
        <v>2.2443890274314215</v>
      </c>
      <c r="V140" s="3" t="e">
        <f t="shared" ca="1" si="162"/>
        <v>#N/A</v>
      </c>
      <c r="W140" s="3" t="e">
        <f t="shared" ca="1" si="162"/>
        <v>#N/A</v>
      </c>
      <c r="X140" s="3" t="e">
        <f t="shared" ca="1" si="162"/>
        <v>#N/A</v>
      </c>
      <c r="Z140" s="3">
        <f t="shared" ca="1" si="163"/>
        <v>0.78528678304239408</v>
      </c>
      <c r="AA140" s="3" t="e">
        <f t="shared" ca="1" si="163"/>
        <v>#N/A</v>
      </c>
      <c r="AB140" s="3" t="e">
        <f t="shared" ca="1" si="163"/>
        <v>#N/A</v>
      </c>
      <c r="AC140" s="3" t="e">
        <f t="shared" ca="1" si="163"/>
        <v>#N/A</v>
      </c>
      <c r="AE140" s="3">
        <f t="shared" ca="1" si="164"/>
        <v>0.74339152274286369</v>
      </c>
      <c r="AF140" s="3" t="e">
        <f t="shared" ca="1" si="164"/>
        <v>#N/A</v>
      </c>
      <c r="AG140" s="3" t="e">
        <f t="shared" ca="1" si="164"/>
        <v>#N/A</v>
      </c>
      <c r="AH140" s="3" t="e">
        <f t="shared" ca="1" si="164"/>
        <v>#N/A</v>
      </c>
      <c r="AJ140" s="3">
        <f t="shared" ca="1" si="165"/>
        <v>1.9950124688279303</v>
      </c>
      <c r="AK140" s="3" t="e">
        <f t="shared" ca="1" si="165"/>
        <v>#N/A</v>
      </c>
      <c r="AL140" s="3" t="e">
        <f t="shared" ca="1" si="165"/>
        <v>#N/A</v>
      </c>
      <c r="AM140" s="3" t="e">
        <f t="shared" ca="1" si="165"/>
        <v>#N/A</v>
      </c>
      <c r="AO140" s="3">
        <f t="shared" ca="1" si="166"/>
        <v>0.24937655860349128</v>
      </c>
      <c r="AP140" s="3" t="e">
        <f t="shared" ca="1" si="166"/>
        <v>#N/A</v>
      </c>
      <c r="AQ140" s="3" t="e">
        <f t="shared" ca="1" si="166"/>
        <v>#N/A</v>
      </c>
      <c r="AR140" s="3" t="e">
        <f t="shared" ca="1" si="166"/>
        <v>#N/A</v>
      </c>
      <c r="AT140" s="5">
        <v>0.43599998950958252</v>
      </c>
      <c r="AU140" s="11" t="e">
        <v>#N/A</v>
      </c>
      <c r="AV140" s="11" t="e">
        <v>#N/A</v>
      </c>
      <c r="AW140" s="5">
        <v>1.8830000162124634</v>
      </c>
      <c r="AY140" s="3">
        <f t="shared" ca="1" si="167"/>
        <v>0.15386533665835411</v>
      </c>
      <c r="AZ140" s="3" t="e">
        <f t="shared" ca="1" si="168"/>
        <v>#N/A</v>
      </c>
      <c r="BA140" s="3" t="e">
        <f t="shared" ca="1" si="169"/>
        <v>#N/A</v>
      </c>
      <c r="BB140" s="3" t="e">
        <f t="shared" ca="1" si="170"/>
        <v>#N/A</v>
      </c>
      <c r="BD140" s="3">
        <f t="shared" ca="1" si="171"/>
        <v>0.14114712836439175</v>
      </c>
      <c r="BE140" s="3" t="e">
        <f t="shared" ca="1" si="172"/>
        <v>#N/A</v>
      </c>
      <c r="BF140" s="3" t="e">
        <f t="shared" ca="1" si="173"/>
        <v>#N/A</v>
      </c>
      <c r="BG140" s="3" t="e">
        <f t="shared" ca="1" si="174"/>
        <v>#N/A</v>
      </c>
      <c r="BI140" s="3">
        <f t="shared" ca="1" si="175"/>
        <v>0.74812967581047385</v>
      </c>
      <c r="BJ140" s="3" t="e">
        <f t="shared" ca="1" si="176"/>
        <v>#N/A</v>
      </c>
      <c r="BK140" s="3" t="e">
        <f t="shared" ca="1" si="177"/>
        <v>#N/A</v>
      </c>
      <c r="BL140" s="3" t="e">
        <f t="shared" ca="1" si="178"/>
        <v>#N/A</v>
      </c>
      <c r="BN140" s="3">
        <f t="shared" ca="1" si="179"/>
        <v>0.99750623441396513</v>
      </c>
      <c r="BO140" s="3" t="e">
        <f t="shared" ca="1" si="180"/>
        <v>#N/A</v>
      </c>
      <c r="BP140" s="3" t="e">
        <f t="shared" ca="1" si="181"/>
        <v>#N/A</v>
      </c>
      <c r="BQ140" s="3" t="e">
        <f t="shared" ca="1" si="182"/>
        <v>#N/A</v>
      </c>
      <c r="BS140" s="5">
        <v>0.43599998950958252</v>
      </c>
      <c r="BT140" s="11" t="e">
        <v>#N/A</v>
      </c>
      <c r="BU140" s="11" t="e">
        <v>#N/A</v>
      </c>
      <c r="BV140" s="5">
        <v>4.01</v>
      </c>
      <c r="BX140" s="3">
        <f t="shared" ca="1" si="183"/>
        <v>0</v>
      </c>
      <c r="BY140" s="3" t="e">
        <f t="shared" ca="1" si="184"/>
        <v>#N/A</v>
      </c>
      <c r="BZ140" s="3" t="e">
        <f t="shared" ca="1" si="185"/>
        <v>#N/A</v>
      </c>
      <c r="CA140" s="3" t="e">
        <f t="shared" ca="1" si="186"/>
        <v>#N/A</v>
      </c>
      <c r="CC140" s="3">
        <f t="shared" ca="1" si="187"/>
        <v>0</v>
      </c>
      <c r="CD140" s="3" t="e">
        <f t="shared" ca="1" si="188"/>
        <v>#N/A</v>
      </c>
      <c r="CE140" s="3" t="e">
        <f t="shared" ca="1" si="189"/>
        <v>#N/A</v>
      </c>
      <c r="CF140" s="3" t="e">
        <f t="shared" ca="1" si="190"/>
        <v>#N/A</v>
      </c>
      <c r="CH140" s="3">
        <f t="shared" ca="1" si="191"/>
        <v>0</v>
      </c>
      <c r="CI140" s="3" t="e">
        <f t="shared" ca="1" si="192"/>
        <v>#N/A</v>
      </c>
      <c r="CJ140" s="3" t="e">
        <f t="shared" ca="1" si="193"/>
        <v>#N/A</v>
      </c>
      <c r="CK140" s="3" t="e">
        <f t="shared" ca="1" si="194"/>
        <v>#N/A</v>
      </c>
      <c r="CM140" s="3">
        <f t="shared" ca="1" si="195"/>
        <v>0.24937655860349128</v>
      </c>
      <c r="CN140" s="3" t="e">
        <f t="shared" ca="1" si="196"/>
        <v>#N/A</v>
      </c>
      <c r="CO140" s="3" t="e">
        <f t="shared" ca="1" si="197"/>
        <v>#N/A</v>
      </c>
      <c r="CP140" s="3" t="e">
        <f t="shared" ca="1" si="198"/>
        <v>#N/A</v>
      </c>
      <c r="CR140" s="5">
        <v>4.01</v>
      </c>
      <c r="CS140" s="11" t="e">
        <v>#N/A</v>
      </c>
      <c r="CT140" s="11" t="e">
        <v>#N/A</v>
      </c>
      <c r="CU140" s="5">
        <v>2.4159998893737793</v>
      </c>
      <c r="CV140" s="21">
        <f t="shared" ca="1" si="200"/>
        <v>2.4159998893737793</v>
      </c>
      <c r="CW140" s="16">
        <f t="shared" ca="1" si="199"/>
        <v>8.3333333333333339</v>
      </c>
    </row>
    <row r="141" spans="1:101" s="5" customFormat="1" x14ac:dyDescent="0.35">
      <c r="A141" s="4" t="s">
        <v>100</v>
      </c>
      <c r="B141" s="4">
        <v>8.5</v>
      </c>
      <c r="C141" s="4" t="s">
        <v>168</v>
      </c>
      <c r="D141" s="4" t="s">
        <v>404</v>
      </c>
      <c r="E141" s="3"/>
      <c r="F141" s="5">
        <v>4.01</v>
      </c>
      <c r="G141" s="5" t="e">
        <v>#N/A</v>
      </c>
      <c r="H141" s="5">
        <v>4.0039999999999996</v>
      </c>
      <c r="I141" s="5">
        <v>4.0090000000000003</v>
      </c>
      <c r="K141" s="3">
        <f t="shared" ca="1" si="160"/>
        <v>0.98054862842892776</v>
      </c>
      <c r="L141" s="3" t="e">
        <f t="shared" ca="1" si="160"/>
        <v>#N/A</v>
      </c>
      <c r="M141" s="3">
        <f t="shared" ca="1" si="160"/>
        <v>0.94880119880119884</v>
      </c>
      <c r="N141" s="3">
        <f t="shared" ca="1" si="160"/>
        <v>0.99351459216762283</v>
      </c>
      <c r="P141" s="3">
        <f t="shared" ca="1" si="161"/>
        <v>0.93117211376342401</v>
      </c>
      <c r="Q141" s="3" t="e">
        <f t="shared" ca="1" si="161"/>
        <v>#N/A</v>
      </c>
      <c r="R141" s="3">
        <f t="shared" ca="1" si="161"/>
        <v>0.84915079853751452</v>
      </c>
      <c r="S141" s="3">
        <f t="shared" ca="1" si="161"/>
        <v>0.99351461795566376</v>
      </c>
      <c r="U141" s="3">
        <f t="shared" ca="1" si="162"/>
        <v>1.9950124688279303</v>
      </c>
      <c r="V141" s="3" t="e">
        <f t="shared" ca="1" si="162"/>
        <v>#N/A</v>
      </c>
      <c r="W141" s="3">
        <f t="shared" ca="1" si="162"/>
        <v>2.9970029970029972</v>
      </c>
      <c r="X141" s="3">
        <f t="shared" ca="1" si="162"/>
        <v>0.24943876278373658</v>
      </c>
      <c r="Z141" s="3">
        <f t="shared" ca="1" si="163"/>
        <v>0.98054862842892776</v>
      </c>
      <c r="AA141" s="3" t="e">
        <f t="shared" ca="1" si="163"/>
        <v>#N/A</v>
      </c>
      <c r="AB141" s="3">
        <f t="shared" ca="1" si="163"/>
        <v>0.94880119880119884</v>
      </c>
      <c r="AC141" s="3">
        <f t="shared" ca="1" si="163"/>
        <v>0.99351459216762283</v>
      </c>
      <c r="AE141" s="3">
        <f t="shared" ca="1" si="164"/>
        <v>0.93117211376342401</v>
      </c>
      <c r="AF141" s="3" t="e">
        <f t="shared" ca="1" si="164"/>
        <v>#N/A</v>
      </c>
      <c r="AG141" s="3">
        <f t="shared" ca="1" si="164"/>
        <v>0.84915079853751452</v>
      </c>
      <c r="AH141" s="3">
        <f t="shared" ca="1" si="164"/>
        <v>0.99351461795566376</v>
      </c>
      <c r="AJ141" s="3">
        <f t="shared" ca="1" si="165"/>
        <v>1.9950124688279303</v>
      </c>
      <c r="AK141" s="3" t="e">
        <f t="shared" ca="1" si="165"/>
        <v>#N/A</v>
      </c>
      <c r="AL141" s="3">
        <f t="shared" ca="1" si="165"/>
        <v>2.9970029970029972</v>
      </c>
      <c r="AM141" s="3">
        <f t="shared" ca="1" si="165"/>
        <v>0.24943876278373658</v>
      </c>
      <c r="AO141" s="3">
        <f t="shared" ca="1" si="166"/>
        <v>0.24937655860349128</v>
      </c>
      <c r="AP141" s="3" t="e">
        <f t="shared" ca="1" si="166"/>
        <v>#N/A</v>
      </c>
      <c r="AQ141" s="3">
        <f t="shared" ca="1" si="166"/>
        <v>0.24975024975024979</v>
      </c>
      <c r="AR141" s="3">
        <f t="shared" ca="1" si="166"/>
        <v>0.24943876278373658</v>
      </c>
      <c r="AT141" s="5">
        <v>0.12999999523162842</v>
      </c>
      <c r="AU141" s="5">
        <v>1.8890000581741333</v>
      </c>
      <c r="AV141" s="5">
        <v>0.15999999642372131</v>
      </c>
      <c r="AW141" s="5">
        <v>8.999999612569809E-3</v>
      </c>
      <c r="AY141" s="3">
        <f t="shared" ca="1" si="167"/>
        <v>0.39875311720698259</v>
      </c>
      <c r="AZ141" s="3" t="e">
        <f t="shared" ca="1" si="168"/>
        <v>#N/A</v>
      </c>
      <c r="BA141" s="3">
        <f t="shared" ca="1" si="169"/>
        <v>0.56993006993007</v>
      </c>
      <c r="BB141" s="3">
        <f t="shared" ca="1" si="170"/>
        <v>0</v>
      </c>
      <c r="BD141" s="3">
        <f t="shared" ca="1" si="171"/>
        <v>0.40723194653851136</v>
      </c>
      <c r="BE141" s="3" t="e">
        <f t="shared" ca="1" si="172"/>
        <v>#N/A</v>
      </c>
      <c r="BF141" s="3">
        <f t="shared" ca="1" si="173"/>
        <v>0.53271728676634955</v>
      </c>
      <c r="BG141" s="3">
        <f t="shared" ca="1" si="174"/>
        <v>0</v>
      </c>
      <c r="BI141" s="3">
        <f t="shared" ca="1" si="175"/>
        <v>0.49875311720698257</v>
      </c>
      <c r="BJ141" s="3" t="e">
        <f t="shared" ca="1" si="176"/>
        <v>#N/A</v>
      </c>
      <c r="BK141" s="3">
        <f t="shared" ca="1" si="177"/>
        <v>1.4985014985014986</v>
      </c>
      <c r="BL141" s="3">
        <f t="shared" ca="1" si="178"/>
        <v>0</v>
      </c>
      <c r="BN141" s="3">
        <f t="shared" ca="1" si="179"/>
        <v>0.74812967581047385</v>
      </c>
      <c r="BO141" s="3" t="e">
        <f t="shared" ca="1" si="180"/>
        <v>#N/A</v>
      </c>
      <c r="BP141" s="3">
        <f t="shared" ca="1" si="181"/>
        <v>0.7492507492507493</v>
      </c>
      <c r="BQ141" s="3">
        <f t="shared" ca="1" si="182"/>
        <v>0</v>
      </c>
      <c r="BS141" s="5">
        <v>0.36399999260902405</v>
      </c>
      <c r="BT141" s="5">
        <v>3.1059999465942383</v>
      </c>
      <c r="BU141" s="5">
        <v>0.59399998188018799</v>
      </c>
      <c r="BV141" s="5">
        <v>4.0090000000000003</v>
      </c>
      <c r="BX141" s="3">
        <f t="shared" ca="1" si="183"/>
        <v>1.670822942643398E-2</v>
      </c>
      <c r="BY141" s="3" t="e">
        <f t="shared" ca="1" si="184"/>
        <v>#N/A</v>
      </c>
      <c r="BZ141" s="3">
        <f t="shared" ca="1" si="185"/>
        <v>1.2487512487512486E-2</v>
      </c>
      <c r="CA141" s="3">
        <f t="shared" ca="1" si="186"/>
        <v>0.99351459216762283</v>
      </c>
      <c r="CC141" s="3">
        <f t="shared" ca="1" si="187"/>
        <v>0.12892767080939618</v>
      </c>
      <c r="CD141" s="3" t="e">
        <f t="shared" ca="1" si="188"/>
        <v>#N/A</v>
      </c>
      <c r="CE141" s="3">
        <f t="shared" ca="1" si="189"/>
        <v>0</v>
      </c>
      <c r="CF141" s="3">
        <f t="shared" ca="1" si="190"/>
        <v>0.99351461795566376</v>
      </c>
      <c r="CH141" s="3">
        <f t="shared" ca="1" si="191"/>
        <v>0.24937655860349128</v>
      </c>
      <c r="CI141" s="3" t="e">
        <f t="shared" ca="1" si="192"/>
        <v>#N/A</v>
      </c>
      <c r="CJ141" s="3">
        <f t="shared" ca="1" si="193"/>
        <v>0</v>
      </c>
      <c r="CK141" s="3">
        <f t="shared" ca="1" si="194"/>
        <v>0.24943876278373658</v>
      </c>
      <c r="CM141" s="3">
        <f t="shared" ca="1" si="195"/>
        <v>0.49875311720698257</v>
      </c>
      <c r="CN141" s="3" t="e">
        <f t="shared" ca="1" si="196"/>
        <v>#N/A</v>
      </c>
      <c r="CO141" s="3">
        <f t="shared" ca="1" si="197"/>
        <v>0.24975024975024979</v>
      </c>
      <c r="CP141" s="3">
        <f t="shared" ca="1" si="198"/>
        <v>0.24943876278373658</v>
      </c>
      <c r="CR141" s="5">
        <v>3.2130000591278076</v>
      </c>
      <c r="CS141" s="5">
        <v>4.0030000000000001</v>
      </c>
      <c r="CT141" s="5">
        <v>4.0039999999999996</v>
      </c>
      <c r="CU141" s="5">
        <v>8.999999612569809E-3</v>
      </c>
      <c r="CV141" s="21">
        <f t="shared" ca="1" si="200"/>
        <v>8.999999612569809E-3</v>
      </c>
      <c r="CW141" s="16">
        <f t="shared" ca="1" si="199"/>
        <v>8.5</v>
      </c>
    </row>
    <row r="142" spans="1:101" s="5" customFormat="1" x14ac:dyDescent="0.35">
      <c r="A142" s="4" t="s">
        <v>120</v>
      </c>
      <c r="B142" s="4">
        <v>8.5</v>
      </c>
      <c r="C142" s="4" t="s">
        <v>168</v>
      </c>
      <c r="D142" s="4" t="s">
        <v>404</v>
      </c>
      <c r="E142" s="3"/>
      <c r="F142" s="5" t="e">
        <v>#N/A</v>
      </c>
      <c r="G142" s="5" t="e">
        <v>#N/A</v>
      </c>
      <c r="H142" s="5" t="e">
        <v>#N/A</v>
      </c>
      <c r="I142" s="5" t="e">
        <v>#N/A</v>
      </c>
      <c r="K142" s="3" t="e">
        <f t="shared" ca="1" si="160"/>
        <v>#N/A</v>
      </c>
      <c r="L142" s="3" t="e">
        <f t="shared" ca="1" si="160"/>
        <v>#N/A</v>
      </c>
      <c r="M142" s="3" t="e">
        <f t="shared" ca="1" si="160"/>
        <v>#N/A</v>
      </c>
      <c r="N142" s="3" t="e">
        <f t="shared" ca="1" si="160"/>
        <v>#N/A</v>
      </c>
      <c r="P142" s="3" t="e">
        <f t="shared" ca="1" si="161"/>
        <v>#N/A</v>
      </c>
      <c r="Q142" s="3" t="e">
        <f t="shared" ca="1" si="161"/>
        <v>#N/A</v>
      </c>
      <c r="R142" s="3" t="e">
        <f t="shared" ca="1" si="161"/>
        <v>#N/A</v>
      </c>
      <c r="S142" s="3" t="e">
        <f t="shared" ca="1" si="161"/>
        <v>#N/A</v>
      </c>
      <c r="U142" s="3" t="e">
        <f t="shared" ca="1" si="162"/>
        <v>#N/A</v>
      </c>
      <c r="V142" s="3" t="e">
        <f t="shared" ca="1" si="162"/>
        <v>#N/A</v>
      </c>
      <c r="W142" s="3" t="e">
        <f t="shared" ca="1" si="162"/>
        <v>#N/A</v>
      </c>
      <c r="X142" s="3" t="e">
        <f t="shared" ca="1" si="162"/>
        <v>#N/A</v>
      </c>
      <c r="Z142" s="3" t="e">
        <f t="shared" ca="1" si="163"/>
        <v>#N/A</v>
      </c>
      <c r="AA142" s="3" t="e">
        <f t="shared" ca="1" si="163"/>
        <v>#N/A</v>
      </c>
      <c r="AB142" s="3" t="e">
        <f t="shared" ca="1" si="163"/>
        <v>#N/A</v>
      </c>
      <c r="AC142" s="3" t="e">
        <f t="shared" ca="1" si="163"/>
        <v>#N/A</v>
      </c>
      <c r="AE142" s="3" t="e">
        <f t="shared" ca="1" si="164"/>
        <v>#N/A</v>
      </c>
      <c r="AF142" s="3" t="e">
        <f t="shared" ca="1" si="164"/>
        <v>#N/A</v>
      </c>
      <c r="AG142" s="3" t="e">
        <f t="shared" ca="1" si="164"/>
        <v>#N/A</v>
      </c>
      <c r="AH142" s="3" t="e">
        <f t="shared" ca="1" si="164"/>
        <v>#N/A</v>
      </c>
      <c r="AJ142" s="3" t="e">
        <f t="shared" ca="1" si="165"/>
        <v>#N/A</v>
      </c>
      <c r="AK142" s="3" t="e">
        <f t="shared" ca="1" si="165"/>
        <v>#N/A</v>
      </c>
      <c r="AL142" s="3" t="e">
        <f t="shared" ca="1" si="165"/>
        <v>#N/A</v>
      </c>
      <c r="AM142" s="3" t="e">
        <f t="shared" ca="1" si="165"/>
        <v>#N/A</v>
      </c>
      <c r="AO142" s="3" t="e">
        <f t="shared" ca="1" si="166"/>
        <v>#N/A</v>
      </c>
      <c r="AP142" s="3" t="e">
        <f t="shared" ca="1" si="166"/>
        <v>#N/A</v>
      </c>
      <c r="AQ142" s="3" t="e">
        <f t="shared" ca="1" si="166"/>
        <v>#N/A</v>
      </c>
      <c r="AR142" s="3" t="e">
        <f t="shared" ca="1" si="166"/>
        <v>#N/A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Y142" s="3" t="e">
        <f t="shared" ca="1" si="167"/>
        <v>#N/A</v>
      </c>
      <c r="AZ142" s="3" t="e">
        <f t="shared" ca="1" si="168"/>
        <v>#N/A</v>
      </c>
      <c r="BA142" s="3" t="e">
        <f t="shared" ca="1" si="169"/>
        <v>#N/A</v>
      </c>
      <c r="BB142" s="3" t="e">
        <f t="shared" ca="1" si="170"/>
        <v>#N/A</v>
      </c>
      <c r="BD142" s="3" t="e">
        <f t="shared" ca="1" si="171"/>
        <v>#N/A</v>
      </c>
      <c r="BE142" s="3" t="e">
        <f t="shared" ca="1" si="172"/>
        <v>#N/A</v>
      </c>
      <c r="BF142" s="3" t="e">
        <f t="shared" ca="1" si="173"/>
        <v>#N/A</v>
      </c>
      <c r="BG142" s="3" t="e">
        <f t="shared" ca="1" si="174"/>
        <v>#N/A</v>
      </c>
      <c r="BI142" s="3" t="e">
        <f t="shared" ca="1" si="175"/>
        <v>#N/A</v>
      </c>
      <c r="BJ142" s="3" t="e">
        <f t="shared" ca="1" si="176"/>
        <v>#N/A</v>
      </c>
      <c r="BK142" s="3" t="e">
        <f t="shared" ca="1" si="177"/>
        <v>#N/A</v>
      </c>
      <c r="BL142" s="3" t="e">
        <f t="shared" ca="1" si="178"/>
        <v>#N/A</v>
      </c>
      <c r="BN142" s="3" t="e">
        <f t="shared" ca="1" si="179"/>
        <v>#N/A</v>
      </c>
      <c r="BO142" s="3" t="e">
        <f t="shared" ca="1" si="180"/>
        <v>#N/A</v>
      </c>
      <c r="BP142" s="3" t="e">
        <f t="shared" ca="1" si="181"/>
        <v>#N/A</v>
      </c>
      <c r="BQ142" s="3" t="e">
        <f t="shared" ca="1" si="182"/>
        <v>#N/A</v>
      </c>
      <c r="BS142" s="11" t="e">
        <v>#N/A</v>
      </c>
      <c r="BT142" s="11" t="e">
        <v>#N/A</v>
      </c>
      <c r="BU142" s="11" t="e">
        <v>#N/A</v>
      </c>
      <c r="BV142" s="11" t="e">
        <v>#N/A</v>
      </c>
      <c r="BX142" s="3" t="e">
        <f t="shared" ca="1" si="183"/>
        <v>#N/A</v>
      </c>
      <c r="BY142" s="3" t="e">
        <f t="shared" ca="1" si="184"/>
        <v>#N/A</v>
      </c>
      <c r="BZ142" s="3" t="e">
        <f t="shared" ca="1" si="185"/>
        <v>#N/A</v>
      </c>
      <c r="CA142" s="3" t="e">
        <f t="shared" ca="1" si="186"/>
        <v>#N/A</v>
      </c>
      <c r="CC142" s="3" t="e">
        <f t="shared" ca="1" si="187"/>
        <v>#N/A</v>
      </c>
      <c r="CD142" s="3" t="e">
        <f t="shared" ca="1" si="188"/>
        <v>#N/A</v>
      </c>
      <c r="CE142" s="3" t="e">
        <f t="shared" ca="1" si="189"/>
        <v>#N/A</v>
      </c>
      <c r="CF142" s="3" t="e">
        <f t="shared" ca="1" si="190"/>
        <v>#N/A</v>
      </c>
      <c r="CH142" s="3" t="e">
        <f t="shared" ca="1" si="191"/>
        <v>#N/A</v>
      </c>
      <c r="CI142" s="3" t="e">
        <f t="shared" ca="1" si="192"/>
        <v>#N/A</v>
      </c>
      <c r="CJ142" s="3" t="e">
        <f t="shared" ca="1" si="193"/>
        <v>#N/A</v>
      </c>
      <c r="CK142" s="3" t="e">
        <f t="shared" ca="1" si="194"/>
        <v>#N/A</v>
      </c>
      <c r="CM142" s="3" t="e">
        <f t="shared" ca="1" si="195"/>
        <v>#N/A</v>
      </c>
      <c r="CN142" s="3" t="e">
        <f t="shared" ca="1" si="196"/>
        <v>#N/A</v>
      </c>
      <c r="CO142" s="3" t="e">
        <f t="shared" ca="1" si="197"/>
        <v>#N/A</v>
      </c>
      <c r="CP142" s="3" t="e">
        <f t="shared" ca="1" si="198"/>
        <v>#N/A</v>
      </c>
      <c r="CR142" s="11" t="e">
        <v>#N/A</v>
      </c>
      <c r="CS142" s="11" t="e">
        <v>#N/A</v>
      </c>
      <c r="CT142" s="11" t="e">
        <v>#N/A</v>
      </c>
      <c r="CU142" s="11" t="e">
        <v>#N/A</v>
      </c>
      <c r="CV142" s="21" t="e">
        <f t="shared" ca="1" si="200"/>
        <v>#N/A</v>
      </c>
      <c r="CW142" s="16">
        <f t="shared" ca="1" si="199"/>
        <v>8.5</v>
      </c>
    </row>
    <row r="143" spans="1:101" s="5" customFormat="1" x14ac:dyDescent="0.35">
      <c r="A143" s="4" t="s">
        <v>130</v>
      </c>
      <c r="B143" s="4">
        <v>8.5</v>
      </c>
      <c r="C143" s="4" t="s">
        <v>168</v>
      </c>
      <c r="D143" s="4" t="s">
        <v>404</v>
      </c>
      <c r="E143" s="3"/>
      <c r="F143" s="5" t="e">
        <v>#N/A</v>
      </c>
      <c r="G143" s="5">
        <v>4.01</v>
      </c>
      <c r="H143" s="5">
        <v>4.032</v>
      </c>
      <c r="I143" s="5">
        <v>4.01</v>
      </c>
      <c r="K143" s="3" t="e">
        <f t="shared" ca="1" si="160"/>
        <v>#N/A</v>
      </c>
      <c r="L143" s="3">
        <f t="shared" ca="1" si="160"/>
        <v>0.94763092269326699</v>
      </c>
      <c r="M143" s="3">
        <f t="shared" ca="1" si="160"/>
        <v>0.82638888888888906</v>
      </c>
      <c r="N143" s="3">
        <f t="shared" ca="1" si="160"/>
        <v>0.78952618453865342</v>
      </c>
      <c r="P143" s="3" t="e">
        <f t="shared" ca="1" si="161"/>
        <v>#N/A</v>
      </c>
      <c r="Q143" s="3">
        <f t="shared" ca="1" si="161"/>
        <v>0.46982551156136759</v>
      </c>
      <c r="R143" s="3">
        <f t="shared" ca="1" si="161"/>
        <v>0.85987101100193009</v>
      </c>
      <c r="S143" s="3">
        <f t="shared" ca="1" si="161"/>
        <v>0.7351620564065372</v>
      </c>
      <c r="U143" s="3" t="e">
        <f t="shared" ca="1" si="162"/>
        <v>#N/A</v>
      </c>
      <c r="V143" s="3">
        <f t="shared" ca="1" si="162"/>
        <v>1.745635910224439</v>
      </c>
      <c r="W143" s="3">
        <f t="shared" ca="1" si="162"/>
        <v>2.2321428571428572</v>
      </c>
      <c r="X143" s="3">
        <f t="shared" ca="1" si="162"/>
        <v>1.745635910224439</v>
      </c>
      <c r="Z143" s="3" t="e">
        <f t="shared" ca="1" si="163"/>
        <v>#N/A</v>
      </c>
      <c r="AA143" s="3">
        <f t="shared" ca="1" si="163"/>
        <v>0.56508728179551138</v>
      </c>
      <c r="AB143" s="3">
        <f t="shared" ca="1" si="163"/>
        <v>0.60739087301587302</v>
      </c>
      <c r="AC143" s="3">
        <f t="shared" ca="1" si="163"/>
        <v>0.673067331670823</v>
      </c>
      <c r="AE143" s="3" t="e">
        <f t="shared" ca="1" si="164"/>
        <v>#N/A</v>
      </c>
      <c r="AF143" s="3">
        <f t="shared" ca="1" si="164"/>
        <v>0.43241901885244322</v>
      </c>
      <c r="AG143" s="3">
        <f t="shared" ca="1" si="164"/>
        <v>0.55431545756402467</v>
      </c>
      <c r="AH143" s="3">
        <f t="shared" ca="1" si="164"/>
        <v>0.6521196761853677</v>
      </c>
      <c r="AJ143" s="3" t="e">
        <f t="shared" ca="1" si="165"/>
        <v>#N/A</v>
      </c>
      <c r="AK143" s="3">
        <f t="shared" ca="1" si="165"/>
        <v>1.4962593516209477</v>
      </c>
      <c r="AL143" s="3">
        <f t="shared" ca="1" si="165"/>
        <v>1.4880952380952381</v>
      </c>
      <c r="AM143" s="3">
        <f t="shared" ca="1" si="165"/>
        <v>1.4962593516209477</v>
      </c>
      <c r="AO143" s="3" t="e">
        <f t="shared" ca="1" si="166"/>
        <v>#N/A</v>
      </c>
      <c r="AP143" s="3">
        <f t="shared" ca="1" si="166"/>
        <v>0.49875311720698257</v>
      </c>
      <c r="AQ143" s="3">
        <f t="shared" ca="1" si="166"/>
        <v>0.49603174603174605</v>
      </c>
      <c r="AR143" s="3">
        <f t="shared" ca="1" si="166"/>
        <v>0.49875311720698257</v>
      </c>
      <c r="AT143" s="5">
        <v>1.0000000474974513E-3</v>
      </c>
      <c r="AU143" s="5">
        <v>0.74400001764297485</v>
      </c>
      <c r="AV143" s="5">
        <v>0.47999998927116394</v>
      </c>
      <c r="AW143" s="5">
        <v>1.3000000268220901E-2</v>
      </c>
      <c r="AY143" s="3" t="e">
        <f t="shared" ca="1" si="167"/>
        <v>#N/A</v>
      </c>
      <c r="AZ143" s="3">
        <f t="shared" ca="1" si="168"/>
        <v>0.32817955112219444</v>
      </c>
      <c r="BA143" s="3">
        <f t="shared" ca="1" si="169"/>
        <v>0.28124999999999994</v>
      </c>
      <c r="BB143" s="3">
        <f t="shared" ca="1" si="170"/>
        <v>0.24912718204488776</v>
      </c>
      <c r="BD143" s="3" t="e">
        <f t="shared" ca="1" si="171"/>
        <v>#N/A</v>
      </c>
      <c r="BE143" s="3">
        <f t="shared" ca="1" si="172"/>
        <v>0.32418958861334368</v>
      </c>
      <c r="BF143" s="3">
        <f t="shared" ca="1" si="173"/>
        <v>0.35987103298779516</v>
      </c>
      <c r="BG143" s="3">
        <f t="shared" ca="1" si="174"/>
        <v>0.27406483219746047</v>
      </c>
      <c r="BI143" s="3" t="e">
        <f t="shared" ca="1" si="175"/>
        <v>#N/A</v>
      </c>
      <c r="BJ143" s="3">
        <f t="shared" ca="1" si="176"/>
        <v>0.74812967581047385</v>
      </c>
      <c r="BK143" s="3">
        <f t="shared" ca="1" si="177"/>
        <v>0.74404761904761907</v>
      </c>
      <c r="BL143" s="3">
        <f t="shared" ca="1" si="178"/>
        <v>0.99750623441396513</v>
      </c>
      <c r="BN143" s="3" t="e">
        <f t="shared" ca="1" si="179"/>
        <v>#N/A</v>
      </c>
      <c r="BO143" s="3">
        <f t="shared" ca="1" si="180"/>
        <v>0.49875311720698257</v>
      </c>
      <c r="BP143" s="3">
        <f t="shared" ca="1" si="181"/>
        <v>0.99206349206349209</v>
      </c>
      <c r="BQ143" s="3">
        <f t="shared" ca="1" si="182"/>
        <v>0.49875311720698257</v>
      </c>
      <c r="BS143" s="5">
        <v>0.58399999141693115</v>
      </c>
      <c r="BT143" s="5">
        <v>0.74400001764297485</v>
      </c>
      <c r="BU143" s="5">
        <v>0.47999998927116394</v>
      </c>
      <c r="BV143" s="5">
        <v>0.66299998760223389</v>
      </c>
      <c r="BX143" s="3" t="e">
        <f t="shared" ca="1" si="183"/>
        <v>#N/A</v>
      </c>
      <c r="BY143" s="3">
        <f t="shared" ca="1" si="184"/>
        <v>3.9900249376558644E-3</v>
      </c>
      <c r="BZ143" s="3">
        <f t="shared" ca="1" si="185"/>
        <v>0</v>
      </c>
      <c r="CA143" s="3">
        <f t="shared" ca="1" si="186"/>
        <v>0</v>
      </c>
      <c r="CC143" s="3" t="e">
        <f t="shared" ca="1" si="187"/>
        <v>#N/A</v>
      </c>
      <c r="CD143" s="3">
        <f t="shared" ca="1" si="188"/>
        <v>0</v>
      </c>
      <c r="CE143" s="3">
        <f t="shared" ca="1" si="189"/>
        <v>0</v>
      </c>
      <c r="CF143" s="3">
        <f t="shared" ca="1" si="190"/>
        <v>0</v>
      </c>
      <c r="CH143" s="3" t="e">
        <f t="shared" ca="1" si="191"/>
        <v>#N/A</v>
      </c>
      <c r="CI143" s="3">
        <f t="shared" ca="1" si="192"/>
        <v>0</v>
      </c>
      <c r="CJ143" s="3">
        <f t="shared" ca="1" si="193"/>
        <v>0</v>
      </c>
      <c r="CK143" s="3">
        <f t="shared" ca="1" si="194"/>
        <v>0</v>
      </c>
      <c r="CM143" s="3" t="e">
        <f t="shared" ca="1" si="195"/>
        <v>#N/A</v>
      </c>
      <c r="CN143" s="3">
        <f t="shared" ca="1" si="196"/>
        <v>1.2468827930174564</v>
      </c>
      <c r="CO143" s="3">
        <f t="shared" ca="1" si="197"/>
        <v>0</v>
      </c>
      <c r="CP143" s="3">
        <f t="shared" ca="1" si="198"/>
        <v>0</v>
      </c>
      <c r="CR143" s="5">
        <v>4.0309999999999997</v>
      </c>
      <c r="CS143" s="5">
        <v>4.01</v>
      </c>
      <c r="CT143" s="5">
        <v>4.032</v>
      </c>
      <c r="CU143" s="5">
        <v>4.01</v>
      </c>
      <c r="CV143" s="21">
        <f t="shared" ca="1" si="200"/>
        <v>4.01</v>
      </c>
      <c r="CW143" s="16">
        <f t="shared" ca="1" si="199"/>
        <v>8.5</v>
      </c>
    </row>
    <row r="144" spans="1:101" s="5" customFormat="1" x14ac:dyDescent="0.35">
      <c r="A144" s="4" t="s">
        <v>156</v>
      </c>
      <c r="B144" s="4">
        <v>8.5</v>
      </c>
      <c r="C144" s="4" t="s">
        <v>168</v>
      </c>
      <c r="D144" s="4" t="s">
        <v>404</v>
      </c>
      <c r="E144" s="3"/>
      <c r="F144" s="5" t="e">
        <v>#N/A</v>
      </c>
      <c r="G144" s="5" t="e">
        <v>#N/A</v>
      </c>
      <c r="H144" s="11" t="e">
        <v>#N/A</v>
      </c>
      <c r="I144" s="5" t="e">
        <v>#N/A</v>
      </c>
      <c r="K144" s="3" t="e">
        <f t="shared" ca="1" si="160"/>
        <v>#N/A</v>
      </c>
      <c r="L144" s="3" t="e">
        <f t="shared" ca="1" si="160"/>
        <v>#N/A</v>
      </c>
      <c r="M144" s="3" t="e">
        <f t="shared" ca="1" si="160"/>
        <v>#N/A</v>
      </c>
      <c r="N144" s="3" t="e">
        <f t="shared" ca="1" si="160"/>
        <v>#N/A</v>
      </c>
      <c r="P144" s="3" t="e">
        <f t="shared" ca="1" si="161"/>
        <v>#N/A</v>
      </c>
      <c r="Q144" s="3" t="e">
        <f t="shared" ca="1" si="161"/>
        <v>#N/A</v>
      </c>
      <c r="R144" s="3" t="e">
        <f t="shared" ca="1" si="161"/>
        <v>#N/A</v>
      </c>
      <c r="S144" s="3" t="e">
        <f t="shared" ca="1" si="161"/>
        <v>#N/A</v>
      </c>
      <c r="U144" s="3" t="e">
        <f t="shared" ca="1" si="162"/>
        <v>#N/A</v>
      </c>
      <c r="V144" s="3" t="e">
        <f t="shared" ca="1" si="162"/>
        <v>#N/A</v>
      </c>
      <c r="W144" s="3" t="e">
        <f t="shared" ca="1" si="162"/>
        <v>#N/A</v>
      </c>
      <c r="X144" s="3" t="e">
        <f t="shared" ca="1" si="162"/>
        <v>#N/A</v>
      </c>
      <c r="Z144" s="3" t="e">
        <f t="shared" ca="1" si="163"/>
        <v>#N/A</v>
      </c>
      <c r="AA144" s="3" t="e">
        <f t="shared" ca="1" si="163"/>
        <v>#N/A</v>
      </c>
      <c r="AB144" s="3" t="e">
        <f t="shared" ca="1" si="163"/>
        <v>#N/A</v>
      </c>
      <c r="AC144" s="3" t="e">
        <f t="shared" ca="1" si="163"/>
        <v>#N/A</v>
      </c>
      <c r="AE144" s="3" t="e">
        <f t="shared" ca="1" si="164"/>
        <v>#N/A</v>
      </c>
      <c r="AF144" s="3" t="e">
        <f t="shared" ca="1" si="164"/>
        <v>#N/A</v>
      </c>
      <c r="AG144" s="3" t="e">
        <f t="shared" ca="1" si="164"/>
        <v>#N/A</v>
      </c>
      <c r="AH144" s="3" t="e">
        <f t="shared" ca="1" si="164"/>
        <v>#N/A</v>
      </c>
      <c r="AJ144" s="3" t="e">
        <f t="shared" ca="1" si="165"/>
        <v>#N/A</v>
      </c>
      <c r="AK144" s="3" t="e">
        <f t="shared" ca="1" si="165"/>
        <v>#N/A</v>
      </c>
      <c r="AL144" s="3" t="e">
        <f t="shared" ca="1" si="165"/>
        <v>#N/A</v>
      </c>
      <c r="AM144" s="3" t="e">
        <f t="shared" ca="1" si="165"/>
        <v>#N/A</v>
      </c>
      <c r="AO144" s="3" t="e">
        <f t="shared" ca="1" si="166"/>
        <v>#N/A</v>
      </c>
      <c r="AP144" s="3" t="e">
        <f t="shared" ca="1" si="166"/>
        <v>#N/A</v>
      </c>
      <c r="AQ144" s="3" t="e">
        <f t="shared" ca="1" si="166"/>
        <v>#N/A</v>
      </c>
      <c r="AR144" s="3" t="e">
        <f t="shared" ca="1" si="166"/>
        <v>#N/A</v>
      </c>
      <c r="AT144" s="5">
        <v>1.5800000429153442</v>
      </c>
      <c r="AU144" s="5">
        <v>1.1230000257492065</v>
      </c>
      <c r="AV144" s="11" t="e">
        <v>#N/A</v>
      </c>
      <c r="AW144" s="11" t="e">
        <v>#N/A</v>
      </c>
      <c r="AY144" s="3" t="e">
        <f t="shared" ca="1" si="167"/>
        <v>#N/A</v>
      </c>
      <c r="AZ144" s="3" t="e">
        <f t="shared" ca="1" si="168"/>
        <v>#N/A</v>
      </c>
      <c r="BA144" s="3" t="e">
        <f t="shared" ca="1" si="169"/>
        <v>#N/A</v>
      </c>
      <c r="BB144" s="3" t="e">
        <f t="shared" ca="1" si="170"/>
        <v>#N/A</v>
      </c>
      <c r="BD144" s="3" t="e">
        <f t="shared" ca="1" si="171"/>
        <v>#N/A</v>
      </c>
      <c r="BE144" s="3" t="e">
        <f t="shared" ca="1" si="172"/>
        <v>#N/A</v>
      </c>
      <c r="BF144" s="3" t="e">
        <f t="shared" ca="1" si="173"/>
        <v>#N/A</v>
      </c>
      <c r="BG144" s="3" t="e">
        <f t="shared" ca="1" si="174"/>
        <v>#N/A</v>
      </c>
      <c r="BI144" s="3" t="e">
        <f t="shared" ca="1" si="175"/>
        <v>#N/A</v>
      </c>
      <c r="BJ144" s="3" t="e">
        <f t="shared" ca="1" si="176"/>
        <v>#N/A</v>
      </c>
      <c r="BK144" s="3" t="e">
        <f t="shared" ca="1" si="177"/>
        <v>#N/A</v>
      </c>
      <c r="BL144" s="3" t="e">
        <f t="shared" ca="1" si="178"/>
        <v>#N/A</v>
      </c>
      <c r="BN144" s="3" t="e">
        <f t="shared" ca="1" si="179"/>
        <v>#N/A</v>
      </c>
      <c r="BO144" s="3" t="e">
        <f t="shared" ca="1" si="180"/>
        <v>#N/A</v>
      </c>
      <c r="BP144" s="3" t="e">
        <f t="shared" ca="1" si="181"/>
        <v>#N/A</v>
      </c>
      <c r="BQ144" s="3" t="e">
        <f t="shared" ca="1" si="182"/>
        <v>#N/A</v>
      </c>
      <c r="BS144" s="5">
        <v>4.0129999999999999</v>
      </c>
      <c r="BT144" s="5">
        <v>4.016</v>
      </c>
      <c r="BU144" s="11" t="e">
        <v>#N/A</v>
      </c>
      <c r="BV144" s="11" t="e">
        <v>#N/A</v>
      </c>
      <c r="BX144" s="3" t="e">
        <f t="shared" ca="1" si="183"/>
        <v>#N/A</v>
      </c>
      <c r="BY144" s="3" t="e">
        <f t="shared" ca="1" si="184"/>
        <v>#N/A</v>
      </c>
      <c r="BZ144" s="3" t="e">
        <f t="shared" ca="1" si="185"/>
        <v>#N/A</v>
      </c>
      <c r="CA144" s="3" t="e">
        <f t="shared" ca="1" si="186"/>
        <v>#N/A</v>
      </c>
      <c r="CC144" s="3" t="e">
        <f t="shared" ca="1" si="187"/>
        <v>#N/A</v>
      </c>
      <c r="CD144" s="3" t="e">
        <f t="shared" ca="1" si="188"/>
        <v>#N/A</v>
      </c>
      <c r="CE144" s="3" t="e">
        <f t="shared" ca="1" si="189"/>
        <v>#N/A</v>
      </c>
      <c r="CF144" s="3" t="e">
        <f t="shared" ca="1" si="190"/>
        <v>#N/A</v>
      </c>
      <c r="CH144" s="3" t="e">
        <f t="shared" ca="1" si="191"/>
        <v>#N/A</v>
      </c>
      <c r="CI144" s="3" t="e">
        <f t="shared" ca="1" si="192"/>
        <v>#N/A</v>
      </c>
      <c r="CJ144" s="3" t="e">
        <f t="shared" ca="1" si="193"/>
        <v>#N/A</v>
      </c>
      <c r="CK144" s="3" t="e">
        <f t="shared" ca="1" si="194"/>
        <v>#N/A</v>
      </c>
      <c r="CM144" s="3" t="e">
        <f t="shared" ca="1" si="195"/>
        <v>#N/A</v>
      </c>
      <c r="CN144" s="3" t="e">
        <f t="shared" ca="1" si="196"/>
        <v>#N/A</v>
      </c>
      <c r="CO144" s="3" t="e">
        <f t="shared" ca="1" si="197"/>
        <v>#N/A</v>
      </c>
      <c r="CP144" s="3" t="e">
        <f t="shared" ca="1" si="198"/>
        <v>#N/A</v>
      </c>
      <c r="CR144" s="5">
        <v>1.5800000429153442</v>
      </c>
      <c r="CS144" s="5">
        <v>4.016</v>
      </c>
      <c r="CT144" s="11" t="e">
        <v>#N/A</v>
      </c>
      <c r="CU144" s="11" t="e">
        <v>#N/A</v>
      </c>
      <c r="CV144" s="21" t="e">
        <f t="shared" ca="1" si="200"/>
        <v>#N/A</v>
      </c>
      <c r="CW144" s="16">
        <f t="shared" ca="1" si="199"/>
        <v>8.5</v>
      </c>
    </row>
    <row r="145" spans="1:101" s="5" customFormat="1" x14ac:dyDescent="0.35">
      <c r="A145" s="4" t="s">
        <v>116</v>
      </c>
      <c r="B145" s="4">
        <v>8.5833333333333339</v>
      </c>
      <c r="C145" s="4" t="s">
        <v>168</v>
      </c>
      <c r="D145" s="4" t="s">
        <v>404</v>
      </c>
      <c r="E145" s="3"/>
      <c r="F145" s="5">
        <v>4.0060000000000002</v>
      </c>
      <c r="G145" s="5">
        <v>4.016</v>
      </c>
      <c r="H145" s="5">
        <v>4.016</v>
      </c>
      <c r="I145" s="5">
        <v>4.0129999999999999</v>
      </c>
      <c r="K145" s="3">
        <f t="shared" ca="1" si="160"/>
        <v>0.93185222166749859</v>
      </c>
      <c r="L145" s="3">
        <f t="shared" ca="1" si="160"/>
        <v>0.77166334661354585</v>
      </c>
      <c r="M145" s="3">
        <f t="shared" ca="1" si="160"/>
        <v>0.82569721115537842</v>
      </c>
      <c r="N145" s="3">
        <f t="shared" ca="1" si="160"/>
        <v>0.89683528532270118</v>
      </c>
      <c r="P145" s="3">
        <f t="shared" ca="1" si="161"/>
        <v>0.81902149463973517</v>
      </c>
      <c r="Q145" s="3">
        <f t="shared" ca="1" si="161"/>
        <v>0.7422808038286004</v>
      </c>
      <c r="R145" s="3">
        <f t="shared" ca="1" si="161"/>
        <v>0.68451197765975358</v>
      </c>
      <c r="S145" s="3">
        <f t="shared" ca="1" si="161"/>
        <v>0.5766259385200917</v>
      </c>
      <c r="U145" s="3">
        <f t="shared" ca="1" si="162"/>
        <v>2.4962556165751373</v>
      </c>
      <c r="V145" s="3">
        <f t="shared" ca="1" si="162"/>
        <v>2.9880478087649402</v>
      </c>
      <c r="W145" s="3">
        <f t="shared" ca="1" si="162"/>
        <v>1.7430278884462151</v>
      </c>
      <c r="X145" s="3">
        <f t="shared" ca="1" si="162"/>
        <v>1.74433092449539</v>
      </c>
      <c r="Z145" s="3">
        <f t="shared" ca="1" si="163"/>
        <v>0.93185222166749859</v>
      </c>
      <c r="AA145" s="3">
        <f t="shared" ca="1" si="163"/>
        <v>0.84238047808764949</v>
      </c>
      <c r="AB145" s="3">
        <f t="shared" ca="1" si="163"/>
        <v>0.82569721115537842</v>
      </c>
      <c r="AC145" s="3">
        <f t="shared" ca="1" si="163"/>
        <v>0.72663842511836529</v>
      </c>
      <c r="AE145" s="3">
        <f t="shared" ca="1" si="164"/>
        <v>0.81902149463973517</v>
      </c>
      <c r="AF145" s="3">
        <f t="shared" ca="1" si="164"/>
        <v>0.7422808038286004</v>
      </c>
      <c r="AG145" s="3">
        <f t="shared" ca="1" si="164"/>
        <v>0.68451197765975358</v>
      </c>
      <c r="AH145" s="3">
        <f t="shared" ca="1" si="164"/>
        <v>0.4438076000275411</v>
      </c>
      <c r="AJ145" s="3">
        <f t="shared" ca="1" si="165"/>
        <v>2.4962556165751373</v>
      </c>
      <c r="AK145" s="3">
        <f t="shared" ca="1" si="165"/>
        <v>2.9880478087649402</v>
      </c>
      <c r="AL145" s="3">
        <f t="shared" ca="1" si="165"/>
        <v>1.7430278884462151</v>
      </c>
      <c r="AM145" s="3">
        <f t="shared" ca="1" si="165"/>
        <v>1.4951407924246201</v>
      </c>
      <c r="AO145" s="3">
        <f t="shared" ca="1" si="166"/>
        <v>0.24962556165751371</v>
      </c>
      <c r="AP145" s="3">
        <f t="shared" ca="1" si="166"/>
        <v>0.24900398406374502</v>
      </c>
      <c r="AQ145" s="3">
        <f t="shared" ca="1" si="166"/>
        <v>0.24900398406374502</v>
      </c>
      <c r="AR145" s="3">
        <f t="shared" ca="1" si="166"/>
        <v>0.49838026414154002</v>
      </c>
      <c r="AT145" s="5">
        <v>0.28099998831748962</v>
      </c>
      <c r="AU145" s="5">
        <v>0.6679999828338623</v>
      </c>
      <c r="AV145" s="5">
        <v>0.38199999928474426</v>
      </c>
      <c r="AW145" s="5">
        <v>0.41100001335144043</v>
      </c>
      <c r="AY145" s="3">
        <f t="shared" ca="1" si="167"/>
        <v>0.32001997004493249</v>
      </c>
      <c r="AZ145" s="3">
        <f t="shared" ca="1" si="168"/>
        <v>0.26967131474103595</v>
      </c>
      <c r="BA145" s="3">
        <f t="shared" ca="1" si="169"/>
        <v>0.35682270916334663</v>
      </c>
      <c r="BB145" s="3">
        <f t="shared" ca="1" si="170"/>
        <v>0.33192125591826571</v>
      </c>
      <c r="BD145" s="3">
        <f t="shared" ca="1" si="171"/>
        <v>0.31577635424409695</v>
      </c>
      <c r="BE145" s="3">
        <f t="shared" ca="1" si="172"/>
        <v>0.25722108395451093</v>
      </c>
      <c r="BF145" s="3">
        <f t="shared" ca="1" si="173"/>
        <v>0.36080678798762927</v>
      </c>
      <c r="BG145" s="3">
        <f t="shared" ca="1" si="174"/>
        <v>0.33192123049011918</v>
      </c>
      <c r="BI145" s="3">
        <f t="shared" ca="1" si="175"/>
        <v>0.74887668497254112</v>
      </c>
      <c r="BJ145" s="3">
        <f t="shared" ca="1" si="176"/>
        <v>0.74701195219123506</v>
      </c>
      <c r="BK145" s="3">
        <f t="shared" ca="1" si="177"/>
        <v>0.74701195219123506</v>
      </c>
      <c r="BL145" s="3">
        <f t="shared" ca="1" si="178"/>
        <v>0.99676052828308004</v>
      </c>
      <c r="BN145" s="3">
        <f t="shared" ca="1" si="179"/>
        <v>0.49925112331502741</v>
      </c>
      <c r="BO145" s="3">
        <f t="shared" ca="1" si="180"/>
        <v>0.99601593625498008</v>
      </c>
      <c r="BP145" s="3">
        <f t="shared" ca="1" si="181"/>
        <v>0.74701195219123506</v>
      </c>
      <c r="BQ145" s="3">
        <f t="shared" ca="1" si="182"/>
        <v>0.99676052828308004</v>
      </c>
      <c r="BS145" s="5">
        <v>0.28099998831748962</v>
      </c>
      <c r="BT145" s="5">
        <v>0.6679999828338623</v>
      </c>
      <c r="BU145" s="5">
        <v>0.7149999737739563</v>
      </c>
      <c r="BV145" s="5">
        <v>0.59399998188018799</v>
      </c>
      <c r="BX145" s="3">
        <f t="shared" ca="1" si="183"/>
        <v>0.31228157763354963</v>
      </c>
      <c r="BY145" s="3">
        <f t="shared" ca="1" si="184"/>
        <v>5.378486055776889E-2</v>
      </c>
      <c r="BZ145" s="3">
        <f t="shared" ca="1" si="185"/>
        <v>0.1576195219123506</v>
      </c>
      <c r="CA145" s="3">
        <f t="shared" ca="1" si="186"/>
        <v>0</v>
      </c>
      <c r="CC145" s="3">
        <f t="shared" ca="1" si="187"/>
        <v>0.37443837224395643</v>
      </c>
      <c r="CD145" s="3">
        <f t="shared" ca="1" si="188"/>
        <v>4.9800808686184216E-2</v>
      </c>
      <c r="CE145" s="3">
        <f t="shared" ca="1" si="189"/>
        <v>0.21588645014629895</v>
      </c>
      <c r="CF145" s="3">
        <f t="shared" ca="1" si="190"/>
        <v>0</v>
      </c>
      <c r="CH145" s="3">
        <f t="shared" ca="1" si="191"/>
        <v>0.99850224663005482</v>
      </c>
      <c r="CI145" s="3">
        <f t="shared" ca="1" si="192"/>
        <v>0.24900398406374502</v>
      </c>
      <c r="CJ145" s="3">
        <f t="shared" ca="1" si="193"/>
        <v>0.24900398406374502</v>
      </c>
      <c r="CK145" s="3">
        <f t="shared" ca="1" si="194"/>
        <v>0</v>
      </c>
      <c r="CM145" s="3">
        <f t="shared" ca="1" si="195"/>
        <v>0.74887668497254112</v>
      </c>
      <c r="CN145" s="3">
        <f t="shared" ca="1" si="196"/>
        <v>0.99601593625498008</v>
      </c>
      <c r="CO145" s="3">
        <f t="shared" ca="1" si="197"/>
        <v>0.74701195219123506</v>
      </c>
      <c r="CP145" s="3">
        <f t="shared" ca="1" si="198"/>
        <v>0</v>
      </c>
      <c r="CR145" s="5">
        <v>1.4809999465942383</v>
      </c>
      <c r="CS145" s="5">
        <v>3.4839999675750732</v>
      </c>
      <c r="CT145" s="5">
        <v>1.4650000333786011</v>
      </c>
      <c r="CU145" s="5">
        <v>4.0129999999999999</v>
      </c>
      <c r="CV145" s="21">
        <f t="shared" ca="1" si="200"/>
        <v>4.0129999999999999</v>
      </c>
      <c r="CW145" s="16">
        <f t="shared" ca="1" si="199"/>
        <v>8.5833333333333339</v>
      </c>
    </row>
    <row r="146" spans="1:101" s="5" customFormat="1" x14ac:dyDescent="0.35">
      <c r="A146" s="4" t="s">
        <v>150</v>
      </c>
      <c r="B146" s="4">
        <v>8.5833333333333339</v>
      </c>
      <c r="C146" s="4" t="s">
        <v>168</v>
      </c>
      <c r="D146" s="4" t="s">
        <v>404</v>
      </c>
      <c r="E146" s="3"/>
      <c r="F146" s="5" t="e">
        <v>#N/A</v>
      </c>
      <c r="G146" s="5" t="e">
        <v>#N/A</v>
      </c>
      <c r="H146" s="5" t="e">
        <v>#N/A</v>
      </c>
      <c r="I146" s="11" t="e">
        <v>#N/A</v>
      </c>
      <c r="K146" s="3" t="e">
        <f t="shared" ca="1" si="160"/>
        <v>#N/A</v>
      </c>
      <c r="L146" s="3" t="e">
        <f t="shared" ca="1" si="160"/>
        <v>#N/A</v>
      </c>
      <c r="M146" s="3" t="e">
        <f t="shared" ca="1" si="160"/>
        <v>#N/A</v>
      </c>
      <c r="N146" s="3" t="e">
        <f t="shared" ca="1" si="160"/>
        <v>#N/A</v>
      </c>
      <c r="P146" s="3" t="e">
        <f t="shared" ca="1" si="161"/>
        <v>#N/A</v>
      </c>
      <c r="Q146" s="3" t="e">
        <f t="shared" ca="1" si="161"/>
        <v>#N/A</v>
      </c>
      <c r="R146" s="3" t="e">
        <f t="shared" ca="1" si="161"/>
        <v>#N/A</v>
      </c>
      <c r="S146" s="3" t="e">
        <f t="shared" ca="1" si="161"/>
        <v>#N/A</v>
      </c>
      <c r="U146" s="3" t="e">
        <f t="shared" ca="1" si="162"/>
        <v>#N/A</v>
      </c>
      <c r="V146" s="3" t="e">
        <f t="shared" ca="1" si="162"/>
        <v>#N/A</v>
      </c>
      <c r="W146" s="3" t="e">
        <f t="shared" ca="1" si="162"/>
        <v>#N/A</v>
      </c>
      <c r="X146" s="3" t="e">
        <f t="shared" ca="1" si="162"/>
        <v>#N/A</v>
      </c>
      <c r="Z146" s="3" t="e">
        <f t="shared" ca="1" si="163"/>
        <v>#N/A</v>
      </c>
      <c r="AA146" s="3" t="e">
        <f t="shared" ca="1" si="163"/>
        <v>#N/A</v>
      </c>
      <c r="AB146" s="3" t="e">
        <f t="shared" ca="1" si="163"/>
        <v>#N/A</v>
      </c>
      <c r="AC146" s="3" t="e">
        <f t="shared" ca="1" si="163"/>
        <v>#N/A</v>
      </c>
      <c r="AE146" s="3" t="e">
        <f t="shared" ca="1" si="164"/>
        <v>#N/A</v>
      </c>
      <c r="AF146" s="3" t="e">
        <f t="shared" ca="1" si="164"/>
        <v>#N/A</v>
      </c>
      <c r="AG146" s="3" t="e">
        <f t="shared" ca="1" si="164"/>
        <v>#N/A</v>
      </c>
      <c r="AH146" s="3" t="e">
        <f t="shared" ca="1" si="164"/>
        <v>#N/A</v>
      </c>
      <c r="AJ146" s="3" t="e">
        <f t="shared" ca="1" si="165"/>
        <v>#N/A</v>
      </c>
      <c r="AK146" s="3" t="e">
        <f t="shared" ca="1" si="165"/>
        <v>#N/A</v>
      </c>
      <c r="AL146" s="3" t="e">
        <f t="shared" ca="1" si="165"/>
        <v>#N/A</v>
      </c>
      <c r="AM146" s="3" t="e">
        <f t="shared" ca="1" si="165"/>
        <v>#N/A</v>
      </c>
      <c r="AO146" s="3" t="e">
        <f t="shared" ca="1" si="166"/>
        <v>#N/A</v>
      </c>
      <c r="AP146" s="3" t="e">
        <f t="shared" ca="1" si="166"/>
        <v>#N/A</v>
      </c>
      <c r="AQ146" s="3" t="e">
        <f t="shared" ca="1" si="166"/>
        <v>#N/A</v>
      </c>
      <c r="AR146" s="3" t="e">
        <f t="shared" ca="1" si="166"/>
        <v>#N/A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Y146" s="3" t="e">
        <f t="shared" ca="1" si="167"/>
        <v>#N/A</v>
      </c>
      <c r="AZ146" s="3" t="e">
        <f t="shared" ca="1" si="168"/>
        <v>#N/A</v>
      </c>
      <c r="BA146" s="3" t="e">
        <f t="shared" ca="1" si="169"/>
        <v>#N/A</v>
      </c>
      <c r="BB146" s="3" t="e">
        <f t="shared" ca="1" si="170"/>
        <v>#N/A</v>
      </c>
      <c r="BD146" s="3" t="e">
        <f t="shared" ca="1" si="171"/>
        <v>#N/A</v>
      </c>
      <c r="BE146" s="3" t="e">
        <f t="shared" ca="1" si="172"/>
        <v>#N/A</v>
      </c>
      <c r="BF146" s="3" t="e">
        <f t="shared" ca="1" si="173"/>
        <v>#N/A</v>
      </c>
      <c r="BG146" s="3" t="e">
        <f t="shared" ca="1" si="174"/>
        <v>#N/A</v>
      </c>
      <c r="BI146" s="3" t="e">
        <f t="shared" ca="1" si="175"/>
        <v>#N/A</v>
      </c>
      <c r="BJ146" s="3" t="e">
        <f t="shared" ca="1" si="176"/>
        <v>#N/A</v>
      </c>
      <c r="BK146" s="3" t="e">
        <f t="shared" ca="1" si="177"/>
        <v>#N/A</v>
      </c>
      <c r="BL146" s="3" t="e">
        <f t="shared" ca="1" si="178"/>
        <v>#N/A</v>
      </c>
      <c r="BN146" s="3" t="e">
        <f t="shared" ca="1" si="179"/>
        <v>#N/A</v>
      </c>
      <c r="BO146" s="3" t="e">
        <f t="shared" ca="1" si="180"/>
        <v>#N/A</v>
      </c>
      <c r="BP146" s="3" t="e">
        <f t="shared" ca="1" si="181"/>
        <v>#N/A</v>
      </c>
      <c r="BQ146" s="3" t="e">
        <f t="shared" ca="1" si="182"/>
        <v>#N/A</v>
      </c>
      <c r="BS146" s="11" t="e">
        <v>#N/A</v>
      </c>
      <c r="BT146" s="11" t="e">
        <v>#N/A</v>
      </c>
      <c r="BU146" s="11" t="e">
        <v>#N/A</v>
      </c>
      <c r="BV146" s="11" t="e">
        <v>#N/A</v>
      </c>
      <c r="BX146" s="3" t="e">
        <f t="shared" ca="1" si="183"/>
        <v>#N/A</v>
      </c>
      <c r="BY146" s="3" t="e">
        <f t="shared" ca="1" si="184"/>
        <v>#N/A</v>
      </c>
      <c r="BZ146" s="3" t="e">
        <f t="shared" ca="1" si="185"/>
        <v>#N/A</v>
      </c>
      <c r="CA146" s="3" t="e">
        <f t="shared" ca="1" si="186"/>
        <v>#N/A</v>
      </c>
      <c r="CC146" s="3" t="e">
        <f t="shared" ca="1" si="187"/>
        <v>#N/A</v>
      </c>
      <c r="CD146" s="3" t="e">
        <f t="shared" ca="1" si="188"/>
        <v>#N/A</v>
      </c>
      <c r="CE146" s="3" t="e">
        <f t="shared" ca="1" si="189"/>
        <v>#N/A</v>
      </c>
      <c r="CF146" s="3" t="e">
        <f t="shared" ca="1" si="190"/>
        <v>#N/A</v>
      </c>
      <c r="CH146" s="3" t="e">
        <f t="shared" ca="1" si="191"/>
        <v>#N/A</v>
      </c>
      <c r="CI146" s="3" t="e">
        <f t="shared" ca="1" si="192"/>
        <v>#N/A</v>
      </c>
      <c r="CJ146" s="3" t="e">
        <f t="shared" ca="1" si="193"/>
        <v>#N/A</v>
      </c>
      <c r="CK146" s="3" t="e">
        <f t="shared" ca="1" si="194"/>
        <v>#N/A</v>
      </c>
      <c r="CM146" s="3" t="e">
        <f t="shared" ca="1" si="195"/>
        <v>#N/A</v>
      </c>
      <c r="CN146" s="3" t="e">
        <f t="shared" ca="1" si="196"/>
        <v>#N/A</v>
      </c>
      <c r="CO146" s="3" t="e">
        <f t="shared" ca="1" si="197"/>
        <v>#N/A</v>
      </c>
      <c r="CP146" s="3" t="e">
        <f t="shared" ca="1" si="198"/>
        <v>#N/A</v>
      </c>
      <c r="CR146" s="11" t="e">
        <v>#N/A</v>
      </c>
      <c r="CS146" s="11" t="e">
        <v>#N/A</v>
      </c>
      <c r="CT146" s="11" t="e">
        <v>#N/A</v>
      </c>
      <c r="CU146" s="11" t="e">
        <v>#N/A</v>
      </c>
      <c r="CV146" s="21" t="e">
        <f t="shared" ca="1" si="200"/>
        <v>#N/A</v>
      </c>
      <c r="CW146" s="16">
        <f t="shared" ca="1" si="199"/>
        <v>8.5833333333333339</v>
      </c>
    </row>
    <row r="147" spans="1:101" s="5" customFormat="1" x14ac:dyDescent="0.35">
      <c r="A147" s="4" t="s">
        <v>121</v>
      </c>
      <c r="B147" s="4">
        <v>9.3333333333333339</v>
      </c>
      <c r="C147" s="4" t="s">
        <v>168</v>
      </c>
      <c r="D147" s="4" t="s">
        <v>404</v>
      </c>
      <c r="E147" s="3"/>
      <c r="F147" s="5">
        <v>4.0019999999999998</v>
      </c>
      <c r="G147" s="5">
        <v>4.016</v>
      </c>
      <c r="H147" s="5">
        <v>4.0250000000000004</v>
      </c>
      <c r="I147" s="5" t="e">
        <v>#N/A</v>
      </c>
      <c r="K147" s="3">
        <f t="shared" ca="1" si="160"/>
        <v>0.99925037481259382</v>
      </c>
      <c r="L147" s="3">
        <f t="shared" ca="1" si="160"/>
        <v>0.9957669322709165</v>
      </c>
      <c r="M147" s="3">
        <f t="shared" ca="1" si="160"/>
        <v>0.88596273291925465</v>
      </c>
      <c r="N147" s="3" t="e">
        <f t="shared" ca="1" si="160"/>
        <v>#N/A</v>
      </c>
      <c r="P147" s="3">
        <f t="shared" ca="1" si="161"/>
        <v>0.94077957360407172</v>
      </c>
      <c r="Q147" s="3">
        <f t="shared" ca="1" si="161"/>
        <v>0.91708170356037855</v>
      </c>
      <c r="R147" s="3">
        <f t="shared" ca="1" si="161"/>
        <v>0.8526707806202195</v>
      </c>
      <c r="S147" s="3" t="e">
        <f t="shared" ca="1" si="161"/>
        <v>#N/A</v>
      </c>
      <c r="U147" s="3">
        <f t="shared" ca="1" si="162"/>
        <v>1.2493753123438283</v>
      </c>
      <c r="V147" s="3">
        <f t="shared" ca="1" si="162"/>
        <v>1.7430278884462151</v>
      </c>
      <c r="W147" s="3">
        <f t="shared" ca="1" si="162"/>
        <v>1.7391304347826086</v>
      </c>
      <c r="X147" s="3" t="e">
        <f t="shared" ca="1" si="162"/>
        <v>#N/A</v>
      </c>
      <c r="Z147" s="3">
        <f t="shared" ca="1" si="163"/>
        <v>0.99925037481259382</v>
      </c>
      <c r="AA147" s="3">
        <f t="shared" ca="1" si="163"/>
        <v>0.9957669322709165</v>
      </c>
      <c r="AB147" s="3">
        <f t="shared" ca="1" si="163"/>
        <v>0.88596273291925465</v>
      </c>
      <c r="AC147" s="3" t="e">
        <f t="shared" ca="1" si="163"/>
        <v>#N/A</v>
      </c>
      <c r="AE147" s="3">
        <f t="shared" ca="1" si="164"/>
        <v>0.94077957360407172</v>
      </c>
      <c r="AF147" s="3">
        <f t="shared" ca="1" si="164"/>
        <v>0.91708170356037855</v>
      </c>
      <c r="AG147" s="3">
        <f t="shared" ca="1" si="164"/>
        <v>0.8526707806202195</v>
      </c>
      <c r="AH147" s="3" t="e">
        <f t="shared" ca="1" si="164"/>
        <v>#N/A</v>
      </c>
      <c r="AJ147" s="3">
        <f t="shared" ca="1" si="165"/>
        <v>1.2493753123438283</v>
      </c>
      <c r="AK147" s="3">
        <f t="shared" ca="1" si="165"/>
        <v>1.7430278884462151</v>
      </c>
      <c r="AL147" s="3">
        <f t="shared" ca="1" si="165"/>
        <v>1.7391304347826086</v>
      </c>
      <c r="AM147" s="3" t="e">
        <f t="shared" ca="1" si="165"/>
        <v>#N/A</v>
      </c>
      <c r="AO147" s="3">
        <f t="shared" ca="1" si="166"/>
        <v>0.24987506246876562</v>
      </c>
      <c r="AP147" s="3">
        <f t="shared" ca="1" si="166"/>
        <v>0.24900398406374502</v>
      </c>
      <c r="AQ147" s="3">
        <f t="shared" ca="1" si="166"/>
        <v>0.24844720496894407</v>
      </c>
      <c r="AR147" s="3" t="e">
        <f t="shared" ca="1" si="166"/>
        <v>#N/A</v>
      </c>
      <c r="AT147" s="5">
        <v>1.0000000474974513E-3</v>
      </c>
      <c r="AU147" s="5">
        <v>2.0000000949949026E-3</v>
      </c>
      <c r="AV147" s="5">
        <v>0.48399999737739563</v>
      </c>
      <c r="AW147" s="5">
        <v>1.8940000534057617</v>
      </c>
      <c r="AY147" s="3">
        <f t="shared" ca="1" si="167"/>
        <v>0.61619190404797597</v>
      </c>
      <c r="AZ147" s="3">
        <f t="shared" ca="1" si="168"/>
        <v>0.23655378486055781</v>
      </c>
      <c r="BA147" s="3">
        <f t="shared" ca="1" si="169"/>
        <v>0.27329192546583864</v>
      </c>
      <c r="BB147" s="3" t="e">
        <f t="shared" ca="1" si="170"/>
        <v>#N/A</v>
      </c>
      <c r="BD147" s="3">
        <f t="shared" ca="1" si="171"/>
        <v>0.74512738993262007</v>
      </c>
      <c r="BE147" s="3">
        <f t="shared" ca="1" si="172"/>
        <v>0.35308770449512983</v>
      </c>
      <c r="BF147" s="3">
        <f t="shared" ca="1" si="173"/>
        <v>0.48869570589954064</v>
      </c>
      <c r="BG147" s="3" t="e">
        <f t="shared" ca="1" si="174"/>
        <v>#N/A</v>
      </c>
      <c r="BI147" s="3">
        <f t="shared" ca="1" si="175"/>
        <v>0.74962518740629691</v>
      </c>
      <c r="BJ147" s="3">
        <f t="shared" ca="1" si="176"/>
        <v>0.49800796812749004</v>
      </c>
      <c r="BK147" s="3">
        <f t="shared" ca="1" si="177"/>
        <v>0.49689440993788814</v>
      </c>
      <c r="BL147" s="3" t="e">
        <f t="shared" ca="1" si="178"/>
        <v>#N/A</v>
      </c>
      <c r="BN147" s="3">
        <f t="shared" ca="1" si="179"/>
        <v>0.74962518740629691</v>
      </c>
      <c r="BO147" s="3">
        <f t="shared" ca="1" si="180"/>
        <v>0.24900398406374502</v>
      </c>
      <c r="BP147" s="3">
        <f t="shared" ca="1" si="181"/>
        <v>0.49689440993788814</v>
      </c>
      <c r="BQ147" s="3" t="e">
        <f t="shared" ca="1" si="182"/>
        <v>#N/A</v>
      </c>
      <c r="BS147" s="5">
        <v>0.98400002717971802</v>
      </c>
      <c r="BT147" s="5">
        <v>1.1009999513626099</v>
      </c>
      <c r="BU147" s="5">
        <v>0.48399999737739563</v>
      </c>
      <c r="BV147" s="5">
        <v>4.016</v>
      </c>
      <c r="BX147" s="3">
        <f t="shared" ca="1" si="183"/>
        <v>0</v>
      </c>
      <c r="BY147" s="3">
        <f t="shared" ca="1" si="184"/>
        <v>0.30303784860557764</v>
      </c>
      <c r="BZ147" s="3">
        <f t="shared" ca="1" si="185"/>
        <v>0.18608695652173915</v>
      </c>
      <c r="CA147" s="3" t="e">
        <f t="shared" ca="1" si="186"/>
        <v>#N/A</v>
      </c>
      <c r="CC147" s="3">
        <f t="shared" ca="1" si="187"/>
        <v>0</v>
      </c>
      <c r="CD147" s="3">
        <f t="shared" ca="1" si="188"/>
        <v>0.41484060346852036</v>
      </c>
      <c r="CE147" s="3">
        <f t="shared" ca="1" si="189"/>
        <v>0.26484471670589088</v>
      </c>
      <c r="CF147" s="3" t="e">
        <f t="shared" ca="1" si="190"/>
        <v>#N/A</v>
      </c>
      <c r="CH147" s="3">
        <f t="shared" ca="1" si="191"/>
        <v>0</v>
      </c>
      <c r="CI147" s="3">
        <f t="shared" ca="1" si="192"/>
        <v>0.49800796812749004</v>
      </c>
      <c r="CJ147" s="3">
        <f t="shared" ca="1" si="193"/>
        <v>0.49689440993788814</v>
      </c>
      <c r="CK147" s="3" t="e">
        <f t="shared" ca="1" si="194"/>
        <v>#N/A</v>
      </c>
      <c r="CM147" s="3">
        <f t="shared" ca="1" si="195"/>
        <v>0.49975012493753124</v>
      </c>
      <c r="CN147" s="3">
        <f t="shared" ca="1" si="196"/>
        <v>0.49800796812749004</v>
      </c>
      <c r="CO147" s="3">
        <f t="shared" ca="1" si="197"/>
        <v>0.49689440993788814</v>
      </c>
      <c r="CP147" s="3" t="e">
        <f t="shared" ca="1" si="198"/>
        <v>#N/A</v>
      </c>
      <c r="CR147" s="5">
        <v>4.0019999999999998</v>
      </c>
      <c r="CS147" s="5">
        <v>2.0000000949949026E-3</v>
      </c>
      <c r="CT147" s="5">
        <v>2.5169999599456787</v>
      </c>
      <c r="CU147" s="5">
        <v>4.016</v>
      </c>
      <c r="CV147" s="21">
        <f t="shared" ca="1" si="200"/>
        <v>4.016</v>
      </c>
      <c r="CW147" s="16">
        <f t="shared" ca="1" si="199"/>
        <v>9.3333333333333339</v>
      </c>
    </row>
    <row r="148" spans="1:101" s="5" customFormat="1" x14ac:dyDescent="0.35">
      <c r="A148" s="4" t="s">
        <v>133</v>
      </c>
      <c r="B148" s="4">
        <v>9.4166666666666661</v>
      </c>
      <c r="C148" s="4" t="s">
        <v>167</v>
      </c>
      <c r="D148" s="4" t="s">
        <v>404</v>
      </c>
      <c r="E148" s="3"/>
      <c r="F148" s="5">
        <v>3.0390000000000001</v>
      </c>
      <c r="G148" s="5">
        <v>4.0190000000000001</v>
      </c>
      <c r="H148" s="5">
        <v>4.016</v>
      </c>
      <c r="I148" s="5">
        <v>4.008</v>
      </c>
      <c r="K148" s="3">
        <f t="shared" ca="1" si="160"/>
        <v>0.99802566633761114</v>
      </c>
      <c r="L148" s="3">
        <f t="shared" ca="1" si="160"/>
        <v>0.99502363772082603</v>
      </c>
      <c r="M148" s="3">
        <f t="shared" ca="1" si="160"/>
        <v>0.98730079681274896</v>
      </c>
      <c r="N148" s="3">
        <f t="shared" ca="1" si="160"/>
        <v>0.9977544910179641</v>
      </c>
      <c r="P148" s="3">
        <f t="shared" ca="1" si="161"/>
        <v>0.66864100603896093</v>
      </c>
      <c r="Q148" s="3">
        <f t="shared" ca="1" si="161"/>
        <v>0.99079371421869256</v>
      </c>
      <c r="R148" s="3">
        <f t="shared" ca="1" si="161"/>
        <v>0.75074693696402695</v>
      </c>
      <c r="S148" s="3">
        <f t="shared" ca="1" si="161"/>
        <v>0.7771956258009145</v>
      </c>
      <c r="U148" s="3">
        <f t="shared" ca="1" si="162"/>
        <v>1.9743336623889436</v>
      </c>
      <c r="V148" s="3">
        <f t="shared" ca="1" si="162"/>
        <v>0.49763622791739237</v>
      </c>
      <c r="W148" s="3">
        <f t="shared" ca="1" si="162"/>
        <v>1.7430278884462151</v>
      </c>
      <c r="X148" s="3">
        <f t="shared" ca="1" si="162"/>
        <v>1.7465069860279441</v>
      </c>
      <c r="Z148" s="3">
        <f t="shared" ca="1" si="163"/>
        <v>0.91543270812767341</v>
      </c>
      <c r="AA148" s="3">
        <f t="shared" ca="1" si="163"/>
        <v>0.99502363772082603</v>
      </c>
      <c r="AB148" s="3">
        <f t="shared" ca="1" si="163"/>
        <v>0.79233067729083662</v>
      </c>
      <c r="AC148" s="3">
        <f t="shared" ca="1" si="163"/>
        <v>0.97679640718562888</v>
      </c>
      <c r="AE148" s="3">
        <f t="shared" ca="1" si="164"/>
        <v>0.66864100603896093</v>
      </c>
      <c r="AF148" s="3">
        <f t="shared" ca="1" si="164"/>
        <v>0.99079371421869256</v>
      </c>
      <c r="AG148" s="3">
        <f t="shared" ca="1" si="164"/>
        <v>0.75074693696402695</v>
      </c>
      <c r="AH148" s="3">
        <f t="shared" ca="1" si="164"/>
        <v>0.7771956258009145</v>
      </c>
      <c r="AJ148" s="3">
        <f t="shared" ca="1" si="165"/>
        <v>1.9743336623889436</v>
      </c>
      <c r="AK148" s="3">
        <f t="shared" ca="1" si="165"/>
        <v>0.49763622791739237</v>
      </c>
      <c r="AL148" s="3">
        <f t="shared" ca="1" si="165"/>
        <v>1.7430278884462151</v>
      </c>
      <c r="AM148" s="3">
        <f t="shared" ca="1" si="165"/>
        <v>1.7465069860279441</v>
      </c>
      <c r="AO148" s="3">
        <f t="shared" ca="1" si="166"/>
        <v>0.65811122079631457</v>
      </c>
      <c r="AP148" s="3">
        <f t="shared" ca="1" si="166"/>
        <v>0.24881811395869619</v>
      </c>
      <c r="AQ148" s="3">
        <f t="shared" ca="1" si="166"/>
        <v>0.99601593625498008</v>
      </c>
      <c r="AR148" s="3">
        <f t="shared" ca="1" si="166"/>
        <v>0.49900199600798401</v>
      </c>
      <c r="AT148" s="5">
        <v>6.0000000521540642E-3</v>
      </c>
      <c r="AU148" s="5">
        <v>8.999999612569809E-3</v>
      </c>
      <c r="AV148" s="5">
        <v>1.3000000268220901E-2</v>
      </c>
      <c r="AW148" s="5">
        <v>7.0000002160668373E-3</v>
      </c>
      <c r="AY148" s="3">
        <f t="shared" ca="1" si="167"/>
        <v>0.50444225074037496</v>
      </c>
      <c r="AZ148" s="3">
        <f t="shared" ca="1" si="168"/>
        <v>0.85817367504354314</v>
      </c>
      <c r="BA148" s="3">
        <f t="shared" ca="1" si="169"/>
        <v>0.29457171314741037</v>
      </c>
      <c r="BB148" s="3">
        <f t="shared" ca="1" si="170"/>
        <v>0.31162674650698607</v>
      </c>
      <c r="BD148" s="3">
        <f t="shared" ca="1" si="171"/>
        <v>0.50444223750388784</v>
      </c>
      <c r="BE148" s="3">
        <f t="shared" ca="1" si="172"/>
        <v>0.8539437476483468</v>
      </c>
      <c r="BF148" s="3">
        <f t="shared" ca="1" si="173"/>
        <v>0.24900393953836297</v>
      </c>
      <c r="BG148" s="3">
        <f t="shared" ca="1" si="174"/>
        <v>0.44885228649190739</v>
      </c>
      <c r="BI148" s="3">
        <f t="shared" ca="1" si="175"/>
        <v>0.98716683119447179</v>
      </c>
      <c r="BJ148" s="3">
        <f t="shared" ca="1" si="176"/>
        <v>0.24881811395869619</v>
      </c>
      <c r="BK148" s="3">
        <f t="shared" ca="1" si="177"/>
        <v>0.49800796812749004</v>
      </c>
      <c r="BL148" s="3">
        <f t="shared" ca="1" si="178"/>
        <v>0.99800399201596801</v>
      </c>
      <c r="BN148" s="3">
        <f t="shared" ca="1" si="179"/>
        <v>0.98716683119447179</v>
      </c>
      <c r="BO148" s="3">
        <f t="shared" ca="1" si="180"/>
        <v>0.24881811395869619</v>
      </c>
      <c r="BP148" s="3">
        <f t="shared" ca="1" si="181"/>
        <v>0.74701195219123506</v>
      </c>
      <c r="BQ148" s="3">
        <f t="shared" ca="1" si="182"/>
        <v>1.2475049900199602</v>
      </c>
      <c r="BS148" s="5">
        <v>6.0000000521540642E-3</v>
      </c>
      <c r="BT148" s="5">
        <v>0.57599997520446777</v>
      </c>
      <c r="BU148" s="5">
        <v>0.74599999189376831</v>
      </c>
      <c r="BV148" s="5">
        <v>7.0000002160668373E-3</v>
      </c>
      <c r="BX148" s="3">
        <f t="shared" ca="1" si="183"/>
        <v>0.20302731161566306</v>
      </c>
      <c r="BY148" s="3">
        <f t="shared" ca="1" si="184"/>
        <v>0</v>
      </c>
      <c r="BZ148" s="3">
        <f t="shared" ca="1" si="185"/>
        <v>0.23630478087649409</v>
      </c>
      <c r="CA148" s="3">
        <f t="shared" ca="1" si="186"/>
        <v>0.13323353293413173</v>
      </c>
      <c r="CC148" s="3">
        <f t="shared" ca="1" si="187"/>
        <v>3.817043009460188E-2</v>
      </c>
      <c r="CD148" s="3">
        <f t="shared" ca="1" si="188"/>
        <v>0</v>
      </c>
      <c r="CE148" s="3">
        <f t="shared" ca="1" si="189"/>
        <v>0.26120518545705484</v>
      </c>
      <c r="CF148" s="3">
        <f t="shared" ca="1" si="190"/>
        <v>0.1122754609989311</v>
      </c>
      <c r="CH148" s="3">
        <f t="shared" ca="1" si="191"/>
        <v>0.32905561039815728</v>
      </c>
      <c r="CI148" s="3">
        <f t="shared" ca="1" si="192"/>
        <v>0</v>
      </c>
      <c r="CJ148" s="3">
        <f t="shared" ca="1" si="193"/>
        <v>0.49800796812749004</v>
      </c>
      <c r="CK148" s="3">
        <f t="shared" ca="1" si="194"/>
        <v>0.249500998003992</v>
      </c>
      <c r="CM148" s="3">
        <f t="shared" ca="1" si="195"/>
        <v>0.98716683119447179</v>
      </c>
      <c r="CN148" s="3">
        <f t="shared" ca="1" si="196"/>
        <v>0</v>
      </c>
      <c r="CO148" s="3">
        <f t="shared" ca="1" si="197"/>
        <v>0.74701195219123506</v>
      </c>
      <c r="CP148" s="3">
        <f t="shared" ca="1" si="198"/>
        <v>1.2475049900199602</v>
      </c>
      <c r="CR148" s="5">
        <v>2.7390000820159912</v>
      </c>
      <c r="CS148" s="5">
        <v>4.0190000000000001</v>
      </c>
      <c r="CT148" s="5">
        <v>2.9289999008178711</v>
      </c>
      <c r="CU148" s="5">
        <v>2.2070000171661377</v>
      </c>
      <c r="CV148" s="21">
        <f t="shared" ca="1" si="200"/>
        <v>2.2070000171661377</v>
      </c>
      <c r="CW148" s="16">
        <f t="shared" ca="1" si="199"/>
        <v>9.4166666666666661</v>
      </c>
    </row>
    <row r="149" spans="1:101" s="5" customFormat="1" x14ac:dyDescent="0.35">
      <c r="A149" s="4" t="s">
        <v>155</v>
      </c>
      <c r="B149" s="4">
        <v>9.4166666666666661</v>
      </c>
      <c r="C149" s="4" t="s">
        <v>168</v>
      </c>
      <c r="D149" s="4" t="s">
        <v>404</v>
      </c>
      <c r="E149" s="3"/>
      <c r="F149" s="5" t="e">
        <v>#N/A</v>
      </c>
      <c r="G149" s="5">
        <v>4.0140000000000002</v>
      </c>
      <c r="H149" s="5">
        <v>4.0069999999999997</v>
      </c>
      <c r="I149" s="5">
        <v>4.0149999999999997</v>
      </c>
      <c r="K149" s="3" t="e">
        <f t="shared" ca="1" si="160"/>
        <v>#N/A</v>
      </c>
      <c r="L149" s="3">
        <f t="shared" ca="1" si="160"/>
        <v>0.99651220727453904</v>
      </c>
      <c r="M149" s="3">
        <f t="shared" ca="1" si="160"/>
        <v>0.99800349388570009</v>
      </c>
      <c r="N149" s="3">
        <f t="shared" ca="1" si="160"/>
        <v>0.91731008717310092</v>
      </c>
      <c r="P149" s="3" t="e">
        <f t="shared" ca="1" si="161"/>
        <v>#N/A</v>
      </c>
      <c r="Q149" s="3">
        <f t="shared" ca="1" si="161"/>
        <v>0.97135023696985656</v>
      </c>
      <c r="R149" s="3">
        <f t="shared" ca="1" si="161"/>
        <v>0.95208384499180676</v>
      </c>
      <c r="S149" s="3">
        <f t="shared" ca="1" si="161"/>
        <v>0.84657531746594727</v>
      </c>
      <c r="U149" s="3" t="e">
        <f t="shared" ca="1" si="162"/>
        <v>#N/A</v>
      </c>
      <c r="V149" s="3">
        <f t="shared" ca="1" si="162"/>
        <v>1.7438963627304434</v>
      </c>
      <c r="W149" s="3">
        <f t="shared" ca="1" si="162"/>
        <v>1.4973795857249814</v>
      </c>
      <c r="X149" s="3">
        <f t="shared" ca="1" si="162"/>
        <v>2.4906600249066004</v>
      </c>
      <c r="Z149" s="3" t="e">
        <f t="shared" ca="1" si="163"/>
        <v>#N/A</v>
      </c>
      <c r="AA149" s="3">
        <f t="shared" ca="1" si="163"/>
        <v>0.99651220727453904</v>
      </c>
      <c r="AB149" s="3">
        <f t="shared" ca="1" si="163"/>
        <v>0.99800349388570009</v>
      </c>
      <c r="AC149" s="3">
        <f t="shared" ca="1" si="163"/>
        <v>0.87173100871731013</v>
      </c>
      <c r="AE149" s="3" t="e">
        <f t="shared" ca="1" si="164"/>
        <v>#N/A</v>
      </c>
      <c r="AF149" s="3">
        <f t="shared" ca="1" si="164"/>
        <v>0.97135023696985656</v>
      </c>
      <c r="AG149" s="3">
        <f t="shared" ca="1" si="164"/>
        <v>0.95208384499180676</v>
      </c>
      <c r="AH149" s="3">
        <f t="shared" ca="1" si="164"/>
        <v>0.84657531746594727</v>
      </c>
      <c r="AJ149" s="3" t="e">
        <f t="shared" ca="1" si="165"/>
        <v>#N/A</v>
      </c>
      <c r="AK149" s="3">
        <f t="shared" ca="1" si="165"/>
        <v>1.7438963627304434</v>
      </c>
      <c r="AL149" s="3">
        <f t="shared" ca="1" si="165"/>
        <v>1.4973795857249814</v>
      </c>
      <c r="AM149" s="3">
        <f t="shared" ca="1" si="165"/>
        <v>2.4906600249066004</v>
      </c>
      <c r="AO149" s="3" t="e">
        <f t="shared" ca="1" si="166"/>
        <v>#N/A</v>
      </c>
      <c r="AP149" s="3">
        <f t="shared" ca="1" si="166"/>
        <v>0.24912805181863476</v>
      </c>
      <c r="AQ149" s="3">
        <f t="shared" ca="1" si="166"/>
        <v>0.24956326428749689</v>
      </c>
      <c r="AR149" s="3">
        <f t="shared" ca="1" si="166"/>
        <v>0.4981320049813201</v>
      </c>
      <c r="AT149" s="5">
        <v>1.3000000268220901E-2</v>
      </c>
      <c r="AU149" s="5">
        <v>1.3000000268220901E-2</v>
      </c>
      <c r="AV149" s="5">
        <v>7.0000002160668373E-3</v>
      </c>
      <c r="AW149" s="5">
        <v>0.32699999213218689</v>
      </c>
      <c r="AY149" s="3" t="e">
        <f t="shared" ca="1" si="167"/>
        <v>#N/A</v>
      </c>
      <c r="AZ149" s="3">
        <f t="shared" ca="1" si="168"/>
        <v>4.5590433482810118E-2</v>
      </c>
      <c r="BA149" s="3">
        <f t="shared" ca="1" si="169"/>
        <v>0</v>
      </c>
      <c r="BB149" s="3">
        <f t="shared" ca="1" si="170"/>
        <v>1.6687422166874154E-2</v>
      </c>
      <c r="BD149" s="3" t="e">
        <f t="shared" ca="1" si="171"/>
        <v>#N/A</v>
      </c>
      <c r="BE149" s="3">
        <f t="shared" ca="1" si="172"/>
        <v>0</v>
      </c>
      <c r="BF149" s="3">
        <f t="shared" ca="1" si="173"/>
        <v>0</v>
      </c>
      <c r="BG149" s="3">
        <f t="shared" ca="1" si="174"/>
        <v>0</v>
      </c>
      <c r="BI149" s="3" t="e">
        <f t="shared" ca="1" si="175"/>
        <v>#N/A</v>
      </c>
      <c r="BJ149" s="3">
        <f t="shared" ca="1" si="176"/>
        <v>0</v>
      </c>
      <c r="BK149" s="3">
        <f t="shared" ca="1" si="177"/>
        <v>0</v>
      </c>
      <c r="BL149" s="3">
        <f t="shared" ca="1" si="178"/>
        <v>0</v>
      </c>
      <c r="BN149" s="3" t="e">
        <f t="shared" ca="1" si="179"/>
        <v>#N/A</v>
      </c>
      <c r="BO149" s="3">
        <f t="shared" ca="1" si="180"/>
        <v>0.24912805181863476</v>
      </c>
      <c r="BP149" s="3">
        <f t="shared" ca="1" si="181"/>
        <v>0</v>
      </c>
      <c r="BQ149" s="3">
        <f t="shared" ca="1" si="182"/>
        <v>0.4981320049813201</v>
      </c>
      <c r="BS149" s="5">
        <v>4.0309999999999997</v>
      </c>
      <c r="BT149" s="5">
        <v>4.0140000000000002</v>
      </c>
      <c r="BU149" s="5">
        <v>4.0069999999999997</v>
      </c>
      <c r="BV149" s="5">
        <v>4.0149999999999997</v>
      </c>
      <c r="BX149" s="3" t="e">
        <f t="shared" ca="1" si="183"/>
        <v>#N/A</v>
      </c>
      <c r="BY149" s="3">
        <f t="shared" ca="1" si="184"/>
        <v>0.14125560538116591</v>
      </c>
      <c r="BZ149" s="3">
        <f t="shared" ca="1" si="185"/>
        <v>0.22435737459445973</v>
      </c>
      <c r="CA149" s="3">
        <f t="shared" ca="1" si="186"/>
        <v>7.0734744707347447E-2</v>
      </c>
      <c r="CC149" s="3" t="e">
        <f t="shared" ca="1" si="187"/>
        <v>#N/A</v>
      </c>
      <c r="CD149" s="3">
        <f t="shared" ca="1" si="188"/>
        <v>0.12855006054259083</v>
      </c>
      <c r="CE149" s="3">
        <f t="shared" ca="1" si="189"/>
        <v>0.2328425546815665</v>
      </c>
      <c r="CF149" s="3">
        <f t="shared" ca="1" si="190"/>
        <v>5.8281443929612861E-2</v>
      </c>
      <c r="CH149" s="3" t="e">
        <f t="shared" ca="1" si="191"/>
        <v>#N/A</v>
      </c>
      <c r="CI149" s="3">
        <f t="shared" ca="1" si="192"/>
        <v>0.49825610363726952</v>
      </c>
      <c r="CJ149" s="3">
        <f t="shared" ca="1" si="193"/>
        <v>0.49912652857499379</v>
      </c>
      <c r="CK149" s="3">
        <f t="shared" ca="1" si="194"/>
        <v>0.24906600249066005</v>
      </c>
      <c r="CM149" s="3" t="e">
        <f t="shared" ca="1" si="195"/>
        <v>#N/A</v>
      </c>
      <c r="CN149" s="3">
        <f t="shared" ca="1" si="196"/>
        <v>0.74738415545590431</v>
      </c>
      <c r="CO149" s="3">
        <f t="shared" ca="1" si="197"/>
        <v>0.74868979286249071</v>
      </c>
      <c r="CP149" s="3">
        <f t="shared" ca="1" si="198"/>
        <v>0.24906600249066005</v>
      </c>
      <c r="CR149" s="5">
        <v>1.3000000268220901E-2</v>
      </c>
      <c r="CS149" s="5">
        <v>0.47999998927116394</v>
      </c>
      <c r="CT149" s="5">
        <v>7.0000002160668373E-3</v>
      </c>
      <c r="CU149" s="5">
        <v>0.32699999213218689</v>
      </c>
      <c r="CV149" s="21">
        <f t="shared" ca="1" si="200"/>
        <v>0.32699999213218689</v>
      </c>
      <c r="CW149" s="16">
        <f t="shared" ca="1" si="199"/>
        <v>9.4166666666666661</v>
      </c>
    </row>
    <row r="150" spans="1:101" s="5" customFormat="1" x14ac:dyDescent="0.35">
      <c r="A150" s="4" t="s">
        <v>158</v>
      </c>
      <c r="B150" s="4">
        <v>9.5</v>
      </c>
      <c r="C150" s="4" t="s">
        <v>168</v>
      </c>
      <c r="D150" s="4" t="s">
        <v>404</v>
      </c>
      <c r="E150" s="3"/>
      <c r="F150" s="5">
        <v>4.0069999999999997</v>
      </c>
      <c r="G150" s="5" t="e">
        <v>#N/A</v>
      </c>
      <c r="H150" s="5" t="e">
        <v>#N/A</v>
      </c>
      <c r="I150" s="5">
        <v>3.1980000000000004</v>
      </c>
      <c r="K150" s="3">
        <f t="shared" ca="1" si="160"/>
        <v>0.98153231844272537</v>
      </c>
      <c r="L150" s="3" t="e">
        <f t="shared" ca="1" si="160"/>
        <v>#N/A</v>
      </c>
      <c r="M150" s="3" t="e">
        <f t="shared" ca="1" si="160"/>
        <v>#N/A</v>
      </c>
      <c r="N150" s="3">
        <f t="shared" ca="1" si="160"/>
        <v>0.96904315196998114</v>
      </c>
      <c r="P150" s="3">
        <f t="shared" ca="1" si="161"/>
        <v>0.71924134981075905</v>
      </c>
      <c r="Q150" s="3" t="e">
        <f t="shared" ca="1" si="161"/>
        <v>#N/A</v>
      </c>
      <c r="R150" s="3" t="e">
        <f t="shared" ca="1" si="161"/>
        <v>#N/A</v>
      </c>
      <c r="S150" s="3">
        <f t="shared" ca="1" si="161"/>
        <v>0.28142592100294922</v>
      </c>
      <c r="U150" s="3">
        <f t="shared" ca="1" si="162"/>
        <v>1.9965061142999752</v>
      </c>
      <c r="V150" s="3" t="e">
        <f t="shared" ca="1" si="162"/>
        <v>#N/A</v>
      </c>
      <c r="W150" s="3" t="e">
        <f t="shared" ca="1" si="162"/>
        <v>#N/A</v>
      </c>
      <c r="X150" s="3">
        <f t="shared" ca="1" si="162"/>
        <v>2.188868042526579</v>
      </c>
      <c r="Z150" s="3">
        <f t="shared" ca="1" si="163"/>
        <v>0.57000249563264282</v>
      </c>
      <c r="AA150" s="3" t="e">
        <f t="shared" ca="1" si="163"/>
        <v>#N/A</v>
      </c>
      <c r="AB150" s="3" t="e">
        <f t="shared" ca="1" si="163"/>
        <v>#N/A</v>
      </c>
      <c r="AC150" s="3">
        <f t="shared" ca="1" si="163"/>
        <v>0.27642276422764206</v>
      </c>
      <c r="AE150" s="3">
        <f t="shared" ca="1" si="164"/>
        <v>0.47816327601738162</v>
      </c>
      <c r="AF150" s="3" t="e">
        <f t="shared" ca="1" si="164"/>
        <v>#N/A</v>
      </c>
      <c r="AG150" s="3" t="e">
        <f t="shared" ca="1" si="164"/>
        <v>#N/A</v>
      </c>
      <c r="AH150" s="3">
        <f t="shared" ca="1" si="164"/>
        <v>0.13570978613180096</v>
      </c>
      <c r="AJ150" s="3">
        <f t="shared" ca="1" si="165"/>
        <v>1.2478163214374844</v>
      </c>
      <c r="AK150" s="3" t="e">
        <f t="shared" ca="1" si="165"/>
        <v>#N/A</v>
      </c>
      <c r="AL150" s="3" t="e">
        <f t="shared" ca="1" si="165"/>
        <v>#N/A</v>
      </c>
      <c r="AM150" s="3">
        <f t="shared" ca="1" si="165"/>
        <v>0.9380863039399624</v>
      </c>
      <c r="AO150" s="3">
        <f t="shared" ca="1" si="166"/>
        <v>0.49912652857499379</v>
      </c>
      <c r="AP150" s="3" t="e">
        <f t="shared" ca="1" si="166"/>
        <v>#N/A</v>
      </c>
      <c r="AQ150" s="3" t="e">
        <f t="shared" ca="1" si="166"/>
        <v>#N/A</v>
      </c>
      <c r="AR150" s="3">
        <f t="shared" ca="1" si="166"/>
        <v>4.6904315196998114</v>
      </c>
      <c r="AT150" s="5">
        <v>0.30000001192092896</v>
      </c>
      <c r="AU150" s="5">
        <v>0.32300001382827759</v>
      </c>
      <c r="AV150" s="5">
        <v>2.5380001068115234</v>
      </c>
      <c r="AW150" s="5">
        <v>0.5820000171661377</v>
      </c>
      <c r="AY150" s="3">
        <f t="shared" ca="1" si="167"/>
        <v>0.25779885200898428</v>
      </c>
      <c r="AZ150" s="3" t="e">
        <f t="shared" ca="1" si="168"/>
        <v>#N/A</v>
      </c>
      <c r="BA150" s="3" t="e">
        <f t="shared" ca="1" si="169"/>
        <v>#N/A</v>
      </c>
      <c r="BB150" s="3">
        <f t="shared" ca="1" si="170"/>
        <v>0.14102564102564091</v>
      </c>
      <c r="BD150" s="3">
        <f t="shared" ca="1" si="171"/>
        <v>0.22036436641189505</v>
      </c>
      <c r="BE150" s="3" t="e">
        <f t="shared" ca="1" si="172"/>
        <v>#N/A</v>
      </c>
      <c r="BF150" s="3" t="e">
        <f t="shared" ca="1" si="173"/>
        <v>#N/A</v>
      </c>
      <c r="BG150" s="3">
        <f t="shared" ca="1" si="174"/>
        <v>9.9124462623906312E-2</v>
      </c>
      <c r="BI150" s="3">
        <f t="shared" ca="1" si="175"/>
        <v>0.49912652857499379</v>
      </c>
      <c r="BJ150" s="3" t="e">
        <f t="shared" ca="1" si="176"/>
        <v>#N/A</v>
      </c>
      <c r="BK150" s="3" t="e">
        <f t="shared" ca="1" si="177"/>
        <v>#N/A</v>
      </c>
      <c r="BL150" s="3">
        <f t="shared" ca="1" si="178"/>
        <v>0.62539086929330823</v>
      </c>
      <c r="BN150" s="3">
        <f t="shared" ca="1" si="179"/>
        <v>0.74868979286249071</v>
      </c>
      <c r="BO150" s="3" t="e">
        <f t="shared" ca="1" si="180"/>
        <v>#N/A</v>
      </c>
      <c r="BP150" s="3" t="e">
        <f t="shared" ca="1" si="181"/>
        <v>#N/A</v>
      </c>
      <c r="BQ150" s="3">
        <f t="shared" ca="1" si="182"/>
        <v>4.3777360850531579</v>
      </c>
      <c r="BS150" s="5">
        <v>0.30000001192092896</v>
      </c>
      <c r="BT150" s="5">
        <v>1.0729999542236328</v>
      </c>
      <c r="BU150" s="5">
        <v>3.7209999561309814</v>
      </c>
      <c r="BV150" s="5">
        <v>0.5820000171661377</v>
      </c>
      <c r="BX150" s="3">
        <f t="shared" ca="1" si="183"/>
        <v>5.8397803843274268E-2</v>
      </c>
      <c r="BY150" s="3" t="e">
        <f t="shared" ca="1" si="184"/>
        <v>#N/A</v>
      </c>
      <c r="BZ150" s="3" t="e">
        <f t="shared" ca="1" si="185"/>
        <v>#N/A</v>
      </c>
      <c r="CA150" s="3">
        <f t="shared" ca="1" si="186"/>
        <v>5.00312695434647E-3</v>
      </c>
      <c r="CC150" s="3">
        <f t="shared" ca="1" si="187"/>
        <v>5.8148250575073945E-2</v>
      </c>
      <c r="CD150" s="3" t="e">
        <f t="shared" ca="1" si="188"/>
        <v>#N/A</v>
      </c>
      <c r="CE150" s="3" t="e">
        <f t="shared" ca="1" si="189"/>
        <v>#N/A</v>
      </c>
      <c r="CF150" s="3">
        <f t="shared" ca="1" si="190"/>
        <v>0</v>
      </c>
      <c r="CH150" s="3">
        <f t="shared" ca="1" si="191"/>
        <v>0.49912652857499379</v>
      </c>
      <c r="CI150" s="3" t="e">
        <f t="shared" ca="1" si="192"/>
        <v>#N/A</v>
      </c>
      <c r="CJ150" s="3" t="e">
        <f t="shared" ca="1" si="193"/>
        <v>#N/A</v>
      </c>
      <c r="CK150" s="3">
        <f t="shared" ca="1" si="194"/>
        <v>0</v>
      </c>
      <c r="CM150" s="3">
        <f t="shared" ca="1" si="195"/>
        <v>0.24956326428749689</v>
      </c>
      <c r="CN150" s="3" t="e">
        <f t="shared" ca="1" si="196"/>
        <v>#N/A</v>
      </c>
      <c r="CO150" s="3" t="e">
        <f t="shared" ca="1" si="197"/>
        <v>#N/A</v>
      </c>
      <c r="CP150" s="3">
        <f t="shared" ca="1" si="198"/>
        <v>0.31269543464665411</v>
      </c>
      <c r="CR150" s="5">
        <v>3.749000072479248</v>
      </c>
      <c r="CS150" s="5">
        <v>4.0069999999999997</v>
      </c>
      <c r="CT150" s="5">
        <v>2.7039999961853027</v>
      </c>
      <c r="CU150" s="5">
        <v>4.01</v>
      </c>
      <c r="CV150" s="21">
        <f t="shared" ca="1" si="200"/>
        <v>4.01</v>
      </c>
      <c r="CW150" s="16">
        <f t="shared" ca="1" si="199"/>
        <v>9.5</v>
      </c>
    </row>
    <row r="151" spans="1:101" s="5" customFormat="1" x14ac:dyDescent="0.35">
      <c r="A151" s="4" t="s">
        <v>128</v>
      </c>
      <c r="B151" s="4">
        <v>9.8333333333333339</v>
      </c>
      <c r="C151" s="4" t="s">
        <v>168</v>
      </c>
      <c r="D151" s="4" t="s">
        <v>404</v>
      </c>
      <c r="E151" s="3"/>
      <c r="F151" s="5">
        <v>3.0269999999999997</v>
      </c>
      <c r="G151" s="5" t="e">
        <v>#N/A</v>
      </c>
      <c r="H151" s="5">
        <v>3.1230000000000002</v>
      </c>
      <c r="I151" s="5" t="e">
        <v>#N/A</v>
      </c>
      <c r="K151" s="3">
        <f t="shared" ca="1" si="160"/>
        <v>0.8863561281797161</v>
      </c>
      <c r="L151" s="3" t="e">
        <f t="shared" ca="1" si="160"/>
        <v>#N/A</v>
      </c>
      <c r="M151" s="3">
        <f t="shared" ca="1" si="160"/>
        <v>0.98751200768491842</v>
      </c>
      <c r="N151" s="3" t="e">
        <f t="shared" ca="1" si="160"/>
        <v>#N/A</v>
      </c>
      <c r="P151" s="3">
        <f t="shared" ca="1" si="161"/>
        <v>0.81466799488073938</v>
      </c>
      <c r="Q151" s="3" t="e">
        <f t="shared" ca="1" si="161"/>
        <v>#N/A</v>
      </c>
      <c r="R151" s="3">
        <f t="shared" ca="1" si="161"/>
        <v>0.73615119476712287</v>
      </c>
      <c r="S151" s="3" t="e">
        <f t="shared" ca="1" si="161"/>
        <v>#N/A</v>
      </c>
      <c r="U151" s="3">
        <f t="shared" ca="1" si="162"/>
        <v>1.6518004625041296</v>
      </c>
      <c r="V151" s="3" t="e">
        <f t="shared" ca="1" si="162"/>
        <v>#N/A</v>
      </c>
      <c r="W151" s="3">
        <f t="shared" ca="1" si="162"/>
        <v>2.2414345180915785</v>
      </c>
      <c r="X151" s="3" t="e">
        <f t="shared" ca="1" si="162"/>
        <v>#N/A</v>
      </c>
      <c r="Z151" s="3">
        <f t="shared" ca="1" si="163"/>
        <v>0.86983812355467482</v>
      </c>
      <c r="AA151" s="3" t="e">
        <f t="shared" ca="1" si="163"/>
        <v>#N/A</v>
      </c>
      <c r="AB151" s="3">
        <f t="shared" ca="1" si="163"/>
        <v>0.76336855587576058</v>
      </c>
      <c r="AC151" s="3" t="e">
        <f t="shared" ca="1" si="163"/>
        <v>#N/A</v>
      </c>
      <c r="AE151" s="3">
        <f t="shared" ca="1" si="164"/>
        <v>0.81466799488073938</v>
      </c>
      <c r="AF151" s="3" t="e">
        <f t="shared" ca="1" si="164"/>
        <v>#N/A</v>
      </c>
      <c r="AG151" s="3">
        <f t="shared" ca="1" si="164"/>
        <v>0.73615119476712287</v>
      </c>
      <c r="AH151" s="3" t="e">
        <f t="shared" ca="1" si="164"/>
        <v>#N/A</v>
      </c>
      <c r="AJ151" s="3">
        <f t="shared" ca="1" si="165"/>
        <v>1.6518004625041296</v>
      </c>
      <c r="AK151" s="3" t="e">
        <f t="shared" ca="1" si="165"/>
        <v>#N/A</v>
      </c>
      <c r="AL151" s="3">
        <f t="shared" ca="1" si="165"/>
        <v>2.2414345180915785</v>
      </c>
      <c r="AM151" s="3" t="e">
        <f t="shared" ca="1" si="165"/>
        <v>#N/A</v>
      </c>
      <c r="AO151" s="3">
        <f t="shared" ca="1" si="166"/>
        <v>0.66072018500165186</v>
      </c>
      <c r="AP151" s="3" t="e">
        <f t="shared" ca="1" si="166"/>
        <v>#N/A</v>
      </c>
      <c r="AQ151" s="3">
        <f t="shared" ca="1" si="166"/>
        <v>0.96061479346781931</v>
      </c>
      <c r="AR151" s="3" t="e">
        <f t="shared" ca="1" si="166"/>
        <v>#N/A</v>
      </c>
      <c r="AT151" s="5">
        <v>0.32800000905990601</v>
      </c>
      <c r="AU151" s="11" t="e">
        <v>#N/A</v>
      </c>
      <c r="AV151" s="5">
        <v>1.0999999940395355E-2</v>
      </c>
      <c r="AW151" s="5">
        <v>0.22100000083446503</v>
      </c>
      <c r="AY151" s="3">
        <f t="shared" ca="1" si="167"/>
        <v>0.6498183019491246</v>
      </c>
      <c r="AZ151" s="3" t="e">
        <f t="shared" ca="1" si="168"/>
        <v>#N/A</v>
      </c>
      <c r="BA151" s="3">
        <f t="shared" ca="1" si="169"/>
        <v>0.170989433237272</v>
      </c>
      <c r="BB151" s="3" t="e">
        <f t="shared" ca="1" si="170"/>
        <v>#N/A</v>
      </c>
      <c r="BD151" s="3">
        <f t="shared" ca="1" si="171"/>
        <v>0.64420217643841138</v>
      </c>
      <c r="BE151" s="3" t="e">
        <f t="shared" ca="1" si="172"/>
        <v>#N/A</v>
      </c>
      <c r="BF151" s="3">
        <f t="shared" ca="1" si="173"/>
        <v>0.20268972661302059</v>
      </c>
      <c r="BG151" s="3" t="e">
        <f t="shared" ca="1" si="174"/>
        <v>#N/A</v>
      </c>
      <c r="BI151" s="3">
        <f t="shared" ca="1" si="175"/>
        <v>0.99108027750247785</v>
      </c>
      <c r="BJ151" s="3" t="e">
        <f t="shared" ca="1" si="176"/>
        <v>#N/A</v>
      </c>
      <c r="BK151" s="3">
        <f t="shared" ca="1" si="177"/>
        <v>0.64040986231187957</v>
      </c>
      <c r="BL151" s="3" t="e">
        <f t="shared" ca="1" si="178"/>
        <v>#N/A</v>
      </c>
      <c r="BN151" s="3">
        <f t="shared" ca="1" si="179"/>
        <v>0.99108027750247785</v>
      </c>
      <c r="BO151" s="3" t="e">
        <f t="shared" ca="1" si="180"/>
        <v>#N/A</v>
      </c>
      <c r="BP151" s="3">
        <f t="shared" ca="1" si="181"/>
        <v>0.64040986231187957</v>
      </c>
      <c r="BQ151" s="3" t="e">
        <f t="shared" ca="1" si="182"/>
        <v>#N/A</v>
      </c>
      <c r="BS151" s="5">
        <v>0.32800000905990601</v>
      </c>
      <c r="BT151" s="11" t="e">
        <v>#N/A</v>
      </c>
      <c r="BU151" s="5">
        <v>0.56099998950958252</v>
      </c>
      <c r="BV151" s="5">
        <v>0.68800002336502075</v>
      </c>
      <c r="BX151" s="3">
        <f t="shared" ca="1" si="183"/>
        <v>0</v>
      </c>
      <c r="BY151" s="3" t="e">
        <f t="shared" ca="1" si="184"/>
        <v>#N/A</v>
      </c>
      <c r="BZ151" s="3">
        <f t="shared" ca="1" si="185"/>
        <v>8.5174511687479984E-2</v>
      </c>
      <c r="CA151" s="3" t="e">
        <f t="shared" ca="1" si="186"/>
        <v>#N/A</v>
      </c>
      <c r="CC151" s="3">
        <f t="shared" ca="1" si="187"/>
        <v>0</v>
      </c>
      <c r="CD151" s="3" t="e">
        <f t="shared" ca="1" si="188"/>
        <v>#N/A</v>
      </c>
      <c r="CE151" s="3">
        <f t="shared" ca="1" si="189"/>
        <v>0.10150501142508549</v>
      </c>
      <c r="CF151" s="3" t="e">
        <f t="shared" ca="1" si="190"/>
        <v>#N/A</v>
      </c>
      <c r="CH151" s="3">
        <f t="shared" ca="1" si="191"/>
        <v>0</v>
      </c>
      <c r="CI151" s="3" t="e">
        <f t="shared" ca="1" si="192"/>
        <v>#N/A</v>
      </c>
      <c r="CJ151" s="3">
        <f t="shared" ca="1" si="193"/>
        <v>0.32020493115593979</v>
      </c>
      <c r="CK151" s="3" t="e">
        <f t="shared" ca="1" si="194"/>
        <v>#N/A</v>
      </c>
      <c r="CM151" s="3">
        <f t="shared" ca="1" si="195"/>
        <v>0</v>
      </c>
      <c r="CN151" s="3" t="e">
        <f t="shared" ca="1" si="196"/>
        <v>#N/A</v>
      </c>
      <c r="CO151" s="3">
        <f t="shared" ca="1" si="197"/>
        <v>0.64040986231187957</v>
      </c>
      <c r="CP151" s="3" t="e">
        <f t="shared" ca="1" si="198"/>
        <v>#N/A</v>
      </c>
      <c r="CR151" s="5">
        <v>4.01</v>
      </c>
      <c r="CS151" s="11" t="e">
        <v>#N/A</v>
      </c>
      <c r="CT151" s="5">
        <v>2.2769999504089355</v>
      </c>
      <c r="CU151" s="5">
        <v>4.0149999999999997</v>
      </c>
      <c r="CV151" s="21">
        <f t="shared" ca="1" si="200"/>
        <v>4.0149999999999997</v>
      </c>
      <c r="CW151" s="16">
        <f t="shared" ca="1" si="199"/>
        <v>9.8333333333333339</v>
      </c>
    </row>
    <row r="152" spans="1:101" s="5" customFormat="1" x14ac:dyDescent="0.35">
      <c r="A152" s="4" t="s">
        <v>129</v>
      </c>
      <c r="B152" s="4">
        <v>9.8333333333333339</v>
      </c>
      <c r="C152" s="4" t="s">
        <v>168</v>
      </c>
      <c r="D152" s="4" t="s">
        <v>404</v>
      </c>
      <c r="E152" s="3"/>
      <c r="F152" s="5">
        <v>4.01</v>
      </c>
      <c r="G152" s="5" t="e">
        <v>#N/A</v>
      </c>
      <c r="H152" s="5">
        <v>4.0149999999999997</v>
      </c>
      <c r="I152" s="5" t="e">
        <v>#N/A</v>
      </c>
      <c r="K152" s="3">
        <f t="shared" ca="1" si="160"/>
        <v>0.94738154613466341</v>
      </c>
      <c r="L152" s="3" t="e">
        <f t="shared" ca="1" si="160"/>
        <v>#N/A</v>
      </c>
      <c r="M152" s="3">
        <f t="shared" ca="1" si="160"/>
        <v>0.8259028642590287</v>
      </c>
      <c r="N152" s="3" t="e">
        <f t="shared" ca="1" si="160"/>
        <v>#N/A</v>
      </c>
      <c r="P152" s="3">
        <f t="shared" ca="1" si="161"/>
        <v>0.84339139862287971</v>
      </c>
      <c r="Q152" s="3" t="e">
        <f t="shared" ca="1" si="161"/>
        <v>#N/A</v>
      </c>
      <c r="R152" s="3">
        <f t="shared" ca="1" si="161"/>
        <v>0.59701127103375617</v>
      </c>
      <c r="S152" s="3" t="e">
        <f t="shared" ca="1" si="161"/>
        <v>#N/A</v>
      </c>
      <c r="U152" s="3">
        <f t="shared" ca="1" si="162"/>
        <v>3.491271820448878</v>
      </c>
      <c r="V152" s="3" t="e">
        <f t="shared" ca="1" si="162"/>
        <v>#N/A</v>
      </c>
      <c r="W152" s="3">
        <f t="shared" ca="1" si="162"/>
        <v>2.4906600249066004</v>
      </c>
      <c r="X152" s="3" t="e">
        <f t="shared" ca="1" si="162"/>
        <v>#N/A</v>
      </c>
      <c r="Z152" s="3">
        <f t="shared" ca="1" si="163"/>
        <v>0.94738154613466341</v>
      </c>
      <c r="AA152" s="3" t="e">
        <f t="shared" ca="1" si="163"/>
        <v>#N/A</v>
      </c>
      <c r="AB152" s="3">
        <f t="shared" ca="1" si="163"/>
        <v>0.8094645080946451</v>
      </c>
      <c r="AC152" s="3" t="e">
        <f t="shared" ca="1" si="163"/>
        <v>#N/A</v>
      </c>
      <c r="AE152" s="3">
        <f t="shared" ca="1" si="164"/>
        <v>0.84339139862287971</v>
      </c>
      <c r="AF152" s="3" t="e">
        <f t="shared" ca="1" si="164"/>
        <v>#N/A</v>
      </c>
      <c r="AG152" s="3">
        <f t="shared" ca="1" si="164"/>
        <v>0.59701127103375617</v>
      </c>
      <c r="AH152" s="3" t="e">
        <f t="shared" ca="1" si="164"/>
        <v>#N/A</v>
      </c>
      <c r="AJ152" s="3">
        <f t="shared" ca="1" si="165"/>
        <v>3.491271820448878</v>
      </c>
      <c r="AK152" s="3" t="e">
        <f t="shared" ca="1" si="165"/>
        <v>#N/A</v>
      </c>
      <c r="AL152" s="3">
        <f t="shared" ca="1" si="165"/>
        <v>2.4906600249066004</v>
      </c>
      <c r="AM152" s="3" t="e">
        <f t="shared" ca="1" si="165"/>
        <v>#N/A</v>
      </c>
      <c r="AO152" s="3">
        <f t="shared" ca="1" si="166"/>
        <v>0.24937655860349128</v>
      </c>
      <c r="AP152" s="3" t="e">
        <f t="shared" ca="1" si="166"/>
        <v>#N/A</v>
      </c>
      <c r="AQ152" s="3">
        <f t="shared" ca="1" si="166"/>
        <v>0.4981320049813201</v>
      </c>
      <c r="AR152" s="3" t="e">
        <f t="shared" ca="1" si="166"/>
        <v>#N/A</v>
      </c>
      <c r="AT152" s="5">
        <v>1.4999999664723873E-2</v>
      </c>
      <c r="AU152" s="11" t="e">
        <v>#N/A</v>
      </c>
      <c r="AV152" s="5">
        <v>0.72000002861022949</v>
      </c>
      <c r="AW152" s="11" t="e">
        <v>#N/A</v>
      </c>
      <c r="AY152" s="3">
        <f t="shared" ca="1" si="167"/>
        <v>0.42394014962593524</v>
      </c>
      <c r="AZ152" s="3" t="e">
        <f t="shared" ca="1" si="168"/>
        <v>#N/A</v>
      </c>
      <c r="BA152" s="3">
        <f t="shared" ca="1" si="169"/>
        <v>0.53125778331257789</v>
      </c>
      <c r="BB152" s="3" t="e">
        <f t="shared" ca="1" si="170"/>
        <v>#N/A</v>
      </c>
      <c r="BD152" s="3">
        <f t="shared" ca="1" si="171"/>
        <v>0.36982538694158162</v>
      </c>
      <c r="BE152" s="3" t="e">
        <f t="shared" ca="1" si="172"/>
        <v>#N/A</v>
      </c>
      <c r="BF152" s="3">
        <f t="shared" ca="1" si="173"/>
        <v>0.39775851060860185</v>
      </c>
      <c r="BG152" s="3" t="e">
        <f t="shared" ca="1" si="174"/>
        <v>#N/A</v>
      </c>
      <c r="BI152" s="3">
        <f t="shared" ca="1" si="175"/>
        <v>1.4962593516209477</v>
      </c>
      <c r="BJ152" s="3" t="e">
        <f t="shared" ca="1" si="176"/>
        <v>#N/A</v>
      </c>
      <c r="BK152" s="3">
        <f t="shared" ca="1" si="177"/>
        <v>1.4943960149439603</v>
      </c>
      <c r="BL152" s="3" t="e">
        <f t="shared" ca="1" si="178"/>
        <v>#N/A</v>
      </c>
      <c r="BN152" s="3">
        <f t="shared" ca="1" si="179"/>
        <v>1.2468827930174564</v>
      </c>
      <c r="BO152" s="3" t="e">
        <f t="shared" ca="1" si="180"/>
        <v>#N/A</v>
      </c>
      <c r="BP152" s="3">
        <f t="shared" ca="1" si="181"/>
        <v>0.9962640099626402</v>
      </c>
      <c r="BQ152" s="3" t="e">
        <f t="shared" ca="1" si="182"/>
        <v>#N/A</v>
      </c>
      <c r="BS152" s="5">
        <v>0.39800000190734863</v>
      </c>
      <c r="BT152" s="11" t="e">
        <v>#N/A</v>
      </c>
      <c r="BU152" s="5">
        <v>0.72000002861022949</v>
      </c>
      <c r="BV152" s="11" t="e">
        <v>#N/A</v>
      </c>
      <c r="BX152" s="3">
        <f t="shared" ca="1" si="183"/>
        <v>7.4563591022443934E-2</v>
      </c>
      <c r="BY152" s="3" t="e">
        <f t="shared" ca="1" si="184"/>
        <v>#N/A</v>
      </c>
      <c r="BZ152" s="3">
        <f t="shared" ca="1" si="185"/>
        <v>2.0672478206724829E-2</v>
      </c>
      <c r="CA152" s="3" t="e">
        <f t="shared" ca="1" si="186"/>
        <v>#N/A</v>
      </c>
      <c r="CC152" s="3">
        <f t="shared" ca="1" si="187"/>
        <v>7.0573564182195875E-2</v>
      </c>
      <c r="CD152" s="3" t="e">
        <f t="shared" ca="1" si="188"/>
        <v>#N/A</v>
      </c>
      <c r="CE152" s="3">
        <f t="shared" ca="1" si="189"/>
        <v>0</v>
      </c>
      <c r="CF152" s="3" t="e">
        <f t="shared" ca="1" si="190"/>
        <v>#N/A</v>
      </c>
      <c r="CH152" s="3">
        <f t="shared" ca="1" si="191"/>
        <v>0.24937655860349128</v>
      </c>
      <c r="CI152" s="3" t="e">
        <f t="shared" ca="1" si="192"/>
        <v>#N/A</v>
      </c>
      <c r="CJ152" s="3">
        <f t="shared" ca="1" si="193"/>
        <v>0</v>
      </c>
      <c r="CK152" s="3" t="e">
        <f t="shared" ca="1" si="194"/>
        <v>#N/A</v>
      </c>
      <c r="CM152" s="3">
        <f t="shared" ca="1" si="195"/>
        <v>0.74812967581047385</v>
      </c>
      <c r="CN152" s="3" t="e">
        <f t="shared" ca="1" si="196"/>
        <v>#N/A</v>
      </c>
      <c r="CO152" s="3">
        <f t="shared" ca="1" si="197"/>
        <v>0.4981320049813201</v>
      </c>
      <c r="CP152" s="3" t="e">
        <f t="shared" ca="1" si="198"/>
        <v>#N/A</v>
      </c>
      <c r="CR152" s="5">
        <v>3.497999906539917</v>
      </c>
      <c r="CS152" s="11" t="e">
        <v>#N/A</v>
      </c>
      <c r="CT152" s="5">
        <v>4.0149999999999997</v>
      </c>
      <c r="CU152" s="11" t="e">
        <v>#N/A</v>
      </c>
      <c r="CV152" s="21" t="e">
        <f t="shared" ca="1" si="200"/>
        <v>#N/A</v>
      </c>
      <c r="CW152" s="16">
        <f t="shared" ca="1" si="199"/>
        <v>9.8333333333333339</v>
      </c>
    </row>
    <row r="153" spans="1:101" s="5" customFormat="1" x14ac:dyDescent="0.35">
      <c r="A153" s="4" t="s">
        <v>152</v>
      </c>
      <c r="B153" s="4">
        <v>10.083333333333334</v>
      </c>
      <c r="C153" s="4" t="s">
        <v>168</v>
      </c>
      <c r="D153" s="4" t="s">
        <v>404</v>
      </c>
      <c r="E153" s="3"/>
      <c r="F153" s="11" t="e">
        <v>#N/A</v>
      </c>
      <c r="G153" s="5">
        <v>4.008</v>
      </c>
      <c r="H153" s="5">
        <v>4.016</v>
      </c>
      <c r="I153" s="5" t="e">
        <v>#N/A</v>
      </c>
      <c r="K153" s="3" t="e">
        <f t="shared" ca="1" si="160"/>
        <v>#N/A</v>
      </c>
      <c r="L153" s="3">
        <f t="shared" ca="1" si="160"/>
        <v>0.99800399201596801</v>
      </c>
      <c r="M153" s="3">
        <f t="shared" ca="1" si="160"/>
        <v>0.99576693227091639</v>
      </c>
      <c r="N153" s="3" t="e">
        <f t="shared" ca="1" si="160"/>
        <v>#N/A</v>
      </c>
      <c r="P153" s="3" t="e">
        <f t="shared" ca="1" si="161"/>
        <v>#N/A</v>
      </c>
      <c r="Q153" s="3">
        <f t="shared" ca="1" si="161"/>
        <v>0.99376250618879136</v>
      </c>
      <c r="R153" s="3">
        <f t="shared" ca="1" si="161"/>
        <v>0.98730080164560818</v>
      </c>
      <c r="S153" s="3" t="e">
        <f t="shared" ca="1" si="161"/>
        <v>#N/A</v>
      </c>
      <c r="U153" s="3" t="e">
        <f t="shared" ca="1" si="162"/>
        <v>#N/A</v>
      </c>
      <c r="V153" s="3">
        <f t="shared" ca="1" si="162"/>
        <v>0.49900199600798401</v>
      </c>
      <c r="W153" s="3">
        <f t="shared" ca="1" si="162"/>
        <v>0.74701195219123506</v>
      </c>
      <c r="X153" s="3" t="e">
        <f t="shared" ca="1" si="162"/>
        <v>#N/A</v>
      </c>
      <c r="Z153" s="3" t="e">
        <f t="shared" ca="1" si="163"/>
        <v>#N/A</v>
      </c>
      <c r="AA153" s="3">
        <f t="shared" ca="1" si="163"/>
        <v>0.99800399201596801</v>
      </c>
      <c r="AB153" s="3">
        <f t="shared" ca="1" si="163"/>
        <v>0.99576693227091639</v>
      </c>
      <c r="AC153" s="3" t="e">
        <f t="shared" ca="1" si="163"/>
        <v>#N/A</v>
      </c>
      <c r="AE153" s="3" t="e">
        <f t="shared" ca="1" si="164"/>
        <v>#N/A</v>
      </c>
      <c r="AF153" s="3">
        <f t="shared" ca="1" si="164"/>
        <v>0.99376250618879136</v>
      </c>
      <c r="AG153" s="3">
        <f t="shared" ca="1" si="164"/>
        <v>0.98730080164560818</v>
      </c>
      <c r="AH153" s="3" t="e">
        <f t="shared" ca="1" si="164"/>
        <v>#N/A</v>
      </c>
      <c r="AJ153" s="3" t="e">
        <f t="shared" ca="1" si="165"/>
        <v>#N/A</v>
      </c>
      <c r="AK153" s="3">
        <f t="shared" ca="1" si="165"/>
        <v>0.49900199600798401</v>
      </c>
      <c r="AL153" s="3">
        <f t="shared" ca="1" si="165"/>
        <v>0.74701195219123506</v>
      </c>
      <c r="AM153" s="3" t="e">
        <f t="shared" ca="1" si="165"/>
        <v>#N/A</v>
      </c>
      <c r="AO153" s="3" t="e">
        <f t="shared" ca="1" si="166"/>
        <v>#N/A</v>
      </c>
      <c r="AP153" s="3">
        <f t="shared" ca="1" si="166"/>
        <v>0.249500998003992</v>
      </c>
      <c r="AQ153" s="3">
        <f t="shared" ca="1" si="166"/>
        <v>0.24900398406374502</v>
      </c>
      <c r="AR153" s="3" t="e">
        <f t="shared" ca="1" si="166"/>
        <v>#N/A</v>
      </c>
      <c r="AT153" s="11" t="e">
        <v>#N/A</v>
      </c>
      <c r="AU153" s="5">
        <v>4.999999888241291E-3</v>
      </c>
      <c r="AV153" s="5">
        <v>1.4999999664723873E-2</v>
      </c>
      <c r="AW153" s="5">
        <v>8.0000003799796104E-3</v>
      </c>
      <c r="AY153" s="3" t="e">
        <f t="shared" ca="1" si="167"/>
        <v>#N/A</v>
      </c>
      <c r="AZ153" s="3">
        <f t="shared" ca="1" si="168"/>
        <v>0.89396207584830334</v>
      </c>
      <c r="BA153" s="3">
        <f t="shared" ca="1" si="169"/>
        <v>0.80901394422310757</v>
      </c>
      <c r="BB153" s="3" t="e">
        <f t="shared" ca="1" si="170"/>
        <v>#N/A</v>
      </c>
      <c r="BD153" s="3" t="e">
        <f t="shared" ca="1" si="171"/>
        <v>#N/A</v>
      </c>
      <c r="BE153" s="3">
        <f t="shared" ca="1" si="172"/>
        <v>0.881487053787399</v>
      </c>
      <c r="BF153" s="3">
        <f t="shared" ca="1" si="173"/>
        <v>0.80478087483174299</v>
      </c>
      <c r="BG153" s="3" t="e">
        <f t="shared" ca="1" si="174"/>
        <v>#N/A</v>
      </c>
      <c r="BI153" s="3" t="e">
        <f t="shared" ca="1" si="175"/>
        <v>#N/A</v>
      </c>
      <c r="BJ153" s="3">
        <f t="shared" ca="1" si="176"/>
        <v>0.249500998003992</v>
      </c>
      <c r="BK153" s="3">
        <f t="shared" ca="1" si="177"/>
        <v>0.49800796812749004</v>
      </c>
      <c r="BL153" s="3" t="e">
        <f t="shared" ca="1" si="178"/>
        <v>#N/A</v>
      </c>
      <c r="BN153" s="3" t="e">
        <f t="shared" ca="1" si="179"/>
        <v>#N/A</v>
      </c>
      <c r="BO153" s="3">
        <f t="shared" ca="1" si="180"/>
        <v>0.249500998003992</v>
      </c>
      <c r="BP153" s="3">
        <f t="shared" ca="1" si="181"/>
        <v>0.24900398406374502</v>
      </c>
      <c r="BQ153" s="3" t="e">
        <f t="shared" ca="1" si="182"/>
        <v>#N/A</v>
      </c>
      <c r="BS153" s="11" t="e">
        <v>#N/A</v>
      </c>
      <c r="BT153" s="5">
        <v>0.47200000286102295</v>
      </c>
      <c r="BU153" s="5">
        <v>0.76499998569488525</v>
      </c>
      <c r="BV153" s="5">
        <v>0.45800000429153442</v>
      </c>
      <c r="BX153" s="3" t="e">
        <f t="shared" ca="1" si="183"/>
        <v>#N/A</v>
      </c>
      <c r="BY153" s="3">
        <f t="shared" ca="1" si="184"/>
        <v>0</v>
      </c>
      <c r="BZ153" s="3">
        <f t="shared" ca="1" si="185"/>
        <v>0</v>
      </c>
      <c r="CA153" s="3" t="e">
        <f t="shared" ca="1" si="186"/>
        <v>#N/A</v>
      </c>
      <c r="CC153" s="3" t="e">
        <f t="shared" ca="1" si="187"/>
        <v>#N/A</v>
      </c>
      <c r="CD153" s="3">
        <f t="shared" ca="1" si="188"/>
        <v>0</v>
      </c>
      <c r="CE153" s="3">
        <f t="shared" ca="1" si="189"/>
        <v>0</v>
      </c>
      <c r="CF153" s="3" t="e">
        <f t="shared" ca="1" si="190"/>
        <v>#N/A</v>
      </c>
      <c r="CH153" s="3" t="e">
        <f t="shared" ca="1" si="191"/>
        <v>#N/A</v>
      </c>
      <c r="CI153" s="3">
        <f t="shared" ca="1" si="192"/>
        <v>0</v>
      </c>
      <c r="CJ153" s="3">
        <f t="shared" ca="1" si="193"/>
        <v>0</v>
      </c>
      <c r="CK153" s="3" t="e">
        <f t="shared" ca="1" si="194"/>
        <v>#N/A</v>
      </c>
      <c r="CM153" s="3" t="e">
        <f t="shared" ca="1" si="195"/>
        <v>#N/A</v>
      </c>
      <c r="CN153" s="3">
        <f t="shared" ca="1" si="196"/>
        <v>0</v>
      </c>
      <c r="CO153" s="3">
        <f t="shared" ca="1" si="197"/>
        <v>0</v>
      </c>
      <c r="CP153" s="3" t="e">
        <f t="shared" ca="1" si="198"/>
        <v>#N/A</v>
      </c>
      <c r="CR153" s="11" t="e">
        <v>#N/A</v>
      </c>
      <c r="CS153" s="5">
        <v>4.008</v>
      </c>
      <c r="CT153" s="5">
        <v>4.016</v>
      </c>
      <c r="CU153" s="5">
        <v>4.0119999999999996</v>
      </c>
      <c r="CV153" s="21">
        <f t="shared" ca="1" si="200"/>
        <v>4.0119999999999996</v>
      </c>
      <c r="CW153" s="16">
        <f t="shared" ca="1" si="199"/>
        <v>10.083333333333334</v>
      </c>
    </row>
    <row r="154" spans="1:101" s="5" customFormat="1" x14ac:dyDescent="0.35">
      <c r="A154" s="4" t="s">
        <v>117</v>
      </c>
      <c r="B154" s="4">
        <v>10.25</v>
      </c>
      <c r="C154" s="4" t="s">
        <v>168</v>
      </c>
      <c r="D154" s="4" t="s">
        <v>404</v>
      </c>
      <c r="E154" s="3"/>
      <c r="F154" s="5">
        <v>4.0060000000000002</v>
      </c>
      <c r="G154" s="5">
        <v>4.0060000000000002</v>
      </c>
      <c r="H154" s="5">
        <v>4.0140000000000002</v>
      </c>
      <c r="I154" s="5">
        <v>4.016</v>
      </c>
      <c r="K154" s="3">
        <f t="shared" ca="1" si="160"/>
        <v>0.99825262106839729</v>
      </c>
      <c r="L154" s="3">
        <f t="shared" ca="1" si="160"/>
        <v>0.98577134298552171</v>
      </c>
      <c r="M154" s="3">
        <f t="shared" ca="1" si="160"/>
        <v>0.9962630792227205</v>
      </c>
      <c r="N154" s="3">
        <f t="shared" ca="1" si="160"/>
        <v>0.9711155378486056</v>
      </c>
      <c r="P154" s="3">
        <f t="shared" ca="1" si="161"/>
        <v>0.9236145516763582</v>
      </c>
      <c r="Q154" s="3">
        <f t="shared" ca="1" si="161"/>
        <v>0.92311538625703826</v>
      </c>
      <c r="R154" s="3">
        <f t="shared" ca="1" si="161"/>
        <v>0.95914292887528851</v>
      </c>
      <c r="S154" s="3">
        <f t="shared" ca="1" si="161"/>
        <v>0.90861558683209154</v>
      </c>
      <c r="U154" s="3">
        <f t="shared" ca="1" si="162"/>
        <v>3.2451323015476783</v>
      </c>
      <c r="V154" s="3">
        <f t="shared" ca="1" si="162"/>
        <v>2.9955067398901645</v>
      </c>
      <c r="W154" s="3">
        <f t="shared" ca="1" si="162"/>
        <v>2.4912805181863478</v>
      </c>
      <c r="X154" s="3">
        <f t="shared" ca="1" si="162"/>
        <v>3.237051792828685</v>
      </c>
      <c r="Z154" s="3">
        <f t="shared" ca="1" si="163"/>
        <v>0.99825262106839729</v>
      </c>
      <c r="AA154" s="3">
        <f t="shared" ca="1" si="163"/>
        <v>0.98577134298552171</v>
      </c>
      <c r="AB154" s="3">
        <f t="shared" ca="1" si="163"/>
        <v>0.9962630792227205</v>
      </c>
      <c r="AC154" s="3">
        <f t="shared" ca="1" si="163"/>
        <v>0.9711155378486056</v>
      </c>
      <c r="AE154" s="3">
        <f t="shared" ca="1" si="164"/>
        <v>0.9236145516763582</v>
      </c>
      <c r="AF154" s="3">
        <f t="shared" ca="1" si="164"/>
        <v>0.92311538625703826</v>
      </c>
      <c r="AG154" s="3">
        <f t="shared" ca="1" si="164"/>
        <v>0.95914292887528851</v>
      </c>
      <c r="AH154" s="3">
        <f t="shared" ca="1" si="164"/>
        <v>0.90861558683209154</v>
      </c>
      <c r="AJ154" s="3">
        <f t="shared" ca="1" si="165"/>
        <v>3.2451323015476783</v>
      </c>
      <c r="AK154" s="3">
        <f t="shared" ca="1" si="165"/>
        <v>2.9955067398901645</v>
      </c>
      <c r="AL154" s="3">
        <f t="shared" ca="1" si="165"/>
        <v>2.4912805181863478</v>
      </c>
      <c r="AM154" s="3">
        <f t="shared" ca="1" si="165"/>
        <v>3.237051792828685</v>
      </c>
      <c r="AO154" s="3">
        <f t="shared" ca="1" si="166"/>
        <v>0.24962556165751371</v>
      </c>
      <c r="AP154" s="3">
        <f t="shared" ca="1" si="166"/>
        <v>0.24962556165751371</v>
      </c>
      <c r="AQ154" s="3">
        <f t="shared" ca="1" si="166"/>
        <v>0.24912805181863476</v>
      </c>
      <c r="AR154" s="3">
        <f t="shared" ca="1" si="166"/>
        <v>0.24900398406374502</v>
      </c>
      <c r="AT154" s="5">
        <v>4.999999888241291E-3</v>
      </c>
      <c r="AU154" s="5">
        <v>5.9000000357627869E-2</v>
      </c>
      <c r="AV154" s="5">
        <v>9.9999997764825821E-3</v>
      </c>
      <c r="AW154" s="5">
        <v>7.0000002160668373E-3</v>
      </c>
      <c r="AY154" s="3">
        <f t="shared" ca="1" si="167"/>
        <v>0.191462805791313</v>
      </c>
      <c r="AZ154" s="3">
        <f t="shared" ca="1" si="168"/>
        <v>0.19545681477783317</v>
      </c>
      <c r="BA154" s="3">
        <f t="shared" ca="1" si="169"/>
        <v>0.21973094170403601</v>
      </c>
      <c r="BB154" s="3">
        <f t="shared" ca="1" si="170"/>
        <v>0.23232071713147404</v>
      </c>
      <c r="BD154" s="3">
        <f t="shared" ca="1" si="171"/>
        <v>0.15826261436350036</v>
      </c>
      <c r="BE154" s="3">
        <f t="shared" ca="1" si="172"/>
        <v>9.5856201630857535E-2</v>
      </c>
      <c r="BF154" s="3">
        <f t="shared" ca="1" si="173"/>
        <v>0.20328842708585745</v>
      </c>
      <c r="BG154" s="3">
        <f t="shared" ca="1" si="174"/>
        <v>0.2031872620383107</v>
      </c>
      <c r="BI154" s="3">
        <f t="shared" ca="1" si="175"/>
        <v>0.49925112331502741</v>
      </c>
      <c r="BJ154" s="3">
        <f t="shared" ca="1" si="176"/>
        <v>0.24962556165751371</v>
      </c>
      <c r="BK154" s="3">
        <f t="shared" ca="1" si="177"/>
        <v>0.49825610363726952</v>
      </c>
      <c r="BL154" s="3">
        <f t="shared" ca="1" si="178"/>
        <v>0.74701195219123506</v>
      </c>
      <c r="BN154" s="3">
        <f t="shared" ca="1" si="179"/>
        <v>0.99850224663005482</v>
      </c>
      <c r="BO154" s="3">
        <f t="shared" ca="1" si="180"/>
        <v>0.74887668497254112</v>
      </c>
      <c r="BP154" s="3">
        <f t="shared" ca="1" si="181"/>
        <v>0.74738415545590431</v>
      </c>
      <c r="BQ154" s="3">
        <f t="shared" ca="1" si="182"/>
        <v>0.74701195219123506</v>
      </c>
      <c r="BS154" s="5">
        <v>0.43799999356269836</v>
      </c>
      <c r="BT154" s="5">
        <v>1.6080000400543213</v>
      </c>
      <c r="BU154" s="5">
        <v>2.8090000152587891</v>
      </c>
      <c r="BV154" s="5">
        <v>0.75700002908706665</v>
      </c>
      <c r="BX154" s="3">
        <f t="shared" ca="1" si="183"/>
        <v>0.18696954568147789</v>
      </c>
      <c r="BY154" s="3">
        <f t="shared" ca="1" si="184"/>
        <v>0.10409385921118318</v>
      </c>
      <c r="BZ154" s="3">
        <f t="shared" ca="1" si="185"/>
        <v>9.9900348779272605E-2</v>
      </c>
      <c r="CA154" s="3">
        <f t="shared" ca="1" si="186"/>
        <v>0.24078685258964133</v>
      </c>
      <c r="CC154" s="3">
        <f t="shared" ca="1" si="187"/>
        <v>0.22466295490369639</v>
      </c>
      <c r="CD154" s="3">
        <f t="shared" ca="1" si="188"/>
        <v>0.12456317335977235</v>
      </c>
      <c r="CE154" s="3">
        <f t="shared" ca="1" si="189"/>
        <v>9.5416077583894601E-2</v>
      </c>
      <c r="CF154" s="3">
        <f t="shared" ca="1" si="190"/>
        <v>0.29880477025533519</v>
      </c>
      <c r="CH154" s="3">
        <f t="shared" ca="1" si="191"/>
        <v>0.49925112331502741</v>
      </c>
      <c r="CI154" s="3">
        <f t="shared" ca="1" si="192"/>
        <v>0.49925112331502741</v>
      </c>
      <c r="CJ154" s="3">
        <f t="shared" ca="1" si="193"/>
        <v>0.49825610363726952</v>
      </c>
      <c r="CK154" s="3">
        <f t="shared" ca="1" si="194"/>
        <v>0.74701195219123506</v>
      </c>
      <c r="CM154" s="3">
        <f t="shared" ca="1" si="195"/>
        <v>0.49925112331502741</v>
      </c>
      <c r="CN154" s="3">
        <f t="shared" ca="1" si="196"/>
        <v>0.49925112331502741</v>
      </c>
      <c r="CO154" s="3">
        <f t="shared" ca="1" si="197"/>
        <v>0.49825610363726952</v>
      </c>
      <c r="CP154" s="3">
        <f t="shared" ca="1" si="198"/>
        <v>0.74701195219123506</v>
      </c>
      <c r="CR154" s="5">
        <v>0.93800002336502075</v>
      </c>
      <c r="CS154" s="5">
        <v>2.2920000553131104</v>
      </c>
      <c r="CT154" s="5">
        <v>0.87699997425079346</v>
      </c>
      <c r="CU154" s="5">
        <v>7.0000002160668373E-3</v>
      </c>
      <c r="CV154" s="21">
        <f t="shared" ca="1" si="200"/>
        <v>7.0000002160668373E-3</v>
      </c>
      <c r="CW154" s="16">
        <f t="shared" ca="1" si="199"/>
        <v>10.25</v>
      </c>
    </row>
    <row r="155" spans="1:101" s="5" customFormat="1" x14ac:dyDescent="0.35">
      <c r="A155" s="4" t="s">
        <v>123</v>
      </c>
      <c r="B155" s="4">
        <v>10.25</v>
      </c>
      <c r="C155" s="4" t="s">
        <v>167</v>
      </c>
      <c r="D155" s="4" t="s">
        <v>404</v>
      </c>
      <c r="E155" s="3"/>
      <c r="F155" s="5">
        <v>3.2450000000000001</v>
      </c>
      <c r="G155" s="5" t="e">
        <v>#N/A</v>
      </c>
      <c r="H155" s="5" t="e">
        <v>#N/A</v>
      </c>
      <c r="I155" s="5">
        <v>4.0149999999999997</v>
      </c>
      <c r="K155" s="3">
        <f t="shared" ca="1" si="160"/>
        <v>0.92942989214175653</v>
      </c>
      <c r="L155" s="3" t="e">
        <f t="shared" ca="1" si="160"/>
        <v>#N/A</v>
      </c>
      <c r="M155" s="3" t="e">
        <f t="shared" ca="1" si="160"/>
        <v>#N/A</v>
      </c>
      <c r="N155" s="3">
        <f t="shared" ca="1" si="160"/>
        <v>0.91282689912826909</v>
      </c>
      <c r="P155" s="3">
        <f t="shared" ca="1" si="161"/>
        <v>0.82249616621455346</v>
      </c>
      <c r="Q155" s="3" t="e">
        <f t="shared" ca="1" si="161"/>
        <v>#N/A</v>
      </c>
      <c r="R155" s="3" t="e">
        <f t="shared" ca="1" si="161"/>
        <v>#N/A</v>
      </c>
      <c r="S155" s="3">
        <f t="shared" ca="1" si="161"/>
        <v>0.80996270791382752</v>
      </c>
      <c r="U155" s="3">
        <f t="shared" ca="1" si="162"/>
        <v>3.0816640986132509</v>
      </c>
      <c r="V155" s="3" t="e">
        <f t="shared" ca="1" si="162"/>
        <v>#N/A</v>
      </c>
      <c r="W155" s="3" t="e">
        <f t="shared" ca="1" si="162"/>
        <v>#N/A</v>
      </c>
      <c r="X155" s="3">
        <f t="shared" ca="1" si="162"/>
        <v>3.9850560398505608</v>
      </c>
      <c r="Z155" s="3">
        <f t="shared" ca="1" si="163"/>
        <v>0.92942989214175653</v>
      </c>
      <c r="AA155" s="3" t="e">
        <f t="shared" ca="1" si="163"/>
        <v>#N/A</v>
      </c>
      <c r="AB155" s="3" t="e">
        <f t="shared" ca="1" si="163"/>
        <v>#N/A</v>
      </c>
      <c r="AC155" s="3">
        <f t="shared" ca="1" si="163"/>
        <v>0.91282689912826909</v>
      </c>
      <c r="AE155" s="3">
        <f t="shared" ca="1" si="164"/>
        <v>0.82249616621455346</v>
      </c>
      <c r="AF155" s="3" t="e">
        <f t="shared" ca="1" si="164"/>
        <v>#N/A</v>
      </c>
      <c r="AG155" s="3" t="e">
        <f t="shared" ca="1" si="164"/>
        <v>#N/A</v>
      </c>
      <c r="AH155" s="3">
        <f t="shared" ca="1" si="164"/>
        <v>0.80996270791382752</v>
      </c>
      <c r="AJ155" s="3">
        <f t="shared" ca="1" si="165"/>
        <v>3.0816640986132509</v>
      </c>
      <c r="AK155" s="3" t="e">
        <f t="shared" ca="1" si="165"/>
        <v>#N/A</v>
      </c>
      <c r="AL155" s="3" t="e">
        <f t="shared" ca="1" si="165"/>
        <v>#N/A</v>
      </c>
      <c r="AM155" s="3">
        <f t="shared" ca="1" si="165"/>
        <v>3.9850560398505608</v>
      </c>
      <c r="AO155" s="3">
        <f t="shared" ca="1" si="166"/>
        <v>0.61633281972265019</v>
      </c>
      <c r="AP155" s="3" t="e">
        <f t="shared" ca="1" si="166"/>
        <v>#N/A</v>
      </c>
      <c r="AQ155" s="3" t="e">
        <f t="shared" ca="1" si="166"/>
        <v>#N/A</v>
      </c>
      <c r="AR155" s="3">
        <f t="shared" ca="1" si="166"/>
        <v>0.24906600249066005</v>
      </c>
      <c r="AT155" s="5">
        <v>0.29600000381469727</v>
      </c>
      <c r="AU155" s="5">
        <v>0.22100000083446503</v>
      </c>
      <c r="AV155" s="5">
        <v>0.37700000405311584</v>
      </c>
      <c r="AW155" s="5">
        <v>0.35600000619888306</v>
      </c>
      <c r="AY155" s="3">
        <f t="shared" ca="1" si="167"/>
        <v>0.55963020030816635</v>
      </c>
      <c r="AZ155" s="3" t="e">
        <f t="shared" ca="1" si="168"/>
        <v>#N/A</v>
      </c>
      <c r="BA155" s="3" t="e">
        <f t="shared" ca="1" si="169"/>
        <v>#N/A</v>
      </c>
      <c r="BB155" s="3">
        <f t="shared" ca="1" si="170"/>
        <v>0.34819427148194265</v>
      </c>
      <c r="BD155" s="3">
        <f t="shared" ca="1" si="171"/>
        <v>0.48813559975940013</v>
      </c>
      <c r="BE155" s="3" t="e">
        <f t="shared" ca="1" si="172"/>
        <v>#N/A</v>
      </c>
      <c r="BF155" s="3" t="e">
        <f t="shared" ca="1" si="173"/>
        <v>#N/A</v>
      </c>
      <c r="BG155" s="3">
        <f t="shared" ca="1" si="174"/>
        <v>0.3070983613561723</v>
      </c>
      <c r="BI155" s="3">
        <f t="shared" ca="1" si="175"/>
        <v>0.92449922958397535</v>
      </c>
      <c r="BJ155" s="3" t="e">
        <f t="shared" ca="1" si="176"/>
        <v>#N/A</v>
      </c>
      <c r="BK155" s="3" t="e">
        <f t="shared" ca="1" si="177"/>
        <v>#N/A</v>
      </c>
      <c r="BL155" s="3">
        <f t="shared" ca="1" si="178"/>
        <v>1.2453300124533002</v>
      </c>
      <c r="BN155" s="3">
        <f t="shared" ca="1" si="179"/>
        <v>0.92449922958397535</v>
      </c>
      <c r="BO155" s="3" t="e">
        <f t="shared" ca="1" si="180"/>
        <v>#N/A</v>
      </c>
      <c r="BP155" s="3" t="e">
        <f t="shared" ca="1" si="181"/>
        <v>#N/A</v>
      </c>
      <c r="BQ155" s="3">
        <f t="shared" ca="1" si="182"/>
        <v>0.9962640099626402</v>
      </c>
      <c r="BS155" s="5">
        <v>0.42899999022483826</v>
      </c>
      <c r="BT155" s="5">
        <v>0.22100000083446503</v>
      </c>
      <c r="BU155" s="5">
        <v>0.37700000405311584</v>
      </c>
      <c r="BV155" s="5">
        <v>0.63999998569488525</v>
      </c>
      <c r="BX155" s="3">
        <f t="shared" ca="1" si="183"/>
        <v>0</v>
      </c>
      <c r="BY155" s="3" t="e">
        <f t="shared" ca="1" si="184"/>
        <v>#N/A</v>
      </c>
      <c r="BZ155" s="3" t="e">
        <f t="shared" ca="1" si="185"/>
        <v>#N/A</v>
      </c>
      <c r="CA155" s="3">
        <f t="shared" ca="1" si="186"/>
        <v>0</v>
      </c>
      <c r="CC155" s="3">
        <f t="shared" ca="1" si="187"/>
        <v>0</v>
      </c>
      <c r="CD155" s="3" t="e">
        <f t="shared" ca="1" si="188"/>
        <v>#N/A</v>
      </c>
      <c r="CE155" s="3" t="e">
        <f t="shared" ca="1" si="189"/>
        <v>#N/A</v>
      </c>
      <c r="CF155" s="3">
        <f t="shared" ca="1" si="190"/>
        <v>0</v>
      </c>
      <c r="CH155" s="3">
        <f t="shared" ca="1" si="191"/>
        <v>0</v>
      </c>
      <c r="CI155" s="3" t="e">
        <f t="shared" ca="1" si="192"/>
        <v>#N/A</v>
      </c>
      <c r="CJ155" s="3" t="e">
        <f t="shared" ca="1" si="193"/>
        <v>#N/A</v>
      </c>
      <c r="CK155" s="3">
        <f t="shared" ca="1" si="194"/>
        <v>0</v>
      </c>
      <c r="CM155" s="3">
        <f t="shared" ca="1" si="195"/>
        <v>0.92449922958397535</v>
      </c>
      <c r="CN155" s="3" t="e">
        <f t="shared" ca="1" si="196"/>
        <v>#N/A</v>
      </c>
      <c r="CO155" s="3" t="e">
        <f t="shared" ca="1" si="197"/>
        <v>#N/A</v>
      </c>
      <c r="CP155" s="3">
        <f t="shared" ca="1" si="198"/>
        <v>0</v>
      </c>
      <c r="CR155" s="5">
        <v>4.0110000000000001</v>
      </c>
      <c r="CS155" s="5">
        <v>4.0149999999999997</v>
      </c>
      <c r="CT155" s="5">
        <v>4.016</v>
      </c>
      <c r="CU155" s="5">
        <v>4.0149999999999997</v>
      </c>
      <c r="CV155" s="21">
        <f t="shared" ca="1" si="200"/>
        <v>4.0149999999999997</v>
      </c>
      <c r="CW155" s="16">
        <f t="shared" ca="1" si="199"/>
        <v>10.25</v>
      </c>
    </row>
    <row r="156" spans="1:101" s="5" customFormat="1" x14ac:dyDescent="0.35">
      <c r="A156" s="4" t="s">
        <v>111</v>
      </c>
      <c r="B156" s="4">
        <v>10.416666666666666</v>
      </c>
      <c r="C156" s="4" t="s">
        <v>168</v>
      </c>
      <c r="D156" s="4" t="s">
        <v>404</v>
      </c>
      <c r="E156" s="3"/>
      <c r="F156" s="11" t="e">
        <v>#N/A</v>
      </c>
      <c r="G156" s="11" t="e">
        <v>#N/A</v>
      </c>
      <c r="H156" s="5" t="e">
        <v>#N/A</v>
      </c>
      <c r="I156" s="11" t="e">
        <v>#N/A</v>
      </c>
      <c r="K156" s="3" t="e">
        <f t="shared" ca="1" si="160"/>
        <v>#N/A</v>
      </c>
      <c r="L156" s="3" t="e">
        <f t="shared" ca="1" si="160"/>
        <v>#N/A</v>
      </c>
      <c r="M156" s="3" t="e">
        <f t="shared" ca="1" si="160"/>
        <v>#N/A</v>
      </c>
      <c r="N156" s="3" t="e">
        <f t="shared" ca="1" si="160"/>
        <v>#N/A</v>
      </c>
      <c r="P156" s="3" t="e">
        <f t="shared" ca="1" si="161"/>
        <v>#N/A</v>
      </c>
      <c r="Q156" s="3" t="e">
        <f t="shared" ca="1" si="161"/>
        <v>#N/A</v>
      </c>
      <c r="R156" s="3" t="e">
        <f t="shared" ca="1" si="161"/>
        <v>#N/A</v>
      </c>
      <c r="S156" s="3" t="e">
        <f t="shared" ca="1" si="161"/>
        <v>#N/A</v>
      </c>
      <c r="U156" s="3" t="e">
        <f t="shared" ca="1" si="162"/>
        <v>#N/A</v>
      </c>
      <c r="V156" s="3" t="e">
        <f t="shared" ca="1" si="162"/>
        <v>#N/A</v>
      </c>
      <c r="W156" s="3" t="e">
        <f t="shared" ca="1" si="162"/>
        <v>#N/A</v>
      </c>
      <c r="X156" s="3" t="e">
        <f t="shared" ca="1" si="162"/>
        <v>#N/A</v>
      </c>
      <c r="Z156" s="3" t="e">
        <f t="shared" ca="1" si="163"/>
        <v>#N/A</v>
      </c>
      <c r="AA156" s="3" t="e">
        <f t="shared" ca="1" si="163"/>
        <v>#N/A</v>
      </c>
      <c r="AB156" s="3" t="e">
        <f t="shared" ca="1" si="163"/>
        <v>#N/A</v>
      </c>
      <c r="AC156" s="3" t="e">
        <f t="shared" ca="1" si="163"/>
        <v>#N/A</v>
      </c>
      <c r="AE156" s="3" t="e">
        <f t="shared" ca="1" si="164"/>
        <v>#N/A</v>
      </c>
      <c r="AF156" s="3" t="e">
        <f t="shared" ca="1" si="164"/>
        <v>#N/A</v>
      </c>
      <c r="AG156" s="3" t="e">
        <f t="shared" ca="1" si="164"/>
        <v>#N/A</v>
      </c>
      <c r="AH156" s="3" t="e">
        <f t="shared" ca="1" si="164"/>
        <v>#N/A</v>
      </c>
      <c r="AJ156" s="3" t="e">
        <f t="shared" ca="1" si="165"/>
        <v>#N/A</v>
      </c>
      <c r="AK156" s="3" t="e">
        <f t="shared" ca="1" si="165"/>
        <v>#N/A</v>
      </c>
      <c r="AL156" s="3" t="e">
        <f t="shared" ca="1" si="165"/>
        <v>#N/A</v>
      </c>
      <c r="AM156" s="3" t="e">
        <f t="shared" ca="1" si="165"/>
        <v>#N/A</v>
      </c>
      <c r="AO156" s="3" t="e">
        <f t="shared" ca="1" si="166"/>
        <v>#N/A</v>
      </c>
      <c r="AP156" s="3" t="e">
        <f t="shared" ca="1" si="166"/>
        <v>#N/A</v>
      </c>
      <c r="AQ156" s="3" t="e">
        <f t="shared" ca="1" si="166"/>
        <v>#N/A</v>
      </c>
      <c r="AR156" s="3" t="e">
        <f t="shared" ca="1" si="166"/>
        <v>#N/A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Y156" s="3" t="e">
        <f t="shared" ca="1" si="167"/>
        <v>#N/A</v>
      </c>
      <c r="AZ156" s="3" t="e">
        <f t="shared" ca="1" si="168"/>
        <v>#N/A</v>
      </c>
      <c r="BA156" s="3" t="e">
        <f t="shared" ca="1" si="169"/>
        <v>#N/A</v>
      </c>
      <c r="BB156" s="3" t="e">
        <f t="shared" ca="1" si="170"/>
        <v>#N/A</v>
      </c>
      <c r="BD156" s="3" t="e">
        <f t="shared" ca="1" si="171"/>
        <v>#N/A</v>
      </c>
      <c r="BE156" s="3" t="e">
        <f t="shared" ca="1" si="172"/>
        <v>#N/A</v>
      </c>
      <c r="BF156" s="3" t="e">
        <f t="shared" ca="1" si="173"/>
        <v>#N/A</v>
      </c>
      <c r="BG156" s="3" t="e">
        <f t="shared" ca="1" si="174"/>
        <v>#N/A</v>
      </c>
      <c r="BI156" s="3" t="e">
        <f t="shared" ca="1" si="175"/>
        <v>#N/A</v>
      </c>
      <c r="BJ156" s="3" t="e">
        <f t="shared" ca="1" si="176"/>
        <v>#N/A</v>
      </c>
      <c r="BK156" s="3" t="e">
        <f t="shared" ca="1" si="177"/>
        <v>#N/A</v>
      </c>
      <c r="BL156" s="3" t="e">
        <f t="shared" ca="1" si="178"/>
        <v>#N/A</v>
      </c>
      <c r="BN156" s="3" t="e">
        <f t="shared" ca="1" si="179"/>
        <v>#N/A</v>
      </c>
      <c r="BO156" s="3" t="e">
        <f t="shared" ca="1" si="180"/>
        <v>#N/A</v>
      </c>
      <c r="BP156" s="3" t="e">
        <f t="shared" ca="1" si="181"/>
        <v>#N/A</v>
      </c>
      <c r="BQ156" s="3" t="e">
        <f t="shared" ca="1" si="182"/>
        <v>#N/A</v>
      </c>
      <c r="BS156" s="11" t="e">
        <v>#N/A</v>
      </c>
      <c r="BT156" s="11" t="e">
        <v>#N/A</v>
      </c>
      <c r="BU156" s="11" t="e">
        <v>#N/A</v>
      </c>
      <c r="BV156" s="11" t="e">
        <v>#N/A</v>
      </c>
      <c r="BX156" s="3" t="e">
        <f t="shared" ca="1" si="183"/>
        <v>#N/A</v>
      </c>
      <c r="BY156" s="3" t="e">
        <f t="shared" ca="1" si="184"/>
        <v>#N/A</v>
      </c>
      <c r="BZ156" s="3" t="e">
        <f t="shared" ca="1" si="185"/>
        <v>#N/A</v>
      </c>
      <c r="CA156" s="3" t="e">
        <f t="shared" ca="1" si="186"/>
        <v>#N/A</v>
      </c>
      <c r="CC156" s="3" t="e">
        <f t="shared" ca="1" si="187"/>
        <v>#N/A</v>
      </c>
      <c r="CD156" s="3" t="e">
        <f t="shared" ca="1" si="188"/>
        <v>#N/A</v>
      </c>
      <c r="CE156" s="3" t="e">
        <f t="shared" ca="1" si="189"/>
        <v>#N/A</v>
      </c>
      <c r="CF156" s="3" t="e">
        <f t="shared" ca="1" si="190"/>
        <v>#N/A</v>
      </c>
      <c r="CH156" s="3" t="e">
        <f t="shared" ca="1" si="191"/>
        <v>#N/A</v>
      </c>
      <c r="CI156" s="3" t="e">
        <f t="shared" ca="1" si="192"/>
        <v>#N/A</v>
      </c>
      <c r="CJ156" s="3" t="e">
        <f t="shared" ca="1" si="193"/>
        <v>#N/A</v>
      </c>
      <c r="CK156" s="3" t="e">
        <f t="shared" ca="1" si="194"/>
        <v>#N/A</v>
      </c>
      <c r="CM156" s="3" t="e">
        <f t="shared" ca="1" si="195"/>
        <v>#N/A</v>
      </c>
      <c r="CN156" s="3" t="e">
        <f t="shared" ca="1" si="196"/>
        <v>#N/A</v>
      </c>
      <c r="CO156" s="3" t="e">
        <f t="shared" ca="1" si="197"/>
        <v>#N/A</v>
      </c>
      <c r="CP156" s="3" t="e">
        <f t="shared" ca="1" si="198"/>
        <v>#N/A</v>
      </c>
      <c r="CR156" s="11" t="e">
        <v>#N/A</v>
      </c>
      <c r="CS156" s="11" t="e">
        <v>#N/A</v>
      </c>
      <c r="CT156" s="11" t="e">
        <v>#N/A</v>
      </c>
      <c r="CU156" s="11" t="e">
        <v>#N/A</v>
      </c>
      <c r="CV156" s="21" t="e">
        <f t="shared" ca="1" si="200"/>
        <v>#N/A</v>
      </c>
      <c r="CW156" s="16">
        <f t="shared" ca="1" si="199"/>
        <v>10.416666666666666</v>
      </c>
    </row>
    <row r="157" spans="1:101" s="5" customFormat="1" x14ac:dyDescent="0.35">
      <c r="A157" s="4" t="s">
        <v>132</v>
      </c>
      <c r="B157" s="4">
        <v>10.666666666666666</v>
      </c>
      <c r="C157" s="4" t="s">
        <v>168</v>
      </c>
      <c r="D157" s="4" t="s">
        <v>404</v>
      </c>
      <c r="E157" s="3"/>
      <c r="F157" s="5">
        <v>4.01</v>
      </c>
      <c r="G157" s="5">
        <v>3.0770000000000004</v>
      </c>
      <c r="H157" s="5">
        <v>4.0469999999999997</v>
      </c>
      <c r="I157" s="5" t="e">
        <v>#N/A</v>
      </c>
      <c r="K157" s="3">
        <f t="shared" ca="1" si="160"/>
        <v>0.93915211970074819</v>
      </c>
      <c r="L157" s="3">
        <f t="shared" ca="1" si="160"/>
        <v>0.80662983425414359</v>
      </c>
      <c r="M157" s="3">
        <f t="shared" ca="1" si="160"/>
        <v>0.99629355077835446</v>
      </c>
      <c r="N157" s="3" t="e">
        <f t="shared" ca="1" si="160"/>
        <v>#N/A</v>
      </c>
      <c r="P157" s="3">
        <f t="shared" ca="1" si="161"/>
        <v>0.80623442441819615</v>
      </c>
      <c r="Q157" s="3">
        <f t="shared" ca="1" si="161"/>
        <v>0.63340917476632974</v>
      </c>
      <c r="R157" s="3">
        <f t="shared" ca="1" si="161"/>
        <v>0.83963438032702642</v>
      </c>
      <c r="S157" s="3" t="e">
        <f t="shared" ca="1" si="161"/>
        <v>#N/A</v>
      </c>
      <c r="U157" s="3">
        <f t="shared" ca="1" si="162"/>
        <v>1.9950124688279303</v>
      </c>
      <c r="V157" s="3">
        <f t="shared" ca="1" si="162"/>
        <v>1.2999675008124796</v>
      </c>
      <c r="W157" s="3">
        <f t="shared" ca="1" si="162"/>
        <v>0.98838645910551037</v>
      </c>
      <c r="X157" s="3" t="e">
        <f t="shared" ca="1" si="162"/>
        <v>#N/A</v>
      </c>
      <c r="Z157" s="3">
        <f t="shared" ca="1" si="163"/>
        <v>0.19551122194513723</v>
      </c>
      <c r="AA157" s="3">
        <f t="shared" ca="1" si="163"/>
        <v>0.72018199545011374</v>
      </c>
      <c r="AB157" s="3">
        <f t="shared" ca="1" si="163"/>
        <v>0.83568075117370899</v>
      </c>
      <c r="AC157" s="3" t="e">
        <f t="shared" ca="1" si="163"/>
        <v>#N/A</v>
      </c>
      <c r="AE157" s="3">
        <f t="shared" ca="1" si="164"/>
        <v>0.23690774256451769</v>
      </c>
      <c r="AF157" s="3">
        <f t="shared" ca="1" si="164"/>
        <v>0.63340917476632974</v>
      </c>
      <c r="AG157" s="3">
        <f t="shared" ca="1" si="164"/>
        <v>0.83963438032702642</v>
      </c>
      <c r="AH157" s="3" t="e">
        <f t="shared" ca="1" si="164"/>
        <v>#N/A</v>
      </c>
      <c r="AJ157" s="3">
        <f t="shared" ca="1" si="165"/>
        <v>0.74812967581047385</v>
      </c>
      <c r="AK157" s="3">
        <f t="shared" ca="1" si="165"/>
        <v>1.2999675008124796</v>
      </c>
      <c r="AL157" s="3">
        <f t="shared" ca="1" si="165"/>
        <v>0.98838645910551037</v>
      </c>
      <c r="AM157" s="3" t="e">
        <f t="shared" ca="1" si="165"/>
        <v>#N/A</v>
      </c>
      <c r="AO157" s="3">
        <f t="shared" ca="1" si="166"/>
        <v>0.49875311720698257</v>
      </c>
      <c r="AP157" s="3">
        <f t="shared" ca="1" si="166"/>
        <v>1.2999675008124796</v>
      </c>
      <c r="AQ157" s="3">
        <f t="shared" ca="1" si="166"/>
        <v>0.98838645910551037</v>
      </c>
      <c r="AR157" s="3" t="e">
        <f t="shared" ca="1" si="166"/>
        <v>#N/A</v>
      </c>
      <c r="AT157" s="5">
        <v>2.0150001049041748</v>
      </c>
      <c r="AU157" s="5">
        <v>0.32699999213218689</v>
      </c>
      <c r="AV157" s="5">
        <v>1.0999999940395355E-2</v>
      </c>
      <c r="AW157" s="11" t="e">
        <v>#N/A</v>
      </c>
      <c r="AY157" s="3">
        <f t="shared" ca="1" si="167"/>
        <v>0</v>
      </c>
      <c r="AZ157" s="3">
        <f t="shared" ca="1" si="168"/>
        <v>0</v>
      </c>
      <c r="BA157" s="3">
        <f t="shared" ca="1" si="169"/>
        <v>0</v>
      </c>
      <c r="BB157" s="3" t="e">
        <f t="shared" ca="1" si="170"/>
        <v>#N/A</v>
      </c>
      <c r="BD157" s="3">
        <f t="shared" ca="1" si="171"/>
        <v>0</v>
      </c>
      <c r="BE157" s="3">
        <f t="shared" ca="1" si="172"/>
        <v>0</v>
      </c>
      <c r="BF157" s="3">
        <f t="shared" ca="1" si="173"/>
        <v>0</v>
      </c>
      <c r="BG157" s="3" t="e">
        <f t="shared" ca="1" si="174"/>
        <v>#N/A</v>
      </c>
      <c r="BI157" s="3">
        <f t="shared" ca="1" si="175"/>
        <v>0</v>
      </c>
      <c r="BJ157" s="3">
        <f t="shared" ca="1" si="176"/>
        <v>0</v>
      </c>
      <c r="BK157" s="3">
        <f t="shared" ca="1" si="177"/>
        <v>0</v>
      </c>
      <c r="BL157" s="3" t="e">
        <f t="shared" ca="1" si="178"/>
        <v>#N/A</v>
      </c>
      <c r="BN157" s="3">
        <f t="shared" ca="1" si="179"/>
        <v>0</v>
      </c>
      <c r="BO157" s="3">
        <f t="shared" ca="1" si="180"/>
        <v>0</v>
      </c>
      <c r="BP157" s="3">
        <f t="shared" ca="1" si="181"/>
        <v>0</v>
      </c>
      <c r="BQ157" s="3" t="e">
        <f t="shared" ca="1" si="182"/>
        <v>#N/A</v>
      </c>
      <c r="BS157" s="5">
        <v>4.01</v>
      </c>
      <c r="BT157" s="5">
        <v>4.0270000000000001</v>
      </c>
      <c r="BU157" s="5">
        <v>4.0469999999999997</v>
      </c>
      <c r="BV157" s="11" t="e">
        <v>#N/A</v>
      </c>
      <c r="BX157" s="3">
        <f t="shared" ca="1" si="183"/>
        <v>0</v>
      </c>
      <c r="BY157" s="3">
        <f t="shared" ca="1" si="184"/>
        <v>0</v>
      </c>
      <c r="BZ157" s="3">
        <f t="shared" ca="1" si="185"/>
        <v>0</v>
      </c>
      <c r="CA157" s="3" t="e">
        <f t="shared" ca="1" si="186"/>
        <v>#N/A</v>
      </c>
      <c r="CC157" s="3">
        <f t="shared" ca="1" si="187"/>
        <v>0</v>
      </c>
      <c r="CD157" s="3">
        <f t="shared" ca="1" si="188"/>
        <v>0</v>
      </c>
      <c r="CE157" s="3">
        <f t="shared" ca="1" si="189"/>
        <v>0</v>
      </c>
      <c r="CF157" s="3" t="e">
        <f t="shared" ca="1" si="190"/>
        <v>#N/A</v>
      </c>
      <c r="CH157" s="3">
        <f t="shared" ca="1" si="191"/>
        <v>0</v>
      </c>
      <c r="CI157" s="3">
        <f t="shared" ca="1" si="192"/>
        <v>0</v>
      </c>
      <c r="CJ157" s="3">
        <f t="shared" ca="1" si="193"/>
        <v>0</v>
      </c>
      <c r="CK157" s="3" t="e">
        <f t="shared" ca="1" si="194"/>
        <v>#N/A</v>
      </c>
      <c r="CM157" s="3">
        <f t="shared" ca="1" si="195"/>
        <v>0</v>
      </c>
      <c r="CN157" s="3">
        <f t="shared" ca="1" si="196"/>
        <v>0.64998375040623979</v>
      </c>
      <c r="CO157" s="3">
        <f t="shared" ca="1" si="197"/>
        <v>0</v>
      </c>
      <c r="CP157" s="3" t="e">
        <f t="shared" ca="1" si="198"/>
        <v>#N/A</v>
      </c>
      <c r="CR157" s="5">
        <v>4.01</v>
      </c>
      <c r="CS157" s="5">
        <v>4.0270000000000001</v>
      </c>
      <c r="CT157" s="5">
        <v>4.0469999999999997</v>
      </c>
      <c r="CU157" s="11" t="e">
        <v>#N/A</v>
      </c>
      <c r="CV157" s="21" t="e">
        <f t="shared" ca="1" si="200"/>
        <v>#N/A</v>
      </c>
      <c r="CW157" s="16">
        <f t="shared" ca="1" si="199"/>
        <v>10.666666666666666</v>
      </c>
    </row>
    <row r="158" spans="1:101" s="5" customFormat="1" x14ac:dyDescent="0.35">
      <c r="A158" s="4" t="s">
        <v>137</v>
      </c>
      <c r="B158" s="4">
        <v>10.75</v>
      </c>
      <c r="C158" s="4" t="s">
        <v>168</v>
      </c>
      <c r="D158" s="4" t="s">
        <v>404</v>
      </c>
      <c r="E158" s="3"/>
      <c r="F158" s="5">
        <v>4.016</v>
      </c>
      <c r="G158" s="5">
        <v>4.01</v>
      </c>
      <c r="H158" s="5" t="e">
        <v>#N/A</v>
      </c>
      <c r="I158" s="5">
        <v>4.0149999999999997</v>
      </c>
      <c r="K158" s="3">
        <f t="shared" ca="1" si="160"/>
        <v>0.9952689243027889</v>
      </c>
      <c r="L158" s="3">
        <f t="shared" ca="1" si="160"/>
        <v>0.95162094763092275</v>
      </c>
      <c r="M158" s="3" t="e">
        <f t="shared" ca="1" si="160"/>
        <v>#N/A</v>
      </c>
      <c r="N158" s="3">
        <f t="shared" ca="1" si="160"/>
        <v>0.99601494396014945</v>
      </c>
      <c r="P158" s="3">
        <f t="shared" ca="1" si="161"/>
        <v>0.96240026279875779</v>
      </c>
      <c r="Q158" s="3">
        <f t="shared" ca="1" si="161"/>
        <v>0.63142141982206978</v>
      </c>
      <c r="R158" s="3" t="e">
        <f t="shared" ca="1" si="161"/>
        <v>#N/A</v>
      </c>
      <c r="S158" s="3">
        <f t="shared" ca="1" si="161"/>
        <v>0.75168117375146715</v>
      </c>
      <c r="U158" s="3">
        <f t="shared" ca="1" si="162"/>
        <v>1.9920318725099602</v>
      </c>
      <c r="V158" s="3">
        <f t="shared" ca="1" si="162"/>
        <v>1.9950124688279303</v>
      </c>
      <c r="W158" s="3" t="e">
        <f t="shared" ca="1" si="162"/>
        <v>#N/A</v>
      </c>
      <c r="X158" s="3">
        <f t="shared" ca="1" si="162"/>
        <v>2.4906600249066004</v>
      </c>
      <c r="Z158" s="3">
        <f t="shared" ca="1" si="163"/>
        <v>0.9952689243027889</v>
      </c>
      <c r="AA158" s="3">
        <f t="shared" ca="1" si="163"/>
        <v>0.88104738154613482</v>
      </c>
      <c r="AB158" s="3" t="e">
        <f t="shared" ca="1" si="163"/>
        <v>#N/A</v>
      </c>
      <c r="AC158" s="3">
        <f t="shared" ca="1" si="163"/>
        <v>0.9877957658779577</v>
      </c>
      <c r="AE158" s="3">
        <f t="shared" ca="1" si="164"/>
        <v>0.96240026279875779</v>
      </c>
      <c r="AF158" s="3">
        <f t="shared" ca="1" si="164"/>
        <v>0.63142141982206978</v>
      </c>
      <c r="AG158" s="3" t="e">
        <f t="shared" ca="1" si="164"/>
        <v>#N/A</v>
      </c>
      <c r="AH158" s="3">
        <f t="shared" ca="1" si="164"/>
        <v>0.75168117375146715</v>
      </c>
      <c r="AJ158" s="3">
        <f t="shared" ca="1" si="165"/>
        <v>1.9920318725099602</v>
      </c>
      <c r="AK158" s="3">
        <f t="shared" ca="1" si="165"/>
        <v>1.9950124688279303</v>
      </c>
      <c r="AL158" s="3" t="e">
        <f t="shared" ca="1" si="165"/>
        <v>#N/A</v>
      </c>
      <c r="AM158" s="3">
        <f t="shared" ca="1" si="165"/>
        <v>2.4906600249066004</v>
      </c>
      <c r="AO158" s="3">
        <f t="shared" ca="1" si="166"/>
        <v>0.24900398406374502</v>
      </c>
      <c r="AP158" s="3">
        <f t="shared" ca="1" si="166"/>
        <v>0.49875311720698257</v>
      </c>
      <c r="AQ158" s="3" t="e">
        <f t="shared" ca="1" si="166"/>
        <v>#N/A</v>
      </c>
      <c r="AR158" s="3">
        <f t="shared" ca="1" si="166"/>
        <v>0.4981320049813201</v>
      </c>
      <c r="AT158" s="5">
        <v>6.0000000521540642E-3</v>
      </c>
      <c r="AU158" s="5">
        <v>1.0999999940395355E-2</v>
      </c>
      <c r="AV158" s="11" t="e">
        <v>#N/A</v>
      </c>
      <c r="AW158" s="5">
        <v>4.999999888241291E-3</v>
      </c>
      <c r="AY158" s="3">
        <f t="shared" ca="1" si="167"/>
        <v>0.6927290836653387</v>
      </c>
      <c r="AZ158" s="3">
        <f t="shared" ca="1" si="168"/>
        <v>0.25336658354114716</v>
      </c>
      <c r="BA158" s="3" t="e">
        <f t="shared" ca="1" si="169"/>
        <v>#N/A</v>
      </c>
      <c r="BB158" s="3">
        <f t="shared" ca="1" si="170"/>
        <v>0.49414694894146932</v>
      </c>
      <c r="BD158" s="3">
        <f t="shared" ca="1" si="171"/>
        <v>0.73007952382016283</v>
      </c>
      <c r="BE158" s="3">
        <f t="shared" ca="1" si="172"/>
        <v>0.34912719282128868</v>
      </c>
      <c r="BF158" s="3" t="e">
        <f t="shared" ca="1" si="173"/>
        <v>#N/A</v>
      </c>
      <c r="BG158" s="3">
        <f t="shared" ca="1" si="174"/>
        <v>0.48592774983806303</v>
      </c>
      <c r="BI158" s="3">
        <f t="shared" ca="1" si="175"/>
        <v>1.2450199203187251</v>
      </c>
      <c r="BJ158" s="3">
        <f t="shared" ca="1" si="176"/>
        <v>0.49875311720698257</v>
      </c>
      <c r="BK158" s="3" t="e">
        <f t="shared" ca="1" si="177"/>
        <v>#N/A</v>
      </c>
      <c r="BL158" s="3">
        <f t="shared" ca="1" si="178"/>
        <v>1.7434620174346203</v>
      </c>
      <c r="BN158" s="3">
        <f t="shared" ca="1" si="179"/>
        <v>0.99601593625498008</v>
      </c>
      <c r="BO158" s="3">
        <f t="shared" ca="1" si="180"/>
        <v>0.49875311720698257</v>
      </c>
      <c r="BP158" s="3" t="e">
        <f t="shared" ca="1" si="181"/>
        <v>#N/A</v>
      </c>
      <c r="BQ158" s="3">
        <f t="shared" ca="1" si="182"/>
        <v>0.9962640099626402</v>
      </c>
      <c r="BS158" s="5">
        <v>6.0000000521540642E-3</v>
      </c>
      <c r="BT158" s="5">
        <v>1.0999999940395355E-2</v>
      </c>
      <c r="BU158" s="11" t="e">
        <v>#N/A</v>
      </c>
      <c r="BV158" s="5">
        <v>0.67100000381469727</v>
      </c>
      <c r="BX158" s="3">
        <f t="shared" ca="1" si="183"/>
        <v>2.9133466135458166E-2</v>
      </c>
      <c r="BY158" s="3">
        <f t="shared" ca="1" si="184"/>
        <v>0</v>
      </c>
      <c r="BZ158" s="3" t="e">
        <f t="shared" ca="1" si="185"/>
        <v>#N/A</v>
      </c>
      <c r="CA158" s="3">
        <f t="shared" ca="1" si="186"/>
        <v>0</v>
      </c>
      <c r="CC158" s="3">
        <f t="shared" ca="1" si="187"/>
        <v>0</v>
      </c>
      <c r="CD158" s="3">
        <f t="shared" ca="1" si="188"/>
        <v>0</v>
      </c>
      <c r="CE158" s="3" t="e">
        <f t="shared" ca="1" si="189"/>
        <v>#N/A</v>
      </c>
      <c r="CF158" s="3">
        <f t="shared" ca="1" si="190"/>
        <v>0</v>
      </c>
      <c r="CH158" s="3">
        <f t="shared" ca="1" si="191"/>
        <v>0</v>
      </c>
      <c r="CI158" s="3">
        <f t="shared" ca="1" si="192"/>
        <v>0</v>
      </c>
      <c r="CJ158" s="3" t="e">
        <f t="shared" ca="1" si="193"/>
        <v>#N/A</v>
      </c>
      <c r="CK158" s="3">
        <f t="shared" ca="1" si="194"/>
        <v>0</v>
      </c>
      <c r="CM158" s="3">
        <f t="shared" ca="1" si="195"/>
        <v>0.49800796812749004</v>
      </c>
      <c r="CN158" s="3">
        <f t="shared" ca="1" si="196"/>
        <v>0.24937655860349128</v>
      </c>
      <c r="CO158" s="3" t="e">
        <f t="shared" ca="1" si="197"/>
        <v>#N/A</v>
      </c>
      <c r="CP158" s="3">
        <f t="shared" ca="1" si="198"/>
        <v>0.24906600249066005</v>
      </c>
      <c r="CR158" s="5">
        <v>4.016</v>
      </c>
      <c r="CS158" s="5">
        <v>4.01</v>
      </c>
      <c r="CT158" s="11" t="e">
        <v>#N/A</v>
      </c>
      <c r="CU158" s="5">
        <v>4.0149999999999997</v>
      </c>
      <c r="CV158" s="21">
        <f t="shared" ca="1" si="200"/>
        <v>4.0149999999999997</v>
      </c>
      <c r="CW158" s="16">
        <f t="shared" ca="1" si="199"/>
        <v>10.75</v>
      </c>
    </row>
    <row r="159" spans="1:101" s="5" customFormat="1" x14ac:dyDescent="0.35">
      <c r="A159" s="4" t="s">
        <v>149</v>
      </c>
      <c r="B159" s="4">
        <v>11.166666666666666</v>
      </c>
      <c r="C159" s="4" t="s">
        <v>168</v>
      </c>
      <c r="D159" s="4" t="s">
        <v>404</v>
      </c>
      <c r="E159" s="3"/>
      <c r="F159" s="5">
        <v>4.016</v>
      </c>
      <c r="G159" s="5">
        <v>4.016</v>
      </c>
      <c r="H159" s="5">
        <v>4.016</v>
      </c>
      <c r="I159" s="5">
        <v>4.0149999999999997</v>
      </c>
      <c r="K159" s="3">
        <f t="shared" ca="1" si="160"/>
        <v>0.83814741035856577</v>
      </c>
      <c r="L159" s="3">
        <f t="shared" ca="1" si="160"/>
        <v>0.99576693227091628</v>
      </c>
      <c r="M159" s="3">
        <f t="shared" ca="1" si="160"/>
        <v>0.99576693227091639</v>
      </c>
      <c r="N159" s="3">
        <f t="shared" ca="1" si="160"/>
        <v>0.9962640099626402</v>
      </c>
      <c r="P159" s="3">
        <f t="shared" ca="1" si="161"/>
        <v>0.77564735336607671</v>
      </c>
      <c r="Q159" s="3">
        <f t="shared" ca="1" si="161"/>
        <v>0.99153384108066678</v>
      </c>
      <c r="R159" s="3">
        <f t="shared" ca="1" si="161"/>
        <v>0.92529891377901174</v>
      </c>
      <c r="S159" s="3">
        <f t="shared" ca="1" si="161"/>
        <v>0.92154427258713023</v>
      </c>
      <c r="U159" s="3">
        <f t="shared" ca="1" si="162"/>
        <v>1.4940239043824701</v>
      </c>
      <c r="V159" s="3">
        <f t="shared" ca="1" si="162"/>
        <v>0.49800796812749004</v>
      </c>
      <c r="W159" s="3">
        <f t="shared" ca="1" si="162"/>
        <v>2.9880478087649402</v>
      </c>
      <c r="X159" s="3">
        <f t="shared" ca="1" si="162"/>
        <v>1.7434620174346203</v>
      </c>
      <c r="Z159" s="3">
        <f t="shared" ca="1" si="163"/>
        <v>0.24477091633466136</v>
      </c>
      <c r="AA159" s="3">
        <f t="shared" ca="1" si="163"/>
        <v>0.99576693227091628</v>
      </c>
      <c r="AB159" s="3">
        <f t="shared" ca="1" si="163"/>
        <v>0.89616533864541836</v>
      </c>
      <c r="AC159" s="3">
        <f t="shared" ca="1" si="163"/>
        <v>0.7930261519302616</v>
      </c>
      <c r="AE159" s="3">
        <f t="shared" ca="1" si="164"/>
        <v>0.2198704922816668</v>
      </c>
      <c r="AF159" s="3">
        <f t="shared" ca="1" si="164"/>
        <v>0.99153384108066678</v>
      </c>
      <c r="AG159" s="3">
        <f t="shared" ca="1" si="164"/>
        <v>0.85059771559152941</v>
      </c>
      <c r="AH159" s="3">
        <f t="shared" ca="1" si="164"/>
        <v>0.71830641835519715</v>
      </c>
      <c r="AJ159" s="3">
        <f t="shared" ca="1" si="165"/>
        <v>0.49800796812749004</v>
      </c>
      <c r="AK159" s="3">
        <f t="shared" ca="1" si="165"/>
        <v>0.49800796812749004</v>
      </c>
      <c r="AL159" s="3">
        <f t="shared" ca="1" si="165"/>
        <v>2.739043824701195</v>
      </c>
      <c r="AM159" s="3">
        <f t="shared" ca="1" si="165"/>
        <v>1.2453300124533002</v>
      </c>
      <c r="AO159" s="3">
        <f t="shared" ca="1" si="166"/>
        <v>0.49800796812749004</v>
      </c>
      <c r="AP159" s="3">
        <f t="shared" ca="1" si="166"/>
        <v>0.24900398406374502</v>
      </c>
      <c r="AQ159" s="3">
        <f t="shared" ca="1" si="166"/>
        <v>0.24900398406374502</v>
      </c>
      <c r="AR159" s="3">
        <f t="shared" ca="1" si="166"/>
        <v>0.74719800747198017</v>
      </c>
      <c r="AT159" s="5">
        <v>0.38999998569488525</v>
      </c>
      <c r="AU159" s="5">
        <v>1.6000000759959221E-2</v>
      </c>
      <c r="AV159" s="5">
        <v>0.41699999570846558</v>
      </c>
      <c r="AW159" s="5">
        <v>1.4000000432133675E-2</v>
      </c>
      <c r="AY159" s="3">
        <f t="shared" ca="1" si="167"/>
        <v>4.1334661354581657E-2</v>
      </c>
      <c r="AZ159" s="3">
        <f t="shared" ca="1" si="168"/>
        <v>0.50597609561752988</v>
      </c>
      <c r="BA159" s="3">
        <f t="shared" ca="1" si="169"/>
        <v>0.19920318725099603</v>
      </c>
      <c r="BB159" s="3">
        <f t="shared" ca="1" si="170"/>
        <v>0.298879202988792</v>
      </c>
      <c r="BD159" s="3">
        <f t="shared" ca="1" si="171"/>
        <v>0</v>
      </c>
      <c r="BE159" s="3">
        <f t="shared" ca="1" si="172"/>
        <v>0.35682267164329134</v>
      </c>
      <c r="BF159" s="3">
        <f t="shared" ca="1" si="173"/>
        <v>0.24900398406374502</v>
      </c>
      <c r="BG159" s="3">
        <f t="shared" ca="1" si="174"/>
        <v>0.34470735523724472</v>
      </c>
      <c r="BI159" s="3">
        <f t="shared" ca="1" si="175"/>
        <v>0</v>
      </c>
      <c r="BJ159" s="3">
        <f t="shared" ca="1" si="176"/>
        <v>0.24900398406374502</v>
      </c>
      <c r="BK159" s="3">
        <f t="shared" ca="1" si="177"/>
        <v>0.49800796812749004</v>
      </c>
      <c r="BL159" s="3">
        <f t="shared" ca="1" si="178"/>
        <v>0.4981320049813201</v>
      </c>
      <c r="BN159" s="3">
        <f t="shared" ca="1" si="179"/>
        <v>0.24900398406374502</v>
      </c>
      <c r="BO159" s="3">
        <f t="shared" ca="1" si="180"/>
        <v>0.99601593625498008</v>
      </c>
      <c r="BP159" s="3">
        <f t="shared" ca="1" si="181"/>
        <v>0.49800796812749004</v>
      </c>
      <c r="BQ159" s="3">
        <f t="shared" ca="1" si="182"/>
        <v>0.4981320049813201</v>
      </c>
      <c r="BS159" s="5">
        <v>4.016</v>
      </c>
      <c r="BT159" s="5">
        <v>2.5820000171661377</v>
      </c>
      <c r="BU159" s="5">
        <v>1.3170000314712524</v>
      </c>
      <c r="BV159" s="5">
        <v>1.4000000432133675E-2</v>
      </c>
      <c r="BX159" s="3">
        <f t="shared" ca="1" si="183"/>
        <v>0</v>
      </c>
      <c r="BY159" s="3">
        <f t="shared" ca="1" si="184"/>
        <v>0</v>
      </c>
      <c r="BZ159" s="3">
        <f t="shared" ca="1" si="185"/>
        <v>0</v>
      </c>
      <c r="CA159" s="3">
        <f t="shared" ca="1" si="186"/>
        <v>0</v>
      </c>
      <c r="CC159" s="3">
        <f t="shared" ca="1" si="187"/>
        <v>0</v>
      </c>
      <c r="CD159" s="3">
        <f t="shared" ca="1" si="188"/>
        <v>0</v>
      </c>
      <c r="CE159" s="3">
        <f t="shared" ca="1" si="189"/>
        <v>0</v>
      </c>
      <c r="CF159" s="3">
        <f t="shared" ca="1" si="190"/>
        <v>0</v>
      </c>
      <c r="CH159" s="3">
        <f t="shared" ca="1" si="191"/>
        <v>0</v>
      </c>
      <c r="CI159" s="3">
        <f t="shared" ca="1" si="192"/>
        <v>0</v>
      </c>
      <c r="CJ159" s="3">
        <f t="shared" ca="1" si="193"/>
        <v>0</v>
      </c>
      <c r="CK159" s="3">
        <f t="shared" ca="1" si="194"/>
        <v>0</v>
      </c>
      <c r="CM159" s="3">
        <f t="shared" ca="1" si="195"/>
        <v>0</v>
      </c>
      <c r="CN159" s="3">
        <f t="shared" ca="1" si="196"/>
        <v>0</v>
      </c>
      <c r="CO159" s="3">
        <f t="shared" ca="1" si="197"/>
        <v>0</v>
      </c>
      <c r="CP159" s="3">
        <f t="shared" ca="1" si="198"/>
        <v>0</v>
      </c>
      <c r="CR159" s="5">
        <v>4.016</v>
      </c>
      <c r="CS159" s="5">
        <v>4.016</v>
      </c>
      <c r="CT159" s="5">
        <v>4.016</v>
      </c>
      <c r="CU159" s="5">
        <v>4.0149999999999997</v>
      </c>
      <c r="CV159" s="21">
        <f t="shared" ca="1" si="200"/>
        <v>4.0149999999999997</v>
      </c>
      <c r="CW159" s="16">
        <f t="shared" ca="1" si="199"/>
        <v>11.166666666666666</v>
      </c>
    </row>
    <row r="160" spans="1:101" s="5" customFormat="1" x14ac:dyDescent="0.35">
      <c r="A160" s="4" t="s">
        <v>125</v>
      </c>
      <c r="B160" s="4">
        <v>11.333333333333334</v>
      </c>
      <c r="C160" s="4" t="s">
        <v>168</v>
      </c>
      <c r="D160" s="4" t="s">
        <v>404</v>
      </c>
      <c r="E160" s="3"/>
      <c r="F160" s="5">
        <v>3.0969999999999995</v>
      </c>
      <c r="G160" s="5">
        <v>4.01</v>
      </c>
      <c r="H160" s="5" t="e">
        <v>#N/A</v>
      </c>
      <c r="I160" s="11" t="e">
        <v>#N/A</v>
      </c>
      <c r="K160" s="3">
        <f t="shared" ca="1" si="160"/>
        <v>0.9899903132063288</v>
      </c>
      <c r="L160" s="3">
        <f t="shared" ca="1" si="160"/>
        <v>0.8476309226932669</v>
      </c>
      <c r="M160" s="3" t="e">
        <f t="shared" ca="1" si="160"/>
        <v>#N/A</v>
      </c>
      <c r="N160" s="3" t="e">
        <f t="shared" ca="1" si="160"/>
        <v>#N/A</v>
      </c>
      <c r="P160" s="3">
        <f t="shared" ca="1" si="161"/>
        <v>0.57022936562780502</v>
      </c>
      <c r="Q160" s="3">
        <f t="shared" ca="1" si="161"/>
        <v>0.34513715793961602</v>
      </c>
      <c r="R160" s="3" t="e">
        <f t="shared" ca="1" si="161"/>
        <v>#N/A</v>
      </c>
      <c r="S160" s="3" t="e">
        <f t="shared" ca="1" si="161"/>
        <v>#N/A</v>
      </c>
      <c r="U160" s="3">
        <f t="shared" ca="1" si="162"/>
        <v>3.2289312237649344</v>
      </c>
      <c r="V160" s="3">
        <f t="shared" ca="1" si="162"/>
        <v>1.745635910224439</v>
      </c>
      <c r="W160" s="3" t="e">
        <f t="shared" ca="1" si="162"/>
        <v>#N/A</v>
      </c>
      <c r="X160" s="3" t="e">
        <f t="shared" ca="1" si="162"/>
        <v>#N/A</v>
      </c>
      <c r="Z160" s="3">
        <f t="shared" ca="1" si="163"/>
        <v>0.6512754278333871</v>
      </c>
      <c r="AA160" s="3">
        <f t="shared" ca="1" si="163"/>
        <v>0.49451371571072322</v>
      </c>
      <c r="AB160" s="3" t="e">
        <f t="shared" ca="1" si="163"/>
        <v>#N/A</v>
      </c>
      <c r="AC160" s="3" t="e">
        <f t="shared" ca="1" si="163"/>
        <v>#N/A</v>
      </c>
      <c r="AE160" s="3">
        <f t="shared" ca="1" si="164"/>
        <v>0.43041662974322198</v>
      </c>
      <c r="AF160" s="3">
        <f t="shared" ca="1" si="164"/>
        <v>0.15411470596332502</v>
      </c>
      <c r="AG160" s="3" t="e">
        <f t="shared" ca="1" si="164"/>
        <v>#N/A</v>
      </c>
      <c r="AH160" s="3" t="e">
        <f t="shared" ca="1" si="164"/>
        <v>#N/A</v>
      </c>
      <c r="AJ160" s="3">
        <f t="shared" ca="1" si="165"/>
        <v>2.5831449790119474</v>
      </c>
      <c r="AK160" s="3">
        <f t="shared" ca="1" si="165"/>
        <v>0.99750623441396513</v>
      </c>
      <c r="AL160" s="3" t="e">
        <f t="shared" ca="1" si="165"/>
        <v>#N/A</v>
      </c>
      <c r="AM160" s="3" t="e">
        <f t="shared" ca="1" si="165"/>
        <v>#N/A</v>
      </c>
      <c r="AO160" s="3">
        <f t="shared" ca="1" si="166"/>
        <v>2.2602518566354539</v>
      </c>
      <c r="AP160" s="3">
        <f t="shared" ca="1" si="166"/>
        <v>0.74812967581047385</v>
      </c>
      <c r="AQ160" s="3" t="e">
        <f t="shared" ca="1" si="166"/>
        <v>#N/A</v>
      </c>
      <c r="AR160" s="3" t="e">
        <f t="shared" ca="1" si="166"/>
        <v>#N/A</v>
      </c>
      <c r="AT160" s="5">
        <v>0.4309999942779541</v>
      </c>
      <c r="AU160" s="5">
        <v>0.18299999833106995</v>
      </c>
      <c r="AV160" s="5">
        <v>2.0000000949949026E-3</v>
      </c>
      <c r="AW160" s="11" t="e">
        <v>#N/A</v>
      </c>
      <c r="AY160" s="3">
        <f t="shared" ca="1" si="167"/>
        <v>0.15628027123022281</v>
      </c>
      <c r="AZ160" s="3">
        <f t="shared" ca="1" si="168"/>
        <v>2.9177057356608471E-2</v>
      </c>
      <c r="BA160" s="3" t="e">
        <f t="shared" ca="1" si="169"/>
        <v>#N/A</v>
      </c>
      <c r="BB160" s="3" t="e">
        <f t="shared" ca="1" si="170"/>
        <v>#N/A</v>
      </c>
      <c r="BD160" s="3">
        <f t="shared" ca="1" si="171"/>
        <v>0.12915726049815529</v>
      </c>
      <c r="BE160" s="3">
        <f t="shared" ca="1" si="172"/>
        <v>0</v>
      </c>
      <c r="BF160" s="3" t="e">
        <f t="shared" ca="1" si="173"/>
        <v>#N/A</v>
      </c>
      <c r="BG160" s="3" t="e">
        <f t="shared" ca="1" si="174"/>
        <v>#N/A</v>
      </c>
      <c r="BI160" s="3">
        <f t="shared" ca="1" si="175"/>
        <v>0.64578624475298685</v>
      </c>
      <c r="BJ160" s="3">
        <f t="shared" ca="1" si="176"/>
        <v>0</v>
      </c>
      <c r="BK160" s="3" t="e">
        <f t="shared" ca="1" si="177"/>
        <v>#N/A</v>
      </c>
      <c r="BL160" s="3" t="e">
        <f t="shared" ca="1" si="178"/>
        <v>#N/A</v>
      </c>
      <c r="BN160" s="3">
        <f t="shared" ca="1" si="179"/>
        <v>1.9373587342589607</v>
      </c>
      <c r="BO160" s="3">
        <f t="shared" ca="1" si="180"/>
        <v>1.2468827930174564</v>
      </c>
      <c r="BP160" s="3" t="e">
        <f t="shared" ca="1" si="181"/>
        <v>#N/A</v>
      </c>
      <c r="BQ160" s="3" t="e">
        <f t="shared" ca="1" si="182"/>
        <v>#N/A</v>
      </c>
      <c r="BS160" s="5">
        <v>0.6809999942779541</v>
      </c>
      <c r="BT160" s="5">
        <v>4.01</v>
      </c>
      <c r="BU160" s="5">
        <v>4.0110000000000001</v>
      </c>
      <c r="BV160" s="11" t="e">
        <v>#N/A</v>
      </c>
      <c r="BX160" s="3">
        <f t="shared" ca="1" si="183"/>
        <v>1.0655473038424257E-2</v>
      </c>
      <c r="BY160" s="3">
        <f t="shared" ca="1" si="184"/>
        <v>0</v>
      </c>
      <c r="BZ160" s="3" t="e">
        <f t="shared" ca="1" si="185"/>
        <v>#N/A</v>
      </c>
      <c r="CA160" s="3" t="e">
        <f t="shared" ca="1" si="186"/>
        <v>#N/A</v>
      </c>
      <c r="CC160" s="3">
        <f t="shared" ca="1" si="187"/>
        <v>0</v>
      </c>
      <c r="CD160" s="3">
        <f t="shared" ca="1" si="188"/>
        <v>0</v>
      </c>
      <c r="CE160" s="3" t="e">
        <f t="shared" ca="1" si="189"/>
        <v>#N/A</v>
      </c>
      <c r="CF160" s="3" t="e">
        <f t="shared" ca="1" si="190"/>
        <v>#N/A</v>
      </c>
      <c r="CH160" s="3">
        <f t="shared" ca="1" si="191"/>
        <v>0</v>
      </c>
      <c r="CI160" s="3">
        <f t="shared" ca="1" si="192"/>
        <v>0</v>
      </c>
      <c r="CJ160" s="3" t="e">
        <f t="shared" ca="1" si="193"/>
        <v>#N/A</v>
      </c>
      <c r="CK160" s="3" t="e">
        <f t="shared" ca="1" si="194"/>
        <v>#N/A</v>
      </c>
      <c r="CM160" s="3">
        <f t="shared" ca="1" si="195"/>
        <v>0.32289312237649342</v>
      </c>
      <c r="CN160" s="3">
        <f t="shared" ca="1" si="196"/>
        <v>0.24937655860349128</v>
      </c>
      <c r="CO160" s="3" t="e">
        <f t="shared" ca="1" si="197"/>
        <v>#N/A</v>
      </c>
      <c r="CP160" s="3" t="e">
        <f t="shared" ca="1" si="198"/>
        <v>#N/A</v>
      </c>
      <c r="CR160" s="5">
        <v>4.0129999999999999</v>
      </c>
      <c r="CS160" s="5">
        <v>4.01</v>
      </c>
      <c r="CT160" s="5">
        <v>1.2680000066757202</v>
      </c>
      <c r="CU160" s="11" t="e">
        <v>#N/A</v>
      </c>
      <c r="CV160" s="21" t="e">
        <f t="shared" ca="1" si="200"/>
        <v>#N/A</v>
      </c>
      <c r="CW160" s="16">
        <f t="shared" ca="1" si="199"/>
        <v>11.333333333333334</v>
      </c>
    </row>
    <row r="161" spans="1:101" s="5" customFormat="1" x14ac:dyDescent="0.35">
      <c r="A161" s="4" t="s">
        <v>102</v>
      </c>
      <c r="B161" s="4">
        <v>11.833333333333334</v>
      </c>
      <c r="C161" s="4" t="s">
        <v>168</v>
      </c>
      <c r="D161" s="4" t="s">
        <v>404</v>
      </c>
      <c r="E161" s="3"/>
      <c r="F161" s="5">
        <v>4.01</v>
      </c>
      <c r="G161" s="11" t="e">
        <v>#N/A</v>
      </c>
      <c r="H161" s="11" t="e">
        <v>#N/A</v>
      </c>
      <c r="I161" s="5" t="e">
        <v>#N/A</v>
      </c>
      <c r="K161" s="3">
        <f t="shared" ca="1" si="160"/>
        <v>0.90573566084788038</v>
      </c>
      <c r="L161" s="3" t="e">
        <f t="shared" ca="1" si="160"/>
        <v>#N/A</v>
      </c>
      <c r="M161" s="3" t="e">
        <f t="shared" ca="1" si="160"/>
        <v>#N/A</v>
      </c>
      <c r="N161" s="3" t="e">
        <f t="shared" ca="1" si="160"/>
        <v>#N/A</v>
      </c>
      <c r="P161" s="3">
        <f t="shared" ca="1" si="161"/>
        <v>0.59850371101327671</v>
      </c>
      <c r="Q161" s="3" t="e">
        <f t="shared" ca="1" si="161"/>
        <v>#N/A</v>
      </c>
      <c r="R161" s="3" t="e">
        <f t="shared" ca="1" si="161"/>
        <v>#N/A</v>
      </c>
      <c r="S161" s="3" t="e">
        <f t="shared" ca="1" si="161"/>
        <v>#N/A</v>
      </c>
      <c r="U161" s="3">
        <f t="shared" ca="1" si="162"/>
        <v>2.2443890274314215</v>
      </c>
      <c r="V161" s="3" t="e">
        <f t="shared" ca="1" si="162"/>
        <v>#N/A</v>
      </c>
      <c r="W161" s="3" t="e">
        <f t="shared" ca="1" si="162"/>
        <v>#N/A</v>
      </c>
      <c r="X161" s="3" t="e">
        <f t="shared" ca="1" si="162"/>
        <v>#N/A</v>
      </c>
      <c r="Z161" s="3">
        <f t="shared" ca="1" si="163"/>
        <v>0.69825436408977559</v>
      </c>
      <c r="AA161" s="3" t="e">
        <f t="shared" ca="1" si="163"/>
        <v>#N/A</v>
      </c>
      <c r="AB161" s="3" t="e">
        <f t="shared" ca="1" si="163"/>
        <v>#N/A</v>
      </c>
      <c r="AC161" s="3" t="e">
        <f t="shared" ca="1" si="163"/>
        <v>#N/A</v>
      </c>
      <c r="AE161" s="3">
        <f t="shared" ca="1" si="164"/>
        <v>0.59850371101327671</v>
      </c>
      <c r="AF161" s="3" t="e">
        <f t="shared" ca="1" si="164"/>
        <v>#N/A</v>
      </c>
      <c r="AG161" s="3" t="e">
        <f t="shared" ca="1" si="164"/>
        <v>#N/A</v>
      </c>
      <c r="AH161" s="3" t="e">
        <f t="shared" ca="1" si="164"/>
        <v>#N/A</v>
      </c>
      <c r="AJ161" s="3">
        <f t="shared" ca="1" si="165"/>
        <v>2.2443890274314215</v>
      </c>
      <c r="AK161" s="3" t="e">
        <f t="shared" ca="1" si="165"/>
        <v>#N/A</v>
      </c>
      <c r="AL161" s="3" t="e">
        <f t="shared" ca="1" si="165"/>
        <v>#N/A</v>
      </c>
      <c r="AM161" s="3" t="e">
        <f t="shared" ca="1" si="165"/>
        <v>#N/A</v>
      </c>
      <c r="AO161" s="3">
        <f t="shared" ca="1" si="166"/>
        <v>0.49875311720698257</v>
      </c>
      <c r="AP161" s="3" t="e">
        <f t="shared" ca="1" si="166"/>
        <v>#N/A</v>
      </c>
      <c r="AQ161" s="3" t="e">
        <f t="shared" ca="1" si="166"/>
        <v>#N/A</v>
      </c>
      <c r="AR161" s="3" t="e">
        <f t="shared" ca="1" si="166"/>
        <v>#N/A</v>
      </c>
      <c r="AT161" s="5">
        <v>1.2000000104308128E-2</v>
      </c>
      <c r="AU161" s="11" t="e">
        <v>#N/A</v>
      </c>
      <c r="AV161" s="11" t="e">
        <v>#N/A</v>
      </c>
      <c r="AW161" s="11" t="e">
        <v>#N/A</v>
      </c>
      <c r="AY161" s="3">
        <f t="shared" ca="1" si="167"/>
        <v>0.27830423940149623</v>
      </c>
      <c r="AZ161" s="3" t="e">
        <f t="shared" ca="1" si="168"/>
        <v>#N/A</v>
      </c>
      <c r="BA161" s="3" t="e">
        <f t="shared" ca="1" si="169"/>
        <v>#N/A</v>
      </c>
      <c r="BB161" s="3" t="e">
        <f t="shared" ca="1" si="170"/>
        <v>#N/A</v>
      </c>
      <c r="BD161" s="3">
        <f t="shared" ca="1" si="171"/>
        <v>0.28703239493239252</v>
      </c>
      <c r="BE161" s="3" t="e">
        <f t="shared" ca="1" si="172"/>
        <v>#N/A</v>
      </c>
      <c r="BF161" s="3" t="e">
        <f t="shared" ca="1" si="173"/>
        <v>#N/A</v>
      </c>
      <c r="BG161" s="3" t="e">
        <f t="shared" ca="1" si="174"/>
        <v>#N/A</v>
      </c>
      <c r="BI161" s="3">
        <f t="shared" ca="1" si="175"/>
        <v>0.74812967581047385</v>
      </c>
      <c r="BJ161" s="3" t="e">
        <f t="shared" ca="1" si="176"/>
        <v>#N/A</v>
      </c>
      <c r="BK161" s="3" t="e">
        <f t="shared" ca="1" si="177"/>
        <v>#N/A</v>
      </c>
      <c r="BL161" s="3" t="e">
        <f t="shared" ca="1" si="178"/>
        <v>#N/A</v>
      </c>
      <c r="BN161" s="3">
        <f t="shared" ca="1" si="179"/>
        <v>0.74812967581047385</v>
      </c>
      <c r="BO161" s="3" t="e">
        <f t="shared" ca="1" si="180"/>
        <v>#N/A</v>
      </c>
      <c r="BP161" s="3" t="e">
        <f t="shared" ca="1" si="181"/>
        <v>#N/A</v>
      </c>
      <c r="BQ161" s="3" t="e">
        <f t="shared" ca="1" si="182"/>
        <v>#N/A</v>
      </c>
      <c r="BS161" s="5">
        <v>1.1779999732971191</v>
      </c>
      <c r="BT161" s="11" t="e">
        <v>#N/A</v>
      </c>
      <c r="BU161" s="11" t="e">
        <v>#N/A</v>
      </c>
      <c r="BV161" s="11" t="e">
        <v>#N/A</v>
      </c>
      <c r="BX161" s="3">
        <f t="shared" ca="1" si="183"/>
        <v>0.15810473815461348</v>
      </c>
      <c r="BY161" s="3" t="e">
        <f t="shared" ca="1" si="184"/>
        <v>#N/A</v>
      </c>
      <c r="BZ161" s="3" t="e">
        <f t="shared" ca="1" si="185"/>
        <v>#N/A</v>
      </c>
      <c r="CA161" s="3" t="e">
        <f t="shared" ca="1" si="186"/>
        <v>#N/A</v>
      </c>
      <c r="CC161" s="3">
        <f t="shared" ca="1" si="187"/>
        <v>0.16608479620884184</v>
      </c>
      <c r="CD161" s="3" t="e">
        <f t="shared" ca="1" si="188"/>
        <v>#N/A</v>
      </c>
      <c r="CE161" s="3" t="e">
        <f t="shared" ca="1" si="189"/>
        <v>#N/A</v>
      </c>
      <c r="CF161" s="3" t="e">
        <f t="shared" ca="1" si="190"/>
        <v>#N/A</v>
      </c>
      <c r="CH161" s="3">
        <f t="shared" ca="1" si="191"/>
        <v>0.49875311720698257</v>
      </c>
      <c r="CI161" s="3" t="e">
        <f t="shared" ca="1" si="192"/>
        <v>#N/A</v>
      </c>
      <c r="CJ161" s="3" t="e">
        <f t="shared" ca="1" si="193"/>
        <v>#N/A</v>
      </c>
      <c r="CK161" s="3" t="e">
        <f t="shared" ca="1" si="194"/>
        <v>#N/A</v>
      </c>
      <c r="CM161" s="3">
        <f t="shared" ca="1" si="195"/>
        <v>0.49875311720698257</v>
      </c>
      <c r="CN161" s="3" t="e">
        <f t="shared" ca="1" si="196"/>
        <v>#N/A</v>
      </c>
      <c r="CO161" s="3" t="e">
        <f t="shared" ca="1" si="197"/>
        <v>#N/A</v>
      </c>
      <c r="CP161" s="3" t="e">
        <f t="shared" ca="1" si="198"/>
        <v>#N/A</v>
      </c>
      <c r="CR161" s="5">
        <v>1.2000000104308128E-2</v>
      </c>
      <c r="CS161" s="11" t="e">
        <v>#N/A</v>
      </c>
      <c r="CT161" s="11" t="e">
        <v>#N/A</v>
      </c>
      <c r="CU161" s="11" t="e">
        <v>#N/A</v>
      </c>
      <c r="CV161" s="21" t="e">
        <f t="shared" ca="1" si="200"/>
        <v>#N/A</v>
      </c>
      <c r="CW161" s="16">
        <f t="shared" ca="1" si="199"/>
        <v>11.833333333333334</v>
      </c>
    </row>
    <row r="162" spans="1:101" s="5" customFormat="1" x14ac:dyDescent="0.35">
      <c r="A162" s="4" t="s">
        <v>131</v>
      </c>
      <c r="B162" s="4">
        <v>12</v>
      </c>
      <c r="C162" s="4" t="s">
        <v>168</v>
      </c>
      <c r="D162" s="4" t="s">
        <v>404</v>
      </c>
      <c r="E162" s="3"/>
      <c r="F162" s="5">
        <v>4.0019999999999998</v>
      </c>
      <c r="G162" s="5">
        <v>4.0149999999999997</v>
      </c>
      <c r="H162" s="5">
        <v>4.016</v>
      </c>
      <c r="I162" s="5" t="e">
        <v>#N/A</v>
      </c>
      <c r="K162" s="3">
        <f t="shared" ca="1" si="160"/>
        <v>0.8868065967016493</v>
      </c>
      <c r="L162" s="3">
        <f t="shared" ca="1" si="160"/>
        <v>0.90460772104607723</v>
      </c>
      <c r="M162" s="3">
        <f t="shared" ca="1" si="160"/>
        <v>0.82171314741035861</v>
      </c>
      <c r="N162" s="3" t="e">
        <f t="shared" ca="1" si="160"/>
        <v>#N/A</v>
      </c>
      <c r="P162" s="3">
        <f t="shared" ca="1" si="161"/>
        <v>0.85307345695343095</v>
      </c>
      <c r="Q162" s="3">
        <f t="shared" ca="1" si="161"/>
        <v>0.63910332889960686</v>
      </c>
      <c r="R162" s="3">
        <f t="shared" ca="1" si="161"/>
        <v>0.68052800324007101</v>
      </c>
      <c r="S162" s="3" t="e">
        <f t="shared" ca="1" si="161"/>
        <v>#N/A</v>
      </c>
      <c r="U162" s="3">
        <f t="shared" ca="1" si="162"/>
        <v>1.2493753123438283</v>
      </c>
      <c r="V162" s="3">
        <f t="shared" ca="1" si="162"/>
        <v>1.4943960149439603</v>
      </c>
      <c r="W162" s="3">
        <f t="shared" ca="1" si="162"/>
        <v>1.4940239043824701</v>
      </c>
      <c r="X162" s="3" t="e">
        <f t="shared" ca="1" si="162"/>
        <v>#N/A</v>
      </c>
      <c r="Z162" s="3">
        <f t="shared" ca="1" si="163"/>
        <v>0</v>
      </c>
      <c r="AA162" s="3">
        <f t="shared" ca="1" si="163"/>
        <v>1.2453300124532957E-2</v>
      </c>
      <c r="AB162" s="3">
        <f t="shared" ca="1" si="163"/>
        <v>6.2250996015936255E-2</v>
      </c>
      <c r="AC162" s="3" t="e">
        <f t="shared" ca="1" si="163"/>
        <v>#N/A</v>
      </c>
      <c r="AE162" s="3">
        <f t="shared" ca="1" si="164"/>
        <v>0</v>
      </c>
      <c r="AF162" s="3">
        <f t="shared" ca="1" si="164"/>
        <v>0</v>
      </c>
      <c r="AG162" s="3">
        <f t="shared" ca="1" si="164"/>
        <v>6.2250996943548381E-2</v>
      </c>
      <c r="AH162" s="3" t="e">
        <f t="shared" ca="1" si="164"/>
        <v>#N/A</v>
      </c>
      <c r="AJ162" s="3">
        <f t="shared" ca="1" si="165"/>
        <v>0</v>
      </c>
      <c r="AK162" s="3">
        <f t="shared" ca="1" si="165"/>
        <v>0</v>
      </c>
      <c r="AL162" s="3">
        <f t="shared" ca="1" si="165"/>
        <v>0.24900398406374502</v>
      </c>
      <c r="AM162" s="3" t="e">
        <f t="shared" ca="1" si="165"/>
        <v>#N/A</v>
      </c>
      <c r="AO162" s="3">
        <f t="shared" ca="1" si="166"/>
        <v>0</v>
      </c>
      <c r="AP162" s="3">
        <f t="shared" ca="1" si="166"/>
        <v>0.24906600249066005</v>
      </c>
      <c r="AQ162" s="3">
        <f t="shared" ca="1" si="166"/>
        <v>0.24900398406374502</v>
      </c>
      <c r="AR162" s="3" t="e">
        <f t="shared" ca="1" si="166"/>
        <v>#N/A</v>
      </c>
      <c r="AT162" s="5">
        <v>4.0019999999999998</v>
      </c>
      <c r="AU162" s="5">
        <v>4.0149999999999997</v>
      </c>
      <c r="AV162" s="5">
        <v>8.999999612569809E-3</v>
      </c>
      <c r="AW162" s="5">
        <v>1.0000000474974513E-3</v>
      </c>
      <c r="AY162" s="3">
        <f t="shared" ca="1" si="167"/>
        <v>0</v>
      </c>
      <c r="AZ162" s="3">
        <f t="shared" ca="1" si="168"/>
        <v>0</v>
      </c>
      <c r="BA162" s="3">
        <f t="shared" ca="1" si="169"/>
        <v>0</v>
      </c>
      <c r="BB162" s="3" t="e">
        <f t="shared" ca="1" si="170"/>
        <v>#N/A</v>
      </c>
      <c r="BD162" s="3">
        <f t="shared" ca="1" si="171"/>
        <v>0</v>
      </c>
      <c r="BE162" s="3">
        <f t="shared" ca="1" si="172"/>
        <v>0</v>
      </c>
      <c r="BF162" s="3">
        <f t="shared" ca="1" si="173"/>
        <v>0</v>
      </c>
      <c r="BG162" s="3" t="e">
        <f t="shared" ca="1" si="174"/>
        <v>#N/A</v>
      </c>
      <c r="BI162" s="3">
        <f t="shared" ca="1" si="175"/>
        <v>0</v>
      </c>
      <c r="BJ162" s="3">
        <f t="shared" ca="1" si="176"/>
        <v>0</v>
      </c>
      <c r="BK162" s="3">
        <f t="shared" ca="1" si="177"/>
        <v>0</v>
      </c>
      <c r="BL162" s="3" t="e">
        <f t="shared" ca="1" si="178"/>
        <v>#N/A</v>
      </c>
      <c r="BN162" s="3">
        <f t="shared" ca="1" si="179"/>
        <v>0</v>
      </c>
      <c r="BO162" s="3">
        <f t="shared" ca="1" si="180"/>
        <v>0</v>
      </c>
      <c r="BP162" s="3">
        <f t="shared" ca="1" si="181"/>
        <v>0</v>
      </c>
      <c r="BQ162" s="3" t="e">
        <f t="shared" ca="1" si="182"/>
        <v>#N/A</v>
      </c>
      <c r="BS162" s="5">
        <v>4.0019999999999998</v>
      </c>
      <c r="BT162" s="5">
        <v>4.0149999999999997</v>
      </c>
      <c r="BU162" s="5">
        <v>4.016</v>
      </c>
      <c r="BV162" s="5">
        <v>1.0000000474974513E-3</v>
      </c>
      <c r="BX162" s="3">
        <f t="shared" ca="1" si="183"/>
        <v>0</v>
      </c>
      <c r="BY162" s="3">
        <f t="shared" ca="1" si="184"/>
        <v>0</v>
      </c>
      <c r="BZ162" s="3">
        <f t="shared" ca="1" si="185"/>
        <v>0</v>
      </c>
      <c r="CA162" s="3" t="e">
        <f t="shared" ca="1" si="186"/>
        <v>#N/A</v>
      </c>
      <c r="CC162" s="3">
        <f t="shared" ca="1" si="187"/>
        <v>0</v>
      </c>
      <c r="CD162" s="3">
        <f t="shared" ca="1" si="188"/>
        <v>0</v>
      </c>
      <c r="CE162" s="3">
        <f t="shared" ca="1" si="189"/>
        <v>0</v>
      </c>
      <c r="CF162" s="3" t="e">
        <f t="shared" ca="1" si="190"/>
        <v>#N/A</v>
      </c>
      <c r="CH162" s="3">
        <f t="shared" ca="1" si="191"/>
        <v>0</v>
      </c>
      <c r="CI162" s="3">
        <f t="shared" ca="1" si="192"/>
        <v>0</v>
      </c>
      <c r="CJ162" s="3">
        <f t="shared" ca="1" si="193"/>
        <v>0</v>
      </c>
      <c r="CK162" s="3" t="e">
        <f t="shared" ca="1" si="194"/>
        <v>#N/A</v>
      </c>
      <c r="CM162" s="3">
        <f t="shared" ca="1" si="195"/>
        <v>0</v>
      </c>
      <c r="CN162" s="3">
        <f t="shared" ca="1" si="196"/>
        <v>0</v>
      </c>
      <c r="CO162" s="3">
        <f t="shared" ca="1" si="197"/>
        <v>0</v>
      </c>
      <c r="CP162" s="3" t="e">
        <f t="shared" ca="1" si="198"/>
        <v>#N/A</v>
      </c>
      <c r="CR162" s="5">
        <v>4.0019999999999998</v>
      </c>
      <c r="CS162" s="5">
        <v>4.0149999999999997</v>
      </c>
      <c r="CT162" s="5">
        <v>4.016</v>
      </c>
      <c r="CU162" s="5">
        <v>4.0259999999999998</v>
      </c>
      <c r="CV162" s="21">
        <f t="shared" ca="1" si="200"/>
        <v>4.0259999999999998</v>
      </c>
      <c r="CW162" s="16">
        <f t="shared" ca="1" si="199"/>
        <v>12</v>
      </c>
    </row>
    <row r="163" spans="1:101" s="5" customFormat="1" x14ac:dyDescent="0.35">
      <c r="A163" s="4" t="s">
        <v>164</v>
      </c>
      <c r="B163" s="4">
        <v>12</v>
      </c>
      <c r="C163" s="4" t="s">
        <v>168</v>
      </c>
      <c r="D163" s="4" t="s">
        <v>404</v>
      </c>
      <c r="E163" s="3"/>
      <c r="F163" s="5">
        <v>4.0049999999999999</v>
      </c>
      <c r="G163" s="11" t="e">
        <v>#N/A</v>
      </c>
      <c r="H163" s="5">
        <v>4.016</v>
      </c>
      <c r="I163" s="5">
        <v>4.0149999999999997</v>
      </c>
      <c r="K163" s="3">
        <f t="shared" ca="1" si="160"/>
        <v>0.94032459425717851</v>
      </c>
      <c r="L163" s="3" t="e">
        <f t="shared" ca="1" si="160"/>
        <v>#N/A</v>
      </c>
      <c r="M163" s="3">
        <f t="shared" ca="1" si="160"/>
        <v>0.95443227091633476</v>
      </c>
      <c r="N163" s="3">
        <f t="shared" ca="1" si="160"/>
        <v>0.99601494396014956</v>
      </c>
      <c r="P163" s="3">
        <f t="shared" ca="1" si="161"/>
        <v>0.34531838587309688</v>
      </c>
      <c r="Q163" s="3" t="e">
        <f t="shared" ca="1" si="161"/>
        <v>#N/A</v>
      </c>
      <c r="R163" s="3">
        <f t="shared" ca="1" si="161"/>
        <v>0.70991026308569327</v>
      </c>
      <c r="S163" s="3">
        <f t="shared" ca="1" si="161"/>
        <v>0.81320051614144084</v>
      </c>
      <c r="U163" s="3">
        <f t="shared" ca="1" si="162"/>
        <v>1.7478152309612984</v>
      </c>
      <c r="V163" s="3" t="e">
        <f t="shared" ca="1" si="162"/>
        <v>#N/A</v>
      </c>
      <c r="W163" s="3">
        <f t="shared" ca="1" si="162"/>
        <v>2.739043824701195</v>
      </c>
      <c r="X163" s="3">
        <f t="shared" ca="1" si="162"/>
        <v>3.4869240348692405</v>
      </c>
      <c r="Z163" s="3">
        <f t="shared" ca="1" si="163"/>
        <v>0.71985018726591765</v>
      </c>
      <c r="AA163" s="3" t="e">
        <f t="shared" ca="1" si="163"/>
        <v>#N/A</v>
      </c>
      <c r="AB163" s="3">
        <f t="shared" ca="1" si="163"/>
        <v>0.95443227091633476</v>
      </c>
      <c r="AC163" s="3">
        <f t="shared" ca="1" si="163"/>
        <v>0.99601494396014956</v>
      </c>
      <c r="AE163" s="3">
        <f t="shared" ca="1" si="164"/>
        <v>0.34531838587309688</v>
      </c>
      <c r="AF163" s="3" t="e">
        <f t="shared" ca="1" si="164"/>
        <v>#N/A</v>
      </c>
      <c r="AG163" s="3">
        <f t="shared" ca="1" si="164"/>
        <v>0.70991026308569327</v>
      </c>
      <c r="AH163" s="3">
        <f t="shared" ca="1" si="164"/>
        <v>0.81320051614144084</v>
      </c>
      <c r="AJ163" s="3">
        <f t="shared" ca="1" si="165"/>
        <v>1.7478152309612984</v>
      </c>
      <c r="AK163" s="3" t="e">
        <f t="shared" ca="1" si="165"/>
        <v>#N/A</v>
      </c>
      <c r="AL163" s="3">
        <f t="shared" ca="1" si="165"/>
        <v>2.739043824701195</v>
      </c>
      <c r="AM163" s="3">
        <f t="shared" ca="1" si="165"/>
        <v>3.4869240348692405</v>
      </c>
      <c r="AO163" s="3">
        <f t="shared" ca="1" si="166"/>
        <v>1.2484394506866416</v>
      </c>
      <c r="AP163" s="3" t="e">
        <f t="shared" ca="1" si="166"/>
        <v>#N/A</v>
      </c>
      <c r="AQ163" s="3">
        <f t="shared" ca="1" si="166"/>
        <v>0.24900398406374502</v>
      </c>
      <c r="AR163" s="3">
        <f t="shared" ca="1" si="166"/>
        <v>0.24906600249066005</v>
      </c>
      <c r="AT163" s="5">
        <v>1.3680000305175781</v>
      </c>
      <c r="AU163" s="11" t="e">
        <v>#N/A</v>
      </c>
      <c r="AV163" s="5">
        <v>4.0000001899898052E-3</v>
      </c>
      <c r="AW163" s="5">
        <v>6.0000000521540642E-3</v>
      </c>
      <c r="AY163" s="3">
        <f t="shared" ca="1" si="167"/>
        <v>0.25368289637952562</v>
      </c>
      <c r="AZ163" s="3" t="e">
        <f t="shared" ca="1" si="168"/>
        <v>#N/A</v>
      </c>
      <c r="BA163" s="3">
        <f t="shared" ca="1" si="169"/>
        <v>0.12450199203187262</v>
      </c>
      <c r="BB163" s="3">
        <f t="shared" ca="1" si="170"/>
        <v>1.2453300124532985E-2</v>
      </c>
      <c r="BD163" s="3">
        <f t="shared" ca="1" si="171"/>
        <v>0.19550567560279267</v>
      </c>
      <c r="BE163" s="3" t="e">
        <f t="shared" ca="1" si="172"/>
        <v>#N/A</v>
      </c>
      <c r="BF163" s="3">
        <f t="shared" ca="1" si="173"/>
        <v>9.1384463796050724E-2</v>
      </c>
      <c r="BG163" s="3">
        <f t="shared" ca="1" si="174"/>
        <v>0</v>
      </c>
      <c r="BI163" s="3">
        <f t="shared" ca="1" si="175"/>
        <v>0.99875156054931336</v>
      </c>
      <c r="BJ163" s="3" t="e">
        <f t="shared" ca="1" si="176"/>
        <v>#N/A</v>
      </c>
      <c r="BK163" s="3">
        <f t="shared" ca="1" si="177"/>
        <v>0.49800796812749004</v>
      </c>
      <c r="BL163" s="3">
        <f t="shared" ca="1" si="178"/>
        <v>0</v>
      </c>
      <c r="BN163" s="3">
        <f t="shared" ca="1" si="179"/>
        <v>2.9962546816479403</v>
      </c>
      <c r="BO163" s="3" t="e">
        <f t="shared" ca="1" si="180"/>
        <v>#N/A</v>
      </c>
      <c r="BP163" s="3">
        <f t="shared" ca="1" si="181"/>
        <v>1.2450199203187251</v>
      </c>
      <c r="BQ163" s="3">
        <f t="shared" ca="1" si="182"/>
        <v>1.2453300124533002</v>
      </c>
      <c r="BS163" s="5">
        <v>2.7339999675750732</v>
      </c>
      <c r="BT163" s="11" t="e">
        <v>#N/A</v>
      </c>
      <c r="BU163" s="5">
        <v>4.0000001899898052E-3</v>
      </c>
      <c r="BV163" s="5">
        <v>4.0149999999999997</v>
      </c>
      <c r="BX163" s="3">
        <f t="shared" ca="1" si="183"/>
        <v>8.4893882646691707E-3</v>
      </c>
      <c r="BY163" s="3" t="e">
        <f t="shared" ca="1" si="184"/>
        <v>#N/A</v>
      </c>
      <c r="BZ163" s="3">
        <f t="shared" ca="1" si="185"/>
        <v>0.23232071713147412</v>
      </c>
      <c r="CA163" s="3">
        <f t="shared" ca="1" si="186"/>
        <v>0.46052303860523036</v>
      </c>
      <c r="CC163" s="3">
        <f t="shared" ca="1" si="187"/>
        <v>0</v>
      </c>
      <c r="CD163" s="3" t="e">
        <f t="shared" ca="1" si="188"/>
        <v>#N/A</v>
      </c>
      <c r="CE163" s="3">
        <f t="shared" ca="1" si="189"/>
        <v>0.24477088178296488</v>
      </c>
      <c r="CF163" s="3">
        <f t="shared" ca="1" si="190"/>
        <v>0.46924037550335956</v>
      </c>
      <c r="CH163" s="3">
        <f t="shared" ca="1" si="191"/>
        <v>0</v>
      </c>
      <c r="CI163" s="3" t="e">
        <f t="shared" ca="1" si="192"/>
        <v>#N/A</v>
      </c>
      <c r="CJ163" s="3">
        <f t="shared" ca="1" si="193"/>
        <v>0.99601593625498008</v>
      </c>
      <c r="CK163" s="3">
        <f t="shared" ca="1" si="194"/>
        <v>1.7434620174346203</v>
      </c>
      <c r="CM163" s="3">
        <f t="shared" ca="1" si="195"/>
        <v>1.2484394506866416</v>
      </c>
      <c r="CN163" s="3" t="e">
        <f t="shared" ca="1" si="196"/>
        <v>#N/A</v>
      </c>
      <c r="CO163" s="3">
        <f t="shared" ca="1" si="197"/>
        <v>1.2450199203187251</v>
      </c>
      <c r="CP163" s="3">
        <f t="shared" ca="1" si="198"/>
        <v>4.2341220423412205</v>
      </c>
      <c r="CR163" s="5">
        <v>4.0049999999999999</v>
      </c>
      <c r="CS163" s="11" t="e">
        <v>#N/A</v>
      </c>
      <c r="CT163" s="5">
        <v>0.93800002336502075</v>
      </c>
      <c r="CU163" s="5">
        <v>0.17299999296665192</v>
      </c>
      <c r="CV163" s="21">
        <f t="shared" ca="1" si="200"/>
        <v>0.17299999296665192</v>
      </c>
      <c r="CW163" s="16">
        <f t="shared" ca="1" si="199"/>
        <v>12</v>
      </c>
    </row>
    <row r="164" spans="1:101" s="5" customFormat="1" x14ac:dyDescent="0.35">
      <c r="A164" s="4" t="s">
        <v>98</v>
      </c>
      <c r="B164" s="4">
        <v>12.5</v>
      </c>
      <c r="C164" s="4" t="s">
        <v>168</v>
      </c>
      <c r="D164" s="4" t="s">
        <v>404</v>
      </c>
      <c r="E164" s="3"/>
      <c r="F164" s="5">
        <v>4.0090000000000003</v>
      </c>
      <c r="G164" s="5" t="e">
        <v>#N/A</v>
      </c>
      <c r="H164" s="5">
        <v>4.008</v>
      </c>
      <c r="I164" s="5">
        <v>4.008</v>
      </c>
      <c r="K164" s="3">
        <f t="shared" ca="1" si="160"/>
        <v>0.99750561237216273</v>
      </c>
      <c r="L164" s="3" t="e">
        <f t="shared" ca="1" si="160"/>
        <v>#N/A</v>
      </c>
      <c r="M164" s="3">
        <f t="shared" ca="1" si="160"/>
        <v>0.92714570858283429</v>
      </c>
      <c r="N164" s="3">
        <f t="shared" ca="1" si="160"/>
        <v>0.9935129740518962</v>
      </c>
      <c r="P164" s="3">
        <f t="shared" ca="1" si="161"/>
        <v>0.99750559426933316</v>
      </c>
      <c r="Q164" s="3" t="e">
        <f t="shared" ca="1" si="161"/>
        <v>#N/A</v>
      </c>
      <c r="R164" s="3">
        <f t="shared" ca="1" si="161"/>
        <v>0.86901197860578816</v>
      </c>
      <c r="S164" s="3">
        <f t="shared" ca="1" si="161"/>
        <v>0.99351296355639274</v>
      </c>
      <c r="U164" s="3">
        <f t="shared" ca="1" si="162"/>
        <v>0.24943876278373658</v>
      </c>
      <c r="V164" s="3" t="e">
        <f t="shared" ca="1" si="162"/>
        <v>#N/A</v>
      </c>
      <c r="W164" s="3">
        <f t="shared" ca="1" si="162"/>
        <v>0.74850299401197606</v>
      </c>
      <c r="X164" s="3">
        <f t="shared" ca="1" si="162"/>
        <v>0.249500998003992</v>
      </c>
      <c r="Z164" s="3">
        <f t="shared" ca="1" si="163"/>
        <v>0.99750561237216273</v>
      </c>
      <c r="AA164" s="3" t="e">
        <f t="shared" ca="1" si="163"/>
        <v>#N/A</v>
      </c>
      <c r="AB164" s="3">
        <f t="shared" ca="1" si="163"/>
        <v>0.92714570858283429</v>
      </c>
      <c r="AC164" s="3">
        <f t="shared" ca="1" si="163"/>
        <v>0.9935129740518962</v>
      </c>
      <c r="AE164" s="3">
        <f t="shared" ca="1" si="164"/>
        <v>0.99750559426933316</v>
      </c>
      <c r="AF164" s="3" t="e">
        <f t="shared" ca="1" si="164"/>
        <v>#N/A</v>
      </c>
      <c r="AG164" s="3">
        <f t="shared" ca="1" si="164"/>
        <v>0.86901197860578816</v>
      </c>
      <c r="AH164" s="3">
        <f t="shared" ca="1" si="164"/>
        <v>0.99351296355639274</v>
      </c>
      <c r="AJ164" s="3">
        <f t="shared" ca="1" si="165"/>
        <v>0.24943876278373658</v>
      </c>
      <c r="AK164" s="3" t="e">
        <f t="shared" ca="1" si="165"/>
        <v>#N/A</v>
      </c>
      <c r="AL164" s="3">
        <f t="shared" ca="1" si="165"/>
        <v>0.74850299401197606</v>
      </c>
      <c r="AM164" s="3">
        <f t="shared" ca="1" si="165"/>
        <v>0.249500998003992</v>
      </c>
      <c r="AO164" s="3">
        <f t="shared" ca="1" si="166"/>
        <v>0.24943876278373658</v>
      </c>
      <c r="AP164" s="3" t="e">
        <f t="shared" ca="1" si="166"/>
        <v>#N/A</v>
      </c>
      <c r="AQ164" s="3">
        <f t="shared" ca="1" si="166"/>
        <v>0.249500998003992</v>
      </c>
      <c r="AR164" s="3">
        <f t="shared" ca="1" si="166"/>
        <v>0.249500998003992</v>
      </c>
      <c r="AT164" s="5">
        <v>2.0000000949949026E-3</v>
      </c>
      <c r="AU164" s="5">
        <v>9.9999997764825821E-3</v>
      </c>
      <c r="AV164" s="5">
        <v>0.31000000238418579</v>
      </c>
      <c r="AW164" s="5">
        <v>1.2000000104308128E-2</v>
      </c>
      <c r="AY164" s="3">
        <f t="shared" ca="1" si="167"/>
        <v>1.6712397106510367E-2</v>
      </c>
      <c r="AZ164" s="3" t="e">
        <f t="shared" ca="1" si="168"/>
        <v>#N/A</v>
      </c>
      <c r="BA164" s="3">
        <f t="shared" ca="1" si="169"/>
        <v>0.66117764471057894</v>
      </c>
      <c r="BB164" s="3">
        <f t="shared" ca="1" si="170"/>
        <v>0.9935129740518962</v>
      </c>
      <c r="BD164" s="3">
        <f t="shared" ca="1" si="171"/>
        <v>0</v>
      </c>
      <c r="BE164" s="3" t="e">
        <f t="shared" ca="1" si="172"/>
        <v>#N/A</v>
      </c>
      <c r="BF164" s="3">
        <f t="shared" ca="1" si="173"/>
        <v>0.56137724550898205</v>
      </c>
      <c r="BG164" s="3">
        <f t="shared" ca="1" si="174"/>
        <v>0.99351296355639274</v>
      </c>
      <c r="BI164" s="3">
        <f t="shared" ca="1" si="175"/>
        <v>0</v>
      </c>
      <c r="BJ164" s="3" t="e">
        <f t="shared" ca="1" si="176"/>
        <v>#N/A</v>
      </c>
      <c r="BK164" s="3">
        <f t="shared" ca="1" si="177"/>
        <v>0.49900199600798401</v>
      </c>
      <c r="BL164" s="3">
        <f t="shared" ca="1" si="178"/>
        <v>0.249500998003992</v>
      </c>
      <c r="BN164" s="3">
        <f t="shared" ca="1" si="179"/>
        <v>0.24943876278373658</v>
      </c>
      <c r="BO164" s="3" t="e">
        <f t="shared" ca="1" si="180"/>
        <v>#N/A</v>
      </c>
      <c r="BP164" s="3">
        <f t="shared" ca="1" si="181"/>
        <v>0.74850299401197606</v>
      </c>
      <c r="BQ164" s="3">
        <f t="shared" ca="1" si="182"/>
        <v>0.249500998003992</v>
      </c>
      <c r="BS164" s="5">
        <v>4.0090000000000003</v>
      </c>
      <c r="BT164" s="5">
        <v>9.9999997764825821E-3</v>
      </c>
      <c r="BU164" s="5">
        <v>0.31000000238418579</v>
      </c>
      <c r="BV164" s="5">
        <v>1.2000000104308128E-2</v>
      </c>
      <c r="BX164" s="3">
        <f t="shared" ca="1" si="183"/>
        <v>0</v>
      </c>
      <c r="BY164" s="3" t="e">
        <f t="shared" ca="1" si="184"/>
        <v>#N/A</v>
      </c>
      <c r="BZ164" s="3">
        <f t="shared" ca="1" si="185"/>
        <v>0</v>
      </c>
      <c r="CA164" s="3">
        <f t="shared" ca="1" si="186"/>
        <v>0</v>
      </c>
      <c r="CC164" s="3">
        <f t="shared" ca="1" si="187"/>
        <v>0</v>
      </c>
      <c r="CD164" s="3" t="e">
        <f t="shared" ca="1" si="188"/>
        <v>#N/A</v>
      </c>
      <c r="CE164" s="3">
        <f t="shared" ca="1" si="189"/>
        <v>0</v>
      </c>
      <c r="CF164" s="3">
        <f t="shared" ca="1" si="190"/>
        <v>0</v>
      </c>
      <c r="CH164" s="3">
        <f t="shared" ca="1" si="191"/>
        <v>0</v>
      </c>
      <c r="CI164" s="3" t="e">
        <f t="shared" ca="1" si="192"/>
        <v>#N/A</v>
      </c>
      <c r="CJ164" s="3">
        <f t="shared" ca="1" si="193"/>
        <v>0</v>
      </c>
      <c r="CK164" s="3">
        <f t="shared" ca="1" si="194"/>
        <v>0</v>
      </c>
      <c r="CM164" s="3">
        <f t="shared" ca="1" si="195"/>
        <v>0</v>
      </c>
      <c r="CN164" s="3" t="e">
        <f t="shared" ca="1" si="196"/>
        <v>#N/A</v>
      </c>
      <c r="CO164" s="3">
        <f t="shared" ca="1" si="197"/>
        <v>0.249500998003992</v>
      </c>
      <c r="CP164" s="3">
        <f t="shared" ca="1" si="198"/>
        <v>0</v>
      </c>
      <c r="CR164" s="5">
        <v>4.0090000000000003</v>
      </c>
      <c r="CS164" s="5">
        <v>4.024</v>
      </c>
      <c r="CT164" s="5">
        <v>4.008</v>
      </c>
      <c r="CU164" s="5">
        <v>4.008</v>
      </c>
      <c r="CV164" s="21">
        <f t="shared" ca="1" si="200"/>
        <v>4.008</v>
      </c>
      <c r="CW164" s="16">
        <f t="shared" ca="1" si="199"/>
        <v>12.5</v>
      </c>
    </row>
    <row r="165" spans="1:101" s="5" customFormat="1" x14ac:dyDescent="0.35">
      <c r="A165" s="4" t="s">
        <v>135</v>
      </c>
      <c r="B165" s="4">
        <v>12.583333333333334</v>
      </c>
      <c r="C165" s="4" t="s">
        <v>168</v>
      </c>
      <c r="D165" s="4" t="s">
        <v>404</v>
      </c>
      <c r="E165" s="3"/>
      <c r="F165" s="5">
        <v>3.1110000000000002</v>
      </c>
      <c r="G165" s="5">
        <v>4.016</v>
      </c>
      <c r="H165" s="11" t="e">
        <v>#N/A</v>
      </c>
      <c r="I165" s="5" t="e">
        <v>#N/A</v>
      </c>
      <c r="K165" s="3">
        <f t="shared" ca="1" si="160"/>
        <v>0.98007071681131475</v>
      </c>
      <c r="L165" s="3">
        <f t="shared" ca="1" si="160"/>
        <v>0.87126494023904377</v>
      </c>
      <c r="M165" s="3" t="e">
        <f t="shared" ca="1" si="160"/>
        <v>#N/A</v>
      </c>
      <c r="N165" s="3" t="e">
        <f t="shared" ca="1" si="160"/>
        <v>#N/A</v>
      </c>
      <c r="P165" s="3">
        <f t="shared" ca="1" si="161"/>
        <v>0.58887813662992183</v>
      </c>
      <c r="Q165" s="3">
        <f t="shared" ca="1" si="161"/>
        <v>0.80054786160172697</v>
      </c>
      <c r="R165" s="3" t="e">
        <f t="shared" ca="1" si="161"/>
        <v>#N/A</v>
      </c>
      <c r="S165" s="3" t="e">
        <f t="shared" ca="1" si="161"/>
        <v>#N/A</v>
      </c>
      <c r="U165" s="3">
        <f t="shared" ca="1" si="162"/>
        <v>2.2500803600128574</v>
      </c>
      <c r="V165" s="3">
        <f t="shared" ca="1" si="162"/>
        <v>2.4900398406374502</v>
      </c>
      <c r="W165" s="3" t="e">
        <f t="shared" ca="1" si="162"/>
        <v>#N/A</v>
      </c>
      <c r="X165" s="3" t="e">
        <f t="shared" ca="1" si="162"/>
        <v>#N/A</v>
      </c>
      <c r="Z165" s="3">
        <f t="shared" ca="1" si="163"/>
        <v>0.66409514625522359</v>
      </c>
      <c r="AA165" s="3">
        <f t="shared" ca="1" si="163"/>
        <v>0.86728087649402386</v>
      </c>
      <c r="AB165" s="3" t="e">
        <f t="shared" ca="1" si="163"/>
        <v>#N/A</v>
      </c>
      <c r="AC165" s="3" t="e">
        <f t="shared" ca="1" si="163"/>
        <v>#N/A</v>
      </c>
      <c r="AE165" s="3">
        <f t="shared" ca="1" si="164"/>
        <v>0.58887813662992183</v>
      </c>
      <c r="AF165" s="3">
        <f t="shared" ca="1" si="164"/>
        <v>0.80054786160172697</v>
      </c>
      <c r="AG165" s="3" t="e">
        <f t="shared" ca="1" si="164"/>
        <v>#N/A</v>
      </c>
      <c r="AH165" s="3" t="e">
        <f t="shared" ca="1" si="164"/>
        <v>#N/A</v>
      </c>
      <c r="AJ165" s="3">
        <f t="shared" ca="1" si="165"/>
        <v>2.2500803600128574</v>
      </c>
      <c r="AK165" s="3">
        <f t="shared" ca="1" si="165"/>
        <v>2.4900398406374502</v>
      </c>
      <c r="AL165" s="3" t="e">
        <f t="shared" ca="1" si="165"/>
        <v>#N/A</v>
      </c>
      <c r="AM165" s="3" t="e">
        <f t="shared" ca="1" si="165"/>
        <v>#N/A</v>
      </c>
      <c r="AO165" s="3">
        <f t="shared" ca="1" si="166"/>
        <v>0.96432015429122464</v>
      </c>
      <c r="AP165" s="3">
        <f t="shared" ca="1" si="166"/>
        <v>0.24900398406374502</v>
      </c>
      <c r="AQ165" s="3" t="e">
        <f t="shared" ca="1" si="166"/>
        <v>#N/A</v>
      </c>
      <c r="AR165" s="3" t="e">
        <f t="shared" ca="1" si="166"/>
        <v>#N/A</v>
      </c>
      <c r="AT165" s="5">
        <v>9.4999998807907104E-2</v>
      </c>
      <c r="AU165" s="5">
        <v>0.50199997425079346</v>
      </c>
      <c r="AV165" s="11" t="e">
        <v>#N/A</v>
      </c>
      <c r="AW165" s="11" t="e">
        <v>#N/A</v>
      </c>
      <c r="AY165" s="3">
        <f t="shared" ca="1" si="167"/>
        <v>0.14979106396657019</v>
      </c>
      <c r="AZ165" s="3">
        <f t="shared" ca="1" si="168"/>
        <v>0.3608067729083666</v>
      </c>
      <c r="BA165" s="3" t="e">
        <f t="shared" ca="1" si="169"/>
        <v>#N/A</v>
      </c>
      <c r="BB165" s="3" t="e">
        <f t="shared" ca="1" si="170"/>
        <v>#N/A</v>
      </c>
      <c r="BD165" s="3">
        <f t="shared" ca="1" si="171"/>
        <v>0.16586305780144067</v>
      </c>
      <c r="BE165" s="3">
        <f t="shared" ca="1" si="172"/>
        <v>0.34412357258606718</v>
      </c>
      <c r="BF165" s="3" t="e">
        <f t="shared" ca="1" si="173"/>
        <v>#N/A</v>
      </c>
      <c r="BG165" s="3" t="e">
        <f t="shared" ca="1" si="174"/>
        <v>#N/A</v>
      </c>
      <c r="BI165" s="3">
        <f t="shared" ca="1" si="175"/>
        <v>0.64288010286081643</v>
      </c>
      <c r="BJ165" s="3">
        <f t="shared" ca="1" si="176"/>
        <v>0.99601593625498008</v>
      </c>
      <c r="BK165" s="3" t="e">
        <f t="shared" ca="1" si="177"/>
        <v>#N/A</v>
      </c>
      <c r="BL165" s="3" t="e">
        <f t="shared" ca="1" si="178"/>
        <v>#N/A</v>
      </c>
      <c r="BN165" s="3">
        <f t="shared" ca="1" si="179"/>
        <v>1.2857602057216329</v>
      </c>
      <c r="BO165" s="3">
        <f t="shared" ca="1" si="180"/>
        <v>0.99601593625498008</v>
      </c>
      <c r="BP165" s="3" t="e">
        <f t="shared" ca="1" si="181"/>
        <v>#N/A</v>
      </c>
      <c r="BQ165" s="3" t="e">
        <f t="shared" ca="1" si="182"/>
        <v>#N/A</v>
      </c>
      <c r="BS165" s="5">
        <v>0.67900002002716064</v>
      </c>
      <c r="BT165" s="5">
        <v>0.73600000143051147</v>
      </c>
      <c r="BU165" s="11" t="e">
        <v>#N/A</v>
      </c>
      <c r="BV165" s="11" t="e">
        <v>#N/A</v>
      </c>
      <c r="BX165" s="3">
        <f t="shared" ca="1" si="183"/>
        <v>0</v>
      </c>
      <c r="BY165" s="3">
        <f t="shared" ca="1" si="184"/>
        <v>9.1384462151394424E-2</v>
      </c>
      <c r="BZ165" s="3" t="e">
        <f t="shared" ca="1" si="185"/>
        <v>#N/A</v>
      </c>
      <c r="CA165" s="3" t="e">
        <f t="shared" ca="1" si="186"/>
        <v>#N/A</v>
      </c>
      <c r="CC165" s="3">
        <f t="shared" ca="1" si="187"/>
        <v>0</v>
      </c>
      <c r="CD165" s="3">
        <f t="shared" ca="1" si="188"/>
        <v>7.8934241101086378E-2</v>
      </c>
      <c r="CE165" s="3" t="e">
        <f t="shared" ca="1" si="189"/>
        <v>#N/A</v>
      </c>
      <c r="CF165" s="3" t="e">
        <f t="shared" ca="1" si="190"/>
        <v>#N/A</v>
      </c>
      <c r="CH165" s="3">
        <f t="shared" ca="1" si="191"/>
        <v>0</v>
      </c>
      <c r="CI165" s="3">
        <f t="shared" ca="1" si="192"/>
        <v>0.24900398406374502</v>
      </c>
      <c r="CJ165" s="3" t="e">
        <f t="shared" ca="1" si="193"/>
        <v>#N/A</v>
      </c>
      <c r="CK165" s="3" t="e">
        <f t="shared" ca="1" si="194"/>
        <v>#N/A</v>
      </c>
      <c r="CM165" s="3">
        <f t="shared" ca="1" si="195"/>
        <v>0</v>
      </c>
      <c r="CN165" s="3">
        <f t="shared" ca="1" si="196"/>
        <v>0.24900398406374502</v>
      </c>
      <c r="CO165" s="3" t="e">
        <f t="shared" ca="1" si="197"/>
        <v>#N/A</v>
      </c>
      <c r="CP165" s="3" t="e">
        <f t="shared" ca="1" si="198"/>
        <v>#N/A</v>
      </c>
      <c r="CR165" s="5">
        <v>4.0049999999999999</v>
      </c>
      <c r="CS165" s="5">
        <v>3.6349999904632568</v>
      </c>
      <c r="CT165" s="11" t="e">
        <v>#N/A</v>
      </c>
      <c r="CU165" s="11" t="e">
        <v>#N/A</v>
      </c>
      <c r="CV165" s="21" t="e">
        <f t="shared" ca="1" si="200"/>
        <v>#N/A</v>
      </c>
      <c r="CW165" s="16">
        <f t="shared" ca="1" si="199"/>
        <v>12.583333333333334</v>
      </c>
    </row>
    <row r="166" spans="1:101" s="5" customFormat="1" x14ac:dyDescent="0.35">
      <c r="A166" s="4" t="s">
        <v>134</v>
      </c>
      <c r="B166" s="4">
        <v>12.666666666666666</v>
      </c>
      <c r="C166" s="4" t="s">
        <v>168</v>
      </c>
      <c r="D166" s="4" t="s">
        <v>404</v>
      </c>
      <c r="E166" s="3"/>
      <c r="F166" s="5">
        <v>4.0110000000000001</v>
      </c>
      <c r="G166" s="5">
        <v>4.016</v>
      </c>
      <c r="H166" s="5">
        <v>4.0069999999999997</v>
      </c>
      <c r="I166" s="5">
        <v>4.0129999999999999</v>
      </c>
      <c r="K166" s="3">
        <f t="shared" ca="1" si="160"/>
        <v>0.98479182248815755</v>
      </c>
      <c r="L166" s="3">
        <f t="shared" ca="1" si="160"/>
        <v>0.99576693227091639</v>
      </c>
      <c r="M166" s="3">
        <f t="shared" ca="1" si="160"/>
        <v>0.98552533067132531</v>
      </c>
      <c r="N166" s="3">
        <f t="shared" ca="1" si="160"/>
        <v>0.99651133815100923</v>
      </c>
      <c r="P166" s="3">
        <f t="shared" ca="1" si="161"/>
        <v>0.58987780539836709</v>
      </c>
      <c r="Q166" s="3">
        <f t="shared" ca="1" si="161"/>
        <v>0.5729581990958269</v>
      </c>
      <c r="R166" s="3">
        <f t="shared" ca="1" si="161"/>
        <v>0.53206886812609455</v>
      </c>
      <c r="S166" s="3">
        <f t="shared" ca="1" si="161"/>
        <v>0.51881382907904383</v>
      </c>
      <c r="U166" s="3">
        <f t="shared" ca="1" si="162"/>
        <v>1.7452006980802792</v>
      </c>
      <c r="V166" s="3">
        <f t="shared" ca="1" si="162"/>
        <v>2.241035856573705</v>
      </c>
      <c r="W166" s="3">
        <f t="shared" ca="1" si="162"/>
        <v>2.9947591714499628</v>
      </c>
      <c r="X166" s="3">
        <f t="shared" ca="1" si="162"/>
        <v>1.4951407924246201</v>
      </c>
      <c r="Z166" s="3">
        <f t="shared" ca="1" si="163"/>
        <v>0.63949139865370241</v>
      </c>
      <c r="AA166" s="3">
        <f t="shared" ca="1" si="163"/>
        <v>0.6347111553784861</v>
      </c>
      <c r="AB166" s="3">
        <f t="shared" ca="1" si="163"/>
        <v>0.81083104567007758</v>
      </c>
      <c r="AC166" s="3">
        <f t="shared" ca="1" si="163"/>
        <v>0.72663842511836541</v>
      </c>
      <c r="AE166" s="3">
        <f t="shared" ca="1" si="164"/>
        <v>0.54001491642212274</v>
      </c>
      <c r="AF166" s="3">
        <f t="shared" ca="1" si="164"/>
        <v>0.48580676905321052</v>
      </c>
      <c r="AG166" s="3">
        <f t="shared" ca="1" si="164"/>
        <v>0.53206886812609455</v>
      </c>
      <c r="AH166" s="3">
        <f t="shared" ca="1" si="164"/>
        <v>0.47719906323974398</v>
      </c>
      <c r="AJ166" s="3">
        <f t="shared" ca="1" si="165"/>
        <v>1.4958863126402393</v>
      </c>
      <c r="AK166" s="3">
        <f t="shared" ca="1" si="165"/>
        <v>1.7430278884462151</v>
      </c>
      <c r="AL166" s="3">
        <f t="shared" ca="1" si="165"/>
        <v>2.9947591714499628</v>
      </c>
      <c r="AM166" s="3">
        <f t="shared" ca="1" si="165"/>
        <v>1.2459506603538499</v>
      </c>
      <c r="AO166" s="3">
        <f t="shared" ca="1" si="166"/>
        <v>1.2465719272001994</v>
      </c>
      <c r="AP166" s="3">
        <f t="shared" ca="1" si="166"/>
        <v>1.7430278884462151</v>
      </c>
      <c r="AQ166" s="3">
        <f t="shared" ca="1" si="166"/>
        <v>1.7469428500124784</v>
      </c>
      <c r="AR166" s="3">
        <f t="shared" ca="1" si="166"/>
        <v>1.74433092449539</v>
      </c>
      <c r="AT166" s="5">
        <v>0.11800000071525574</v>
      </c>
      <c r="AU166" s="5">
        <v>1.2000000104308128E-2</v>
      </c>
      <c r="AV166" s="5">
        <v>0.24199999868869781</v>
      </c>
      <c r="AW166" s="5">
        <v>1.4000000432133675E-2</v>
      </c>
      <c r="AY166" s="3">
        <f t="shared" ca="1" si="167"/>
        <v>0</v>
      </c>
      <c r="AZ166" s="3">
        <f t="shared" ca="1" si="168"/>
        <v>0</v>
      </c>
      <c r="BA166" s="3">
        <f t="shared" ca="1" si="169"/>
        <v>3.7684052907412065E-2</v>
      </c>
      <c r="BB166" s="3">
        <f t="shared" ca="1" si="170"/>
        <v>0</v>
      </c>
      <c r="BD166" s="3">
        <f t="shared" ca="1" si="171"/>
        <v>0</v>
      </c>
      <c r="BE166" s="3">
        <f t="shared" ca="1" si="172"/>
        <v>0</v>
      </c>
      <c r="BF166" s="3">
        <f t="shared" ca="1" si="173"/>
        <v>2.9198897875601853E-2</v>
      </c>
      <c r="BG166" s="3">
        <f t="shared" ca="1" si="174"/>
        <v>0</v>
      </c>
      <c r="BI166" s="3">
        <f t="shared" ca="1" si="175"/>
        <v>0</v>
      </c>
      <c r="BJ166" s="3">
        <f t="shared" ca="1" si="176"/>
        <v>0</v>
      </c>
      <c r="BK166" s="3">
        <f t="shared" ca="1" si="177"/>
        <v>0.24956326428749689</v>
      </c>
      <c r="BL166" s="3">
        <f t="shared" ca="1" si="178"/>
        <v>0</v>
      </c>
      <c r="BN166" s="3">
        <f t="shared" ca="1" si="179"/>
        <v>0</v>
      </c>
      <c r="BO166" s="3">
        <f t="shared" ca="1" si="180"/>
        <v>0</v>
      </c>
      <c r="BP166" s="3">
        <f t="shared" ca="1" si="181"/>
        <v>1.9965061142999752</v>
      </c>
      <c r="BQ166" s="3">
        <f t="shared" ca="1" si="182"/>
        <v>0</v>
      </c>
      <c r="BS166" s="5">
        <v>4.0110000000000001</v>
      </c>
      <c r="BT166" s="5">
        <v>4.016</v>
      </c>
      <c r="BU166" s="5">
        <v>0.57499998807907104</v>
      </c>
      <c r="BV166" s="5">
        <v>4.0129999999999999</v>
      </c>
      <c r="BX166" s="3">
        <f t="shared" ca="1" si="183"/>
        <v>0.31962104213413117</v>
      </c>
      <c r="BY166" s="3">
        <f t="shared" ca="1" si="184"/>
        <v>9.9601593625498155E-2</v>
      </c>
      <c r="BZ166" s="3">
        <f t="shared" ca="1" si="185"/>
        <v>2.9198901921637162E-2</v>
      </c>
      <c r="CA166" s="3">
        <f t="shared" ca="1" si="186"/>
        <v>8.4724644904061869E-3</v>
      </c>
      <c r="CC166" s="3">
        <f t="shared" ca="1" si="187"/>
        <v>0.39042630150442376</v>
      </c>
      <c r="CD166" s="3">
        <f t="shared" ca="1" si="188"/>
        <v>0.14541829487242072</v>
      </c>
      <c r="CE166" s="3">
        <f t="shared" ca="1" si="189"/>
        <v>4.5670099260802878E-2</v>
      </c>
      <c r="CF166" s="3">
        <f t="shared" ca="1" si="190"/>
        <v>0</v>
      </c>
      <c r="CH166" s="3">
        <f t="shared" ca="1" si="191"/>
        <v>0.49862877088007979</v>
      </c>
      <c r="CI166" s="3">
        <f t="shared" ca="1" si="192"/>
        <v>0.74701195219123506</v>
      </c>
      <c r="CJ166" s="3">
        <f t="shared" ca="1" si="193"/>
        <v>0.24956326428749689</v>
      </c>
      <c r="CK166" s="3">
        <f t="shared" ca="1" si="194"/>
        <v>0</v>
      </c>
      <c r="CM166" s="3">
        <f t="shared" ca="1" si="195"/>
        <v>0.99725754176015957</v>
      </c>
      <c r="CN166" s="3">
        <f t="shared" ca="1" si="196"/>
        <v>0.99601593625498008</v>
      </c>
      <c r="CO166" s="3">
        <f t="shared" ca="1" si="197"/>
        <v>1.4973795857249814</v>
      </c>
      <c r="CP166" s="3">
        <f t="shared" ca="1" si="198"/>
        <v>0.74757039621231003</v>
      </c>
      <c r="CR166" s="5">
        <v>0.40099999308586121</v>
      </c>
      <c r="CS166" s="5">
        <v>1.6950000524520874</v>
      </c>
      <c r="CT166" s="5">
        <v>2.1749999523162842</v>
      </c>
      <c r="CU166" s="5">
        <v>4.0129999999999999</v>
      </c>
      <c r="CV166" s="21">
        <f t="shared" ca="1" si="200"/>
        <v>4.0129999999999999</v>
      </c>
      <c r="CW166" s="16">
        <f t="shared" ca="1" si="199"/>
        <v>12.666666666666666</v>
      </c>
    </row>
    <row r="167" spans="1:101" s="5" customFormat="1" x14ac:dyDescent="0.35">
      <c r="A167" s="4" t="s">
        <v>143</v>
      </c>
      <c r="B167" s="4">
        <v>13.083333333333334</v>
      </c>
      <c r="C167" s="4" t="s">
        <v>168</v>
      </c>
      <c r="D167" s="4" t="s">
        <v>404</v>
      </c>
      <c r="E167" s="3"/>
      <c r="F167" s="11" t="e">
        <v>#N/A</v>
      </c>
      <c r="G167" s="5">
        <v>4.016</v>
      </c>
      <c r="H167" s="5">
        <v>4.016</v>
      </c>
      <c r="I167" s="5">
        <v>4.0620000000000003</v>
      </c>
      <c r="K167" s="3" t="e">
        <f t="shared" ca="1" si="160"/>
        <v>#N/A</v>
      </c>
      <c r="L167" s="3">
        <f t="shared" ca="1" si="160"/>
        <v>0.99576693227091628</v>
      </c>
      <c r="M167" s="3">
        <f t="shared" ca="1" si="160"/>
        <v>0.91683266932270913</v>
      </c>
      <c r="N167" s="3">
        <f t="shared" ca="1" si="160"/>
        <v>0.99679960610536689</v>
      </c>
      <c r="P167" s="3" t="e">
        <f t="shared" ca="1" si="161"/>
        <v>#N/A</v>
      </c>
      <c r="Q167" s="3">
        <f t="shared" ca="1" si="161"/>
        <v>0.83341640401705808</v>
      </c>
      <c r="R167" s="3">
        <f t="shared" ca="1" si="161"/>
        <v>0.66782868854201538</v>
      </c>
      <c r="S167" s="3">
        <f t="shared" ca="1" si="161"/>
        <v>0.75873965695537049</v>
      </c>
      <c r="U167" s="3" t="e">
        <f t="shared" ca="1" si="162"/>
        <v>#N/A</v>
      </c>
      <c r="V167" s="3">
        <f t="shared" ca="1" si="162"/>
        <v>1.7430278884462151</v>
      </c>
      <c r="W167" s="3">
        <f t="shared" ca="1" si="162"/>
        <v>1.7430278884462151</v>
      </c>
      <c r="X167" s="3">
        <f t="shared" ca="1" si="162"/>
        <v>3.4465780403741997</v>
      </c>
      <c r="Z167" s="3" t="e">
        <f t="shared" ca="1" si="163"/>
        <v>#N/A</v>
      </c>
      <c r="AA167" s="3">
        <f t="shared" ca="1" si="163"/>
        <v>0.69272908366533859</v>
      </c>
      <c r="AB167" s="3">
        <f t="shared" ca="1" si="163"/>
        <v>0.70891434262948194</v>
      </c>
      <c r="AC167" s="3">
        <f t="shared" ca="1" si="163"/>
        <v>0.9679960610536682</v>
      </c>
      <c r="AE167" s="3" t="e">
        <f t="shared" ca="1" si="164"/>
        <v>#N/A</v>
      </c>
      <c r="AF167" s="3">
        <f t="shared" ca="1" si="164"/>
        <v>0.7338148070521564</v>
      </c>
      <c r="AG167" s="3">
        <f t="shared" ca="1" si="164"/>
        <v>0.66782868854201538</v>
      </c>
      <c r="AH167" s="3">
        <f t="shared" ca="1" si="164"/>
        <v>0.75873965695537049</v>
      </c>
      <c r="AJ167" s="3" t="e">
        <f t="shared" ca="1" si="165"/>
        <v>#N/A</v>
      </c>
      <c r="AK167" s="3">
        <f t="shared" ca="1" si="165"/>
        <v>1.4940239043824701</v>
      </c>
      <c r="AL167" s="3">
        <f t="shared" ca="1" si="165"/>
        <v>1.7430278884462151</v>
      </c>
      <c r="AM167" s="3">
        <f t="shared" ca="1" si="165"/>
        <v>3.4465780403741997</v>
      </c>
      <c r="AO167" s="3" t="e">
        <f t="shared" ca="1" si="166"/>
        <v>#N/A</v>
      </c>
      <c r="AP167" s="3">
        <f t="shared" ca="1" si="166"/>
        <v>1.2450199203187251</v>
      </c>
      <c r="AQ167" s="3">
        <f t="shared" ca="1" si="166"/>
        <v>1.2450199203187251</v>
      </c>
      <c r="AR167" s="3">
        <f t="shared" ca="1" si="166"/>
        <v>0.49236829148202854</v>
      </c>
      <c r="AT167" s="11" t="e">
        <v>#N/A</v>
      </c>
      <c r="AU167" s="5">
        <v>0.59500002861022949</v>
      </c>
      <c r="AV167" s="5">
        <v>1.0000000474974513E-3</v>
      </c>
      <c r="AW167" s="5">
        <v>2.6000000536441803E-2</v>
      </c>
      <c r="AY167" s="3" t="e">
        <f t="shared" ca="1" si="167"/>
        <v>#N/A</v>
      </c>
      <c r="AZ167" s="3">
        <f t="shared" ca="1" si="168"/>
        <v>2.0418326693227053E-2</v>
      </c>
      <c r="BA167" s="3">
        <f t="shared" ca="1" si="169"/>
        <v>0</v>
      </c>
      <c r="BB167" s="3">
        <f t="shared" ca="1" si="170"/>
        <v>7.3855243722304231E-2</v>
      </c>
      <c r="BD167" s="3" t="e">
        <f t="shared" ca="1" si="171"/>
        <v>#N/A</v>
      </c>
      <c r="BE167" s="3">
        <f t="shared" ca="1" si="172"/>
        <v>0</v>
      </c>
      <c r="BF167" s="3">
        <f t="shared" ca="1" si="173"/>
        <v>0</v>
      </c>
      <c r="BG167" s="3">
        <f t="shared" ca="1" si="174"/>
        <v>6.9670082019033949E-2</v>
      </c>
      <c r="BI167" s="3" t="e">
        <f t="shared" ca="1" si="175"/>
        <v>#N/A</v>
      </c>
      <c r="BJ167" s="3">
        <f t="shared" ca="1" si="176"/>
        <v>0</v>
      </c>
      <c r="BK167" s="3">
        <f t="shared" ca="1" si="177"/>
        <v>0</v>
      </c>
      <c r="BL167" s="3">
        <f t="shared" ca="1" si="178"/>
        <v>0.49236829148202854</v>
      </c>
      <c r="BN167" s="3" t="e">
        <f t="shared" ca="1" si="179"/>
        <v>#N/A</v>
      </c>
      <c r="BO167" s="3">
        <f t="shared" ca="1" si="180"/>
        <v>0.49800796812749004</v>
      </c>
      <c r="BP167" s="3">
        <f t="shared" ca="1" si="181"/>
        <v>0</v>
      </c>
      <c r="BQ167" s="3">
        <f t="shared" ca="1" si="182"/>
        <v>0.73855243722304276</v>
      </c>
      <c r="BS167" s="11" t="e">
        <v>#N/A</v>
      </c>
      <c r="BT167" s="5">
        <v>4.016</v>
      </c>
      <c r="BU167" s="5">
        <v>4.016</v>
      </c>
      <c r="BV167" s="5">
        <v>1.7929999828338623</v>
      </c>
      <c r="BX167" s="3" t="e">
        <f t="shared" ca="1" si="183"/>
        <v>#N/A</v>
      </c>
      <c r="BY167" s="3">
        <f t="shared" ca="1" si="184"/>
        <v>0</v>
      </c>
      <c r="BZ167" s="3">
        <f t="shared" ca="1" si="185"/>
        <v>0</v>
      </c>
      <c r="CA167" s="3">
        <f t="shared" ca="1" si="186"/>
        <v>0.30773018217626785</v>
      </c>
      <c r="CC167" s="3" t="e">
        <f t="shared" ca="1" si="187"/>
        <v>#N/A</v>
      </c>
      <c r="CD167" s="3">
        <f t="shared" ca="1" si="188"/>
        <v>0</v>
      </c>
      <c r="CE167" s="3">
        <f t="shared" ca="1" si="189"/>
        <v>0</v>
      </c>
      <c r="CF167" s="3">
        <f t="shared" ca="1" si="190"/>
        <v>0.34465786236545121</v>
      </c>
      <c r="CH167" s="3" t="e">
        <f t="shared" ca="1" si="191"/>
        <v>#N/A</v>
      </c>
      <c r="CI167" s="3">
        <f t="shared" ca="1" si="192"/>
        <v>0</v>
      </c>
      <c r="CJ167" s="3">
        <f t="shared" ca="1" si="193"/>
        <v>0</v>
      </c>
      <c r="CK167" s="3">
        <f t="shared" ca="1" si="194"/>
        <v>1.2309207287050714</v>
      </c>
      <c r="CM167" s="3" t="e">
        <f t="shared" ca="1" si="195"/>
        <v>#N/A</v>
      </c>
      <c r="CN167" s="3">
        <f t="shared" ca="1" si="196"/>
        <v>0</v>
      </c>
      <c r="CO167" s="3">
        <f t="shared" ca="1" si="197"/>
        <v>0</v>
      </c>
      <c r="CP167" s="3">
        <f t="shared" ca="1" si="198"/>
        <v>0.98473658296405708</v>
      </c>
      <c r="CR167" s="11" t="e">
        <v>#N/A</v>
      </c>
      <c r="CS167" s="5">
        <v>4.016</v>
      </c>
      <c r="CT167" s="5">
        <v>4.016</v>
      </c>
      <c r="CU167" s="5">
        <v>2.6000000536441803E-2</v>
      </c>
      <c r="CV167" s="21">
        <f t="shared" ca="1" si="200"/>
        <v>2.6000000536441803E-2</v>
      </c>
      <c r="CW167" s="16">
        <f t="shared" ca="1" si="199"/>
        <v>13.083333333333334</v>
      </c>
    </row>
    <row r="168" spans="1:101" s="5" customFormat="1" x14ac:dyDescent="0.35">
      <c r="A168" s="4" t="s">
        <v>160</v>
      </c>
      <c r="B168" s="4">
        <v>13.083333333333334</v>
      </c>
      <c r="C168" s="4" t="s">
        <v>167</v>
      </c>
      <c r="D168" s="4" t="s">
        <v>404</v>
      </c>
      <c r="E168" s="3"/>
      <c r="F168" s="5">
        <v>4.0110000000000001</v>
      </c>
      <c r="G168" s="5">
        <v>4.0149999999999997</v>
      </c>
      <c r="H168" s="5">
        <v>4.0110000000000001</v>
      </c>
      <c r="I168" s="5">
        <v>4.016</v>
      </c>
      <c r="K168" s="3">
        <f t="shared" ca="1" si="160"/>
        <v>0.9970082273747195</v>
      </c>
      <c r="L168" s="3">
        <f t="shared" ca="1" si="160"/>
        <v>0.91731008717310103</v>
      </c>
      <c r="M168" s="3">
        <f t="shared" ca="1" si="160"/>
        <v>0.9970082273747195</v>
      </c>
      <c r="N168" s="3">
        <f t="shared" ca="1" si="160"/>
        <v>0.99576693227091628</v>
      </c>
      <c r="P168" s="3">
        <f t="shared" ca="1" si="161"/>
        <v>0.86387433993997664</v>
      </c>
      <c r="Q168" s="3">
        <f t="shared" ca="1" si="161"/>
        <v>0.81320046487810604</v>
      </c>
      <c r="R168" s="3">
        <f t="shared" ca="1" si="161"/>
        <v>0.91398653594140311</v>
      </c>
      <c r="S168" s="3">
        <f t="shared" ca="1" si="161"/>
        <v>0.77216133876032089</v>
      </c>
      <c r="U168" s="3">
        <f t="shared" ca="1" si="162"/>
        <v>1.4958863126402393</v>
      </c>
      <c r="V168" s="3">
        <f t="shared" ca="1" si="162"/>
        <v>1.7434620174346203</v>
      </c>
      <c r="W168" s="3">
        <f t="shared" ca="1" si="162"/>
        <v>1.7452006980802792</v>
      </c>
      <c r="X168" s="3">
        <f t="shared" ca="1" si="162"/>
        <v>1.9920318725099602</v>
      </c>
      <c r="Z168" s="3">
        <f t="shared" ca="1" si="163"/>
        <v>0.93891797556719025</v>
      </c>
      <c r="AA168" s="3">
        <f t="shared" ca="1" si="163"/>
        <v>0.9006226650062269</v>
      </c>
      <c r="AB168" s="3">
        <f t="shared" ca="1" si="163"/>
        <v>0.98878085265519811</v>
      </c>
      <c r="AC168" s="3">
        <f t="shared" ca="1" si="163"/>
        <v>0.81748007968127501</v>
      </c>
      <c r="AE168" s="3">
        <f t="shared" ca="1" si="164"/>
        <v>0.86387433993997664</v>
      </c>
      <c r="AF168" s="3">
        <f t="shared" ca="1" si="164"/>
        <v>0.81320046487810604</v>
      </c>
      <c r="AG168" s="3">
        <f t="shared" ca="1" si="164"/>
        <v>0.91398653594140311</v>
      </c>
      <c r="AH168" s="3">
        <f t="shared" ca="1" si="164"/>
        <v>0.62250995644891405</v>
      </c>
      <c r="AJ168" s="3">
        <f t="shared" ca="1" si="165"/>
        <v>1.4958863126402393</v>
      </c>
      <c r="AK168" s="3">
        <f t="shared" ca="1" si="165"/>
        <v>1.7434620174346203</v>
      </c>
      <c r="AL168" s="3">
        <f t="shared" ca="1" si="165"/>
        <v>1.7452006980802792</v>
      </c>
      <c r="AM168" s="3">
        <f t="shared" ca="1" si="165"/>
        <v>1.2450199203187251</v>
      </c>
      <c r="AO168" s="3">
        <f t="shared" ca="1" si="166"/>
        <v>0.74794315632011965</v>
      </c>
      <c r="AP168" s="3">
        <f t="shared" ca="1" si="166"/>
        <v>0.24906600249066005</v>
      </c>
      <c r="AQ168" s="3">
        <f t="shared" ca="1" si="166"/>
        <v>0.49862877088007979</v>
      </c>
      <c r="AR168" s="3">
        <f t="shared" ca="1" si="166"/>
        <v>0.49800796812749004</v>
      </c>
      <c r="AT168" s="5">
        <v>8.999999612569809E-3</v>
      </c>
      <c r="AU168" s="5">
        <v>0.38499999046325684</v>
      </c>
      <c r="AV168" s="5">
        <v>1.0000000474974513E-3</v>
      </c>
      <c r="AW168" s="5">
        <v>2.8999999165534973E-2</v>
      </c>
      <c r="AY168" s="3">
        <f t="shared" ca="1" si="167"/>
        <v>0.72276240339067566</v>
      </c>
      <c r="AZ168" s="3">
        <f t="shared" ca="1" si="168"/>
        <v>0.5148194271481944</v>
      </c>
      <c r="BA168" s="3">
        <f t="shared" ca="1" si="169"/>
        <v>0.60658189977561705</v>
      </c>
      <c r="BB168" s="3">
        <f t="shared" ca="1" si="170"/>
        <v>0.12873505976095612</v>
      </c>
      <c r="BD168" s="3">
        <f t="shared" ca="1" si="171"/>
        <v>0.77262529056139406</v>
      </c>
      <c r="BE168" s="3">
        <f t="shared" ca="1" si="172"/>
        <v>0.5561643341558512</v>
      </c>
      <c r="BF168" s="3">
        <f t="shared" ca="1" si="173"/>
        <v>0.62303663434252243</v>
      </c>
      <c r="BG168" s="3">
        <f t="shared" ca="1" si="174"/>
        <v>0.11603587652107634</v>
      </c>
      <c r="BI168" s="3">
        <f t="shared" ca="1" si="175"/>
        <v>0.74794315632011965</v>
      </c>
      <c r="BJ168" s="3">
        <f t="shared" ca="1" si="176"/>
        <v>1.2453300124533002</v>
      </c>
      <c r="BK168" s="3">
        <f t="shared" ca="1" si="177"/>
        <v>0.99725754176015957</v>
      </c>
      <c r="BL168" s="3">
        <f t="shared" ca="1" si="178"/>
        <v>0.24900398406374502</v>
      </c>
      <c r="BN168" s="3">
        <f t="shared" ca="1" si="179"/>
        <v>0.99725754176015957</v>
      </c>
      <c r="BO168" s="3">
        <f t="shared" ca="1" si="180"/>
        <v>0.9962640099626402</v>
      </c>
      <c r="BP168" s="3">
        <f t="shared" ca="1" si="181"/>
        <v>0.99725754176015957</v>
      </c>
      <c r="BQ168" s="3">
        <f t="shared" ca="1" si="182"/>
        <v>0.74701195219123506</v>
      </c>
      <c r="BS168" s="5">
        <v>8.999999612569809E-3</v>
      </c>
      <c r="BT168" s="5">
        <v>0.38499999046325684</v>
      </c>
      <c r="BU168" s="5">
        <v>1.0000000474974513E-3</v>
      </c>
      <c r="BV168" s="5">
        <v>2.8789999485015869</v>
      </c>
      <c r="BX168" s="3">
        <f t="shared" ca="1" si="183"/>
        <v>3.3158813263525308E-2</v>
      </c>
      <c r="BY168" s="3">
        <f t="shared" ca="1" si="184"/>
        <v>4.2341220423411973E-3</v>
      </c>
      <c r="BZ168" s="3">
        <f t="shared" ca="1" si="185"/>
        <v>0</v>
      </c>
      <c r="CA168" s="3">
        <f t="shared" ca="1" si="186"/>
        <v>1.2450199203187207E-2</v>
      </c>
      <c r="CC168" s="3">
        <f t="shared" ca="1" si="187"/>
        <v>2.4931474208712903E-2</v>
      </c>
      <c r="CD168" s="3">
        <f t="shared" ca="1" si="188"/>
        <v>0</v>
      </c>
      <c r="CE168" s="3">
        <f t="shared" ca="1" si="189"/>
        <v>0</v>
      </c>
      <c r="CF168" s="3">
        <f t="shared" ca="1" si="190"/>
        <v>0</v>
      </c>
      <c r="CH168" s="3">
        <f t="shared" ca="1" si="191"/>
        <v>0.24931438544003989</v>
      </c>
      <c r="CI168" s="3">
        <f t="shared" ca="1" si="192"/>
        <v>0</v>
      </c>
      <c r="CJ168" s="3">
        <f t="shared" ca="1" si="193"/>
        <v>0</v>
      </c>
      <c r="CK168" s="3">
        <f t="shared" ca="1" si="194"/>
        <v>0</v>
      </c>
      <c r="CM168" s="3">
        <f t="shared" ca="1" si="195"/>
        <v>0.74794315632011965</v>
      </c>
      <c r="CN168" s="3">
        <f t="shared" ca="1" si="196"/>
        <v>0.24906600249066005</v>
      </c>
      <c r="CO168" s="3">
        <f t="shared" ca="1" si="197"/>
        <v>0</v>
      </c>
      <c r="CP168" s="3">
        <f t="shared" ca="1" si="198"/>
        <v>0.99601593625498008</v>
      </c>
      <c r="CR168" s="5">
        <v>3.7249999046325684</v>
      </c>
      <c r="CS168" s="5">
        <v>4.0149999999999997</v>
      </c>
      <c r="CT168" s="5">
        <v>4.0110000000000001</v>
      </c>
      <c r="CU168" s="5">
        <v>4.016</v>
      </c>
      <c r="CV168" s="21">
        <f t="shared" ca="1" si="200"/>
        <v>4.016</v>
      </c>
      <c r="CW168" s="16">
        <f t="shared" ca="1" si="199"/>
        <v>13.083333333333334</v>
      </c>
    </row>
    <row r="175" spans="1:101" s="90" customFormat="1" x14ac:dyDescent="0.35">
      <c r="A175" s="27" t="s">
        <v>358</v>
      </c>
      <c r="B175" s="27"/>
      <c r="C175" s="27"/>
      <c r="D175" s="27"/>
    </row>
    <row r="176" spans="1:101" x14ac:dyDescent="0.35">
      <c r="A176" s="29" t="s">
        <v>359</v>
      </c>
      <c r="F176" s="31">
        <f>AVERAGEIF(F4:F96,"&lt;&gt;#N/A")</f>
        <v>4.002309859154928</v>
      </c>
      <c r="G176" s="31">
        <f t="shared" ref="G176:BQ176" si="201">AVERAGEIF(G4:G96,"&lt;&gt;#N/A")</f>
        <v>3.9779999999999998</v>
      </c>
      <c r="H176" s="31">
        <f t="shared" si="201"/>
        <v>3.9554473684210523</v>
      </c>
      <c r="I176" s="31">
        <f t="shared" si="201"/>
        <v>3.9909324324324311</v>
      </c>
      <c r="J176" s="31" t="e">
        <f t="shared" si="201"/>
        <v>#DIV/0!</v>
      </c>
      <c r="K176" s="31">
        <f t="shared" ca="1" si="201"/>
        <v>0.96925515208440982</v>
      </c>
      <c r="L176" s="31">
        <f t="shared" ca="1" si="201"/>
        <v>0.97566533290137381</v>
      </c>
      <c r="M176" s="31">
        <f t="shared" ca="1" si="201"/>
        <v>0.96764656772853941</v>
      </c>
      <c r="N176" s="31">
        <f t="shared" ca="1" si="201"/>
        <v>0.95761335061001529</v>
      </c>
      <c r="O176" s="31" t="e">
        <f t="shared" si="201"/>
        <v>#DIV/0!</v>
      </c>
      <c r="P176" s="31">
        <f t="shared" ca="1" si="201"/>
        <v>0.78544963274756008</v>
      </c>
      <c r="Q176" s="31">
        <f t="shared" ca="1" si="201"/>
        <v>0.80336080103330676</v>
      </c>
      <c r="R176" s="31">
        <f t="shared" ca="1" si="201"/>
        <v>0.80070613029469906</v>
      </c>
      <c r="S176" s="31">
        <f t="shared" ca="1" si="201"/>
        <v>0.76396119968724974</v>
      </c>
      <c r="T176" s="31" t="e">
        <f t="shared" si="201"/>
        <v>#DIV/0!</v>
      </c>
      <c r="U176" s="31">
        <f t="shared" ca="1" si="201"/>
        <v>2.121186522339761</v>
      </c>
      <c r="V176" s="31">
        <f t="shared" ca="1" si="201"/>
        <v>2.2417646118296446</v>
      </c>
      <c r="W176" s="31">
        <f t="shared" ca="1" si="201"/>
        <v>2.3879513551218143</v>
      </c>
      <c r="X176" s="31">
        <f t="shared" ca="1" si="201"/>
        <v>2.3720495140687681</v>
      </c>
      <c r="Y176" s="31" t="e">
        <f t="shared" si="201"/>
        <v>#DIV/0!</v>
      </c>
      <c r="Z176" s="31">
        <f t="shared" ca="1" si="201"/>
        <v>0.92510518266229791</v>
      </c>
      <c r="AA176" s="31">
        <f t="shared" ca="1" si="201"/>
        <v>0.9415041514123601</v>
      </c>
      <c r="AB176" s="31">
        <f t="shared" ca="1" si="201"/>
        <v>0.9076209116785916</v>
      </c>
      <c r="AC176" s="31">
        <f t="shared" ca="1" si="201"/>
        <v>0.86453967250928265</v>
      </c>
      <c r="AD176" s="31" t="e">
        <f t="shared" si="201"/>
        <v>#DIV/0!</v>
      </c>
      <c r="AE176" s="31">
        <f t="shared" ca="1" si="201"/>
        <v>0.77195467479494662</v>
      </c>
      <c r="AF176" s="31">
        <f t="shared" ca="1" si="201"/>
        <v>0.7951140117919816</v>
      </c>
      <c r="AG176" s="31">
        <f t="shared" ca="1" si="201"/>
        <v>0.77167380099706939</v>
      </c>
      <c r="AH176" s="31">
        <f t="shared" ca="1" si="201"/>
        <v>0.71449222815487612</v>
      </c>
      <c r="AI176" s="31" t="e">
        <f t="shared" si="201"/>
        <v>#DIV/0!</v>
      </c>
      <c r="AJ176" s="31">
        <f t="shared" ca="1" si="201"/>
        <v>2.0510591264526385</v>
      </c>
      <c r="AK176" s="31">
        <f t="shared" ca="1" si="201"/>
        <v>2.1981872725273424</v>
      </c>
      <c r="AL176" s="31">
        <f t="shared" ca="1" si="201"/>
        <v>2.286227981579021</v>
      </c>
      <c r="AM176" s="31">
        <f t="shared" ca="1" si="201"/>
        <v>2.2188747785694263</v>
      </c>
      <c r="AN176" s="31" t="e">
        <f t="shared" si="201"/>
        <v>#DIV/0!</v>
      </c>
      <c r="AO176" s="31">
        <f t="shared" ca="1" si="201"/>
        <v>0.59738955116416148</v>
      </c>
      <c r="AP176" s="31">
        <f t="shared" ca="1" si="201"/>
        <v>0.49991062804441944</v>
      </c>
      <c r="AQ176" s="31">
        <f t="shared" ca="1" si="201"/>
        <v>0.51802014930959872</v>
      </c>
      <c r="AR176" s="31">
        <f t="shared" ca="1" si="201"/>
        <v>0.66942302936063913</v>
      </c>
      <c r="AS176" s="31" t="e">
        <f t="shared" si="201"/>
        <v>#DIV/0!</v>
      </c>
      <c r="AT176" s="31">
        <f t="shared" si="201"/>
        <v>0.18431645439483837</v>
      </c>
      <c r="AU176" s="31">
        <f t="shared" si="201"/>
        <v>0.15682278487896192</v>
      </c>
      <c r="AV176" s="31">
        <f t="shared" si="201"/>
        <v>0.25464197509220721</v>
      </c>
      <c r="AW176" s="31">
        <f t="shared" si="201"/>
        <v>0.20695000077830628</v>
      </c>
      <c r="AX176" s="31" t="e">
        <f t="shared" si="201"/>
        <v>#DIV/0!</v>
      </c>
      <c r="AY176" s="31">
        <f t="shared" ca="1" si="201"/>
        <v>0.30561481127768958</v>
      </c>
      <c r="AZ176" s="31">
        <f t="shared" ca="1" si="201"/>
        <v>0.33490151160023957</v>
      </c>
      <c r="BA176" s="31">
        <f t="shared" ca="1" si="201"/>
        <v>0.31214951851923989</v>
      </c>
      <c r="BB176" s="31">
        <f t="shared" ca="1" si="201"/>
        <v>0.29001065733780318</v>
      </c>
      <c r="BC176" s="31" t="e">
        <f t="shared" si="201"/>
        <v>#DIV/0!</v>
      </c>
      <c r="BD176" s="31">
        <f t="shared" ca="1" si="201"/>
        <v>0.28844429006722017</v>
      </c>
      <c r="BE176" s="31">
        <f t="shared" ca="1" si="201"/>
        <v>0.3395173750074541</v>
      </c>
      <c r="BF176" s="31">
        <f t="shared" ca="1" si="201"/>
        <v>0.29926266263187812</v>
      </c>
      <c r="BG176" s="31">
        <f t="shared" ca="1" si="201"/>
        <v>0.28745535695880858</v>
      </c>
      <c r="BH176" s="31" t="e">
        <f t="shared" si="201"/>
        <v>#DIV/0!</v>
      </c>
      <c r="BI176" s="31">
        <f t="shared" ca="1" si="201"/>
        <v>0.61767125860782712</v>
      </c>
      <c r="BJ176" s="31">
        <f t="shared" ca="1" si="201"/>
        <v>0.81609664837863971</v>
      </c>
      <c r="BK176" s="31">
        <f t="shared" ca="1" si="201"/>
        <v>0.79762933093454913</v>
      </c>
      <c r="BL176" s="31">
        <f t="shared" ca="1" si="201"/>
        <v>0.83709090968290911</v>
      </c>
      <c r="BM176" s="31" t="e">
        <f t="shared" si="201"/>
        <v>#DIV/0!</v>
      </c>
      <c r="BN176" s="31">
        <f t="shared" ca="1" si="201"/>
        <v>1.1224677946606398</v>
      </c>
      <c r="BO176" s="31">
        <f t="shared" ca="1" si="201"/>
        <v>1.0786859376425484</v>
      </c>
      <c r="BP176" s="31">
        <f t="shared" ca="1" si="201"/>
        <v>0.9660103112787265</v>
      </c>
      <c r="BQ176" s="31">
        <f t="shared" ca="1" si="201"/>
        <v>1.1453858242515647</v>
      </c>
      <c r="BR176" s="31" t="e">
        <f t="shared" ref="BR176:CU176" si="202">AVERAGEIF(BR4:BR96,"&lt;&gt;#N/A")</f>
        <v>#DIV/0!</v>
      </c>
      <c r="BS176" s="31">
        <f t="shared" si="202"/>
        <v>1.6457468415825522</v>
      </c>
      <c r="BT176" s="31">
        <f t="shared" si="202"/>
        <v>1.2244556931805903</v>
      </c>
      <c r="BU176" s="31">
        <f t="shared" si="202"/>
        <v>1.5811234567829719</v>
      </c>
      <c r="BV176" s="31">
        <f t="shared" si="202"/>
        <v>1.580825001041545</v>
      </c>
      <c r="BW176" s="31" t="e">
        <f t="shared" si="202"/>
        <v>#DIV/0!</v>
      </c>
      <c r="BX176" s="31">
        <f t="shared" ca="1" si="202"/>
        <v>8.2320214316979543E-2</v>
      </c>
      <c r="BY176" s="31">
        <f t="shared" ca="1" si="202"/>
        <v>9.3072783564861761E-2</v>
      </c>
      <c r="BZ176" s="31">
        <f t="shared" ca="1" si="202"/>
        <v>6.0632463216262908E-2</v>
      </c>
      <c r="CA176" s="31">
        <f t="shared" ca="1" si="202"/>
        <v>5.1479310200781392E-2</v>
      </c>
      <c r="CB176" s="31" t="e">
        <f t="shared" si="202"/>
        <v>#DIV/0!</v>
      </c>
      <c r="CC176" s="31">
        <f t="shared" ca="1" si="202"/>
        <v>8.1357952483433124E-2</v>
      </c>
      <c r="CD176" s="31">
        <f t="shared" ca="1" si="202"/>
        <v>8.5356609764309588E-2</v>
      </c>
      <c r="CE176" s="31">
        <f t="shared" ca="1" si="202"/>
        <v>6.3349001695613125E-2</v>
      </c>
      <c r="CF176" s="31">
        <f t="shared" ca="1" si="202"/>
        <v>4.4689879511411214E-2</v>
      </c>
      <c r="CG176" s="31" t="e">
        <f t="shared" si="202"/>
        <v>#DIV/0!</v>
      </c>
      <c r="CH176" s="31">
        <f t="shared" ca="1" si="202"/>
        <v>0.21755455273087751</v>
      </c>
      <c r="CI176" s="31">
        <f t="shared" ca="1" si="202"/>
        <v>0.2319896788928324</v>
      </c>
      <c r="CJ176" s="31">
        <f t="shared" ca="1" si="202"/>
        <v>0.18637437519336469</v>
      </c>
      <c r="CK176" s="31">
        <f t="shared" ca="1" si="202"/>
        <v>0.13798579121289184</v>
      </c>
      <c r="CL176" s="31" t="e">
        <f t="shared" si="202"/>
        <v>#DIV/0!</v>
      </c>
      <c r="CM176" s="31">
        <f t="shared" ca="1" si="202"/>
        <v>0.55970903202751132</v>
      </c>
      <c r="CN176" s="31">
        <f t="shared" ca="1" si="202"/>
        <v>0.5387284985819466</v>
      </c>
      <c r="CO176" s="31">
        <f t="shared" ca="1" si="202"/>
        <v>0.39838799401436936</v>
      </c>
      <c r="CP176" s="31">
        <f t="shared" ca="1" si="202"/>
        <v>0.3920842289386281</v>
      </c>
      <c r="CQ176" s="31" t="e">
        <f t="shared" si="202"/>
        <v>#DIV/0!</v>
      </c>
      <c r="CR176" s="31">
        <f t="shared" si="202"/>
        <v>2.9985443064093196</v>
      </c>
      <c r="CS176" s="31">
        <f t="shared" si="202"/>
        <v>2.83929113933003</v>
      </c>
      <c r="CT176" s="31">
        <f t="shared" si="202"/>
        <v>3.0706790100856685</v>
      </c>
      <c r="CU176" s="31">
        <f t="shared" si="202"/>
        <v>3.1487250013194021</v>
      </c>
    </row>
    <row r="177" spans="1:99" x14ac:dyDescent="0.35">
      <c r="A177" s="29" t="s">
        <v>360</v>
      </c>
      <c r="F177" s="32">
        <f t="array" ref="F177">STDEV(IF(ISNUMBER(F4:F96),F4:F96,""))</f>
        <v>9.7902953632563516E-2</v>
      </c>
      <c r="G177" s="32">
        <f t="array" ref="G177">STDEV(IF(ISNUMBER(G4:G96),G4:G96,""))</f>
        <v>0.17944492191198957</v>
      </c>
      <c r="H177" s="32">
        <f t="array" ref="H177">STDEV(IF(ISNUMBER(H4:H96),H4:H96,""))</f>
        <v>0.22395930551400581</v>
      </c>
      <c r="I177" s="32">
        <f t="array" ref="I177">STDEV(IF(ISNUMBER(I4:I96),I4:I96,""))</f>
        <v>0.14289543366086097</v>
      </c>
      <c r="J177" s="32" t="e">
        <f t="array" ref="J177">STDEV(IF(ISNUMBER(J4:J96),J4:J96,""))</f>
        <v>#DIV/0!</v>
      </c>
      <c r="K177" s="32">
        <f t="array" aca="1" ref="K177" ca="1">STDEV(IF(ISNUMBER(K4:K96),K4:K96,""))</f>
        <v>4.8283638915893483E-2</v>
      </c>
      <c r="L177" s="32">
        <f t="array" aca="1" ref="L177" ca="1">STDEV(IF(ISNUMBER(L4:L96),L4:L96,""))</f>
        <v>5.0328319278740971E-2</v>
      </c>
      <c r="M177" s="32">
        <f t="array" aca="1" ref="M177" ca="1">STDEV(IF(ISNUMBER(M4:M96),M4:M96,""))</f>
        <v>7.5803494373623867E-2</v>
      </c>
      <c r="N177" s="32">
        <f t="array" aca="1" ref="N177" ca="1">STDEV(IF(ISNUMBER(N4:N96),N4:N96,""))</f>
        <v>7.1362639524934532E-2</v>
      </c>
      <c r="O177" s="32" t="e">
        <f t="array" ref="O177">STDEV(IF(ISNUMBER(O4:O96),O4:O96,""))</f>
        <v>#DIV/0!</v>
      </c>
      <c r="P177" s="32">
        <f t="array" aca="1" ref="P177" ca="1">STDEV(IF(ISNUMBER(P4:P96),P4:P96,""))</f>
        <v>0.21878921523453479</v>
      </c>
      <c r="Q177" s="32">
        <f t="array" aca="1" ref="Q177" ca="1">STDEV(IF(ISNUMBER(Q4:Q96),Q4:Q96,""))</f>
        <v>0.20165761067758589</v>
      </c>
      <c r="R177" s="32">
        <f t="array" aca="1" ref="R177" ca="1">STDEV(IF(ISNUMBER(R4:R96),R4:R96,""))</f>
        <v>0.2212843461267158</v>
      </c>
      <c r="S177" s="32">
        <f t="array" aca="1" ref="S177" ca="1">STDEV(IF(ISNUMBER(S4:S96),S4:S96,""))</f>
        <v>0.20986134738749226</v>
      </c>
      <c r="T177" s="32" t="e">
        <f t="array" ref="T177">STDEV(IF(ISNUMBER(T4:T96),T4:T96,""))</f>
        <v>#DIV/0!</v>
      </c>
      <c r="U177" s="32">
        <f t="array" aca="1" ref="U177" ca="1">STDEV(IF(ISNUMBER(U4:U96),U4:U96,""))</f>
        <v>0.64653399509527854</v>
      </c>
      <c r="V177" s="32">
        <f t="array" aca="1" ref="V177" ca="1">STDEV(IF(ISNUMBER(V4:V96),V4:V96,""))</f>
        <v>0.70517542416826329</v>
      </c>
      <c r="W177" s="32">
        <f t="array" aca="1" ref="W177" ca="1">STDEV(IF(ISNUMBER(W4:W96),W4:W96,""))</f>
        <v>0.75044101028038879</v>
      </c>
      <c r="X177" s="32">
        <f t="array" aca="1" ref="X177" ca="1">STDEV(IF(ISNUMBER(X4:X96),X4:X96,""))</f>
        <v>0.73106928238881563</v>
      </c>
      <c r="Y177" s="32" t="e">
        <f t="array" ref="Y177">STDEV(IF(ISNUMBER(Y4:Y96),Y4:Y96,""))</f>
        <v>#DIV/0!</v>
      </c>
      <c r="Z177" s="32">
        <f t="array" aca="1" ref="Z177" ca="1">STDEV(IF(ISNUMBER(Z4:Z96),Z4:Z96,""))</f>
        <v>0.12805336515922011</v>
      </c>
      <c r="AA177" s="32">
        <f t="array" aca="1" ref="AA177" ca="1">STDEV(IF(ISNUMBER(AA4:AA96),AA4:AA96,""))</f>
        <v>0.10312155253987404</v>
      </c>
      <c r="AB177" s="32">
        <f t="array" aca="1" ref="AB177" ca="1">STDEV(IF(ISNUMBER(AB4:AB96),AB4:AB96,""))</f>
        <v>0.15804178564114224</v>
      </c>
      <c r="AC177" s="32">
        <f t="array" aca="1" ref="AC177" ca="1">STDEV(IF(ISNUMBER(AC4:AC96),AC4:AC96,""))</f>
        <v>0.16423112763008987</v>
      </c>
      <c r="AD177" s="32" t="e">
        <f t="array" ref="AD177">STDEV(IF(ISNUMBER(AD4:AD96),AD4:AD96,""))</f>
        <v>#DIV/0!</v>
      </c>
      <c r="AE177" s="32">
        <f t="array" aca="1" ref="AE177" ca="1">STDEV(IF(ISNUMBER(AE4:AE96),AE4:AE96,""))</f>
        <v>0.2362008837045978</v>
      </c>
      <c r="AF177" s="32">
        <f t="array" aca="1" ref="AF177" ca="1">STDEV(IF(ISNUMBER(AF4:AF96),AF4:AF96,""))</f>
        <v>0.20951850806021352</v>
      </c>
      <c r="AG177" s="32">
        <f t="array" aca="1" ref="AG177" ca="1">STDEV(IF(ISNUMBER(AG4:AG96),AG4:AG96,""))</f>
        <v>0.24224671353119401</v>
      </c>
      <c r="AH177" s="32">
        <f t="array" aca="1" ref="AH177" ca="1">STDEV(IF(ISNUMBER(AH4:AH96),AH4:AH96,""))</f>
        <v>0.235812363121365</v>
      </c>
      <c r="AI177" s="32" t="e">
        <f t="array" ref="AI177">STDEV(IF(ISNUMBER(AI4:AI96),AI4:AI96,""))</f>
        <v>#DIV/0!</v>
      </c>
      <c r="AJ177" s="32">
        <f t="array" aca="1" ref="AJ177" ca="1">STDEV(IF(ISNUMBER(AJ4:AJ96),AJ4:AJ96,""))</f>
        <v>0.6542228194741817</v>
      </c>
      <c r="AK177" s="32">
        <f t="array" aca="1" ref="AK177" ca="1">STDEV(IF(ISNUMBER(AK4:AK96),AK4:AK96,""))</f>
        <v>0.68647250435174612</v>
      </c>
      <c r="AL177" s="32">
        <f t="array" aca="1" ref="AL177" ca="1">STDEV(IF(ISNUMBER(AL4:AL96),AL4:AL96,""))</f>
        <v>0.77503433302725322</v>
      </c>
      <c r="AM177" s="32">
        <f t="array" aca="1" ref="AM177" ca="1">STDEV(IF(ISNUMBER(AM4:AM96),AM4:AM96,""))</f>
        <v>0.77914321264433528</v>
      </c>
      <c r="AN177" s="32" t="e">
        <f t="array" ref="AN177">STDEV(IF(ISNUMBER(AN4:AN96),AN4:AN96,""))</f>
        <v>#DIV/0!</v>
      </c>
      <c r="AO177" s="32">
        <f t="array" aca="1" ref="AO177" ca="1">STDEV(IF(ISNUMBER(AO4:AO96),AO4:AO96,""))</f>
        <v>0.96925921656392555</v>
      </c>
      <c r="AP177" s="32">
        <f t="array" aca="1" ref="AP177" ca="1">STDEV(IF(ISNUMBER(AP4:AP96),AP4:AP96,""))</f>
        <v>0.49703442176694107</v>
      </c>
      <c r="AQ177" s="32">
        <f t="array" aca="1" ref="AQ177" ca="1">STDEV(IF(ISNUMBER(AQ4:AQ96),AQ4:AQ96,""))</f>
        <v>0.58333206389952796</v>
      </c>
      <c r="AR177" s="32">
        <f t="array" aca="1" ref="AR177" ca="1">STDEV(IF(ISNUMBER(AR4:AR96),AR4:AR96,""))</f>
        <v>0.61899786705434978</v>
      </c>
      <c r="AS177" s="32" t="e">
        <f t="array" ref="AS177">STDEV(IF(ISNUMBER(AS4:AS96),AS4:AS96,""))</f>
        <v>#DIV/0!</v>
      </c>
      <c r="AT177" s="32">
        <f t="array" ref="AT177">STDEV(IF(ISNUMBER(AT4:AT96),AT4:AT96,""))</f>
        <v>0.31083339045866665</v>
      </c>
      <c r="AU177" s="32">
        <f t="array" ref="AU177">STDEV(IF(ISNUMBER(AU4:AU96),AU4:AU96,""))</f>
        <v>0.37648924081840507</v>
      </c>
      <c r="AV177" s="32">
        <f t="array" ref="AV177">STDEV(IF(ISNUMBER(AV4:AV96),AV4:AV96,""))</f>
        <v>0.47243704224524929</v>
      </c>
      <c r="AW177" s="32">
        <f t="array" ref="AW177">STDEV(IF(ISNUMBER(AW4:AW96),AW4:AW96,""))</f>
        <v>0.37065374744567758</v>
      </c>
      <c r="AX177" s="32" t="e">
        <f t="array" ref="AX177">STDEV(IF(ISNUMBER(AX4:AX96),AX4:AX96,""))</f>
        <v>#DIV/0!</v>
      </c>
      <c r="AY177" s="32">
        <f t="array" aca="1" ref="AY177" ca="1">STDEV(IF(ISNUMBER(AY4:AY96),AY4:AY96,""))</f>
        <v>0.26180519532364405</v>
      </c>
      <c r="AZ177" s="32">
        <f t="array" aca="1" ref="AZ177" ca="1">STDEV(IF(ISNUMBER(AZ4:AZ96),AZ4:AZ96,""))</f>
        <v>0.24862064104162673</v>
      </c>
      <c r="BA177" s="32">
        <f t="array" aca="1" ref="BA177" ca="1">STDEV(IF(ISNUMBER(BA4:BA96),BA4:BA96,""))</f>
        <v>0.23580044684282761</v>
      </c>
      <c r="BB177" s="32">
        <f t="array" aca="1" ref="BB177" ca="1">STDEV(IF(ISNUMBER(BB4:BB96),BB4:BB96,""))</f>
        <v>0.21616563812484355</v>
      </c>
      <c r="BC177" s="32" t="e">
        <f t="array" ref="BC177">STDEV(IF(ISNUMBER(BC4:BC96),BC4:BC96,""))</f>
        <v>#DIV/0!</v>
      </c>
      <c r="BD177" s="32">
        <f t="array" aca="1" ref="BD177" ca="1">STDEV(IF(ISNUMBER(BD4:BD96),BD4:BD96,""))</f>
        <v>0.26773441254857999</v>
      </c>
      <c r="BE177" s="32">
        <f t="array" aca="1" ref="BE177" ca="1">STDEV(IF(ISNUMBER(BE4:BE96),BE4:BE96,""))</f>
        <v>0.25474240061539161</v>
      </c>
      <c r="BF177" s="32">
        <f t="array" aca="1" ref="BF177" ca="1">STDEV(IF(ISNUMBER(BF4:BF96),BF4:BF96,""))</f>
        <v>0.23417608733676973</v>
      </c>
      <c r="BG177" s="32">
        <f t="array" aca="1" ref="BG177" ca="1">STDEV(IF(ISNUMBER(BG4:BG96),BG4:BG96,""))</f>
        <v>0.22659253307614965</v>
      </c>
      <c r="BH177" s="32" t="e">
        <f t="array" ref="BH177">STDEV(IF(ISNUMBER(BH4:BH96),BH4:BH96,""))</f>
        <v>#DIV/0!</v>
      </c>
      <c r="BI177" s="32">
        <f t="array" aca="1" ref="BI177" ca="1">STDEV(IF(ISNUMBER(BI4:BI96),BI4:BI96,""))</f>
        <v>0.4982706475882584</v>
      </c>
      <c r="BJ177" s="32">
        <f t="array" aca="1" ref="BJ177" ca="1">STDEV(IF(ISNUMBER(BJ4:BJ96),BJ4:BJ96,""))</f>
        <v>0.58459342091868616</v>
      </c>
      <c r="BK177" s="32">
        <f t="array" aca="1" ref="BK177" ca="1">STDEV(IF(ISNUMBER(BK4:BK96),BK4:BK96,""))</f>
        <v>0.60810560792786672</v>
      </c>
      <c r="BL177" s="32">
        <f t="array" aca="1" ref="BL177" ca="1">STDEV(IF(ISNUMBER(BL4:BL96),BL4:BL96,""))</f>
        <v>0.61297102227243161</v>
      </c>
      <c r="BM177" s="32" t="e">
        <f t="array" ref="BM177">STDEV(IF(ISNUMBER(BM4:BM96),BM4:BM96,""))</f>
        <v>#DIV/0!</v>
      </c>
      <c r="BN177" s="32">
        <f t="array" aca="1" ref="BN177" ca="1">STDEV(IF(ISNUMBER(BN4:BN96),BN4:BN96,""))</f>
        <v>1.0727103652411822</v>
      </c>
      <c r="BO177" s="32">
        <f t="array" aca="1" ref="BO177" ca="1">STDEV(IF(ISNUMBER(BO4:BO96),BO4:BO96,""))</f>
        <v>0.9720250532745548</v>
      </c>
      <c r="BP177" s="32">
        <f t="array" aca="1" ref="BP177" ca="1">STDEV(IF(ISNUMBER(BP4:BP96),BP4:BP96,""))</f>
        <v>0.84193838497388118</v>
      </c>
      <c r="BQ177" s="32">
        <f t="array" aca="1" ref="BQ177" ca="1">STDEV(IF(ISNUMBER(BQ4:BQ96),BQ4:BQ96,""))</f>
        <v>0.96894330751017166</v>
      </c>
      <c r="BR177" s="32" t="e">
        <f t="array" ref="BR177">STDEV(IF(ISNUMBER(BR4:BR96),BR4:BR96,""))</f>
        <v>#DIV/0!</v>
      </c>
      <c r="BS177" s="32">
        <f t="array" ref="BS177">STDEV(IF(ISNUMBER(BS4:BS96),BS4:BS96,""))</f>
        <v>1.5242596908949004</v>
      </c>
      <c r="BT177" s="32">
        <f t="array" ref="BT177">STDEV(IF(ISNUMBER(BT4:BT96),BT4:BT96,""))</f>
        <v>1.3343223254898013</v>
      </c>
      <c r="BU177" s="32">
        <f t="array" ref="BU177">STDEV(IF(ISNUMBER(BU4:BU96),BU4:BU96,""))</f>
        <v>1.4647258495069493</v>
      </c>
      <c r="BV177" s="32">
        <f t="array" ref="BV177">STDEV(IF(ISNUMBER(BV4:BV96),BV4:BV96,""))</f>
        <v>1.504747616492305</v>
      </c>
      <c r="BW177" s="32" t="e">
        <f t="array" ref="BW177">STDEV(IF(ISNUMBER(BW4:BW96),BW4:BW96,""))</f>
        <v>#DIV/0!</v>
      </c>
      <c r="BX177" s="32">
        <f t="array" aca="1" ref="BX177" ca="1">STDEV(IF(ISNUMBER(BX4:BX96),BX4:BX96,""))</f>
        <v>0.10080178588798211</v>
      </c>
      <c r="BY177" s="32">
        <f t="array" aca="1" ref="BY177" ca="1">STDEV(IF(ISNUMBER(BY4:BY96),BY4:BY96,""))</f>
        <v>0.15968759414050274</v>
      </c>
      <c r="BZ177" s="32">
        <f t="array" aca="1" ref="BZ177" ca="1">STDEV(IF(ISNUMBER(BZ4:BZ96),BZ4:BZ96,""))</f>
        <v>9.5724184061846226E-2</v>
      </c>
      <c r="CA177" s="32">
        <f t="array" aca="1" ref="CA177" ca="1">STDEV(IF(ISNUMBER(CA4:CA96),CA4:CA96,""))</f>
        <v>8.0658901581777298E-2</v>
      </c>
      <c r="CB177" s="32" t="e">
        <f t="array" ref="CB177">STDEV(IF(ISNUMBER(CB4:CB96),CB4:CB96,""))</f>
        <v>#DIV/0!</v>
      </c>
      <c r="CC177" s="32">
        <f t="array" aca="1" ref="CC177" ca="1">STDEV(IF(ISNUMBER(CC4:CC96),CC4:CC96,""))</f>
        <v>0.11184373544706498</v>
      </c>
      <c r="CD177" s="32">
        <f t="array" aca="1" ref="CD177" ca="1">STDEV(IF(ISNUMBER(CD4:CD96),CD4:CD96,""))</f>
        <v>0.158119909793415</v>
      </c>
      <c r="CE177" s="32">
        <f t="array" aca="1" ref="CE177" ca="1">STDEV(IF(ISNUMBER(CE4:CE96),CE4:CE96,""))</f>
        <v>0.11097200239856647</v>
      </c>
      <c r="CF177" s="32">
        <f t="array" aca="1" ref="CF177" ca="1">STDEV(IF(ISNUMBER(CF4:CF96),CF4:CF96,""))</f>
        <v>8.1353742973880247E-2</v>
      </c>
      <c r="CG177" s="32" t="e">
        <f t="array" ref="CG177">STDEV(IF(ISNUMBER(CG4:CG96),CG4:CG96,""))</f>
        <v>#DIV/0!</v>
      </c>
      <c r="CH177" s="32">
        <f t="array" aca="1" ref="CH177" ca="1">STDEV(IF(ISNUMBER(CH4:CH96),CH4:CH96,""))</f>
        <v>0.27914025759357203</v>
      </c>
      <c r="CI177" s="32">
        <f t="array" aca="1" ref="CI177" ca="1">STDEV(IF(ISNUMBER(CI4:CI96),CI4:CI96,""))</f>
        <v>0.37424863031404709</v>
      </c>
      <c r="CJ177" s="32">
        <f t="array" aca="1" ref="CJ177" ca="1">STDEV(IF(ISNUMBER(CJ4:CJ96),CJ4:CJ96,""))</f>
        <v>0.27802418095377002</v>
      </c>
      <c r="CK177" s="32">
        <f t="array" aca="1" ref="CK177" ca="1">STDEV(IF(ISNUMBER(CK4:CK96),CK4:CK96,""))</f>
        <v>0.2300282942904682</v>
      </c>
      <c r="CL177" s="32" t="e">
        <f t="array" ref="CL177">STDEV(IF(ISNUMBER(CL4:CL96),CL4:CL96,""))</f>
        <v>#DIV/0!</v>
      </c>
      <c r="CM177" s="32">
        <f t="array" aca="1" ref="CM177" ca="1">STDEV(IF(ISNUMBER(CM4:CM96),CM4:CM96,""))</f>
        <v>0.63924330485752934</v>
      </c>
      <c r="CN177" s="32">
        <f t="array" aca="1" ref="CN177" ca="1">STDEV(IF(ISNUMBER(CN4:CN96),CN4:CN96,""))</f>
        <v>0.73728861168412063</v>
      </c>
      <c r="CO177" s="32">
        <f t="array" aca="1" ref="CO177" ca="1">STDEV(IF(ISNUMBER(CO4:CO96),CO4:CO96,""))</f>
        <v>0.4723538219659229</v>
      </c>
      <c r="CP177" s="32">
        <f t="array" aca="1" ref="CP177" ca="1">STDEV(IF(ISNUMBER(CP4:CP96),CP4:CP96,""))</f>
        <v>0.5156762263068333</v>
      </c>
      <c r="CQ177" s="32" t="e">
        <f t="array" ref="CQ177">STDEV(IF(ISNUMBER(CQ4:CQ96),CQ4:CQ96,""))</f>
        <v>#DIV/0!</v>
      </c>
      <c r="CR177" s="32">
        <f t="array" ref="CR177">STDEV(IF(ISNUMBER(CR4:CR96),CR4:CR96,""))</f>
        <v>1.32178297224817</v>
      </c>
      <c r="CS177" s="32">
        <f t="array" ref="CS177">STDEV(IF(ISNUMBER(CS4:CS96),CS4:CS96,""))</f>
        <v>1.600356738153631</v>
      </c>
      <c r="CT177" s="32">
        <f t="array" ref="CT177">STDEV(IF(ISNUMBER(CT4:CT96),CT4:CT96,""))</f>
        <v>1.3261957433485427</v>
      </c>
      <c r="CU177" s="32">
        <f t="array" ref="CU177">STDEV(IF(ISNUMBER(CU4:CU96),CU4:CU96,""))</f>
        <v>1.3465119758260162</v>
      </c>
    </row>
    <row r="178" spans="1:99" x14ac:dyDescent="0.35">
      <c r="F178" s="32"/>
      <c r="G178" s="32"/>
      <c r="H178" s="32"/>
      <c r="I178" s="32"/>
    </row>
    <row r="179" spans="1:99" x14ac:dyDescent="0.35">
      <c r="A179" s="28" t="s">
        <v>361</v>
      </c>
      <c r="F179" s="30">
        <f>AVERAGEIF(F97:F168,"&lt;&gt;#N/A")</f>
        <v>3.8747804878048777</v>
      </c>
      <c r="G179" s="30">
        <f t="shared" ref="G179:BQ179" si="203">AVERAGEIF(G97:G168,"&lt;&gt;#N/A")</f>
        <v>3.9713157894736835</v>
      </c>
      <c r="H179" s="30">
        <f t="shared" si="203"/>
        <v>3.9013000000000004</v>
      </c>
      <c r="I179" s="30">
        <f t="shared" si="203"/>
        <v>3.9093529411764716</v>
      </c>
      <c r="J179" s="30" t="e">
        <f t="shared" si="203"/>
        <v>#DIV/0!</v>
      </c>
      <c r="K179" s="30">
        <f t="shared" ca="1" si="203"/>
        <v>0.95765440060518836</v>
      </c>
      <c r="L179" s="30">
        <f t="shared" ca="1" si="203"/>
        <v>0.94898436309625911</v>
      </c>
      <c r="M179" s="30">
        <f t="shared" ca="1" si="203"/>
        <v>0.95475093820748891</v>
      </c>
      <c r="N179" s="30">
        <f t="shared" ca="1" si="203"/>
        <v>0.95609501809689235</v>
      </c>
      <c r="O179" s="30" t="e">
        <f t="shared" si="203"/>
        <v>#DIV/0!</v>
      </c>
      <c r="P179" s="30">
        <f t="shared" ca="1" si="203"/>
        <v>0.78100200977758827</v>
      </c>
      <c r="Q179" s="30">
        <f t="shared" ca="1" si="203"/>
        <v>0.81297514068736076</v>
      </c>
      <c r="R179" s="30">
        <f t="shared" ca="1" si="203"/>
        <v>0.82854618394808921</v>
      </c>
      <c r="S179" s="30">
        <f t="shared" ca="1" si="203"/>
        <v>0.81029083676426594</v>
      </c>
      <c r="T179" s="30" t="e">
        <f t="shared" si="203"/>
        <v>#DIV/0!</v>
      </c>
      <c r="U179" s="30">
        <f t="shared" ca="1" si="203"/>
        <v>1.9961786582271865</v>
      </c>
      <c r="V179" s="30">
        <f t="shared" ca="1" si="203"/>
        <v>2.0663619675347191</v>
      </c>
      <c r="W179" s="30">
        <f t="shared" ca="1" si="203"/>
        <v>2.0379951237424825</v>
      </c>
      <c r="X179" s="30">
        <f t="shared" ca="1" si="203"/>
        <v>2.267832099391351</v>
      </c>
      <c r="Y179" s="30" t="e">
        <f t="shared" si="203"/>
        <v>#DIV/0!</v>
      </c>
      <c r="Z179" s="30">
        <f t="shared" ca="1" si="203"/>
        <v>0.82111687019717161</v>
      </c>
      <c r="AA179" s="30">
        <f t="shared" ca="1" si="203"/>
        <v>0.87902066867883866</v>
      </c>
      <c r="AB179" s="30">
        <f t="shared" ca="1" si="203"/>
        <v>0.85976282676278259</v>
      </c>
      <c r="AC179" s="30">
        <f t="shared" ca="1" si="203"/>
        <v>0.86940555098006045</v>
      </c>
      <c r="AD179" s="30" t="e">
        <f t="shared" si="203"/>
        <v>#DIV/0!</v>
      </c>
      <c r="AE179" s="30">
        <f t="shared" ca="1" si="203"/>
        <v>0.71768803273564996</v>
      </c>
      <c r="AF179" s="30">
        <f t="shared" ca="1" si="203"/>
        <v>0.78212108424702631</v>
      </c>
      <c r="AG179" s="30">
        <f t="shared" ca="1" si="203"/>
        <v>0.78672468094009862</v>
      </c>
      <c r="AH179" s="30">
        <f t="shared" ca="1" si="203"/>
        <v>0.7685120121326382</v>
      </c>
      <c r="AI179" s="30" t="e">
        <f t="shared" si="203"/>
        <v>#DIV/0!</v>
      </c>
      <c r="AJ179" s="30">
        <f t="shared" ca="1" si="203"/>
        <v>1.8526723315740381</v>
      </c>
      <c r="AK179" s="30">
        <f t="shared" ca="1" si="203"/>
        <v>1.959859444720321</v>
      </c>
      <c r="AL179" s="30">
        <f t="shared" ca="1" si="203"/>
        <v>1.9139525772960824</v>
      </c>
      <c r="AM179" s="30">
        <f t="shared" ca="1" si="203"/>
        <v>2.0954449498862289</v>
      </c>
      <c r="AN179" s="30" t="e">
        <f t="shared" si="203"/>
        <v>#DIV/0!</v>
      </c>
      <c r="AO179" s="30">
        <f t="shared" ca="1" si="203"/>
        <v>0.57999174547275112</v>
      </c>
      <c r="AP179" s="30">
        <f t="shared" ca="1" si="203"/>
        <v>0.48617147603958033</v>
      </c>
      <c r="AQ179" s="30">
        <f t="shared" ca="1" si="203"/>
        <v>0.47230387384329164</v>
      </c>
      <c r="AR179" s="30">
        <f t="shared" ca="1" si="203"/>
        <v>0.62514146285640615</v>
      </c>
      <c r="AS179" s="30" t="e">
        <f t="shared" si="203"/>
        <v>#DIV/0!</v>
      </c>
      <c r="AT179" s="30">
        <f t="shared" si="203"/>
        <v>0.43222641656523181</v>
      </c>
      <c r="AU179" s="30">
        <f t="shared" si="203"/>
        <v>0.3600625028651363</v>
      </c>
      <c r="AV179" s="30">
        <f t="shared" si="203"/>
        <v>0.28968750349546707</v>
      </c>
      <c r="AW179" s="30">
        <f t="shared" si="203"/>
        <v>0.34360869893642226</v>
      </c>
      <c r="AX179" s="30" t="e">
        <f t="shared" si="203"/>
        <v>#DIV/0!</v>
      </c>
      <c r="AY179" s="30">
        <f t="shared" ca="1" si="203"/>
        <v>0.31738083317877774</v>
      </c>
      <c r="AZ179" s="30">
        <f t="shared" ca="1" si="203"/>
        <v>0.31223744498276551</v>
      </c>
      <c r="BA179" s="30">
        <f t="shared" ca="1" si="203"/>
        <v>0.32783810441400324</v>
      </c>
      <c r="BB179" s="30">
        <f t="shared" ca="1" si="203"/>
        <v>0.26811681725623993</v>
      </c>
      <c r="BC179" s="30" t="e">
        <f t="shared" si="203"/>
        <v>#DIV/0!</v>
      </c>
      <c r="BD179" s="30">
        <f t="shared" ca="1" si="203"/>
        <v>0.30712460362125982</v>
      </c>
      <c r="BE179" s="30">
        <f t="shared" ca="1" si="203"/>
        <v>0.31259752253544193</v>
      </c>
      <c r="BF179" s="30">
        <f t="shared" ca="1" si="203"/>
        <v>0.31827554939172559</v>
      </c>
      <c r="BG179" s="30">
        <f t="shared" ca="1" si="203"/>
        <v>0.27376291598330571</v>
      </c>
      <c r="BH179" s="30" t="e">
        <f t="shared" si="203"/>
        <v>#DIV/0!</v>
      </c>
      <c r="BI179" s="30">
        <f t="shared" ca="1" si="203"/>
        <v>0.68610637769385563</v>
      </c>
      <c r="BJ179" s="30">
        <f t="shared" ca="1" si="203"/>
        <v>0.63696689410763041</v>
      </c>
      <c r="BK179" s="30">
        <f t="shared" ca="1" si="203"/>
        <v>0.70563953697887416</v>
      </c>
      <c r="BL179" s="30">
        <f t="shared" ca="1" si="203"/>
        <v>0.67176311539472988</v>
      </c>
      <c r="BM179" s="30" t="e">
        <f t="shared" si="203"/>
        <v>#DIV/0!</v>
      </c>
      <c r="BN179" s="30">
        <f t="shared" ca="1" si="203"/>
        <v>0.91169484944666346</v>
      </c>
      <c r="BO179" s="30">
        <f t="shared" ca="1" si="203"/>
        <v>0.84147443364406838</v>
      </c>
      <c r="BP179" s="30">
        <f t="shared" ca="1" si="203"/>
        <v>0.76212056133520312</v>
      </c>
      <c r="BQ179" s="30">
        <f t="shared" ca="1" si="203"/>
        <v>0.84013944269212282</v>
      </c>
      <c r="BR179" s="30" t="e">
        <f t="shared" ref="BR179:CU179" si="204">AVERAGEIF(BR97:BR168,"&lt;&gt;#N/A")</f>
        <v>#DIV/0!</v>
      </c>
      <c r="BS179" s="30">
        <f t="shared" si="204"/>
        <v>1.2924339594842058</v>
      </c>
      <c r="BT179" s="30">
        <f t="shared" si="204"/>
        <v>1.4417916628904643</v>
      </c>
      <c r="BU179" s="30">
        <f t="shared" si="204"/>
        <v>1.4876458292216801</v>
      </c>
      <c r="BV179" s="30">
        <f t="shared" si="204"/>
        <v>1.6567391272424317</v>
      </c>
      <c r="BW179" s="30" t="e">
        <f t="shared" si="204"/>
        <v>#DIV/0!</v>
      </c>
      <c r="BX179" s="30">
        <f t="shared" ca="1" si="204"/>
        <v>5.9394171479150874E-2</v>
      </c>
      <c r="BY179" s="30">
        <f t="shared" ca="1" si="204"/>
        <v>5.9178058900651691E-2</v>
      </c>
      <c r="BZ179" s="30">
        <f t="shared" ca="1" si="204"/>
        <v>4.5102379147077272E-2</v>
      </c>
      <c r="CA179" s="30">
        <f t="shared" ca="1" si="204"/>
        <v>7.9082645875864485E-2</v>
      </c>
      <c r="CB179" s="30" t="e">
        <f t="shared" si="204"/>
        <v>#DIV/0!</v>
      </c>
      <c r="CC179" s="30">
        <f t="shared" ca="1" si="204"/>
        <v>5.9460944597565901E-2</v>
      </c>
      <c r="CD179" s="30">
        <f t="shared" ca="1" si="204"/>
        <v>6.1073183698496104E-2</v>
      </c>
      <c r="CE179" s="30">
        <f t="shared" ca="1" si="204"/>
        <v>4.6081465552795603E-2</v>
      </c>
      <c r="CF179" s="30">
        <f t="shared" ca="1" si="204"/>
        <v>7.8810863674120601E-2</v>
      </c>
      <c r="CG179" s="30" t="e">
        <f t="shared" si="204"/>
        <v>#DIV/0!</v>
      </c>
      <c r="CH179" s="30">
        <f t="shared" ca="1" si="204"/>
        <v>0.16015913588613001</v>
      </c>
      <c r="CI179" s="30">
        <f t="shared" ca="1" si="204"/>
        <v>0.16390687435140261</v>
      </c>
      <c r="CJ179" s="30">
        <f t="shared" ca="1" si="204"/>
        <v>0.13445544720754549</v>
      </c>
      <c r="CK179" s="30">
        <f t="shared" ca="1" si="204"/>
        <v>0.17544413880000476</v>
      </c>
      <c r="CL179" s="30" t="e">
        <f t="shared" si="204"/>
        <v>#DIV/0!</v>
      </c>
      <c r="CM179" s="30">
        <f t="shared" ca="1" si="204"/>
        <v>0.38297195329799599</v>
      </c>
      <c r="CN179" s="30">
        <f t="shared" ca="1" si="204"/>
        <v>0.40543480104959029</v>
      </c>
      <c r="CO179" s="30">
        <f t="shared" ca="1" si="204"/>
        <v>0.31870806855799227</v>
      </c>
      <c r="CP179" s="30">
        <f t="shared" ca="1" si="204"/>
        <v>0.40455399618252547</v>
      </c>
      <c r="CQ179" s="30" t="e">
        <f t="shared" si="204"/>
        <v>#DIV/0!</v>
      </c>
      <c r="CR179" s="30">
        <f t="shared" si="204"/>
        <v>3.2799811334015341</v>
      </c>
      <c r="CS179" s="30">
        <f t="shared" si="204"/>
        <v>3.3021458380228133</v>
      </c>
      <c r="CT179" s="30">
        <f t="shared" si="204"/>
        <v>3.3661041589324978</v>
      </c>
      <c r="CU179" s="30">
        <f t="shared" si="204"/>
        <v>3.3469565175410527</v>
      </c>
    </row>
    <row r="180" spans="1:99" x14ac:dyDescent="0.35">
      <c r="A180" s="28" t="s">
        <v>362</v>
      </c>
      <c r="F180" s="30">
        <f t="array" ref="F180">STDEV(IF(ISNUMBER(F97:F168),F97:F168,""))</f>
        <v>0.33153163591089779</v>
      </c>
      <c r="G180" s="30">
        <f t="array" ref="G180">STDEV(IF(ISNUMBER(G97:G168),G97:G168,""))</f>
        <v>0.19708059885908902</v>
      </c>
      <c r="H180" s="30">
        <f t="array" ref="H180">STDEV(IF(ISNUMBER(H97:H168),H97:H168,""))</f>
        <v>0.30631391640703393</v>
      </c>
      <c r="I180" s="30">
        <f t="array" ref="I180">STDEV(IF(ISNUMBER(I97:I168),I97:I168,""))</f>
        <v>0.29563643544188578</v>
      </c>
      <c r="J180" s="30" t="e">
        <f t="array" ref="J180">STDEV(IF(ISNUMBER(J97:J168),J97:J168,""))</f>
        <v>#DIV/0!</v>
      </c>
      <c r="K180" s="30">
        <f t="array" aca="1" ref="K180" ca="1">STDEV(IF(ISNUMBER(K97:K168),K97:K168,""))</f>
        <v>6.6038122265261942E-2</v>
      </c>
      <c r="L180" s="30">
        <f t="array" aca="1" ref="L180" ca="1">STDEV(IF(ISNUMBER(L97:L168),L97:L168,""))</f>
        <v>6.7937903407913711E-2</v>
      </c>
      <c r="M180" s="30">
        <f t="array" aca="1" ref="M180" ca="1">STDEV(IF(ISNUMBER(M97:M168),M97:M168,""))</f>
        <v>6.1165165795175384E-2</v>
      </c>
      <c r="N180" s="30">
        <f t="array" aca="1" ref="N180" ca="1">STDEV(IF(ISNUMBER(N97:N168),N97:N168,""))</f>
        <v>7.1514272962039077E-2</v>
      </c>
      <c r="O180" s="30" t="e">
        <f t="array" ref="O180">STDEV(IF(ISNUMBER(O97:O168),O97:O168,""))</f>
        <v>#DIV/0!</v>
      </c>
      <c r="P180" s="30">
        <f t="array" aca="1" ref="P180" ca="1">STDEV(IF(ISNUMBER(P97:P168),P97:P168,""))</f>
        <v>0.19197299475181018</v>
      </c>
      <c r="Q180" s="30">
        <f t="array" aca="1" ref="Q180" ca="1">STDEV(IF(ISNUMBER(Q97:Q168),Q97:Q168,""))</f>
        <v>0.17911111180708864</v>
      </c>
      <c r="R180" s="30">
        <f t="array" aca="1" ref="R180" ca="1">STDEV(IF(ISNUMBER(R97:R168),R97:R168,""))</f>
        <v>0.11345481741442526</v>
      </c>
      <c r="S180" s="30">
        <f t="array" aca="1" ref="S180" ca="1">STDEV(IF(ISNUMBER(S97:S168),S97:S168,""))</f>
        <v>0.15755699606634843</v>
      </c>
      <c r="T180" s="30" t="e">
        <f t="array" ref="T180">STDEV(IF(ISNUMBER(T97:T168),T97:T168,""))</f>
        <v>#DIV/0!</v>
      </c>
      <c r="U180" s="30">
        <f t="array" aca="1" ref="U180" ca="1">STDEV(IF(ISNUMBER(U97:U168),U97:U168,""))</f>
        <v>0.6873255177382972</v>
      </c>
      <c r="V180" s="30">
        <f t="array" aca="1" ref="V180" ca="1">STDEV(IF(ISNUMBER(V97:V168),V97:V168,""))</f>
        <v>0.7991129923660828</v>
      </c>
      <c r="W180" s="30">
        <f t="array" aca="1" ref="W180" ca="1">STDEV(IF(ISNUMBER(W97:W168),W97:W168,""))</f>
        <v>0.68051432856451621</v>
      </c>
      <c r="X180" s="30">
        <f t="array" aca="1" ref="X180" ca="1">STDEV(IF(ISNUMBER(X97:X168),X97:X168,""))</f>
        <v>0.76731888461141962</v>
      </c>
      <c r="Y180" s="30" t="e">
        <f t="array" ref="Y180">STDEV(IF(ISNUMBER(Y97:Y168),Y97:Y168,""))</f>
        <v>#DIV/0!</v>
      </c>
      <c r="Z180" s="30">
        <f t="array" aca="1" ref="Z180" ca="1">STDEV(IF(ISNUMBER(Z97:Z168),Z97:Z168,""))</f>
        <v>0.23853672910783874</v>
      </c>
      <c r="AA180" s="30">
        <f t="array" aca="1" ref="AA180" ca="1">STDEV(IF(ISNUMBER(AA97:AA168),AA97:AA168,""))</f>
        <v>0.19426607809320828</v>
      </c>
      <c r="AB180" s="30">
        <f t="array" aca="1" ref="AB180" ca="1">STDEV(IF(ISNUMBER(AB97:AB168),AB97:AB168,""))</f>
        <v>0.16982479601261932</v>
      </c>
      <c r="AC180" s="30">
        <f t="array" aca="1" ref="AC180" ca="1">STDEV(IF(ISNUMBER(AC97:AC168),AC97:AC168,""))</f>
        <v>0.18101940867009708</v>
      </c>
      <c r="AD180" s="30" t="e">
        <f t="array" ref="AD180">STDEV(IF(ISNUMBER(AD97:AD168),AD97:AD168,""))</f>
        <v>#DIV/0!</v>
      </c>
      <c r="AE180" s="30">
        <f t="array" aca="1" ref="AE180" ca="1">STDEV(IF(ISNUMBER(AE97:AE168),AE97:AE168,""))</f>
        <v>0.26182944835265648</v>
      </c>
      <c r="AF180" s="30">
        <f t="array" aca="1" ref="AF180" ca="1">STDEV(IF(ISNUMBER(AF97:AF168),AF97:AF168,""))</f>
        <v>0.23624391613486079</v>
      </c>
      <c r="AG180" s="30">
        <f t="array" aca="1" ref="AG180" ca="1">STDEV(IF(ISNUMBER(AG97:AG168),AG97:AG168,""))</f>
        <v>0.17492905778207468</v>
      </c>
      <c r="AH180" s="30">
        <f t="array" aca="1" ref="AH180" ca="1">STDEV(IF(ISNUMBER(AH97:AH168),AH97:AH168,""))</f>
        <v>0.19868660218442302</v>
      </c>
      <c r="AI180" s="30" t="e">
        <f t="array" ref="AI180">STDEV(IF(ISNUMBER(AI97:AI168),AI97:AI168,""))</f>
        <v>#DIV/0!</v>
      </c>
      <c r="AJ180" s="30">
        <f t="array" aca="1" ref="AJ180" ca="1">STDEV(IF(ISNUMBER(AJ97:AJ168),AJ97:AJ168,""))</f>
        <v>0.78527577334460597</v>
      </c>
      <c r="AK180" s="30">
        <f t="array" aca="1" ref="AK180" ca="1">STDEV(IF(ISNUMBER(AK97:AK168),AK97:AK168,""))</f>
        <v>0.86484379552197177</v>
      </c>
      <c r="AL180" s="30">
        <f t="array" aca="1" ref="AL180" ca="1">STDEV(IF(ISNUMBER(AL97:AL168),AL97:AL168,""))</f>
        <v>0.68374299007670791</v>
      </c>
      <c r="AM180" s="30">
        <f t="array" aca="1" ref="AM180" ca="1">STDEV(IF(ISNUMBER(AM97:AM168),AM97:AM168,""))</f>
        <v>0.82983485699195947</v>
      </c>
      <c r="AN180" s="30" t="e">
        <f t="array" ref="AN180">STDEV(IF(ISNUMBER(AN97:AN168),AN97:AN168,""))</f>
        <v>#DIV/0!</v>
      </c>
      <c r="AO180" s="30">
        <f t="array" aca="1" ref="AO180" ca="1">STDEV(IF(ISNUMBER(AO97:AO168),AO97:AO168,""))</f>
        <v>0.58462180614176507</v>
      </c>
      <c r="AP180" s="30">
        <f t="array" aca="1" ref="AP180" ca="1">STDEV(IF(ISNUMBER(AP97:AP168),AP97:AP168,""))</f>
        <v>0.41187416934008314</v>
      </c>
      <c r="AQ180" s="30">
        <f t="array" aca="1" ref="AQ180" ca="1">STDEV(IF(ISNUMBER(AQ97:AQ168),AQ97:AQ168,""))</f>
        <v>0.33959132201928394</v>
      </c>
      <c r="AR180" s="30">
        <f t="array" aca="1" ref="AR180" ca="1">STDEV(IF(ISNUMBER(AR97:AR168),AR97:AR168,""))</f>
        <v>0.82608686939863296</v>
      </c>
      <c r="AS180" s="30" t="e">
        <f t="array" ref="AS180">STDEV(IF(ISNUMBER(AS97:AS168),AS97:AS168,""))</f>
        <v>#DIV/0!</v>
      </c>
      <c r="AT180" s="30">
        <f t="array" ref="AT180">STDEV(IF(ISNUMBER(AT97:AT168),AT97:AT168,""))</f>
        <v>0.74843525802504851</v>
      </c>
      <c r="AU180" s="30">
        <f t="array" ref="AU180">STDEV(IF(ISNUMBER(AU97:AU168),AU97:AU168,""))</f>
        <v>0.74298594048819222</v>
      </c>
      <c r="AV180" s="30">
        <f t="array" ref="AV180">STDEV(IF(ISNUMBER(AV97:AV168),AV97:AV168,""))</f>
        <v>0.49229092831600907</v>
      </c>
      <c r="AW180" s="30">
        <f t="array" ref="AW180">STDEV(IF(ISNUMBER(AW97:AW168),AW97:AW168,""))</f>
        <v>0.76589020489606818</v>
      </c>
      <c r="AX180" s="30" t="e">
        <f t="array" ref="AX180">STDEV(IF(ISNUMBER(AX97:AX168),AX97:AX168,""))</f>
        <v>#DIV/0!</v>
      </c>
      <c r="AY180" s="30">
        <f t="array" aca="1" ref="AY180" ca="1">STDEV(IF(ISNUMBER(AY97:AY168),AY97:AY168,""))</f>
        <v>0.23979953544993848</v>
      </c>
      <c r="AZ180" s="30">
        <f t="array" aca="1" ref="AZ180" ca="1">STDEV(IF(ISNUMBER(AZ97:AZ168),AZ97:AZ168,""))</f>
        <v>0.24151775783883028</v>
      </c>
      <c r="BA180" s="30">
        <f t="array" aca="1" ref="BA180" ca="1">STDEV(IF(ISNUMBER(BA97:BA168),BA97:BA168,""))</f>
        <v>0.25975250769021002</v>
      </c>
      <c r="BB180" s="30">
        <f t="array" aca="1" ref="BB180" ca="1">STDEV(IF(ISNUMBER(BB97:BB168),BB97:BB168,""))</f>
        <v>0.23151964379863038</v>
      </c>
      <c r="BC180" s="30" t="e">
        <f t="array" ref="BC180">STDEV(IF(ISNUMBER(BC97:BC168),BC97:BC168,""))</f>
        <v>#DIV/0!</v>
      </c>
      <c r="BD180" s="30">
        <f t="array" aca="1" ref="BD180" ca="1">STDEV(IF(ISNUMBER(BD97:BD168),BD97:BD168,""))</f>
        <v>0.2432326015280841</v>
      </c>
      <c r="BE180" s="30">
        <f t="array" aca="1" ref="BE180" ca="1">STDEV(IF(ISNUMBER(BE97:BE168),BE97:BE168,""))</f>
        <v>0.2568393291077688</v>
      </c>
      <c r="BF180" s="30">
        <f t="array" aca="1" ref="BF180" ca="1">STDEV(IF(ISNUMBER(BF97:BF168),BF97:BF168,""))</f>
        <v>0.27202570014406435</v>
      </c>
      <c r="BG180" s="30">
        <f t="array" aca="1" ref="BG180" ca="1">STDEV(IF(ISNUMBER(BG97:BG168),BG97:BG168,""))</f>
        <v>0.23671487241046676</v>
      </c>
      <c r="BH180" s="30" t="e">
        <f t="array" ref="BH180">STDEV(IF(ISNUMBER(BH97:BH168),BH97:BH168,""))</f>
        <v>#DIV/0!</v>
      </c>
      <c r="BI180" s="30">
        <f t="array" aca="1" ref="BI180" ca="1">STDEV(IF(ISNUMBER(BI97:BI168),BI97:BI168,""))</f>
        <v>0.45656508466395068</v>
      </c>
      <c r="BJ180" s="30">
        <f t="array" aca="1" ref="BJ180" ca="1">STDEV(IF(ISNUMBER(BJ97:BJ168),BJ97:BJ168,""))</f>
        <v>0.46790678245758172</v>
      </c>
      <c r="BK180" s="30">
        <f t="array" aca="1" ref="BK180" ca="1">STDEV(IF(ISNUMBER(BK97:BK168),BK97:BK168,""))</f>
        <v>0.57858039078762902</v>
      </c>
      <c r="BL180" s="30">
        <f t="array" aca="1" ref="BL180" ca="1">STDEV(IF(ISNUMBER(BL97:BL168),BL97:BL168,""))</f>
        <v>0.50858392171030187</v>
      </c>
      <c r="BM180" s="30" t="e">
        <f t="array" ref="BM180">STDEV(IF(ISNUMBER(BM97:BM168),BM97:BM168,""))</f>
        <v>#DIV/0!</v>
      </c>
      <c r="BN180" s="30">
        <f t="array" aca="1" ref="BN180" ca="1">STDEV(IF(ISNUMBER(BN97:BN168),BN97:BN168,""))</f>
        <v>0.76858072931886046</v>
      </c>
      <c r="BO180" s="30">
        <f t="array" aca="1" ref="BO180" ca="1">STDEV(IF(ISNUMBER(BO97:BO168),BO97:BO168,""))</f>
        <v>0.67125665932420686</v>
      </c>
      <c r="BP180" s="30">
        <f t="array" aca="1" ref="BP180" ca="1">STDEV(IF(ISNUMBER(BP97:BP168),BP97:BP168,""))</f>
        <v>0.53723675099319124</v>
      </c>
      <c r="BQ180" s="30">
        <f t="array" aca="1" ref="BQ180" ca="1">STDEV(IF(ISNUMBER(BQ97:BQ168),BQ97:BQ168,""))</f>
        <v>0.77680712764791171</v>
      </c>
      <c r="BR180" s="30" t="e">
        <f t="array" ref="BR180">STDEV(IF(ISNUMBER(BR97:BR168),BR97:BR168,""))</f>
        <v>#DIV/0!</v>
      </c>
      <c r="BS180" s="30">
        <f t="array" ref="BS180">STDEV(IF(ISNUMBER(BS97:BS168),BS97:BS168,""))</f>
        <v>1.3465795792297801</v>
      </c>
      <c r="BT180" s="30">
        <f t="array" ref="BT180">STDEV(IF(ISNUMBER(BT97:BT168),BT97:BT168,""))</f>
        <v>1.4065992009682646</v>
      </c>
      <c r="BU180" s="30">
        <f t="array" ref="BU180">STDEV(IF(ISNUMBER(BU97:BU168),BU97:BU168,""))</f>
        <v>1.4775031884568135</v>
      </c>
      <c r="BV180" s="30">
        <f t="array" ref="BV180">STDEV(IF(ISNUMBER(BV97:BV168),BV97:BV168,""))</f>
        <v>1.6362043627923371</v>
      </c>
      <c r="BW180" s="30" t="e">
        <f t="array" ref="BW180">STDEV(IF(ISNUMBER(BW97:BW168),BW97:BW168,""))</f>
        <v>#DIV/0!</v>
      </c>
      <c r="BX180" s="30">
        <f t="array" aca="1" ref="BX180" ca="1">STDEV(IF(ISNUMBER(BX97:BX168),BX97:BX168,""))</f>
        <v>9.8110275793970053E-2</v>
      </c>
      <c r="BY180" s="30">
        <f t="array" aca="1" ref="BY180" ca="1">STDEV(IF(ISNUMBER(BY97:BY168),BY97:BY168,""))</f>
        <v>8.7356194712330443E-2</v>
      </c>
      <c r="BZ180" s="30">
        <f t="array" aca="1" ref="BZ180" ca="1">STDEV(IF(ISNUMBER(BZ97:BZ168),BZ97:BZ168,""))</f>
        <v>7.3034264622062764E-2</v>
      </c>
      <c r="CA180" s="30">
        <f t="array" aca="1" ref="CA180" ca="1">STDEV(IF(ISNUMBER(CA97:CA168),CA97:CA168,""))</f>
        <v>0.19150148218374216</v>
      </c>
      <c r="CB180" s="30" t="e">
        <f t="array" ref="CB180">STDEV(IF(ISNUMBER(CB97:CB168),CB97:CB168,""))</f>
        <v>#DIV/0!</v>
      </c>
      <c r="CC180" s="30">
        <f t="array" aca="1" ref="CC180" ca="1">STDEV(IF(ISNUMBER(CC97:CC168),CC97:CC168,""))</f>
        <v>0.10963597295436588</v>
      </c>
      <c r="CD180" s="30">
        <f t="array" aca="1" ref="CD180" ca="1">STDEV(IF(ISNUMBER(CD97:CD168),CD97:CD168,""))</f>
        <v>0.10499771386116696</v>
      </c>
      <c r="CE180" s="30">
        <f t="array" aca="1" ref="CE180" ca="1">STDEV(IF(ISNUMBER(CE97:CE168),CE97:CE168,""))</f>
        <v>8.429911780520509E-2</v>
      </c>
      <c r="CF180" s="30">
        <f t="array" aca="1" ref="CF180" ca="1">STDEV(IF(ISNUMBER(CF97:CF168),CF97:CF168,""))</f>
        <v>0.19667459024674358</v>
      </c>
      <c r="CG180" s="30" t="e">
        <f t="array" ref="CG180">STDEV(IF(ISNUMBER(CG97:CG168),CG97:CG168,""))</f>
        <v>#DIV/0!</v>
      </c>
      <c r="CH180" s="30">
        <f t="array" aca="1" ref="CH180" ca="1">STDEV(IF(ISNUMBER(CH97:CH168),CH97:CH168,""))</f>
        <v>0.25521349088833589</v>
      </c>
      <c r="CI180" s="30">
        <f t="array" aca="1" ref="CI180" ca="1">STDEV(IF(ISNUMBER(CI97:CI168),CI97:CI168,""))</f>
        <v>0.24070198744297872</v>
      </c>
      <c r="CJ180" s="30">
        <f t="array" aca="1" ref="CJ180" ca="1">STDEV(IF(ISNUMBER(CJ97:CJ168),CJ97:CJ168,""))</f>
        <v>0.22806051262877039</v>
      </c>
      <c r="CK180" s="30">
        <f t="array" aca="1" ref="CK180" ca="1">STDEV(IF(ISNUMBER(CK97:CK168),CK97:CK168,""))</f>
        <v>0.39400782502014098</v>
      </c>
      <c r="CL180" s="30" t="e">
        <f t="array" ref="CL180">STDEV(IF(ISNUMBER(CL97:CL168),CL97:CL168,""))</f>
        <v>#DIV/0!</v>
      </c>
      <c r="CM180" s="30">
        <f t="array" aca="1" ref="CM180" ca="1">STDEV(IF(ISNUMBER(CM97:CM168),CM97:CM168,""))</f>
        <v>0.36238957666929444</v>
      </c>
      <c r="CN180" s="30">
        <f t="array" aca="1" ref="CN180" ca="1">STDEV(IF(ISNUMBER(CN97:CN168),CN97:CN168,""))</f>
        <v>0.44037089158591552</v>
      </c>
      <c r="CO180" s="30">
        <f t="array" aca="1" ref="CO180" ca="1">STDEV(IF(ISNUMBER(CO97:CO168),CO97:CO168,""))</f>
        <v>0.39598120482499866</v>
      </c>
      <c r="CP180" s="30">
        <f t="array" aca="1" ref="CP180" ca="1">STDEV(IF(ISNUMBER(CP97:CP168),CP97:CP168,""))</f>
        <v>0.78723114450695053</v>
      </c>
      <c r="CQ180" s="30" t="e">
        <f t="array" ref="CQ180">STDEV(IF(ISNUMBER(CQ97:CQ168),CQ97:CQ168,""))</f>
        <v>#DIV/0!</v>
      </c>
      <c r="CR180" s="30">
        <f t="array" ref="CR180">STDEV(IF(ISNUMBER(CR97:CR168),CR97:CR168,""))</f>
        <v>1.2979615861438236</v>
      </c>
      <c r="CS180" s="30">
        <f t="array" ref="CS180">STDEV(IF(ISNUMBER(CS97:CS168),CS97:CS168,""))</f>
        <v>1.2757950328865046</v>
      </c>
      <c r="CT180" s="30">
        <f t="array" ref="CT180">STDEV(IF(ISNUMBER(CT97:CT168),CT97:CT168,""))</f>
        <v>1.0893359955858164</v>
      </c>
      <c r="CU180" s="30">
        <f t="array" ref="CU180">STDEV(IF(ISNUMBER(CU97:CU168),CU97:CU168,""))</f>
        <v>1.3445155277245822</v>
      </c>
    </row>
    <row r="181" spans="1:99" x14ac:dyDescent="0.35">
      <c r="F181" s="30"/>
      <c r="G181" s="30"/>
      <c r="H181" s="30"/>
      <c r="I181" s="30"/>
    </row>
    <row r="182" spans="1:99" x14ac:dyDescent="0.35">
      <c r="A182" s="36" t="s">
        <v>367</v>
      </c>
      <c r="F182" s="34">
        <f>ABS(1-F176/F179)*100</f>
        <v>3.2912669956769003</v>
      </c>
      <c r="G182" s="34">
        <f>ABS(1-G176/G179)*100</f>
        <v>0.16831223908291282</v>
      </c>
      <c r="H182" s="34">
        <f t="shared" ref="H182:BS182" si="205">ABS(1-H176/H179)*100</f>
        <v>1.3879314182721592</v>
      </c>
      <c r="I182" s="34">
        <f t="shared" si="205"/>
        <v>2.0867773384361854</v>
      </c>
      <c r="J182" s="34" t="e">
        <f t="shared" si="205"/>
        <v>#DIV/0!</v>
      </c>
      <c r="K182" s="34">
        <f t="shared" ca="1" si="205"/>
        <v>1.2113713957655703</v>
      </c>
      <c r="L182" s="34">
        <f t="shared" ca="1" si="205"/>
        <v>2.8115289189868609</v>
      </c>
      <c r="M182" s="34">
        <f t="shared" ca="1" si="205"/>
        <v>1.35067995274889</v>
      </c>
      <c r="N182" s="34">
        <f t="shared" ca="1" si="205"/>
        <v>0.15880560868783977</v>
      </c>
      <c r="O182" s="34" t="e">
        <f t="shared" si="205"/>
        <v>#DIV/0!</v>
      </c>
      <c r="P182" s="34">
        <f t="shared" ca="1" si="205"/>
        <v>0.56947650765180047</v>
      </c>
      <c r="Q182" s="34">
        <f t="shared" ca="1" si="205"/>
        <v>1.1826117642324441</v>
      </c>
      <c r="R182" s="34">
        <f t="shared" ca="1" si="205"/>
        <v>3.3601088500257226</v>
      </c>
      <c r="S182" s="34">
        <f t="shared" ca="1" si="205"/>
        <v>5.7176553127546548</v>
      </c>
      <c r="T182" s="34" t="e">
        <f t="shared" si="205"/>
        <v>#DIV/0!</v>
      </c>
      <c r="U182" s="34">
        <f t="shared" ca="1" si="205"/>
        <v>6.2623585117173031</v>
      </c>
      <c r="V182" s="34">
        <f t="shared" ca="1" si="205"/>
        <v>8.4884762229819</v>
      </c>
      <c r="W182" s="34">
        <f t="shared" ca="1" si="205"/>
        <v>17.171593165379505</v>
      </c>
      <c r="X182" s="34">
        <f t="shared" ca="1" si="205"/>
        <v>4.5954643073174317</v>
      </c>
      <c r="Y182" s="34" t="e">
        <f t="shared" si="205"/>
        <v>#DIV/0!</v>
      </c>
      <c r="Z182" s="34">
        <f t="shared" ca="1" si="205"/>
        <v>12.664252342075976</v>
      </c>
      <c r="AA182" s="34">
        <f t="shared" ca="1" si="205"/>
        <v>7.1083064323656409</v>
      </c>
      <c r="AB182" s="34">
        <f t="shared" ca="1" si="205"/>
        <v>5.5664287203491147</v>
      </c>
      <c r="AC182" s="34">
        <f t="shared" ca="1" si="205"/>
        <v>0.55967879032893242</v>
      </c>
      <c r="AD182" s="34" t="e">
        <f t="shared" si="205"/>
        <v>#DIV/0!</v>
      </c>
      <c r="AE182" s="34">
        <f t="shared" ca="1" si="205"/>
        <v>7.5613134933357529</v>
      </c>
      <c r="AF182" s="34">
        <f t="shared" ca="1" si="205"/>
        <v>1.6612424606177179</v>
      </c>
      <c r="AG182" s="34">
        <f t="shared" ca="1" si="205"/>
        <v>1.9131063646108282</v>
      </c>
      <c r="AH182" s="34">
        <f t="shared" ca="1" si="205"/>
        <v>7.029139834503817</v>
      </c>
      <c r="AI182" s="34" t="e">
        <f t="shared" si="205"/>
        <v>#DIV/0!</v>
      </c>
      <c r="AJ182" s="34">
        <f t="shared" ca="1" si="205"/>
        <v>10.708142583964108</v>
      </c>
      <c r="AK182" s="34">
        <f t="shared" ca="1" si="205"/>
        <v>12.160455100443768</v>
      </c>
      <c r="AL182" s="34">
        <f t="shared" ca="1" si="205"/>
        <v>19.450607538503739</v>
      </c>
      <c r="AM182" s="34">
        <f t="shared" ca="1" si="205"/>
        <v>5.890387561357735</v>
      </c>
      <c r="AN182" s="34" t="e">
        <f t="shared" si="205"/>
        <v>#DIV/0!</v>
      </c>
      <c r="AO182" s="34">
        <f t="shared" ca="1" si="205"/>
        <v>2.9996643619866425</v>
      </c>
      <c r="AP182" s="34">
        <f t="shared" ca="1" si="205"/>
        <v>2.8259889117230985</v>
      </c>
      <c r="AQ182" s="34">
        <f t="shared" ca="1" si="205"/>
        <v>9.6794199662811877</v>
      </c>
      <c r="AR182" s="34">
        <f t="shared" ca="1" si="205"/>
        <v>7.0834473691604005</v>
      </c>
      <c r="AS182" s="34" t="e">
        <f t="shared" si="205"/>
        <v>#DIV/0!</v>
      </c>
      <c r="AT182" s="34">
        <f t="shared" si="205"/>
        <v>57.356504061102129</v>
      </c>
      <c r="AU182" s="34">
        <f t="shared" si="205"/>
        <v>56.445677172415564</v>
      </c>
      <c r="AV182" s="34">
        <f t="shared" si="205"/>
        <v>12.097701136703765</v>
      </c>
      <c r="AW182" s="34">
        <f t="shared" si="205"/>
        <v>39.771606068506983</v>
      </c>
      <c r="AX182" s="34" t="e">
        <f t="shared" si="205"/>
        <v>#DIV/0!</v>
      </c>
      <c r="AY182" s="34">
        <f t="shared" ca="1" si="205"/>
        <v>3.7072250971313281</v>
      </c>
      <c r="AZ182" s="34">
        <f t="shared" ca="1" si="205"/>
        <v>7.2585998193538392</v>
      </c>
      <c r="BA182" s="34">
        <f t="shared" ca="1" si="205"/>
        <v>4.7854674864003517</v>
      </c>
      <c r="BB182" s="34">
        <f t="shared" ca="1" si="205"/>
        <v>8.1657839689478493</v>
      </c>
      <c r="BC182" s="34" t="e">
        <f t="shared" si="205"/>
        <v>#DIV/0!</v>
      </c>
      <c r="BD182" s="34">
        <f t="shared" ca="1" si="205"/>
        <v>6.0823240254225475</v>
      </c>
      <c r="BE182" s="34">
        <f t="shared" ca="1" si="205"/>
        <v>8.6116653304442181</v>
      </c>
      <c r="BF182" s="34">
        <f t="shared" ca="1" si="205"/>
        <v>5.9737189351126929</v>
      </c>
      <c r="BG182" s="34">
        <f t="shared" ca="1" si="205"/>
        <v>5.0015689401620156</v>
      </c>
      <c r="BH182" s="34" t="e">
        <f t="shared" si="205"/>
        <v>#DIV/0!</v>
      </c>
      <c r="BI182" s="34">
        <f t="shared" ca="1" si="205"/>
        <v>9.974418153064402</v>
      </c>
      <c r="BJ182" s="34">
        <f t="shared" ca="1" si="205"/>
        <v>28.122302105192489</v>
      </c>
      <c r="BK182" s="34">
        <f t="shared" ca="1" si="205"/>
        <v>13.036371849219242</v>
      </c>
      <c r="BL182" s="34">
        <f t="shared" ca="1" si="205"/>
        <v>24.611025895792473</v>
      </c>
      <c r="BM182" s="34" t="e">
        <f t="shared" si="205"/>
        <v>#DIV/0!</v>
      </c>
      <c r="BN182" s="34">
        <f t="shared" ca="1" si="205"/>
        <v>23.118803988187619</v>
      </c>
      <c r="BO182" s="34">
        <f t="shared" ca="1" si="205"/>
        <v>28.189983499702741</v>
      </c>
      <c r="BP182" s="34">
        <f t="shared" ca="1" si="205"/>
        <v>26.752952260770545</v>
      </c>
      <c r="BQ182" s="34">
        <f t="shared" ca="1" si="205"/>
        <v>36.33282358239456</v>
      </c>
      <c r="BR182" s="34" t="e">
        <f t="shared" si="205"/>
        <v>#DIV/0!</v>
      </c>
      <c r="BS182" s="34">
        <f t="shared" si="205"/>
        <v>27.337016294383744</v>
      </c>
      <c r="BT182" s="34">
        <f t="shared" ref="BT182:CU182" si="206">ABS(1-BT176/BT179)*100</f>
        <v>15.074020422213074</v>
      </c>
      <c r="BU182" s="34">
        <f t="shared" si="206"/>
        <v>6.2835942349395379</v>
      </c>
      <c r="BV182" s="34">
        <f t="shared" si="206"/>
        <v>4.5821412045264136</v>
      </c>
      <c r="BW182" s="34" t="e">
        <f t="shared" si="206"/>
        <v>#DIV/0!</v>
      </c>
      <c r="BX182" s="34">
        <f t="shared" ca="1" si="206"/>
        <v>38.599819253100279</v>
      </c>
      <c r="BY182" s="34">
        <f t="shared" ca="1" si="206"/>
        <v>57.275830424097961</v>
      </c>
      <c r="BZ182" s="34">
        <f t="shared" ca="1" si="206"/>
        <v>34.43295977478833</v>
      </c>
      <c r="CA182" s="34">
        <f t="shared" ca="1" si="206"/>
        <v>34.904415968089722</v>
      </c>
      <c r="CB182" s="34" t="e">
        <f t="shared" si="206"/>
        <v>#DIV/0!</v>
      </c>
      <c r="CC182" s="34">
        <f t="shared" ca="1" si="206"/>
        <v>36.825866178324397</v>
      </c>
      <c r="CD182" s="34">
        <f t="shared" ca="1" si="206"/>
        <v>39.761192384688869</v>
      </c>
      <c r="CE182" s="34">
        <f t="shared" ca="1" si="206"/>
        <v>37.471759927066728</v>
      </c>
      <c r="CF182" s="34">
        <f t="shared" ca="1" si="206"/>
        <v>43.294772537702585</v>
      </c>
      <c r="CG182" s="34" t="e">
        <f t="shared" si="206"/>
        <v>#DIV/0!</v>
      </c>
      <c r="CH182" s="34">
        <f t="shared" ca="1" si="206"/>
        <v>35.836492577953535</v>
      </c>
      <c r="CI182" s="34">
        <f t="shared" ca="1" si="206"/>
        <v>41.537491829333504</v>
      </c>
      <c r="CJ182" s="34">
        <f t="shared" ca="1" si="206"/>
        <v>38.614224313037404</v>
      </c>
      <c r="CK182" s="34">
        <f t="shared" ca="1" si="206"/>
        <v>21.350583634950084</v>
      </c>
      <c r="CL182" s="34" t="e">
        <f t="shared" si="206"/>
        <v>#DIV/0!</v>
      </c>
      <c r="CM182" s="34">
        <f t="shared" ca="1" si="206"/>
        <v>46.148830797537201</v>
      </c>
      <c r="CN182" s="34">
        <f t="shared" ca="1" si="206"/>
        <v>32.87672819089169</v>
      </c>
      <c r="CO182" s="34">
        <f t="shared" ca="1" si="206"/>
        <v>25.000912533181907</v>
      </c>
      <c r="CP182" s="34">
        <f t="shared" ca="1" si="206"/>
        <v>3.0823492936827401</v>
      </c>
      <c r="CQ182" s="34" t="e">
        <f t="shared" si="206"/>
        <v>#DIV/0!</v>
      </c>
      <c r="CR182" s="34">
        <f t="shared" si="206"/>
        <v>8.5804404216297421</v>
      </c>
      <c r="CS182" s="34">
        <f t="shared" si="206"/>
        <v>14.016785490307759</v>
      </c>
      <c r="CT182" s="34">
        <f t="shared" si="206"/>
        <v>8.776470807145742</v>
      </c>
      <c r="CU182" s="34">
        <f t="shared" si="206"/>
        <v>5.9227395152204654</v>
      </c>
    </row>
    <row r="183" spans="1:99" x14ac:dyDescent="0.35">
      <c r="A183" s="33" t="s">
        <v>363</v>
      </c>
      <c r="B183" s="6">
        <v>0.05</v>
      </c>
    </row>
    <row r="184" spans="1:99" x14ac:dyDescent="0.35">
      <c r="A184" s="34" t="s">
        <v>364</v>
      </c>
      <c r="F184" s="7">
        <f t="array" ref="F184">_xlfn.T.TEST(IF(ISNUMBER(F4:F96),F4:F96,""), IF(ISNUMBER(F97:F168),F97:F168,""),1,3)</f>
        <v>1.0261379338861447E-2</v>
      </c>
      <c r="G184" s="7">
        <f t="array" ref="G184">_xlfn.T.TEST(IF(ISNUMBER(G4:G96),G4:G96,""), IF(ISNUMBER(G97:G168),G97:G168,""),1,3)</f>
        <v>0.43048982812477193</v>
      </c>
      <c r="H184" s="7">
        <f t="array" ref="H184">_xlfn.T.TEST(IF(ISNUMBER(H4:H96),H4:H96,""), IF(ISNUMBER(H97:H168),H97:H168,""),1,3)</f>
        <v>0.1635951844178235</v>
      </c>
      <c r="I184" s="7">
        <f t="array" ref="I184">_xlfn.T.TEST(IF(ISNUMBER(I4:I96),I4:I96,""), IF(ISNUMBER(I97:I168),I97:I168,""),1,3)</f>
        <v>6.7036404557369311E-2</v>
      </c>
      <c r="J184" s="7" t="e">
        <f t="array" ref="J184">_xlfn.T.TEST(IF(ISNUMBER(J4:J96),J4:J96,""), IF(ISNUMBER(J97:J168),J97:J168,""),1,3)</f>
        <v>#DIV/0!</v>
      </c>
      <c r="K184" s="7">
        <f t="array" aca="1" ref="K184" ca="1">_xlfn.T.TEST(IF(ISNUMBER(K4:K96),K4:K96,""), IF(ISNUMBER(K97:K168),K97:K168,""),1,3)</f>
        <v>0.16456628593566713</v>
      </c>
      <c r="L184" s="7">
        <f t="array" aca="1" ref="L184" ca="1">_xlfn.T.TEST(IF(ISNUMBER(L4:L96),L4:L96,""), IF(ISNUMBER(L97:L168),L97:L168,""),1,3)</f>
        <v>1.8098795350856907E-2</v>
      </c>
      <c r="M184" s="7">
        <f t="array" aca="1" ref="M184" ca="1">_xlfn.T.TEST(IF(ISNUMBER(M4:M96),M4:M96,""), IF(ISNUMBER(M97:M168),M97:M168,""),1,3)</f>
        <v>0.16196059975713134</v>
      </c>
      <c r="N184" s="7">
        <f t="array" aca="1" ref="N184" ca="1">_xlfn.T.TEST(IF(ISNUMBER(N4:N96),N4:N96,""), IF(ISNUMBER(N97:N168),N97:N168,""),1,3)</f>
        <v>0.45932291712317336</v>
      </c>
      <c r="O184" s="7" t="e">
        <f t="array" ref="O184">_xlfn.T.TEST(IF(ISNUMBER(O4:O96),O4:O96,""), IF(ISNUMBER(O97:O168),O97:O168,""),1,3)</f>
        <v>#DIV/0!</v>
      </c>
      <c r="P184" s="7">
        <f t="array" aca="1" ref="P184" ca="1">_xlfn.T.TEST(IF(ISNUMBER(P4:P96),P4:P96,""), IF(ISNUMBER(P97:P168),P97:P168,""),1,3)</f>
        <v>0.45547819373471998</v>
      </c>
      <c r="Q184" s="7">
        <f t="array" aca="1" ref="Q184" ca="1">_xlfn.T.TEST(IF(ISNUMBER(Q4:Q96),Q4:Q96,""), IF(ISNUMBER(Q97:Q168),Q97:Q168,""),1,3)</f>
        <v>0.39818880289822961</v>
      </c>
      <c r="R184" s="7">
        <f t="array" aca="1" ref="R184" ca="1">_xlfn.T.TEST(IF(ISNUMBER(R4:R96),R4:R96,""), IF(ISNUMBER(R97:R168),R97:R168,""),1,3)</f>
        <v>0.1861524206654559</v>
      </c>
      <c r="S184" s="7">
        <f t="array" aca="1" ref="S184" ca="1">_xlfn.T.TEST(IF(ISNUMBER(S4:S96),S4:S96,""), IF(ISNUMBER(S97:S168),S97:S168,""),1,3)</f>
        <v>0.10333719425342955</v>
      </c>
      <c r="T184" s="7" t="e">
        <f t="array" ref="T184">_xlfn.T.TEST(IF(ISNUMBER(T4:T96),T4:T96,""), IF(ISNUMBER(T97:T168),T97:T168,""),1,3)</f>
        <v>#DIV/0!</v>
      </c>
      <c r="U184" s="7">
        <f t="array" aca="1" ref="U184" ca="1">_xlfn.T.TEST(IF(ISNUMBER(U4:U96),U4:U96,""), IF(ISNUMBER(U97:U168),U97:U168,""),1,3)</f>
        <v>0.17314942608837453</v>
      </c>
      <c r="V184" s="7">
        <f t="array" aca="1" ref="V184" ca="1">_xlfn.T.TEST(IF(ISNUMBER(V4:V96),V4:V96,""), IF(ISNUMBER(V97:V168),V97:V168,""),1,3)</f>
        <v>0.12755804009179258</v>
      </c>
      <c r="W184" s="7">
        <f t="array" aca="1" ref="W184" ca="1">_xlfn.T.TEST(IF(ISNUMBER(W4:W96),W4:W96,""), IF(ISNUMBER(W97:W168),W97:W168,""),1,3)</f>
        <v>6.4413842322087076E-3</v>
      </c>
      <c r="X184" s="7">
        <f t="array" aca="1" ref="X184" ca="1">_xlfn.T.TEST(IF(ISNUMBER(X4:X96),X4:X96,""), IF(ISNUMBER(X97:X168),X97:X168,""),1,3)</f>
        <v>0.25417911904523405</v>
      </c>
      <c r="Y184" s="7" t="e">
        <f t="array" ref="Y184">_xlfn.T.TEST(IF(ISNUMBER(Y4:Y96),Y4:Y96,""), IF(ISNUMBER(Y97:Y168),Y97:Y168,""),1,3)</f>
        <v>#DIV/0!</v>
      </c>
      <c r="Z184" s="7">
        <f t="array" aca="1" ref="Z184" ca="1">_xlfn.T.TEST(IF(ISNUMBER(Z4:Z96),Z4:Z96,""), IF(ISNUMBER(Z97:Z168),Z97:Z168,""),1,3)</f>
        <v>6.2537281820343252E-3</v>
      </c>
      <c r="AA184" s="7">
        <f t="array" aca="1" ref="AA184" ca="1">_xlfn.T.TEST(IF(ISNUMBER(AA4:AA96),AA4:AA96,""), IF(ISNUMBER(AA97:AA168),AA97:AA168,""),1,3)</f>
        <v>3.4800136959816999E-2</v>
      </c>
      <c r="AB184" s="7">
        <f t="array" aca="1" ref="AB184" ca="1">_xlfn.T.TEST(IF(ISNUMBER(AB4:AB96),AB4:AB96,""), IF(ISNUMBER(AB97:AB168),AB97:AB168,""),1,3)</f>
        <v>7.1919466563165377E-2</v>
      </c>
      <c r="AC184" s="7">
        <f t="array" aca="1" ref="AC184" ca="1">_xlfn.T.TEST(IF(ISNUMBER(AC4:AC96),AC4:AC96,""), IF(ISNUMBER(AC97:AC168),AC97:AC168,""),1,3)</f>
        <v>0.4471217789122528</v>
      </c>
      <c r="AD184" s="7" t="e">
        <f t="array" ref="AD184">_xlfn.T.TEST(IF(ISNUMBER(AD4:AD96),AD4:AD96,""), IF(ISNUMBER(AD97:AD168),AD97:AD168,""),1,3)</f>
        <v>#DIV/0!</v>
      </c>
      <c r="AE184" s="7">
        <f t="array" aca="1" ref="AE184" ca="1">_xlfn.T.TEST(IF(ISNUMBER(AE4:AE96),AE4:AE96,""), IF(ISNUMBER(AE97:AE168),AE97:AE168,""),1,3)</f>
        <v>0.13855790587621403</v>
      </c>
      <c r="AF184" s="7">
        <f t="array" aca="1" ref="AF184" ca="1">_xlfn.T.TEST(IF(ISNUMBER(AF4:AF96),AF4:AF96,""), IF(ISNUMBER(AF97:AF168),AF97:AF168,""),1,3)</f>
        <v>0.38741555084662976</v>
      </c>
      <c r="AG184" s="7">
        <f t="array" aca="1" ref="AG184" ca="1">_xlfn.T.TEST(IF(ISNUMBER(AG4:AG96),AG4:AG96,""), IF(ISNUMBER(AG97:AG168),AG97:AG168,""),1,3)</f>
        <v>0.35092714703404271</v>
      </c>
      <c r="AH184" s="7">
        <f t="array" aca="1" ref="AH184" ca="1">_xlfn.T.TEST(IF(ISNUMBER(AH4:AH96),AH4:AH96,""), IF(ISNUMBER(AH97:AH168),AH97:AH168,""),1,3)</f>
        <v>0.11029204287101792</v>
      </c>
      <c r="AI184" s="7" t="e">
        <f t="array" ref="AI184">_xlfn.T.TEST(IF(ISNUMBER(AI4:AI96),AI4:AI96,""), IF(ISNUMBER(AI97:AI168),AI97:AI168,""),1,3)</f>
        <v>#DIV/0!</v>
      </c>
      <c r="AJ184" s="7">
        <f t="array" aca="1" ref="AJ184" ca="1">_xlfn.T.TEST(IF(ISNUMBER(AJ4:AJ96),AJ4:AJ96,""), IF(ISNUMBER(AJ97:AJ168),AJ97:AJ168,""),1,3)</f>
        <v>8.7979134763080113E-2</v>
      </c>
      <c r="AK184" s="7">
        <f t="array" aca="1" ref="AK184" ca="1">_xlfn.T.TEST(IF(ISNUMBER(AK4:AK96),AK4:AK96,""), IF(ISNUMBER(AK97:AK168),AK97:AK168,""),1,3)</f>
        <v>7.1828345169264007E-2</v>
      </c>
      <c r="AL184" s="7">
        <f t="array" aca="1" ref="AL184" ca="1">_xlfn.T.TEST(IF(ISNUMBER(AL4:AL96),AL4:AL96,""), IF(ISNUMBER(AL97:AL168),AL97:AL168,""),1,3)</f>
        <v>4.6416001528047845E-3</v>
      </c>
      <c r="AM184" s="7">
        <f t="array" aca="1" ref="AM184" ca="1">_xlfn.T.TEST(IF(ISNUMBER(AM4:AM96),AM4:AM96,""), IF(ISNUMBER(AM97:AM168),AM97:AM168,""),1,3)</f>
        <v>0.23358971035954468</v>
      </c>
      <c r="AN184" s="7" t="e">
        <f t="array" ref="AN184">_xlfn.T.TEST(IF(ISNUMBER(AN4:AN96),AN4:AN96,""), IF(ISNUMBER(AN97:AN168),AN97:AN168,""),1,3)</f>
        <v>#DIV/0!</v>
      </c>
      <c r="AO184" s="7">
        <f t="array" aca="1" ref="AO184" ca="1">_xlfn.T.TEST(IF(ISNUMBER(AO4:AO96),AO4:AO96,""), IF(ISNUMBER(AO97:AO168),AO97:AO168,""),1,3)</f>
        <v>0.45295798898717771</v>
      </c>
      <c r="AP184" s="7">
        <f t="array" aca="1" ref="AP184" ca="1">_xlfn.T.TEST(IF(ISNUMBER(AP4:AP96),AP4:AP96,""), IF(ISNUMBER(AP97:AP168),AP97:AP168,""),1,3)</f>
        <v>0.43803017192393323</v>
      </c>
      <c r="AQ184" s="7">
        <f t="array" aca="1" ref="AQ184" ca="1">_xlfn.T.TEST(IF(ISNUMBER(AQ4:AQ96),AQ4:AQ96,""), IF(ISNUMBER(AQ97:AQ168),AQ97:AQ168,""),1,3)</f>
        <v>0.29758624550099677</v>
      </c>
      <c r="AR184" s="7">
        <f t="array" aca="1" ref="AR184" ca="1">_xlfn.T.TEST(IF(ISNUMBER(AR4:AR96),AR4:AR96,""), IF(ISNUMBER(AR97:AR168),AR97:AR168,""),1,3)</f>
        <v>0.39081316210652073</v>
      </c>
      <c r="AS184" s="7" t="e">
        <f t="array" ref="AS184">_xlfn.T.TEST(IF(ISNUMBER(AS4:AS96),AS4:AS96,""), IF(ISNUMBER(AS97:AS168),AS97:AS168,""),1,3)</f>
        <v>#DIV/0!</v>
      </c>
      <c r="AT184" s="7">
        <f t="array" ref="AT184">_xlfn.T.TEST(IF(ISNUMBER(AT4:AT96),AT4:AT96,""), IF(ISNUMBER(AT97:AT168),AT97:AT168,""),1,3)</f>
        <v>1.2877231926700431E-2</v>
      </c>
      <c r="AU184" s="7">
        <f t="array" ref="AU184">_xlfn.T.TEST(IF(ISNUMBER(AU4:AU96),AU4:AU96,""), IF(ISNUMBER(AU97:AU168),AU97:AU168,""),1,3)</f>
        <v>4.1447439125557345E-2</v>
      </c>
      <c r="AV184" s="7">
        <f t="array" ref="AV184">_xlfn.T.TEST(IF(ISNUMBER(AV4:AV96),AV4:AV96,""), IF(ISNUMBER(AV97:AV168),AV97:AV168,""),1,3)</f>
        <v>0.34623708372693163</v>
      </c>
      <c r="AW184" s="7">
        <f t="array" ref="AW184">_xlfn.T.TEST(IF(ISNUMBER(AW4:AW96),AW4:AW96,""), IF(ISNUMBER(AW97:AW168),AW97:AW168,""),1,3)</f>
        <v>0.13032118790354436</v>
      </c>
      <c r="AX184" s="7" t="e">
        <f t="array" ref="AX184">_xlfn.T.TEST(IF(ISNUMBER(AX4:AX96),AX4:AX96,""), IF(ISNUMBER(AX97:AX168),AX97:AX168,""),1,3)</f>
        <v>#DIV/0!</v>
      </c>
      <c r="AY184" s="7">
        <f t="array" aca="1" ref="AY184" ca="1">_xlfn.T.TEST(IF(ISNUMBER(AY4:AY96),AY4:AY96,""), IF(ISNUMBER(AY97:AY168),AY97:AY168,""),1,3)</f>
        <v>0.40474548208618122</v>
      </c>
      <c r="AZ184" s="7">
        <f t="array" aca="1" ref="AZ184" ca="1">_xlfn.T.TEST(IF(ISNUMBER(AZ4:AZ96),AZ4:AZ96,""), IF(ISNUMBER(AZ97:AZ168),AZ97:AZ168,""),1,3)</f>
        <v>0.32067207711374546</v>
      </c>
      <c r="BA184" s="7">
        <f t="array" aca="1" ref="BA184" ca="1">_xlfn.T.TEST(IF(ISNUMBER(BA4:BA96),BA4:BA96,""), IF(ISNUMBER(BA97:BA168),BA97:BA168,""),1,3)</f>
        <v>0.37531023895655141</v>
      </c>
      <c r="BB184" s="7">
        <f t="array" aca="1" ref="BB184" ca="1">_xlfn.T.TEST(IF(ISNUMBER(BB4:BB96),BB4:BB96,""), IF(ISNUMBER(BB97:BB168),BB97:BB168,""),1,3)</f>
        <v>0.32146939691164744</v>
      </c>
      <c r="BC184" s="7" t="e">
        <f t="array" ref="BC184">_xlfn.T.TEST(IF(ISNUMBER(BC4:BC96),BC4:BC96,""), IF(ISNUMBER(BC97:BC168),BC97:BC168,""),1,3)</f>
        <v>#DIV/0!</v>
      </c>
      <c r="BD184" s="7">
        <f t="array" aca="1" ref="BD184" ca="1">_xlfn.T.TEST(IF(ISNUMBER(BD4:BD96),BD4:BD96,""), IF(ISNUMBER(BD97:BD168),BD97:BD168,""),1,3)</f>
        <v>0.35345473074828215</v>
      </c>
      <c r="BE184" s="7">
        <f t="array" aca="1" ref="BE184" ca="1">_xlfn.T.TEST(IF(ISNUMBER(BE4:BE96),BE4:BE96,""), IF(ISNUMBER(BE97:BE168),BE97:BE168,""),1,3)</f>
        <v>0.29920657113269966</v>
      </c>
      <c r="BF184" s="7">
        <f t="array" aca="1" ref="BF184" ca="1">_xlfn.T.TEST(IF(ISNUMBER(BF4:BF96),BF4:BF96,""), IF(ISNUMBER(BF97:BF168),BF97:BF168,""),1,3)</f>
        <v>0.35442315114681877</v>
      </c>
      <c r="BG184" s="7">
        <f t="array" aca="1" ref="BG184" ca="1">_xlfn.T.TEST(IF(ISNUMBER(BG4:BG96),BG4:BG96,""), IF(ISNUMBER(BG97:BG168),BG97:BG168,""),1,3)</f>
        <v>0.38908437293819359</v>
      </c>
      <c r="BH184" s="7" t="e">
        <f t="array" ref="BH184">_xlfn.T.TEST(IF(ISNUMBER(BH4:BH96),BH4:BH96,""), IF(ISNUMBER(BH97:BH168),BH97:BH168,""),1,3)</f>
        <v>#DIV/0!</v>
      </c>
      <c r="BI184" s="7">
        <f t="array" aca="1" ref="BI184" ca="1">_xlfn.T.TEST(IF(ISNUMBER(BI4:BI96),BI4:BI96,""), IF(ISNUMBER(BI97:BI168),BI97:BI168,""),1,3)</f>
        <v>0.2309872781307924</v>
      </c>
      <c r="BJ184" s="7">
        <f t="array" aca="1" ref="BJ184" ca="1">_xlfn.T.TEST(IF(ISNUMBER(BJ4:BJ96),BJ4:BJ96,""), IF(ISNUMBER(BJ97:BJ168),BJ97:BJ168,""),1,3)</f>
        <v>4.0169950469543407E-2</v>
      </c>
      <c r="BK184" s="7">
        <f t="array" aca="1" ref="BK184" ca="1">_xlfn.T.TEST(IF(ISNUMBER(BK4:BK96),BK4:BK96,""), IF(ISNUMBER(BK97:BK168),BK97:BK168,""),1,3)</f>
        <v>0.21310687433277814</v>
      </c>
      <c r="BL184" s="7">
        <f t="array" aca="1" ref="BL184" ca="1">_xlfn.T.TEST(IF(ISNUMBER(BL4:BL96),BL4:BL96,""), IF(ISNUMBER(BL97:BL168),BL97:BL168,""),1,3)</f>
        <v>7.3117523309864152E-2</v>
      </c>
      <c r="BM184" s="7" t="e">
        <f t="array" ref="BM184">_xlfn.T.TEST(IF(ISNUMBER(BM4:BM96),BM4:BM96,""), IF(ISNUMBER(BM97:BM168),BM97:BM168,""),1,3)</f>
        <v>#DIV/0!</v>
      </c>
      <c r="BN184" s="7">
        <f t="array" aca="1" ref="BN184" ca="1">_xlfn.T.TEST(IF(ISNUMBER(BN4:BN96),BN4:BN96,""), IF(ISNUMBER(BN97:BN168),BN97:BN168,""),1,3)</f>
        <v>0.11553222158301829</v>
      </c>
      <c r="BO184" s="7">
        <f t="array" aca="1" ref="BO184" ca="1">_xlfn.T.TEST(IF(ISNUMBER(BO4:BO96),BO4:BO96,""), IF(ISNUMBER(BO97:BO168),BO97:BO168,""),1,3)</f>
        <v>6.5567011610430687E-2</v>
      </c>
      <c r="BP184" s="7">
        <f t="array" aca="1" ref="BP184" ca="1">_xlfn.T.TEST(IF(ISNUMBER(BP4:BP96),BP4:BP96,""), IF(ISNUMBER(BP97:BP168),BP97:BP168,""),1,3)</f>
        <v>5.7896483316755475E-2</v>
      </c>
      <c r="BQ184" s="7">
        <f t="array" aca="1" ref="BQ184" ca="1">_xlfn.T.TEST(IF(ISNUMBER(BQ4:BQ96),BQ4:BQ96,""), IF(ISNUMBER(BQ97:BQ168),BQ97:BQ168,""),1,3)</f>
        <v>4.2030903833456604E-2</v>
      </c>
      <c r="BR184" s="7" t="e">
        <f t="array" ref="BR184">_xlfn.T.TEST(IF(ISNUMBER(BR4:BR96),BR4:BR96,""), IF(ISNUMBER(BR97:BR168),BR97:BR168,""),1,3)</f>
        <v>#DIV/0!</v>
      </c>
      <c r="BS184" s="7">
        <f t="array" ref="BS184">_xlfn.T.TEST(IF(ISNUMBER(BS4:BS96),BS4:BS96,""), IF(ISNUMBER(BS97:BS168),BS97:BS168,""),1,3)</f>
        <v>8.1932751312611518E-2</v>
      </c>
      <c r="BT184" s="7">
        <f t="array" ref="BT184">_xlfn.T.TEST(IF(ISNUMBER(BT4:BT96),BT4:BT96,""), IF(ISNUMBER(BT97:BT168),BT97:BT168,""),1,3)</f>
        <v>0.19577169988539961</v>
      </c>
      <c r="BU184" s="7">
        <f t="array" ref="BU184">_xlfn.T.TEST(IF(ISNUMBER(BU4:BU96),BU4:BU96,""), IF(ISNUMBER(BU97:BU168),BU97:BU168,""),1,3)</f>
        <v>0.3641234566224032</v>
      </c>
      <c r="BV184" s="7">
        <f t="array" ref="BV184">_xlfn.T.TEST(IF(ISNUMBER(BV4:BV96),BV4:BV96,""), IF(ISNUMBER(BV97:BV168),BV97:BV168,""),1,3)</f>
        <v>0.39846293489131951</v>
      </c>
      <c r="BW184" s="7" t="e">
        <f t="array" ref="BW184">_xlfn.T.TEST(IF(ISNUMBER(BW4:BW96),BW4:BW96,""), IF(ISNUMBER(BW97:BW168),BW97:BW168,""),1,3)</f>
        <v>#DIV/0!</v>
      </c>
      <c r="BX184" s="7">
        <f t="array" aca="1" ref="BX184" ca="1">_xlfn.T.TEST(IF(ISNUMBER(BX4:BX96),BX4:BX96,""), IF(ISNUMBER(BX97:BX168),BX97:BX168,""),1,3)</f>
        <v>0.12076163284040242</v>
      </c>
      <c r="BY184" s="7">
        <f t="array" aca="1" ref="BY184" ca="1">_xlfn.T.TEST(IF(ISNUMBER(BY4:BY96),BY4:BY96,""), IF(ISNUMBER(BY97:BY168),BY97:BY168,""),1,3)</f>
        <v>7.3070372278245491E-2</v>
      </c>
      <c r="BZ184" s="7">
        <f t="array" aca="1" ref="BZ184" ca="1">_xlfn.T.TEST(IF(ISNUMBER(BZ4:BZ96),BZ4:BZ96,""), IF(ISNUMBER(BZ97:BZ168),BZ97:BZ168,""),1,3)</f>
        <v>0.16606373995753809</v>
      </c>
      <c r="CA184" s="7">
        <f t="array" aca="1" ref="CA184" ca="1">_xlfn.T.TEST(IF(ISNUMBER(CA4:CA96),CA4:CA96,""), IF(ISNUMBER(CA97:CA168),CA97:CA168,""),1,3)</f>
        <v>0.21197446401505954</v>
      </c>
      <c r="CB184" s="7" t="e">
        <f t="array" ref="CB184">_xlfn.T.TEST(IF(ISNUMBER(CB4:CB96),CB4:CB96,""), IF(ISNUMBER(CB97:CB168),CB97:CB168,""),1,3)</f>
        <v>#DIV/0!</v>
      </c>
      <c r="CC184" s="7">
        <f t="array" aca="1" ref="CC184" ca="1">_xlfn.T.TEST(IF(ISNUMBER(CC4:CC96),CC4:CC96,""), IF(ISNUMBER(CC97:CC168),CC97:CC168,""),1,3)</f>
        <v>0.15750806144627638</v>
      </c>
      <c r="CD184" s="7">
        <f t="array" aca="1" ref="CD184" ca="1">_xlfn.T.TEST(IF(ISNUMBER(CD4:CD96),CD4:CD96,""), IF(ISNUMBER(CD97:CD168),CD97:CD168,""),1,3)</f>
        <v>0.16568413089335732</v>
      </c>
      <c r="CE184" s="7">
        <f t="array" aca="1" ref="CE184" ca="1">_xlfn.T.TEST(IF(ISNUMBER(CE4:CE96),CE4:CE96,""), IF(ISNUMBER(CE97:CE168),CE97:CE168,""),1,3)</f>
        <v>0.17554308841207139</v>
      </c>
      <c r="CF184" s="7">
        <f t="array" aca="1" ref="CF184" ca="1">_xlfn.T.TEST(IF(ISNUMBER(CF4:CF96),CF4:CF96,""), IF(ISNUMBER(CF97:CF168),CF97:CF168,""),1,3)</f>
        <v>0.16807402890846435</v>
      </c>
      <c r="CG184" s="7" t="e">
        <f t="array" ref="CG184">_xlfn.T.TEST(IF(ISNUMBER(CG4:CG96),CG4:CG96,""), IF(ISNUMBER(CG97:CG168),CG97:CG168,""),1,3)</f>
        <v>#DIV/0!</v>
      </c>
      <c r="CH184" s="7">
        <f t="array" aca="1" ref="CH184" ca="1">_xlfn.T.TEST(IF(ISNUMBER(CH4:CH96),CH4:CH96,""), IF(ISNUMBER(CH97:CH168),CH97:CH168,""),1,3)</f>
        <v>0.13553146772487321</v>
      </c>
      <c r="CI184" s="7">
        <f t="array" aca="1" ref="CI184" ca="1">_xlfn.T.TEST(IF(ISNUMBER(CI4:CI96),CI4:CI96,""), IF(ISNUMBER(CI97:CI168),CI97:CI168,""),1,3)</f>
        <v>0.12168329544996383</v>
      </c>
      <c r="CJ184" s="7">
        <f t="array" aca="1" ref="CJ184" ca="1">_xlfn.T.TEST(IF(ISNUMBER(CJ4:CJ96),CJ4:CJ96,""), IF(ISNUMBER(CJ97:CJ168),CJ97:CJ168,""),1,3)</f>
        <v>0.14178083246725354</v>
      </c>
      <c r="CK184" s="7">
        <f t="array" aca="1" ref="CK184" ca="1">_xlfn.T.TEST(IF(ISNUMBER(CK4:CK96),CK4:CK96,""), IF(ISNUMBER(CK97:CK168),CK97:CK168,""),1,3)</f>
        <v>0.30441755915102719</v>
      </c>
      <c r="CL184" s="7" t="e">
        <f t="array" ref="CL184">_xlfn.T.TEST(IF(ISNUMBER(CL4:CL96),CL4:CL96,""), IF(ISNUMBER(CL97:CL168),CL97:CL168,""),1,3)</f>
        <v>#DIV/0!</v>
      </c>
      <c r="CM184" s="7">
        <f t="array" aca="1" ref="CM184" ca="1">_xlfn.T.TEST(IF(ISNUMBER(CM4:CM96),CM4:CM96,""), IF(ISNUMBER(CM97:CM168),CM97:CM168,""),1,3)</f>
        <v>3.2262100184515051E-2</v>
      </c>
      <c r="CN184" s="7">
        <f t="array" aca="1" ref="CN184" ca="1">_xlfn.T.TEST(IF(ISNUMBER(CN4:CN96),CN4:CN96,""), IF(ISNUMBER(CN97:CN168),CN97:CN168,""),1,3)</f>
        <v>0.11560063712088868</v>
      </c>
      <c r="CO184" s="7">
        <f t="array" aca="1" ref="CO184" ca="1">_xlfn.T.TEST(IF(ISNUMBER(CO4:CO96),CO4:CO96,""), IF(ISNUMBER(CO97:CO168),CO97:CO168,""),1,3)</f>
        <v>0.1692005757973003</v>
      </c>
      <c r="CP184" s="7">
        <f t="array" aca="1" ref="CP184" ca="1">_xlfn.T.TEST(IF(ISNUMBER(CP4:CP96),CP4:CP96,""), IF(ISNUMBER(CP97:CP168),CP97:CP168,""),1,3)</f>
        <v>0.46654439762645472</v>
      </c>
      <c r="CQ184" s="7" t="e">
        <f t="array" ref="CQ184">_xlfn.T.TEST(IF(ISNUMBER(CQ4:CQ96),CQ4:CQ96,""), IF(ISNUMBER(CQ97:CQ168),CQ97:CQ168,""),1,3)</f>
        <v>#DIV/0!</v>
      </c>
      <c r="CR184" s="7">
        <f t="array" ref="CR184">_xlfn.T.TEST(IF(ISNUMBER(CR4:CR96),CR4:CR96,""), IF(ISNUMBER(CR97:CR168),CR97:CR168,""),1,3)</f>
        <v>0.11397978991570461</v>
      </c>
      <c r="CS184" s="7">
        <f t="array" ref="CS184">_xlfn.T.TEST(IF(ISNUMBER(CS4:CS96),CS4:CS96,""), IF(ISNUMBER(CS97:CS168),CS97:CS168,""),1,3)</f>
        <v>3.7454389362592128E-2</v>
      </c>
      <c r="CT184" s="7">
        <f t="array" ref="CT184">_xlfn.T.TEST(IF(ISNUMBER(CT4:CT96),CT4:CT96,""), IF(ISNUMBER(CT97:CT168),CT97:CT168,""),1,3)</f>
        <v>8.6540046429318798E-2</v>
      </c>
      <c r="CU184" s="7">
        <f t="array" ref="CU184">_xlfn.T.TEST(IF(ISNUMBER(CU4:CU96),CU4:CU96,""), IF(ISNUMBER(CU97:CU168),CU97:CU168,""),1,3)</f>
        <v>0.21391387649788973</v>
      </c>
    </row>
    <row r="186" spans="1:99" s="89" customFormat="1" x14ac:dyDescent="0.35">
      <c r="A186" s="88" t="s">
        <v>365</v>
      </c>
      <c r="B186" s="88"/>
      <c r="C186" s="88"/>
      <c r="D186" s="88"/>
    </row>
    <row r="187" spans="1:99" x14ac:dyDescent="0.35">
      <c r="A187" s="29" t="s">
        <v>359</v>
      </c>
      <c r="F187" s="31">
        <f t="shared" ref="F187:AK187" si="207">AVERAGEIF(F4:F48,"&lt;&gt;#N/A")</f>
        <v>3.9840357142857141</v>
      </c>
      <c r="G187" s="31">
        <f t="shared" si="207"/>
        <v>3.9228333333333336</v>
      </c>
      <c r="H187" s="31">
        <f t="shared" si="207"/>
        <v>3.9340624999999996</v>
      </c>
      <c r="I187" s="31">
        <f t="shared" si="207"/>
        <v>3.9892500000000002</v>
      </c>
      <c r="J187" s="31" t="e">
        <f t="shared" si="207"/>
        <v>#DIV/0!</v>
      </c>
      <c r="K187" s="31">
        <f t="shared" ca="1" si="207"/>
        <v>0.95736935058647565</v>
      </c>
      <c r="L187" s="31">
        <f t="shared" ca="1" si="207"/>
        <v>0.96941100846869455</v>
      </c>
      <c r="M187" s="31">
        <f t="shared" ca="1" si="207"/>
        <v>0.95485719449417639</v>
      </c>
      <c r="N187" s="31">
        <f t="shared" ca="1" si="207"/>
        <v>0.9349215478797207</v>
      </c>
      <c r="O187" s="31" t="e">
        <f t="shared" si="207"/>
        <v>#DIV/0!</v>
      </c>
      <c r="P187" s="31">
        <f t="shared" ca="1" si="207"/>
        <v>0.71749367435709566</v>
      </c>
      <c r="Q187" s="31">
        <f t="shared" ca="1" si="207"/>
        <v>0.78970939876415902</v>
      </c>
      <c r="R187" s="31">
        <f t="shared" ca="1" si="207"/>
        <v>0.75906410019865389</v>
      </c>
      <c r="S187" s="31">
        <f t="shared" ca="1" si="207"/>
        <v>0.71449328261223455</v>
      </c>
      <c r="T187" s="31" t="e">
        <f t="shared" si="207"/>
        <v>#DIV/0!</v>
      </c>
      <c r="U187" s="31">
        <f t="shared" ca="1" si="207"/>
        <v>2.0338292310048982</v>
      </c>
      <c r="V187" s="31">
        <f t="shared" ca="1" si="207"/>
        <v>2.2991967068364554</v>
      </c>
      <c r="W187" s="31">
        <f t="shared" ca="1" si="207"/>
        <v>2.2460550455900461</v>
      </c>
      <c r="X187" s="31">
        <f t="shared" ca="1" si="207"/>
        <v>2.2302878975567366</v>
      </c>
      <c r="Y187" s="31" t="e">
        <f t="shared" si="207"/>
        <v>#DIV/0!</v>
      </c>
      <c r="Z187" s="31">
        <f t="shared" ca="1" si="207"/>
        <v>0.91390898714799085</v>
      </c>
      <c r="AA187" s="31">
        <f t="shared" ca="1" si="207"/>
        <v>0.92947420758197696</v>
      </c>
      <c r="AB187" s="31">
        <f t="shared" ca="1" si="207"/>
        <v>0.89292012024735501</v>
      </c>
      <c r="AC187" s="31">
        <f t="shared" ca="1" si="207"/>
        <v>0.8306530745481161</v>
      </c>
      <c r="AD187" s="31" t="e">
        <f t="shared" si="207"/>
        <v>#DIV/0!</v>
      </c>
      <c r="AE187" s="31">
        <f t="shared" ca="1" si="207"/>
        <v>0.70727626137411814</v>
      </c>
      <c r="AF187" s="31">
        <f t="shared" ca="1" si="207"/>
        <v>0.78251240477189699</v>
      </c>
      <c r="AG187" s="31">
        <f t="shared" ca="1" si="207"/>
        <v>0.75044748224036639</v>
      </c>
      <c r="AH187" s="31">
        <f t="shared" ca="1" si="207"/>
        <v>0.66160632537869557</v>
      </c>
      <c r="AI187" s="31" t="e">
        <f t="shared" si="207"/>
        <v>#DIV/0!</v>
      </c>
      <c r="AJ187" s="31">
        <f t="shared" ca="1" si="207"/>
        <v>1.9893862687346215</v>
      </c>
      <c r="AK187" s="31">
        <f t="shared" ca="1" si="207"/>
        <v>2.2717938785508087</v>
      </c>
      <c r="AL187" s="31">
        <f t="shared" ref="AL187:BQ187" ca="1" si="208">AVERAGEIF(AL4:AL48,"&lt;&gt;#N/A")</f>
        <v>2.1931733675951617</v>
      </c>
      <c r="AM187" s="31">
        <f t="shared" ca="1" si="208"/>
        <v>2.0805741159340063</v>
      </c>
      <c r="AN187" s="31" t="e">
        <f t="shared" si="208"/>
        <v>#DIV/0!</v>
      </c>
      <c r="AO187" s="31">
        <f t="shared" ca="1" si="208"/>
        <v>0.71402798522905653</v>
      </c>
      <c r="AP187" s="31">
        <f t="shared" ca="1" si="208"/>
        <v>0.53568931621570781</v>
      </c>
      <c r="AQ187" s="31">
        <f t="shared" ca="1" si="208"/>
        <v>0.61380968437990291</v>
      </c>
      <c r="AR187" s="31">
        <f t="shared" ca="1" si="208"/>
        <v>0.79343416748408591</v>
      </c>
      <c r="AS187" s="31" t="e">
        <f t="shared" si="208"/>
        <v>#DIV/0!</v>
      </c>
      <c r="AT187" s="31">
        <f t="shared" si="208"/>
        <v>0.27581817933330033</v>
      </c>
      <c r="AU187" s="31">
        <f t="shared" si="208"/>
        <v>0.10393548383557748</v>
      </c>
      <c r="AV187" s="31">
        <f t="shared" si="208"/>
        <v>0.33161111220639822</v>
      </c>
      <c r="AW187" s="31">
        <f t="shared" si="208"/>
        <v>0.31702778032114209</v>
      </c>
      <c r="AX187" s="31" t="e">
        <f t="shared" si="208"/>
        <v>#DIV/0!</v>
      </c>
      <c r="AY187" s="31">
        <f t="shared" ca="1" si="208"/>
        <v>0.22261396684733484</v>
      </c>
      <c r="AZ187" s="31">
        <f t="shared" ca="1" si="208"/>
        <v>0.30379978940161562</v>
      </c>
      <c r="BA187" s="31">
        <f t="shared" ca="1" si="208"/>
        <v>0.24725458229065711</v>
      </c>
      <c r="BB187" s="31">
        <f t="shared" ca="1" si="208"/>
        <v>0.24595644403928699</v>
      </c>
      <c r="BC187" s="31" t="e">
        <f t="shared" si="208"/>
        <v>#DIV/0!</v>
      </c>
      <c r="BD187" s="31">
        <f t="shared" ca="1" si="208"/>
        <v>0.20678477463003123</v>
      </c>
      <c r="BE187" s="31">
        <f t="shared" ca="1" si="208"/>
        <v>0.30810150324878255</v>
      </c>
      <c r="BF187" s="31">
        <f t="shared" ca="1" si="208"/>
        <v>0.22590479343630399</v>
      </c>
      <c r="BG187" s="31">
        <f t="shared" ca="1" si="208"/>
        <v>0.23523609926086284</v>
      </c>
      <c r="BH187" s="31" t="e">
        <f t="shared" si="208"/>
        <v>#DIV/0!</v>
      </c>
      <c r="BI187" s="31">
        <f t="shared" ca="1" si="208"/>
        <v>0.52502979438774333</v>
      </c>
      <c r="BJ187" s="31">
        <f t="shared" ca="1" si="208"/>
        <v>0.79680650788490537</v>
      </c>
      <c r="BK187" s="31">
        <f t="shared" ca="1" si="208"/>
        <v>0.63622624243220338</v>
      </c>
      <c r="BL187" s="31">
        <f t="shared" ca="1" si="208"/>
        <v>0.67769214379939935</v>
      </c>
      <c r="BM187" s="31" t="e">
        <f t="shared" si="208"/>
        <v>#DIV/0!</v>
      </c>
      <c r="BN187" s="31">
        <f t="shared" ca="1" si="208"/>
        <v>1.2986378378305656</v>
      </c>
      <c r="BO187" s="31">
        <f t="shared" ca="1" si="208"/>
        <v>1.3125969847337444</v>
      </c>
      <c r="BP187" s="31">
        <f t="shared" ca="1" si="208"/>
        <v>0.81858654077451121</v>
      </c>
      <c r="BQ187" s="31">
        <f t="shared" ca="1" si="208"/>
        <v>1.1986143914716738</v>
      </c>
      <c r="BR187" s="31" t="e">
        <f t="shared" ref="BR187:CU187" si="209">AVERAGEIF(BR4:BR48,"&lt;&gt;#N/A")</f>
        <v>#DIV/0!</v>
      </c>
      <c r="BS187" s="31">
        <f t="shared" si="209"/>
        <v>1.711969709967009</v>
      </c>
      <c r="BT187" s="31">
        <f t="shared" si="209"/>
        <v>1.0995806452950101</v>
      </c>
      <c r="BU187" s="31">
        <f t="shared" si="209"/>
        <v>2.1147777850429215</v>
      </c>
      <c r="BV187" s="31">
        <f t="shared" si="209"/>
        <v>1.942222224070691</v>
      </c>
      <c r="BW187" s="31" t="e">
        <f t="shared" si="209"/>
        <v>#DIV/0!</v>
      </c>
      <c r="BX187" s="31">
        <f t="shared" ca="1" si="209"/>
        <v>9.2559954283247259E-2</v>
      </c>
      <c r="BY187" s="31">
        <f t="shared" ca="1" si="209"/>
        <v>0.11655638572710843</v>
      </c>
      <c r="BZ187" s="31">
        <f t="shared" ca="1" si="209"/>
        <v>7.7216341805422389E-2</v>
      </c>
      <c r="CA187" s="31">
        <f t="shared" ca="1" si="209"/>
        <v>5.9001678531718511E-2</v>
      </c>
      <c r="CB187" s="31" t="e">
        <f t="shared" si="209"/>
        <v>#DIV/0!</v>
      </c>
      <c r="CC187" s="31">
        <f t="shared" ca="1" si="209"/>
        <v>9.2602681556172572E-2</v>
      </c>
      <c r="CD187" s="31">
        <f t="shared" ca="1" si="209"/>
        <v>0.1140668993564227</v>
      </c>
      <c r="CE187" s="31">
        <f t="shared" ca="1" si="209"/>
        <v>8.7798149784337393E-2</v>
      </c>
      <c r="CF187" s="31">
        <f t="shared" ca="1" si="209"/>
        <v>4.7983561870820687E-2</v>
      </c>
      <c r="CG187" s="31" t="e">
        <f t="shared" si="209"/>
        <v>#DIV/0!</v>
      </c>
      <c r="CH187" s="31">
        <f t="shared" ca="1" si="209"/>
        <v>0.19588144342931063</v>
      </c>
      <c r="CI187" s="31">
        <f t="shared" ca="1" si="209"/>
        <v>0.33017107780781002</v>
      </c>
      <c r="CJ187" s="31">
        <f t="shared" ca="1" si="209"/>
        <v>0.22751038120018968</v>
      </c>
      <c r="CK187" s="31">
        <f t="shared" ca="1" si="209"/>
        <v>0.16347904015180703</v>
      </c>
      <c r="CL187" s="31" t="e">
        <f t="shared" si="209"/>
        <v>#DIV/0!</v>
      </c>
      <c r="CM187" s="31">
        <f t="shared" ca="1" si="209"/>
        <v>0.54747556688603782</v>
      </c>
      <c r="CN187" s="31">
        <f t="shared" ca="1" si="209"/>
        <v>0.65012209316170699</v>
      </c>
      <c r="CO187" s="31">
        <f t="shared" ca="1" si="209"/>
        <v>0.45120214223454369</v>
      </c>
      <c r="CP187" s="31">
        <f t="shared" ca="1" si="209"/>
        <v>0.43968606099855828</v>
      </c>
      <c r="CQ187" s="31" t="e">
        <f t="shared" si="209"/>
        <v>#DIV/0!</v>
      </c>
      <c r="CR187" s="31">
        <f t="shared" si="209"/>
        <v>2.9496666673196086</v>
      </c>
      <c r="CS187" s="31">
        <f t="shared" si="209"/>
        <v>2.488645163005939</v>
      </c>
      <c r="CT187" s="31">
        <f t="shared" si="209"/>
        <v>2.9043333334802757</v>
      </c>
      <c r="CU187" s="31">
        <f t="shared" si="209"/>
        <v>3.2653888892982565</v>
      </c>
    </row>
    <row r="188" spans="1:99" x14ac:dyDescent="0.35">
      <c r="A188" s="29" t="s">
        <v>360</v>
      </c>
      <c r="F188" s="32">
        <f t="array" ref="F188">STDEV(IF(ISNUMBER(F4:F48),F4:F48,""))</f>
        <v>0.15554193959683343</v>
      </c>
      <c r="G188" s="32">
        <f t="array" ref="G188">STDEV(IF(ISNUMBER(G4:G48),G4:G48,""))</f>
        <v>0.27920429837286731</v>
      </c>
      <c r="H188" s="32">
        <f t="array" ref="H188">STDEV(IF(ISNUMBER(H4:H48),H4:H48,""))</f>
        <v>0.25276215231945087</v>
      </c>
      <c r="I188" s="32">
        <f t="array" ref="I188">STDEV(IF(ISNUMBER(I4:I48),I4:I48,""))</f>
        <v>0.13610930142897606</v>
      </c>
      <c r="J188" s="32" t="e">
        <f t="array" ref="J188">STDEV(IF(ISNUMBER(J4:J48),J4:J48,""))</f>
        <v>#DIV/0!</v>
      </c>
      <c r="K188" s="32">
        <f t="array" aca="1" ref="K188" ca="1">STDEV(IF(ISNUMBER(K4:K48),K4:K48,""))</f>
        <v>5.2418815887050607E-2</v>
      </c>
      <c r="L188" s="32">
        <f t="array" aca="1" ref="L188" ca="1">STDEV(IF(ISNUMBER(L4:L48),L4:L48,""))</f>
        <v>6.6791438629256378E-2</v>
      </c>
      <c r="M188" s="32">
        <f t="array" aca="1" ref="M188" ca="1">STDEV(IF(ISNUMBER(M4:M48),M4:M48,""))</f>
        <v>5.7991019224060136E-2</v>
      </c>
      <c r="N188" s="32">
        <f t="array" aca="1" ref="N188" ca="1">STDEV(IF(ISNUMBER(N4:N48),N4:N48,""))</f>
        <v>8.9408500098353175E-2</v>
      </c>
      <c r="O188" s="32" t="e">
        <f t="array" ref="O188">STDEV(IF(ISNUMBER(O4:O48),O4:O48,""))</f>
        <v>#DIV/0!</v>
      </c>
      <c r="P188" s="32">
        <f t="array" aca="1" ref="P188" ca="1">STDEV(IF(ISNUMBER(P4:P48),P4:P48,""))</f>
        <v>0.24104719901126287</v>
      </c>
      <c r="Q188" s="32">
        <f t="array" aca="1" ref="Q188" ca="1">STDEV(IF(ISNUMBER(Q4:Q48),Q4:Q48,""))</f>
        <v>0.20439072591317972</v>
      </c>
      <c r="R188" s="32">
        <f t="array" aca="1" ref="R188" ca="1">STDEV(IF(ISNUMBER(R4:R48),R4:R48,""))</f>
        <v>0.24562102407085573</v>
      </c>
      <c r="S188" s="32">
        <f t="array" aca="1" ref="S188" ca="1">STDEV(IF(ISNUMBER(S4:S48),S4:S48,""))</f>
        <v>0.25248731215857123</v>
      </c>
      <c r="T188" s="32" t="e">
        <f t="array" ref="T188">STDEV(IF(ISNUMBER(T4:T48),T4:T48,""))</f>
        <v>#DIV/0!</v>
      </c>
      <c r="U188" s="32">
        <f t="array" aca="1" ref="U188" ca="1">STDEV(IF(ISNUMBER(U4:U48),U4:U48,""))</f>
        <v>0.58855719462176848</v>
      </c>
      <c r="V188" s="32">
        <f t="array" aca="1" ref="V188" ca="1">STDEV(IF(ISNUMBER(V4:V48),V4:V48,""))</f>
        <v>0.55506528132416422</v>
      </c>
      <c r="W188" s="32">
        <f t="array" aca="1" ref="W188" ca="1">STDEV(IF(ISNUMBER(W4:W48),W4:W48,""))</f>
        <v>0.86434390603361211</v>
      </c>
      <c r="X188" s="32">
        <f t="array" aca="1" ref="X188" ca="1">STDEV(IF(ISNUMBER(X4:X48),X4:X48,""))</f>
        <v>0.7938127840092456</v>
      </c>
      <c r="Y188" s="32" t="e">
        <f t="array" ref="Y188">STDEV(IF(ISNUMBER(Y4:Y48),Y4:Y48,""))</f>
        <v>#DIV/0!</v>
      </c>
      <c r="Z188" s="32">
        <f t="array" aca="1" ref="Z188" ca="1">STDEV(IF(ISNUMBER(Z4:Z48),Z4:Z48,""))</f>
        <v>0.10452627639004405</v>
      </c>
      <c r="AA188" s="32">
        <f t="array" aca="1" ref="AA188" ca="1">STDEV(IF(ISNUMBER(AA4:AA48),AA4:AA48,""))</f>
        <v>9.7120625732038571E-2</v>
      </c>
      <c r="AB188" s="32">
        <f t="array" aca="1" ref="AB188" ca="1">STDEV(IF(ISNUMBER(AB4:AB48),AB4:AB48,""))</f>
        <v>0.15015351032457555</v>
      </c>
      <c r="AC188" s="32">
        <f t="array" aca="1" ref="AC188" ca="1">STDEV(IF(ISNUMBER(AC4:AC48),AC4:AC48,""))</f>
        <v>0.15374250428246738</v>
      </c>
      <c r="AD188" s="32" t="e">
        <f t="array" ref="AD188">STDEV(IF(ISNUMBER(AD4:AD48),AD4:AD48,""))</f>
        <v>#DIV/0!</v>
      </c>
      <c r="AE188" s="32">
        <f t="array" aca="1" ref="AE188" ca="1">STDEV(IF(ISNUMBER(AE4:AE48),AE4:AE48,""))</f>
        <v>0.24507510658698492</v>
      </c>
      <c r="AF188" s="32">
        <f t="array" aca="1" ref="AF188" ca="1">STDEV(IF(ISNUMBER(AF4:AF48),AF4:AF48,""))</f>
        <v>0.2086019441926702</v>
      </c>
      <c r="AG188" s="32">
        <f t="array" aca="1" ref="AG188" ca="1">STDEV(IF(ISNUMBER(AG4:AG48),AG4:AG48,""))</f>
        <v>0.24605809513814</v>
      </c>
      <c r="AH188" s="32">
        <f t="array" aca="1" ref="AH188" ca="1">STDEV(IF(ISNUMBER(AH4:AH48),AH4:AH48,""))</f>
        <v>0.25875459007378077</v>
      </c>
      <c r="AI188" s="32" t="e">
        <f t="array" ref="AI188">STDEV(IF(ISNUMBER(AI4:AI48),AI4:AI48,""))</f>
        <v>#DIV/0!</v>
      </c>
      <c r="AJ188" s="32">
        <f t="array" aca="1" ref="AJ188" ca="1">STDEV(IF(ISNUMBER(AJ4:AJ48),AJ4:AJ48,""))</f>
        <v>0.58430302333234863</v>
      </c>
      <c r="AK188" s="32">
        <f t="array" aca="1" ref="AK188" ca="1">STDEV(IF(ISNUMBER(AK4:AK48),AK4:AK48,""))</f>
        <v>0.57391780389054969</v>
      </c>
      <c r="AL188" s="32">
        <f t="array" aca="1" ref="AL188" ca="1">STDEV(IF(ISNUMBER(AL4:AL48),AL4:AL48,""))</f>
        <v>0.85392191549942975</v>
      </c>
      <c r="AM188" s="32">
        <f t="array" aca="1" ref="AM188" ca="1">STDEV(IF(ISNUMBER(AM4:AM48),AM4:AM48,""))</f>
        <v>0.80897066466717138</v>
      </c>
      <c r="AN188" s="32" t="e">
        <f t="array" ref="AN188">STDEV(IF(ISNUMBER(AN4:AN48),AN4:AN48,""))</f>
        <v>#DIV/0!</v>
      </c>
      <c r="AO188" s="32">
        <f t="array" aca="1" ref="AO188" ca="1">STDEV(IF(ISNUMBER(AO4:AO48),AO4:AO48,""))</f>
        <v>1.2899318660266401</v>
      </c>
      <c r="AP188" s="32">
        <f t="array" aca="1" ref="AP188" ca="1">STDEV(IF(ISNUMBER(AP4:AP48),AP4:AP48,""))</f>
        <v>0.4896542777102888</v>
      </c>
      <c r="AQ188" s="32">
        <f t="array" aca="1" ref="AQ188" ca="1">STDEV(IF(ISNUMBER(AQ4:AQ48),AQ4:AQ48,""))</f>
        <v>0.78209953754265704</v>
      </c>
      <c r="AR188" s="32">
        <f t="array" aca="1" ref="AR188" ca="1">STDEV(IF(ISNUMBER(AR4:AR48),AR4:AR48,""))</f>
        <v>0.74588864298189217</v>
      </c>
      <c r="AS188" s="32" t="e">
        <f t="array" ref="AS188">STDEV(IF(ISNUMBER(AS4:AS48),AS4:AS48,""))</f>
        <v>#DIV/0!</v>
      </c>
      <c r="AT188" s="32">
        <f t="array" ref="AT188">STDEV(IF(ISNUMBER(AT4:AT48),AT4:AT48,""))</f>
        <v>0.39965675924188032</v>
      </c>
      <c r="AU188" s="32">
        <f t="array" ref="AU188">STDEV(IF(ISNUMBER(AU4:AU48),AU4:AU48,""))</f>
        <v>0.16272900383667488</v>
      </c>
      <c r="AV188" s="32">
        <f t="array" ref="AV188">STDEV(IF(ISNUMBER(AV4:AV48),AV4:AV48,""))</f>
        <v>0.52999732393142485</v>
      </c>
      <c r="AW188" s="32">
        <f t="array" ref="AW188">STDEV(IF(ISNUMBER(AW4:AW48),AW4:AW48,""))</f>
        <v>0.4879425913671232</v>
      </c>
      <c r="AX188" s="32" t="e">
        <f t="array" ref="AX188">STDEV(IF(ISNUMBER(AX4:AX48),AX4:AX48,""))</f>
        <v>#DIV/0!</v>
      </c>
      <c r="AY188" s="32">
        <f t="array" aca="1" ref="AY188" ca="1">STDEV(IF(ISNUMBER(AY4:AY48),AY4:AY48,""))</f>
        <v>0.18449810146517195</v>
      </c>
      <c r="AZ188" s="32">
        <f t="array" aca="1" ref="AZ188" ca="1">STDEV(IF(ISNUMBER(AZ4:AZ48),AZ4:AZ48,""))</f>
        <v>0.21310507410275836</v>
      </c>
      <c r="BA188" s="32">
        <f t="array" aca="1" ref="BA188" ca="1">STDEV(IF(ISNUMBER(BA4:BA48),BA4:BA48,""))</f>
        <v>0.21198463565606113</v>
      </c>
      <c r="BB188" s="32">
        <f t="array" aca="1" ref="BB188" ca="1">STDEV(IF(ISNUMBER(BB4:BB48),BB4:BB48,""))</f>
        <v>0.22928050481325415</v>
      </c>
      <c r="BC188" s="32" t="e">
        <f t="array" ref="BC188">STDEV(IF(ISNUMBER(BC4:BC48),BC4:BC48,""))</f>
        <v>#DIV/0!</v>
      </c>
      <c r="BD188" s="32">
        <f t="array" aca="1" ref="BD188" ca="1">STDEV(IF(ISNUMBER(BD4:BD48),BD4:BD48,""))</f>
        <v>0.19041774069491738</v>
      </c>
      <c r="BE188" s="32">
        <f t="array" aca="1" ref="BE188" ca="1">STDEV(IF(ISNUMBER(BE4:BE48),BE4:BE48,""))</f>
        <v>0.23360332153837818</v>
      </c>
      <c r="BF188" s="32">
        <f t="array" aca="1" ref="BF188" ca="1">STDEV(IF(ISNUMBER(BF4:BF48),BF4:BF48,""))</f>
        <v>0.20456314158845418</v>
      </c>
      <c r="BG188" s="32">
        <f t="array" aca="1" ref="BG188" ca="1">STDEV(IF(ISNUMBER(BG4:BG48),BG4:BG48,""))</f>
        <v>0.23774279674556276</v>
      </c>
      <c r="BH188" s="32" t="e">
        <f t="array" ref="BH188">STDEV(IF(ISNUMBER(BH4:BH48),BH4:BH48,""))</f>
        <v>#DIV/0!</v>
      </c>
      <c r="BI188" s="32">
        <f t="array" aca="1" ref="BI188" ca="1">STDEV(IF(ISNUMBER(BI4:BI48),BI4:BI48,""))</f>
        <v>0.38561305033068799</v>
      </c>
      <c r="BJ188" s="32">
        <f t="array" aca="1" ref="BJ188" ca="1">STDEV(IF(ISNUMBER(BJ4:BJ48),BJ4:BJ48,""))</f>
        <v>0.56720719836755717</v>
      </c>
      <c r="BK188" s="32">
        <f t="array" aca="1" ref="BK188" ca="1">STDEV(IF(ISNUMBER(BK4:BK48),BK4:BK48,""))</f>
        <v>0.54674208610592956</v>
      </c>
      <c r="BL188" s="32">
        <f t="array" aca="1" ref="BL188" ca="1">STDEV(IF(ISNUMBER(BL4:BL48),BL4:BL48,""))</f>
        <v>0.6341476707729462</v>
      </c>
      <c r="BM188" s="32" t="e">
        <f t="array" ref="BM188">STDEV(IF(ISNUMBER(BM4:BM48),BM4:BM48,""))</f>
        <v>#DIV/0!</v>
      </c>
      <c r="BN188" s="32">
        <f t="array" aca="1" ref="BN188" ca="1">STDEV(IF(ISNUMBER(BN4:BN48),BN4:BN48,""))</f>
        <v>1.1396167993539936</v>
      </c>
      <c r="BO188" s="32">
        <f t="array" aca="1" ref="BO188" ca="1">STDEV(IF(ISNUMBER(BO4:BO48),BO4:BO48,""))</f>
        <v>1.282544640762926</v>
      </c>
      <c r="BP188" s="32">
        <f t="array" aca="1" ref="BP188" ca="1">STDEV(IF(ISNUMBER(BP4:BP48),BP4:BP48,""))</f>
        <v>0.61977983706376649</v>
      </c>
      <c r="BQ188" s="32">
        <f t="array" aca="1" ref="BQ188" ca="1">STDEV(IF(ISNUMBER(BQ4:BQ48),BQ4:BQ48,""))</f>
        <v>1.076304746023407</v>
      </c>
      <c r="BR188" s="32" t="e">
        <f t="array" ref="BR188">STDEV(IF(ISNUMBER(BR4:BR48),BR4:BR48,""))</f>
        <v>#DIV/0!</v>
      </c>
      <c r="BS188" s="32">
        <f t="array" ref="BS188">STDEV(IF(ISNUMBER(BS4:BS48),BS4:BS48,""))</f>
        <v>1.3825320876444547</v>
      </c>
      <c r="BT188" s="32">
        <f t="array" ref="BT188">STDEV(IF(ISNUMBER(BT4:BT48),BT4:BT48,""))</f>
        <v>1.1998400939849092</v>
      </c>
      <c r="BU188" s="32">
        <f t="array" ref="BU188">STDEV(IF(ISNUMBER(BU4:BU48),BU4:BU48,""))</f>
        <v>1.4294157038024817</v>
      </c>
      <c r="BV188" s="32">
        <f t="array" ref="BV188">STDEV(IF(ISNUMBER(BV4:BV48),BV4:BV48,""))</f>
        <v>1.6279771703029888</v>
      </c>
      <c r="BW188" s="32" t="e">
        <f t="array" ref="BW188">STDEV(IF(ISNUMBER(BW4:BW48),BW4:BW48,""))</f>
        <v>#DIV/0!</v>
      </c>
      <c r="BX188" s="32">
        <f t="array" aca="1" ref="BX188" ca="1">STDEV(IF(ISNUMBER(BX4:BX48),BX4:BX48,""))</f>
        <v>0.11924499528673731</v>
      </c>
      <c r="BY188" s="32">
        <f t="array" aca="1" ref="BY188" ca="1">STDEV(IF(ISNUMBER(BY4:BY48),BY4:BY48,""))</f>
        <v>0.16874361979032909</v>
      </c>
      <c r="BZ188" s="32">
        <f t="array" aca="1" ref="BZ188" ca="1">STDEV(IF(ISNUMBER(BZ4:BZ48),BZ4:BZ48,""))</f>
        <v>0.12929936863980046</v>
      </c>
      <c r="CA188" s="32">
        <f t="array" aca="1" ref="CA188" ca="1">STDEV(IF(ISNUMBER(CA4:CA48),CA4:CA48,""))</f>
        <v>9.1520008468162786E-2</v>
      </c>
      <c r="CB188" s="32" t="e">
        <f t="array" ref="CB188">STDEV(IF(ISNUMBER(CB4:CB48),CB4:CB48,""))</f>
        <v>#DIV/0!</v>
      </c>
      <c r="CC188" s="32">
        <f t="array" aca="1" ref="CC188" ca="1">STDEV(IF(ISNUMBER(CC4:CC48),CC4:CC48,""))</f>
        <v>0.13217532866210191</v>
      </c>
      <c r="CD188" s="32">
        <f t="array" aca="1" ref="CD188" ca="1">STDEV(IF(ISNUMBER(CD4:CD48),CD4:CD48,""))</f>
        <v>0.18006540540795907</v>
      </c>
      <c r="CE188" s="32">
        <f t="array" aca="1" ref="CE188" ca="1">STDEV(IF(ISNUMBER(CE4:CE48),CE4:CE48,""))</f>
        <v>0.15258954016247492</v>
      </c>
      <c r="CF188" s="32">
        <f t="array" aca="1" ref="CF188" ca="1">STDEV(IF(ISNUMBER(CF4:CF48),CF4:CF48,""))</f>
        <v>9.2901368054417843E-2</v>
      </c>
      <c r="CG188" s="32" t="e">
        <f t="array" ref="CG188">STDEV(IF(ISNUMBER(CG4:CG48),CG4:CG48,""))</f>
        <v>#DIV/0!</v>
      </c>
      <c r="CH188" s="32">
        <f t="array" aca="1" ref="CH188" ca="1">STDEV(IF(ISNUMBER(CH4:CH48),CH4:CH48,""))</f>
        <v>0.24812051082717856</v>
      </c>
      <c r="CI188" s="32">
        <f t="array" aca="1" ref="CI188" ca="1">STDEV(IF(ISNUMBER(CI4:CI48),CI4:CI48,""))</f>
        <v>0.45664481225609105</v>
      </c>
      <c r="CJ188" s="32">
        <f t="array" aca="1" ref="CJ188" ca="1">STDEV(IF(ISNUMBER(CJ4:CJ48),CJ4:CJ48,""))</f>
        <v>0.3545387860073429</v>
      </c>
      <c r="CK188" s="32">
        <f t="array" aca="1" ref="CK188" ca="1">STDEV(IF(ISNUMBER(CK4:CK48),CK4:CK48,""))</f>
        <v>0.26556605671539918</v>
      </c>
      <c r="CL188" s="32" t="e">
        <f t="array" ref="CL188">STDEV(IF(ISNUMBER(CL4:CL48),CL4:CL48,""))</f>
        <v>#DIV/0!</v>
      </c>
      <c r="CM188" s="32">
        <f t="array" aca="1" ref="CM188" ca="1">STDEV(IF(ISNUMBER(CM4:CM48),CM4:CM48,""))</f>
        <v>0.60315615034760295</v>
      </c>
      <c r="CN188" s="32">
        <f t="array" aca="1" ref="CN188" ca="1">STDEV(IF(ISNUMBER(CN4:CN48),CN4:CN48,""))</f>
        <v>0.62162463617106112</v>
      </c>
      <c r="CO188" s="32">
        <f t="array" aca="1" ref="CO188" ca="1">STDEV(IF(ISNUMBER(CO4:CO48),CO4:CO48,""))</f>
        <v>0.49159747009277971</v>
      </c>
      <c r="CP188" s="32">
        <f t="array" aca="1" ref="CP188" ca="1">STDEV(IF(ISNUMBER(CP4:CP48),CP4:CP48,""))</f>
        <v>0.38613374194427863</v>
      </c>
      <c r="CQ188" s="32" t="e">
        <f t="array" ref="CQ188">STDEV(IF(ISNUMBER(CQ4:CQ48),CQ4:CQ48,""))</f>
        <v>#DIV/0!</v>
      </c>
      <c r="CR188" s="32">
        <f t="array" ref="CR188">STDEV(IF(ISNUMBER(CR4:CR48),CR4:CR48,""))</f>
        <v>1.3193914959306263</v>
      </c>
      <c r="CS188" s="32">
        <f t="array" ref="CS188">STDEV(IF(ISNUMBER(CS4:CS48),CS4:CS48,""))</f>
        <v>1.7865288391587648</v>
      </c>
      <c r="CT188" s="32">
        <f t="array" ref="CT188">STDEV(IF(ISNUMBER(CT4:CT48),CT4:CT48,""))</f>
        <v>1.5301078218707396</v>
      </c>
      <c r="CU188" s="32">
        <f t="array" ref="CU188">STDEV(IF(ISNUMBER(CU4:CU48),CU4:CU48,""))</f>
        <v>1.267693138928804</v>
      </c>
    </row>
    <row r="190" spans="1:99" x14ac:dyDescent="0.35">
      <c r="A190" s="28" t="s">
        <v>361</v>
      </c>
      <c r="F190" s="30">
        <f t="shared" ref="F190:AK190" si="210">AVERAGEIF(F97:F130,"&lt;&gt;#N/A")</f>
        <v>3.950823529411764</v>
      </c>
      <c r="G190" s="30">
        <f t="shared" si="210"/>
        <v>3.9750555555555556</v>
      </c>
      <c r="H190" s="30">
        <f t="shared" si="210"/>
        <v>3.9623125000000003</v>
      </c>
      <c r="I190" s="30">
        <f t="shared" si="210"/>
        <v>3.8490588235294116</v>
      </c>
      <c r="J190" s="30" t="e">
        <f t="shared" si="210"/>
        <v>#DIV/0!</v>
      </c>
      <c r="K190" s="30">
        <f t="shared" ca="1" si="210"/>
        <v>0.9775771283079111</v>
      </c>
      <c r="L190" s="30">
        <f t="shared" ca="1" si="210"/>
        <v>0.96160228856190244</v>
      </c>
      <c r="M190" s="30">
        <f t="shared" ca="1" si="210"/>
        <v>0.9673249031163702</v>
      </c>
      <c r="N190" s="30">
        <f t="shared" ca="1" si="210"/>
        <v>0.95266836715354275</v>
      </c>
      <c r="O190" s="30" t="e">
        <f t="shared" si="210"/>
        <v>#DIV/0!</v>
      </c>
      <c r="P190" s="30">
        <f t="shared" ca="1" si="210"/>
        <v>0.8288204080732523</v>
      </c>
      <c r="Q190" s="30">
        <f t="shared" ca="1" si="210"/>
        <v>0.89582480780728324</v>
      </c>
      <c r="R190" s="30">
        <f t="shared" ca="1" si="210"/>
        <v>0.8683669163944403</v>
      </c>
      <c r="S190" s="30">
        <f t="shared" ca="1" si="210"/>
        <v>0.85319336750499275</v>
      </c>
      <c r="T190" s="30" t="e">
        <f t="shared" si="210"/>
        <v>#DIV/0!</v>
      </c>
      <c r="U190" s="30">
        <f t="shared" ca="1" si="210"/>
        <v>1.8382719820752615</v>
      </c>
      <c r="V190" s="30">
        <f t="shared" ca="1" si="210"/>
        <v>2.352856897503337</v>
      </c>
      <c r="W190" s="30">
        <f t="shared" ca="1" si="210"/>
        <v>2.184555562528073</v>
      </c>
      <c r="X190" s="30">
        <f t="shared" ca="1" si="210"/>
        <v>2.3440648625331351</v>
      </c>
      <c r="Y190" s="30" t="e">
        <f t="shared" si="210"/>
        <v>#DIV/0!</v>
      </c>
      <c r="Z190" s="30">
        <f t="shared" ca="1" si="210"/>
        <v>0.92414906517435191</v>
      </c>
      <c r="AA190" s="30">
        <f t="shared" ca="1" si="210"/>
        <v>0.9499331005220859</v>
      </c>
      <c r="AB190" s="30">
        <f t="shared" ca="1" si="210"/>
        <v>0.90230749592685522</v>
      </c>
      <c r="AC190" s="30">
        <f t="shared" ca="1" si="210"/>
        <v>0.90525799351344827</v>
      </c>
      <c r="AD190" s="30" t="e">
        <f t="shared" si="210"/>
        <v>#DIV/0!</v>
      </c>
      <c r="AE190" s="30">
        <f t="shared" ca="1" si="210"/>
        <v>0.82222456149523593</v>
      </c>
      <c r="AF190" s="30">
        <f t="shared" ca="1" si="210"/>
        <v>0.88925987202170731</v>
      </c>
      <c r="AG190" s="30">
        <f t="shared" ca="1" si="210"/>
        <v>0.83642060490646319</v>
      </c>
      <c r="AH190" s="30">
        <f t="shared" ca="1" si="210"/>
        <v>0.83268228044865111</v>
      </c>
      <c r="AI190" s="30" t="e">
        <f t="shared" si="210"/>
        <v>#DIV/0!</v>
      </c>
      <c r="AJ190" s="30">
        <f t="shared" ca="1" si="210"/>
        <v>1.8089591368103333</v>
      </c>
      <c r="AK190" s="30">
        <f t="shared" ca="1" si="210"/>
        <v>2.3079579160923394</v>
      </c>
      <c r="AL190" s="30">
        <f t="shared" ref="AL190:BQ190" ca="1" si="211">AVERAGEIF(AL97:AL130,"&lt;&gt;#N/A")</f>
        <v>2.0755231835977317</v>
      </c>
      <c r="AM190" s="30">
        <f t="shared" ca="1" si="211"/>
        <v>2.2341030455414002</v>
      </c>
      <c r="AN190" s="30" t="e">
        <f t="shared" si="211"/>
        <v>#DIV/0!</v>
      </c>
      <c r="AO190" s="30">
        <f t="shared" ca="1" si="211"/>
        <v>0.46451699072561548</v>
      </c>
      <c r="AP190" s="30">
        <f t="shared" ca="1" si="211"/>
        <v>0.37301062564923654</v>
      </c>
      <c r="AQ190" s="30">
        <f t="shared" ca="1" si="211"/>
        <v>0.38575866590586844</v>
      </c>
      <c r="AR190" s="30">
        <f t="shared" ca="1" si="211"/>
        <v>0.44709299120377488</v>
      </c>
      <c r="AS190" s="30" t="e">
        <f t="shared" si="211"/>
        <v>#DIV/0!</v>
      </c>
      <c r="AT190" s="30">
        <f t="shared" si="211"/>
        <v>0.36891666233229142</v>
      </c>
      <c r="AU190" s="30">
        <f t="shared" si="211"/>
        <v>0.11804762101244359</v>
      </c>
      <c r="AV190" s="30">
        <f t="shared" si="211"/>
        <v>0.25957142943072886</v>
      </c>
      <c r="AW190" s="30">
        <f t="shared" si="211"/>
        <v>0.35823809454661037</v>
      </c>
      <c r="AX190" s="30" t="e">
        <f t="shared" si="211"/>
        <v>#DIV/0!</v>
      </c>
      <c r="AY190" s="30">
        <f t="shared" ca="1" si="211"/>
        <v>0.34890667584668222</v>
      </c>
      <c r="AZ190" s="30">
        <f t="shared" ca="1" si="211"/>
        <v>0.38269147274809168</v>
      </c>
      <c r="BA190" s="30">
        <f t="shared" ca="1" si="211"/>
        <v>0.36359579998078756</v>
      </c>
      <c r="BB190" s="30">
        <f t="shared" ca="1" si="211"/>
        <v>0.31458648151830187</v>
      </c>
      <c r="BC190" s="30" t="e">
        <f t="shared" si="211"/>
        <v>#DIV/0!</v>
      </c>
      <c r="BD190" s="30">
        <f t="shared" ca="1" si="211"/>
        <v>0.32835872108359387</v>
      </c>
      <c r="BE190" s="30">
        <f t="shared" ca="1" si="211"/>
        <v>0.40023655557295812</v>
      </c>
      <c r="BF190" s="30">
        <f t="shared" ca="1" si="211"/>
        <v>0.33578522862644278</v>
      </c>
      <c r="BG190" s="30">
        <f t="shared" ca="1" si="211"/>
        <v>0.31523513310169204</v>
      </c>
      <c r="BH190" s="30" t="e">
        <f t="shared" si="211"/>
        <v>#DIV/0!</v>
      </c>
      <c r="BI190" s="30">
        <f t="shared" ca="1" si="211"/>
        <v>0.67473422419516238</v>
      </c>
      <c r="BJ190" s="30">
        <f t="shared" ca="1" si="211"/>
        <v>0.92967282154734876</v>
      </c>
      <c r="BK190" s="30">
        <f t="shared" ca="1" si="211"/>
        <v>0.9731051779922576</v>
      </c>
      <c r="BL190" s="30">
        <f t="shared" ca="1" si="211"/>
        <v>0.77976482229365274</v>
      </c>
      <c r="BM190" s="30" t="e">
        <f t="shared" si="211"/>
        <v>#DIV/0!</v>
      </c>
      <c r="BN190" s="30">
        <f t="shared" ca="1" si="211"/>
        <v>0.75285279234454894</v>
      </c>
      <c r="BO190" s="30">
        <f t="shared" ca="1" si="211"/>
        <v>0.86374184642602647</v>
      </c>
      <c r="BP190" s="30">
        <f t="shared" ca="1" si="211"/>
        <v>0.78267937243282648</v>
      </c>
      <c r="BQ190" s="30">
        <f t="shared" ca="1" si="211"/>
        <v>0.69161511563357381</v>
      </c>
      <c r="BR190" s="30" t="e">
        <f t="shared" ref="BR190:CU190" si="212">AVERAGEIF(BR97:BR130,"&lt;&gt;#N/A")</f>
        <v>#DIV/0!</v>
      </c>
      <c r="BS190" s="30">
        <f t="shared" si="212"/>
        <v>1.0184166684112668</v>
      </c>
      <c r="BT190" s="30">
        <f t="shared" si="212"/>
        <v>0.72990475976396174</v>
      </c>
      <c r="BU190" s="30">
        <f t="shared" si="212"/>
        <v>1.3479999957790685</v>
      </c>
      <c r="BV190" s="30">
        <f t="shared" si="212"/>
        <v>1.4187619037709776</v>
      </c>
      <c r="BW190" s="30" t="e">
        <f t="shared" si="212"/>
        <v>#DIV/0!</v>
      </c>
      <c r="BX190" s="30">
        <f t="shared" ca="1" si="212"/>
        <v>5.3630725742440676E-2</v>
      </c>
      <c r="BY190" s="30">
        <f t="shared" ca="1" si="212"/>
        <v>6.4501483958066916E-2</v>
      </c>
      <c r="BZ190" s="30">
        <f t="shared" ca="1" si="212"/>
        <v>1.6102826440838731E-2</v>
      </c>
      <c r="CA190" s="30">
        <f t="shared" ca="1" si="212"/>
        <v>2.1959931290367562E-2</v>
      </c>
      <c r="CB190" s="30" t="e">
        <f t="shared" si="212"/>
        <v>#DIV/0!</v>
      </c>
      <c r="CC190" s="30">
        <f t="shared" ca="1" si="212"/>
        <v>4.7037764023387579E-2</v>
      </c>
      <c r="CD190" s="30">
        <f t="shared" ca="1" si="212"/>
        <v>5.4484901198820691E-2</v>
      </c>
      <c r="CE190" s="30">
        <f t="shared" ca="1" si="212"/>
        <v>1.4011528630138026E-2</v>
      </c>
      <c r="CF190" s="30">
        <f t="shared" ca="1" si="212"/>
        <v>1.6109830937785157E-2</v>
      </c>
      <c r="CG190" s="30" t="e">
        <f t="shared" si="212"/>
        <v>#DIV/0!</v>
      </c>
      <c r="CH190" s="30">
        <f t="shared" ca="1" si="212"/>
        <v>0.11747103921751123</v>
      </c>
      <c r="CI190" s="30">
        <f t="shared" ca="1" si="212"/>
        <v>0.12458520083868413</v>
      </c>
      <c r="CJ190" s="30">
        <f t="shared" ca="1" si="212"/>
        <v>4.6711532920686333E-2</v>
      </c>
      <c r="CK190" s="30">
        <f t="shared" ca="1" si="212"/>
        <v>5.8643949434344977E-2</v>
      </c>
      <c r="CL190" s="30" t="e">
        <f t="shared" si="212"/>
        <v>#DIV/0!</v>
      </c>
      <c r="CM190" s="30">
        <f t="shared" ca="1" si="212"/>
        <v>0.29335583210112631</v>
      </c>
      <c r="CN190" s="30">
        <f t="shared" ca="1" si="212"/>
        <v>0.28015004821974349</v>
      </c>
      <c r="CO190" s="30">
        <f t="shared" ca="1" si="212"/>
        <v>0.14013846524270768</v>
      </c>
      <c r="CP190" s="30">
        <f t="shared" ca="1" si="212"/>
        <v>0.14651323381134904</v>
      </c>
      <c r="CQ190" s="30" t="e">
        <f t="shared" si="212"/>
        <v>#DIV/0!</v>
      </c>
      <c r="CR190" s="30">
        <f t="shared" si="212"/>
        <v>3.5848750029029333</v>
      </c>
      <c r="CS190" s="30">
        <f t="shared" si="212"/>
        <v>3.144619047899686</v>
      </c>
      <c r="CT190" s="30">
        <f t="shared" si="212"/>
        <v>3.8230000014532175</v>
      </c>
      <c r="CU190" s="30">
        <f t="shared" si="212"/>
        <v>3.8341428526469641</v>
      </c>
    </row>
    <row r="191" spans="1:99" x14ac:dyDescent="0.35">
      <c r="A191" s="28" t="s">
        <v>362</v>
      </c>
      <c r="F191" s="30">
        <f t="array" ref="F191">STDEV(IF(ISNUMBER(F97:F130),F97:F130,""))</f>
        <v>0.24369531060684094</v>
      </c>
      <c r="G191" s="30">
        <f t="array" ref="G191">STDEV(IF(ISNUMBER(G97:G130),G97:G130,""))</f>
        <v>0.18795195638379694</v>
      </c>
      <c r="H191" s="30">
        <f t="array" ref="H191">STDEV(IF(ISNUMBER(H97:H130),H97:H130,""))</f>
        <v>0.20496949976358272</v>
      </c>
      <c r="I191" s="30">
        <f t="array" ref="I191">STDEV(IF(ISNUMBER(I97:I130),I97:I130,""))</f>
        <v>0.36441227863990733</v>
      </c>
      <c r="J191" s="30" t="e">
        <f t="array" ref="J191">STDEV(IF(ISNUMBER(J97:J130),J97:J130,""))</f>
        <v>#DIV/0!</v>
      </c>
      <c r="K191" s="30">
        <f t="array" aca="1" ref="K191" ca="1">STDEV(IF(ISNUMBER(K97:K130),K97:K130,""))</f>
        <v>4.2298195676586797E-2</v>
      </c>
      <c r="L191" s="30">
        <f t="array" aca="1" ref="L191" ca="1">STDEV(IF(ISNUMBER(L97:L130),L97:L130,""))</f>
        <v>6.311218955904814E-2</v>
      </c>
      <c r="M191" s="30">
        <f t="array" aca="1" ref="M191" ca="1">STDEV(IF(ISNUMBER(M97:M130),M97:M130,""))</f>
        <v>5.576121979429835E-2</v>
      </c>
      <c r="N191" s="30">
        <f t="array" aca="1" ref="N191" ca="1">STDEV(IF(ISNUMBER(N97:N130),N97:N130,""))</f>
        <v>8.4541117942523406E-2</v>
      </c>
      <c r="O191" s="30" t="e">
        <f t="array" ref="O191">STDEV(IF(ISNUMBER(O97:O130),O97:O130,""))</f>
        <v>#DIV/0!</v>
      </c>
      <c r="P191" s="30">
        <f t="array" aca="1" ref="P191" ca="1">STDEV(IF(ISNUMBER(P97:P130),P97:P130,""))</f>
        <v>0.19926504706293202</v>
      </c>
      <c r="Q191" s="30">
        <f t="array" aca="1" ref="Q191" ca="1">STDEV(IF(ISNUMBER(Q97:Q130),Q97:Q130,""))</f>
        <v>6.7406915120824334E-2</v>
      </c>
      <c r="R191" s="30">
        <f t="array" aca="1" ref="R191" ca="1">STDEV(IF(ISNUMBER(R97:R130),R97:R130,""))</f>
        <v>8.4840562277155127E-2</v>
      </c>
      <c r="S191" s="30">
        <f t="array" aca="1" ref="S191" ca="1">STDEV(IF(ISNUMBER(S97:S130),S97:S130,""))</f>
        <v>0.12662756290967941</v>
      </c>
      <c r="T191" s="30" t="e">
        <f t="array" ref="T191">STDEV(IF(ISNUMBER(T97:T130),T97:T130,""))</f>
        <v>#DIV/0!</v>
      </c>
      <c r="U191" s="30">
        <f t="array" aca="1" ref="U191" ca="1">STDEV(IF(ISNUMBER(U97:U130),U97:U130,""))</f>
        <v>0.45282359801556243</v>
      </c>
      <c r="V191" s="30">
        <f t="array" aca="1" ref="V191" ca="1">STDEV(IF(ISNUMBER(V97:V130),V97:V130,""))</f>
        <v>0.76133657215916783</v>
      </c>
      <c r="W191" s="30">
        <f t="array" aca="1" ref="W191" ca="1">STDEV(IF(ISNUMBER(W97:W130),W97:W130,""))</f>
        <v>0.52111182307689585</v>
      </c>
      <c r="X191" s="30">
        <f t="array" aca="1" ref="X191" ca="1">STDEV(IF(ISNUMBER(X97:X130),X97:X130,""))</f>
        <v>0.39169047568460924</v>
      </c>
      <c r="Y191" s="30" t="e">
        <f t="array" ref="Y191">STDEV(IF(ISNUMBER(Y97:Y130),Y97:Y130,""))</f>
        <v>#DIV/0!</v>
      </c>
      <c r="Z191" s="30">
        <f t="array" aca="1" ref="Z191" ca="1">STDEV(IF(ISNUMBER(Z97:Z130),Z97:Z130,""))</f>
        <v>8.8875948317565442E-2</v>
      </c>
      <c r="AA191" s="30">
        <f t="array" aca="1" ref="AA191" ca="1">STDEV(IF(ISNUMBER(AA97:AA130),AA97:AA130,""))</f>
        <v>7.1728866548308193E-2</v>
      </c>
      <c r="AB191" s="30">
        <f t="array" aca="1" ref="AB191" ca="1">STDEV(IF(ISNUMBER(AB97:AB130),AB97:AB130,""))</f>
        <v>0.10594712383396308</v>
      </c>
      <c r="AC191" s="30">
        <f t="array" aca="1" ref="AC191" ca="1">STDEV(IF(ISNUMBER(AC97:AC130),AC97:AC130,""))</f>
        <v>0.15125044011888625</v>
      </c>
      <c r="AD191" s="30" t="e">
        <f t="array" ref="AD191">STDEV(IF(ISNUMBER(AD97:AD130),AD97:AD130,""))</f>
        <v>#DIV/0!</v>
      </c>
      <c r="AE191" s="30">
        <f t="array" aca="1" ref="AE191" ca="1">STDEV(IF(ISNUMBER(AE97:AE130),AE97:AE130,""))</f>
        <v>0.20535257154033257</v>
      </c>
      <c r="AF191" s="30">
        <f t="array" aca="1" ref="AF191" ca="1">STDEV(IF(ISNUMBER(AF97:AF130),AF97:AF130,""))</f>
        <v>6.9440827831739743E-2</v>
      </c>
      <c r="AG191" s="30">
        <f t="array" aca="1" ref="AG191" ca="1">STDEV(IF(ISNUMBER(AG97:AG130),AG97:AG130,""))</f>
        <v>0.11709980013000118</v>
      </c>
      <c r="AH191" s="30">
        <f t="array" aca="1" ref="AH191" ca="1">STDEV(IF(ISNUMBER(AH97:AH130),AH97:AH130,""))</f>
        <v>0.14682144154920537</v>
      </c>
      <c r="AI191" s="30" t="e">
        <f t="array" ref="AI191">STDEV(IF(ISNUMBER(AI97:AI130),AI97:AI130,""))</f>
        <v>#DIV/0!</v>
      </c>
      <c r="AJ191" s="30">
        <f t="array" aca="1" ref="AJ191" ca="1">STDEV(IF(ISNUMBER(AJ97:AJ130),AJ97:AJ130,""))</f>
        <v>0.44966940781863068</v>
      </c>
      <c r="AK191" s="30">
        <f t="array" aca="1" ref="AK191" ca="1">STDEV(IF(ISNUMBER(AK97:AK130),AK97:AK130,""))</f>
        <v>0.73791797289826744</v>
      </c>
      <c r="AL191" s="30">
        <f t="array" aca="1" ref="AL191" ca="1">STDEV(IF(ISNUMBER(AL97:AL130),AL97:AL130,""))</f>
        <v>0.50761955140474391</v>
      </c>
      <c r="AM191" s="30">
        <f t="array" aca="1" ref="AM191" ca="1">STDEV(IF(ISNUMBER(AM97:AM130),AM97:AM130,""))</f>
        <v>0.35553454430314935</v>
      </c>
      <c r="AN191" s="30" t="e">
        <f t="array" ref="AN191">STDEV(IF(ISNUMBER(AN97:AN130),AN97:AN130,""))</f>
        <v>#DIV/0!</v>
      </c>
      <c r="AO191" s="30">
        <f t="array" aca="1" ref="AO191" ca="1">STDEV(IF(ISNUMBER(AO97:AO130),AO97:AO130,""))</f>
        <v>0.37647535061824755</v>
      </c>
      <c r="AP191" s="30">
        <f t="array" aca="1" ref="AP191" ca="1">STDEV(IF(ISNUMBER(AP97:AP130),AP97:AP130,""))</f>
        <v>0.27262002233250521</v>
      </c>
      <c r="AQ191" s="30">
        <f t="array" aca="1" ref="AQ191" ca="1">STDEV(IF(ISNUMBER(AQ97:AQ130),AQ97:AQ130,""))</f>
        <v>0.2121393955683418</v>
      </c>
      <c r="AR191" s="30">
        <f t="array" aca="1" ref="AR191" ca="1">STDEV(IF(ISNUMBER(AR97:AR130),AR97:AR130,""))</f>
        <v>0.39247031829883022</v>
      </c>
      <c r="AS191" s="30" t="e">
        <f t="array" ref="AS191">STDEV(IF(ISNUMBER(AS97:AS130),AS97:AS130,""))</f>
        <v>#DIV/0!</v>
      </c>
      <c r="AT191" s="30">
        <f t="array" ref="AT191">STDEV(IF(ISNUMBER(AT97:AT130),AT97:AT130,""))</f>
        <v>0.60132981081747661</v>
      </c>
      <c r="AU191" s="30">
        <f t="array" ref="AU191">STDEV(IF(ISNUMBER(AU97:AU130),AU97:AU130,""))</f>
        <v>0.29082426123811278</v>
      </c>
      <c r="AV191" s="30">
        <f t="array" ref="AV191">STDEV(IF(ISNUMBER(AV97:AV130),AV97:AV130,""))</f>
        <v>0.44285658718864701</v>
      </c>
      <c r="AW191" s="30">
        <f t="array" ref="AW191">STDEV(IF(ISNUMBER(AW97:AW130),AW97:AW130,""))</f>
        <v>0.92043184744802675</v>
      </c>
      <c r="AX191" s="30" t="e">
        <f t="array" ref="AX191">STDEV(IF(ISNUMBER(AX97:AX130),AX97:AX130,""))</f>
        <v>#DIV/0!</v>
      </c>
      <c r="AY191" s="30">
        <f t="array" aca="1" ref="AY191" ca="1">STDEV(IF(ISNUMBER(AY97:AY130),AY97:AY130,""))</f>
        <v>0.25116815120072539</v>
      </c>
      <c r="AZ191" s="30">
        <f t="array" aca="1" ref="AZ191" ca="1">STDEV(IF(ISNUMBER(AZ97:AZ130),AZ97:AZ130,""))</f>
        <v>0.18983000474360648</v>
      </c>
      <c r="BA191" s="30">
        <f t="array" aca="1" ref="BA191" ca="1">STDEV(IF(ISNUMBER(BA97:BA130),BA97:BA130,""))</f>
        <v>0.25590409921422319</v>
      </c>
      <c r="BB191" s="30">
        <f t="array" aca="1" ref="BB191" ca="1">STDEV(IF(ISNUMBER(BB97:BB130),BB97:BB130,""))</f>
        <v>0.21018363008016117</v>
      </c>
      <c r="BC191" s="30" t="e">
        <f t="array" ref="BC191">STDEV(IF(ISNUMBER(BC97:BC130),BC97:BC130,""))</f>
        <v>#DIV/0!</v>
      </c>
      <c r="BD191" s="30">
        <f t="array" aca="1" ref="BD191" ca="1">STDEV(IF(ISNUMBER(BD97:BD130),BD97:BD130,""))</f>
        <v>0.23669067456792528</v>
      </c>
      <c r="BE191" s="30">
        <f t="array" aca="1" ref="BE191" ca="1">STDEV(IF(ISNUMBER(BE97:BE130),BE97:BE130,""))</f>
        <v>0.208970705573611</v>
      </c>
      <c r="BF191" s="30">
        <f t="array" aca="1" ref="BF191" ca="1">STDEV(IF(ISNUMBER(BF97:BF130),BF97:BF130,""))</f>
        <v>0.28831228024176825</v>
      </c>
      <c r="BG191" s="30">
        <f t="array" aca="1" ref="BG191" ca="1">STDEV(IF(ISNUMBER(BG97:BG130),BG97:BG130,""))</f>
        <v>0.21504366246669226</v>
      </c>
      <c r="BH191" s="30" t="e">
        <f t="array" ref="BH191">STDEV(IF(ISNUMBER(BH97:BH130),BH97:BH130,""))</f>
        <v>#DIV/0!</v>
      </c>
      <c r="BI191" s="30">
        <f t="array" aca="1" ref="BI191" ca="1">STDEV(IF(ISNUMBER(BI97:BI130),BI97:BI130,""))</f>
        <v>0.38176528881759558</v>
      </c>
      <c r="BJ191" s="30">
        <f t="array" aca="1" ref="BJ191" ca="1">STDEV(IF(ISNUMBER(BJ97:BJ130),BJ97:BJ130,""))</f>
        <v>0.36445629741292485</v>
      </c>
      <c r="BK191" s="30">
        <f t="array" aca="1" ref="BK191" ca="1">STDEV(IF(ISNUMBER(BK97:BK130),BK97:BK130,""))</f>
        <v>0.69803599263096872</v>
      </c>
      <c r="BL191" s="30">
        <f t="array" aca="1" ref="BL191" ca="1">STDEV(IF(ISNUMBER(BL97:BL130),BL97:BL130,""))</f>
        <v>0.4907495970633578</v>
      </c>
      <c r="BM191" s="30" t="e">
        <f t="array" ref="BM191">STDEV(IF(ISNUMBER(BM97:BM130),BM97:BM130,""))</f>
        <v>#DIV/0!</v>
      </c>
      <c r="BN191" s="30">
        <f t="array" aca="1" ref="BN191" ca="1">STDEV(IF(ISNUMBER(BN97:BN130),BN97:BN130,""))</f>
        <v>0.32249389218092073</v>
      </c>
      <c r="BO191" s="30">
        <f t="array" aca="1" ref="BO191" ca="1">STDEV(IF(ISNUMBER(BO97:BO130),BO97:BO130,""))</f>
        <v>0.2911980770907725</v>
      </c>
      <c r="BP191" s="30">
        <f t="array" aca="1" ref="BP191" ca="1">STDEV(IF(ISNUMBER(BP97:BP130),BP97:BP130,""))</f>
        <v>0.37925921629468728</v>
      </c>
      <c r="BQ191" s="30">
        <f t="array" aca="1" ref="BQ191" ca="1">STDEV(IF(ISNUMBER(BQ97:BQ130),BQ97:BQ130,""))</f>
        <v>0.32628180293112191</v>
      </c>
      <c r="BR191" s="30" t="e">
        <f t="array" ref="BR191">STDEV(IF(ISNUMBER(BR97:BR130),BR97:BR130,""))</f>
        <v>#DIV/0!</v>
      </c>
      <c r="BS191" s="30">
        <f t="array" ref="BS191">STDEV(IF(ISNUMBER(BS97:BS130),BS97:BS130,""))</f>
        <v>0.9880967311287846</v>
      </c>
      <c r="BT191" s="30">
        <f t="array" ref="BT191">STDEV(IF(ISNUMBER(BT97:BT130),BT97:BT130,""))</f>
        <v>0.47811743779614557</v>
      </c>
      <c r="BU191" s="30">
        <f t="array" ref="BU191">STDEV(IF(ISNUMBER(BU97:BU130),BU97:BU130,""))</f>
        <v>1.4032957601676963</v>
      </c>
      <c r="BV191" s="30">
        <f t="array" ref="BV191">STDEV(IF(ISNUMBER(BV97:BV130),BV97:BV130,""))</f>
        <v>1.5227851770945622</v>
      </c>
      <c r="BW191" s="30" t="e">
        <f t="array" ref="BW191">STDEV(IF(ISNUMBER(BW97:BW130),BW97:BW130,""))</f>
        <v>#DIV/0!</v>
      </c>
      <c r="BX191" s="30">
        <f t="array" aca="1" ref="BX191" ca="1">STDEV(IF(ISNUMBER(BX97:BX130),BX97:BX130,""))</f>
        <v>9.9002980948721009E-2</v>
      </c>
      <c r="BY191" s="30">
        <f t="array" aca="1" ref="BY191" ca="1">STDEV(IF(ISNUMBER(BY97:BY130),BY97:BY130,""))</f>
        <v>8.8802610704177554E-2</v>
      </c>
      <c r="BZ191" s="30">
        <f t="array" aca="1" ref="BZ191" ca="1">STDEV(IF(ISNUMBER(BZ97:BZ130),BZ97:BZ130,""))</f>
        <v>4.0821446748426075E-2</v>
      </c>
      <c r="CA191" s="30">
        <f t="array" aca="1" ref="CA191" ca="1">STDEV(IF(ISNUMBER(CA97:CA130),CA97:CA130,""))</f>
        <v>4.5354028919467292E-2</v>
      </c>
      <c r="CB191" s="30" t="e">
        <f t="array" ref="CB191">STDEV(IF(ISNUMBER(CB97:CB130),CB97:CB130,""))</f>
        <v>#DIV/0!</v>
      </c>
      <c r="CC191" s="30">
        <f t="array" aca="1" ref="CC191" ca="1">STDEV(IF(ISNUMBER(CC97:CC130),CC97:CC130,""))</f>
        <v>0.10129837968151092</v>
      </c>
      <c r="CD191" s="30">
        <f t="array" aca="1" ref="CD191" ca="1">STDEV(IF(ISNUMBER(CD97:CD130),CD97:CD130,""))</f>
        <v>8.4874295773562078E-2</v>
      </c>
      <c r="CE191" s="30">
        <f t="array" aca="1" ref="CE191" ca="1">STDEV(IF(ISNUMBER(CE97:CE130),CE97:CE130,""))</f>
        <v>4.3750011741715729E-2</v>
      </c>
      <c r="CF191" s="30">
        <f t="array" aca="1" ref="CF191" ca="1">STDEV(IF(ISNUMBER(CF97:CF130),CF97:CF130,""))</f>
        <v>4.6957907341677721E-2</v>
      </c>
      <c r="CG191" s="30" t="e">
        <f t="array" ref="CG191">STDEV(IF(ISNUMBER(CG97:CG130),CG97:CG130,""))</f>
        <v>#DIV/0!</v>
      </c>
      <c r="CH191" s="30">
        <f t="array" aca="1" ref="CH191" ca="1">STDEV(IF(ISNUMBER(CH97:CH130),CH97:CH130,""))</f>
        <v>0.23541668501247565</v>
      </c>
      <c r="CI191" s="30">
        <f t="array" aca="1" ref="CI191" ca="1">STDEV(IF(ISNUMBER(CI97:CI130),CI97:CI130,""))</f>
        <v>0.15404251463057889</v>
      </c>
      <c r="CJ191" s="30">
        <f t="array" aca="1" ref="CJ191" ca="1">STDEV(IF(ISNUMBER(CJ97:CJ130),CJ97:CJ130,""))</f>
        <v>0.13547179961762912</v>
      </c>
      <c r="CK191" s="30">
        <f t="array" aca="1" ref="CK191" ca="1">STDEV(IF(ISNUMBER(CK97:CK130),CK97:CK130,""))</f>
        <v>0.18757615644657746</v>
      </c>
      <c r="CL191" s="30" t="e">
        <f t="array" ref="CL191">STDEV(IF(ISNUMBER(CL97:CL130),CL97:CL130,""))</f>
        <v>#DIV/0!</v>
      </c>
      <c r="CM191" s="30">
        <f t="array" aca="1" ref="CM191" ca="1">STDEV(IF(ISNUMBER(CM97:CM130),CM97:CM130,""))</f>
        <v>0.33277068907604285</v>
      </c>
      <c r="CN191" s="30">
        <f t="array" aca="1" ref="CN191" ca="1">STDEV(IF(ISNUMBER(CN97:CN130),CN97:CN130,""))</f>
        <v>0.26885731755333581</v>
      </c>
      <c r="CO191" s="30">
        <f t="array" aca="1" ref="CO191" ca="1">STDEV(IF(ISNUMBER(CO97:CO130),CO97:CO130,""))</f>
        <v>0.27237317490640922</v>
      </c>
      <c r="CP191" s="30">
        <f t="array" aca="1" ref="CP191" ca="1">STDEV(IF(ISNUMBER(CP97:CP130),CP97:CP130,""))</f>
        <v>0.27943598708065015</v>
      </c>
      <c r="CQ191" s="30" t="e">
        <f t="array" ref="CQ191">STDEV(IF(ISNUMBER(CQ97:CQ130),CQ97:CQ130,""))</f>
        <v>#DIV/0!</v>
      </c>
      <c r="CR191" s="30">
        <f t="array" ref="CR191">STDEV(IF(ISNUMBER(CR97:CR130),CR97:CR130,""))</f>
        <v>1.0533145236024262</v>
      </c>
      <c r="CS191" s="30">
        <f t="array" ref="CS191">STDEV(IF(ISNUMBER(CS97:CS130),CS97:CS130,""))</f>
        <v>1.4142146320098239</v>
      </c>
      <c r="CT191" s="30">
        <f t="array" ref="CT191">STDEV(IF(ISNUMBER(CT97:CT130),CT97:CT130,""))</f>
        <v>0.61355528983754326</v>
      </c>
      <c r="CU191" s="30">
        <f t="array" ref="CU191">STDEV(IF(ISNUMBER(CU97:CU130),CU97:CU130,""))</f>
        <v>0.54623981698775392</v>
      </c>
    </row>
    <row r="192" spans="1:99" x14ac:dyDescent="0.35">
      <c r="A192" s="28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</row>
    <row r="193" spans="1:99" x14ac:dyDescent="0.35">
      <c r="A193" s="36" t="s">
        <v>367</v>
      </c>
      <c r="F193" s="34">
        <f t="shared" ref="F193:AK193" si="213">ABS(1-F187/F190)*100</f>
        <v>0.84063954329276491</v>
      </c>
      <c r="G193" s="34">
        <f t="shared" si="213"/>
        <v>1.3137482355243035</v>
      </c>
      <c r="H193" s="34">
        <f t="shared" si="213"/>
        <v>0.71296749057527808</v>
      </c>
      <c r="I193" s="34">
        <f t="shared" si="213"/>
        <v>3.6422196411651564</v>
      </c>
      <c r="J193" s="34" t="e">
        <f t="shared" si="213"/>
        <v>#DIV/0!</v>
      </c>
      <c r="K193" s="34">
        <f t="shared" ca="1" si="213"/>
        <v>2.0671287345289224</v>
      </c>
      <c r="L193" s="34">
        <f t="shared" ca="1" si="213"/>
        <v>0.81205296614572653</v>
      </c>
      <c r="M193" s="34">
        <f t="shared" ca="1" si="213"/>
        <v>1.288885314750754</v>
      </c>
      <c r="N193" s="34">
        <f t="shared" ca="1" si="213"/>
        <v>1.8628538414524387</v>
      </c>
      <c r="O193" s="34" t="e">
        <f t="shared" si="213"/>
        <v>#DIV/0!</v>
      </c>
      <c r="P193" s="34">
        <f t="shared" ca="1" si="213"/>
        <v>13.431948903738554</v>
      </c>
      <c r="Q193" s="34">
        <f t="shared" ca="1" si="213"/>
        <v>11.845553742016101</v>
      </c>
      <c r="R193" s="34">
        <f t="shared" ca="1" si="213"/>
        <v>12.587169563025768</v>
      </c>
      <c r="S193" s="34">
        <f t="shared" ca="1" si="213"/>
        <v>16.256582642966521</v>
      </c>
      <c r="T193" s="34" t="e">
        <f t="shared" si="213"/>
        <v>#DIV/0!</v>
      </c>
      <c r="U193" s="34">
        <f t="shared" ca="1" si="213"/>
        <v>10.638102023883778</v>
      </c>
      <c r="V193" s="34">
        <f t="shared" ca="1" si="213"/>
        <v>2.2806397925781874</v>
      </c>
      <c r="W193" s="34">
        <f t="shared" ca="1" si="213"/>
        <v>2.8151942718638301</v>
      </c>
      <c r="X193" s="34">
        <f t="shared" ca="1" si="213"/>
        <v>4.8538317686927961</v>
      </c>
      <c r="Y193" s="34" t="e">
        <f t="shared" si="213"/>
        <v>#DIV/0!</v>
      </c>
      <c r="Z193" s="34">
        <f t="shared" ca="1" si="213"/>
        <v>1.1080547946482167</v>
      </c>
      <c r="AA193" s="34">
        <f t="shared" ca="1" si="213"/>
        <v>2.1537193439058688</v>
      </c>
      <c r="AB193" s="34">
        <f t="shared" ca="1" si="213"/>
        <v>1.0403743426577017</v>
      </c>
      <c r="AC193" s="34">
        <f t="shared" ca="1" si="213"/>
        <v>8.2412880637241059</v>
      </c>
      <c r="AD193" s="34" t="e">
        <f t="shared" si="213"/>
        <v>#DIV/0!</v>
      </c>
      <c r="AE193" s="34">
        <f t="shared" ca="1" si="213"/>
        <v>13.980158888963546</v>
      </c>
      <c r="AF193" s="34">
        <f t="shared" ca="1" si="213"/>
        <v>12.004080090460278</v>
      </c>
      <c r="AG193" s="34">
        <f t="shared" ca="1" si="213"/>
        <v>10.278694972574376</v>
      </c>
      <c r="AH193" s="34">
        <f t="shared" ca="1" si="213"/>
        <v>20.545165795743781</v>
      </c>
      <c r="AI193" s="34" t="e">
        <f t="shared" si="213"/>
        <v>#DIV/0!</v>
      </c>
      <c r="AJ193" s="34">
        <f t="shared" ca="1" si="213"/>
        <v>9.9740855530008545</v>
      </c>
      <c r="AK193" s="34">
        <f t="shared" ca="1" si="213"/>
        <v>1.566927944802432</v>
      </c>
      <c r="AL193" s="34">
        <f t="shared" ref="AL193:BQ193" ca="1" si="214">ABS(1-AL187/AL190)*100</f>
        <v>5.668459158981487</v>
      </c>
      <c r="AM193" s="34">
        <f t="shared" ca="1" si="214"/>
        <v>6.8720612468521347</v>
      </c>
      <c r="AN193" s="34" t="e">
        <f t="shared" si="214"/>
        <v>#DIV/0!</v>
      </c>
      <c r="AO193" s="34">
        <f t="shared" ca="1" si="214"/>
        <v>53.7140727863761</v>
      </c>
      <c r="AP193" s="34">
        <f t="shared" ca="1" si="214"/>
        <v>43.61234757946211</v>
      </c>
      <c r="AQ193" s="34">
        <f t="shared" ca="1" si="214"/>
        <v>59.117536073624535</v>
      </c>
      <c r="AR193" s="34">
        <f t="shared" ca="1" si="214"/>
        <v>77.465132107708783</v>
      </c>
      <c r="AS193" s="34" t="e">
        <f t="shared" si="214"/>
        <v>#DIV/0!</v>
      </c>
      <c r="AT193" s="34">
        <f t="shared" si="214"/>
        <v>25.235640594388553</v>
      </c>
      <c r="AU193" s="34">
        <f t="shared" si="214"/>
        <v>11.95461378707372</v>
      </c>
      <c r="AV193" s="34">
        <f t="shared" si="214"/>
        <v>27.753317433147771</v>
      </c>
      <c r="AW193" s="34">
        <f t="shared" si="214"/>
        <v>11.50361026725102</v>
      </c>
      <c r="AX193" s="34" t="e">
        <f t="shared" si="214"/>
        <v>#DIV/0!</v>
      </c>
      <c r="AY193" s="34">
        <f t="shared" ca="1" si="214"/>
        <v>36.196701795079257</v>
      </c>
      <c r="AZ193" s="34">
        <f t="shared" ca="1" si="214"/>
        <v>20.614957208206953</v>
      </c>
      <c r="BA193" s="34">
        <f t="shared" ca="1" si="214"/>
        <v>31.997404176912369</v>
      </c>
      <c r="BB193" s="34">
        <f t="shared" ca="1" si="214"/>
        <v>21.815952531648175</v>
      </c>
      <c r="BC193" s="34" t="e">
        <f t="shared" si="214"/>
        <v>#DIV/0!</v>
      </c>
      <c r="BD193" s="34">
        <f t="shared" ca="1" si="214"/>
        <v>37.024735037450775</v>
      </c>
      <c r="BE193" s="34">
        <f t="shared" ca="1" si="214"/>
        <v>23.020149219573348</v>
      </c>
      <c r="BF193" s="34">
        <f t="shared" ca="1" si="214"/>
        <v>32.723427304891814</v>
      </c>
      <c r="BG193" s="34">
        <f t="shared" ca="1" si="214"/>
        <v>25.377575479514281</v>
      </c>
      <c r="BH193" s="34" t="e">
        <f t="shared" si="214"/>
        <v>#DIV/0!</v>
      </c>
      <c r="BI193" s="34">
        <f t="shared" ca="1" si="214"/>
        <v>22.18717006477473</v>
      </c>
      <c r="BJ193" s="34">
        <f t="shared" ca="1" si="214"/>
        <v>14.291728292250227</v>
      </c>
      <c r="BK193" s="34">
        <f t="shared" ca="1" si="214"/>
        <v>34.618964442786528</v>
      </c>
      <c r="BL193" s="34">
        <f t="shared" ca="1" si="214"/>
        <v>13.090187653504293</v>
      </c>
      <c r="BM193" s="34" t="e">
        <f t="shared" si="214"/>
        <v>#DIV/0!</v>
      </c>
      <c r="BN193" s="34">
        <f t="shared" ca="1" si="214"/>
        <v>72.495586260140215</v>
      </c>
      <c r="BO193" s="34">
        <f t="shared" ca="1" si="214"/>
        <v>51.966353160377921</v>
      </c>
      <c r="BP193" s="34">
        <f t="shared" ca="1" si="214"/>
        <v>4.5877238632306527</v>
      </c>
      <c r="BQ193" s="34">
        <f t="shared" ca="1" si="214"/>
        <v>73.306563777694308</v>
      </c>
      <c r="BR193" s="34" t="e">
        <f t="shared" ref="BR193:CU193" si="215">ABS(1-BR187/BR190)*100</f>
        <v>#DIV/0!</v>
      </c>
      <c r="BS193" s="34">
        <f t="shared" si="215"/>
        <v>68.101108619685817</v>
      </c>
      <c r="BT193" s="34">
        <f t="shared" si="215"/>
        <v>50.647139998182091</v>
      </c>
      <c r="BU193" s="34">
        <f t="shared" si="215"/>
        <v>56.882625494423557</v>
      </c>
      <c r="BV193" s="34">
        <f t="shared" si="215"/>
        <v>36.895572041255818</v>
      </c>
      <c r="BW193" s="34" t="e">
        <f t="shared" si="215"/>
        <v>#DIV/0!</v>
      </c>
      <c r="BX193" s="34">
        <f t="shared" ca="1" si="215"/>
        <v>72.587547533409463</v>
      </c>
      <c r="BY193" s="34">
        <f t="shared" ca="1" si="215"/>
        <v>80.703417308790819</v>
      </c>
      <c r="BZ193" s="34">
        <f t="shared" ca="1" si="215"/>
        <v>379.52042511985553</v>
      </c>
      <c r="CA193" s="34">
        <f t="shared" ca="1" si="215"/>
        <v>168.67879389767867</v>
      </c>
      <c r="CB193" s="34" t="e">
        <f t="shared" si="215"/>
        <v>#DIV/0!</v>
      </c>
      <c r="CC193" s="34">
        <f t="shared" ca="1" si="215"/>
        <v>96.868799950035296</v>
      </c>
      <c r="CD193" s="34">
        <f t="shared" ca="1" si="215"/>
        <v>109.35506323152082</v>
      </c>
      <c r="CE193" s="34">
        <f t="shared" ca="1" si="215"/>
        <v>526.61364153721536</v>
      </c>
      <c r="CF193" s="34">
        <f t="shared" ca="1" si="215"/>
        <v>197.85267180102176</v>
      </c>
      <c r="CG193" s="34" t="e">
        <f t="shared" si="215"/>
        <v>#DIV/0!</v>
      </c>
      <c r="CH193" s="34">
        <f t="shared" ca="1" si="215"/>
        <v>66.748710775098758</v>
      </c>
      <c r="CI193" s="34">
        <f t="shared" ca="1" si="215"/>
        <v>165.0162905266119</v>
      </c>
      <c r="CJ193" s="34">
        <f t="shared" ca="1" si="215"/>
        <v>387.05398212148179</v>
      </c>
      <c r="CK193" s="34">
        <f t="shared" ca="1" si="215"/>
        <v>178.76539988977126</v>
      </c>
      <c r="CL193" s="34" t="e">
        <f t="shared" si="215"/>
        <v>#DIV/0!</v>
      </c>
      <c r="CM193" s="34">
        <f t="shared" ca="1" si="215"/>
        <v>86.625083593807943</v>
      </c>
      <c r="CN193" s="34">
        <f t="shared" ca="1" si="215"/>
        <v>132.06210289557606</v>
      </c>
      <c r="CO193" s="34">
        <f t="shared" ca="1" si="215"/>
        <v>221.96880524779596</v>
      </c>
      <c r="CP193" s="34">
        <f t="shared" ca="1" si="215"/>
        <v>200.09989511575426</v>
      </c>
      <c r="CQ193" s="34" t="e">
        <f t="shared" si="215"/>
        <v>#DIV/0!</v>
      </c>
      <c r="CR193" s="34">
        <f t="shared" si="215"/>
        <v>17.719120891773088</v>
      </c>
      <c r="CS193" s="34">
        <f t="shared" si="215"/>
        <v>20.860201980010164</v>
      </c>
      <c r="CT193" s="34">
        <f t="shared" si="215"/>
        <v>24.029993921625259</v>
      </c>
      <c r="CU193" s="34">
        <f t="shared" si="215"/>
        <v>14.833927300232407</v>
      </c>
    </row>
    <row r="194" spans="1:99" x14ac:dyDescent="0.35">
      <c r="A194" s="33" t="s">
        <v>363</v>
      </c>
      <c r="B194" s="6">
        <f>B183</f>
        <v>0.05</v>
      </c>
    </row>
    <row r="195" spans="1:99" x14ac:dyDescent="0.35">
      <c r="A195" s="34" t="s">
        <v>364</v>
      </c>
      <c r="F195" s="7">
        <f t="array" ref="F195">_xlfn.T.TEST(IF(ISNUMBER(F4:F48),F4:F48,""), IF(ISNUMBER(F97:F130),F97:F130,""),1,3)</f>
        <v>0.30972651406969554</v>
      </c>
      <c r="G195" s="7">
        <f t="array" ref="G195">_xlfn.T.TEST(IF(ISNUMBER(G4:G48),G4:G48,""), IF(ISNUMBER(G97:G130),G97:G130,""),1,3)</f>
        <v>0.22169466262672144</v>
      </c>
      <c r="H195" s="7">
        <f t="array" ref="H195">_xlfn.T.TEST(IF(ISNUMBER(H4:H48),H4:H48,""), IF(ISNUMBER(H97:H130),H97:H130,""),1,3)</f>
        <v>0.34010388213195286</v>
      </c>
      <c r="I195" s="7">
        <f t="array" ref="I195">_xlfn.T.TEST(IF(ISNUMBER(I4:I48),I4:I48,""), IF(ISNUMBER(I97:I130),I97:I130,""),1,3)</f>
        <v>7.1451474192167616E-2</v>
      </c>
      <c r="J195" s="7" t="e">
        <f t="array" ref="J195">_xlfn.T.TEST(IF(ISNUMBER(J4:J48),J4:J48,""), IF(ISNUMBER(J97:J130),J97:J130,""),1,3)</f>
        <v>#DIV/0!</v>
      </c>
      <c r="K195" s="7">
        <f t="array" aca="1" ref="K195" ca="1">_xlfn.T.TEST(IF(ISNUMBER(K4:K48),K4:K48,""), IF(ISNUMBER(K97:K130),K97:K130,""),1,3)</f>
        <v>8.2168738911590114E-2</v>
      </c>
      <c r="L195" s="7">
        <f t="array" aca="1" ref="L195" ca="1">_xlfn.T.TEST(IF(ISNUMBER(L4:L48),L4:L48,""), IF(ISNUMBER(L97:L130),L97:L130,""),1,3)</f>
        <v>0.343536559443957</v>
      </c>
      <c r="M195" s="7">
        <f t="array" aca="1" ref="M195" ca="1">_xlfn.T.TEST(IF(ISNUMBER(M4:M48),M4:M48,""), IF(ISNUMBER(M97:M130),M97:M130,""),1,3)</f>
        <v>0.23828638357607346</v>
      </c>
      <c r="N195" s="7">
        <f t="array" aca="1" ref="N195" ca="1">_xlfn.T.TEST(IF(ISNUMBER(N4:N48),N4:N48,""), IF(ISNUMBER(N97:N130),N97:N130,""),1,3)</f>
        <v>0.24881130650396965</v>
      </c>
      <c r="O195" s="7" t="e">
        <f t="array" ref="O195">_xlfn.T.TEST(IF(ISNUMBER(O4:O48),O4:O48,""), IF(ISNUMBER(O97:O130),O97:O130,""),1,3)</f>
        <v>#DIV/0!</v>
      </c>
      <c r="P195" s="7">
        <f t="array" aca="1" ref="P195" ca="1">_xlfn.T.TEST(IF(ISNUMBER(P4:P48),P4:P48,""), IF(ISNUMBER(P97:P130),P97:P130,""),1,3)</f>
        <v>5.0856811528467535E-2</v>
      </c>
      <c r="Q195" s="7">
        <f t="array" aca="1" ref="Q195" ca="1">_xlfn.T.TEST(IF(ISNUMBER(Q4:Q48),Q4:Q48,""), IF(ISNUMBER(Q97:Q130),Q97:Q130,""),1,3)</f>
        <v>6.323589523632908E-3</v>
      </c>
      <c r="R195" s="7">
        <f t="array" aca="1" ref="R195" ca="1">_xlfn.T.TEST(IF(ISNUMBER(R4:R48),R4:R48,""), IF(ISNUMBER(R97:R130),R97:R130,""),1,3)</f>
        <v>1.4435229142025009E-2</v>
      </c>
      <c r="S195" s="7">
        <f t="array" aca="1" ref="S195" ca="1">_xlfn.T.TEST(IF(ISNUMBER(S4:S48),S4:S48,""), IF(ISNUMBER(S97:S130),S97:S130,""),1,3)</f>
        <v>6.8735344059932648E-3</v>
      </c>
      <c r="T195" s="7" t="e">
        <f t="array" ref="T195">_xlfn.T.TEST(IF(ISNUMBER(T4:T48),T4:T48,""), IF(ISNUMBER(T97:T130),T97:T130,""),1,3)</f>
        <v>#DIV/0!</v>
      </c>
      <c r="U195" s="7">
        <f t="array" aca="1" ref="U195" ca="1">_xlfn.T.TEST(IF(ISNUMBER(U4:U48),U4:U48,""), IF(ISNUMBER(U97:U130),U97:U130,""),1,3)</f>
        <v>0.10904766747906582</v>
      </c>
      <c r="V195" s="7">
        <f t="array" aca="1" ref="V195" ca="1">_xlfn.T.TEST(IF(ISNUMBER(V4:V48),V4:V48,""), IF(ISNUMBER(V97:V130),V97:V130,""),1,3)</f>
        <v>0.39824238811996532</v>
      </c>
      <c r="W195" s="7">
        <f t="array" aca="1" ref="W195" ca="1">_xlfn.T.TEST(IF(ISNUMBER(W4:W48),W4:W48,""), IF(ISNUMBER(W97:W130),W97:W130,""),1,3)</f>
        <v>0.38041537806776987</v>
      </c>
      <c r="X195" s="7">
        <f t="array" aca="1" ref="X195" ca="1">_xlfn.T.TEST(IF(ISNUMBER(X4:X48),X4:X48,""), IF(ISNUMBER(X97:X130),X97:X130,""),1,3)</f>
        <v>0.2526281210142729</v>
      </c>
      <c r="Y195" s="7" t="e">
        <f t="array" ref="Y195">_xlfn.T.TEST(IF(ISNUMBER(Y4:Y48),Y4:Y48,""), IF(ISNUMBER(Y97:Y130),Y97:Y130,""),1,3)</f>
        <v>#DIV/0!</v>
      </c>
      <c r="Z195" s="7">
        <f t="array" aca="1" ref="Z195" ca="1">_xlfn.T.TEST(IF(ISNUMBER(Z4:Z48),Z4:Z48,""), IF(ISNUMBER(Z97:Z130),Z97:Z130,""),1,3)</f>
        <v>0.36404348204034209</v>
      </c>
      <c r="AA195" s="7">
        <f t="array" aca="1" ref="AA195" ca="1">_xlfn.T.TEST(IF(ISNUMBER(AA4:AA48),AA4:AA48,""), IF(ISNUMBER(AA97:AA130),AA97:AA130,""),1,3)</f>
        <v>0.20410552987598451</v>
      </c>
      <c r="AB195" s="7">
        <f t="array" aca="1" ref="AB195" ca="1">_xlfn.T.TEST(IF(ISNUMBER(AB4:AB48),AB4:AB48,""), IF(ISNUMBER(AB97:AB130),AB97:AB130,""),1,3)</f>
        <v>0.40179429492153645</v>
      </c>
      <c r="AC195" s="7">
        <f t="array" aca="1" ref="AC195" ca="1">_xlfn.T.TEST(IF(ISNUMBER(AC4:AC48),AC4:AC48,""), IF(ISNUMBER(AC97:AC130),AC97:AC130,""),1,3)</f>
        <v>5.5838518670233171E-2</v>
      </c>
      <c r="AD195" s="7" t="e">
        <f t="array" ref="AD195">_xlfn.T.TEST(IF(ISNUMBER(AD4:AD48),AD4:AD48,""), IF(ISNUMBER(AD97:AD130),AD97:AD130,""),1,3)</f>
        <v>#DIV/0!</v>
      </c>
      <c r="AE195" s="7">
        <f t="array" aca="1" ref="AE195" ca="1">_xlfn.T.TEST(IF(ISNUMBER(AE4:AE48),AE4:AE48,""), IF(ISNUMBER(AE97:AE130),AE97:AE130,""),1,3)</f>
        <v>4.9538597677758409E-2</v>
      </c>
      <c r="AF195" s="7">
        <f t="array" aca="1" ref="AF195" ca="1">_xlfn.T.TEST(IF(ISNUMBER(AF4:AF48),AF4:AF48,""), IF(ISNUMBER(AF97:AF130),AF97:AF130,""),1,3)</f>
        <v>6.9930584208106631E-3</v>
      </c>
      <c r="AG195" s="7">
        <f t="array" aca="1" ref="AG195" ca="1">_xlfn.T.TEST(IF(ISNUMBER(AG4:AG48),AG4:AG48,""), IF(ISNUMBER(AG97:AG130),AG97:AG130,""),1,3)</f>
        <v>5.3944929833057854E-2</v>
      </c>
      <c r="AH195" s="7">
        <f t="array" aca="1" ref="AH195" ca="1">_xlfn.T.TEST(IF(ISNUMBER(AH4:AH48),AH4:AH48,""), IF(ISNUMBER(AH97:AH130),AH97:AH130,""),1,3)</f>
        <v>2.4683656550973949E-3</v>
      </c>
      <c r="AI195" s="7" t="e">
        <f t="array" ref="AI195">_xlfn.T.TEST(IF(ISNUMBER(AI4:AI48),AI4:AI48,""), IF(ISNUMBER(AI97:AI130),AI97:AI130,""),1,3)</f>
        <v>#DIV/0!</v>
      </c>
      <c r="AJ195" s="7">
        <f t="array" aca="1" ref="AJ195" ca="1">_xlfn.T.TEST(IF(ISNUMBER(AJ4:AJ48),AJ4:AJ48,""), IF(ISNUMBER(AJ97:AJ130),AJ97:AJ130,""),1,3)</f>
        <v>0.12591671561515824</v>
      </c>
      <c r="AK195" s="7">
        <f t="array" aca="1" ref="AK195" ca="1">_xlfn.T.TEST(IF(ISNUMBER(AK4:AK48),AK4:AK48,""), IF(ISNUMBER(AK97:AK130),AK97:AK130,""),1,3)</f>
        <v>0.42993428067259276</v>
      </c>
      <c r="AL195" s="7">
        <f t="array" aca="1" ref="AL195" ca="1">_xlfn.T.TEST(IF(ISNUMBER(AL4:AL48),AL4:AL48,""), IF(ISNUMBER(AL97:AL130),AL97:AL130,""),1,3)</f>
        <v>0.27691002440561813</v>
      </c>
      <c r="AM195" s="7">
        <f t="array" aca="1" ref="AM195" ca="1">_xlfn.T.TEST(IF(ISNUMBER(AM4:AM48),AM4:AM48,""), IF(ISNUMBER(AM97:AM130),AM97:AM130,""),1,3)</f>
        <v>0.18135388986247214</v>
      </c>
      <c r="AN195" s="7" t="e">
        <f t="array" ref="AN195">_xlfn.T.TEST(IF(ISNUMBER(AN4:AN48),AN4:AN48,""), IF(ISNUMBER(AN97:AN130),AN97:AN130,""),1,3)</f>
        <v>#DIV/0!</v>
      </c>
      <c r="AO195" s="7">
        <f t="array" aca="1" ref="AO195" ca="1">_xlfn.T.TEST(IF(ISNUMBER(AO4:AO48),AO4:AO48,""), IF(ISNUMBER(AO97:AO130),AO97:AO130,""),1,3)</f>
        <v>0.17229035121450165</v>
      </c>
      <c r="AP195" s="7">
        <f t="array" aca="1" ref="AP195" ca="1">_xlfn.T.TEST(IF(ISNUMBER(AP4:AP48),AP4:AP48,""), IF(ISNUMBER(AP97:AP130),AP97:AP130,""),1,3)</f>
        <v>7.3175033610159035E-2</v>
      </c>
      <c r="AQ195" s="7">
        <f t="array" aca="1" ref="AQ195" ca="1">_xlfn.T.TEST(IF(ISNUMBER(AQ4:AQ48),AQ4:AQ48,""), IF(ISNUMBER(AQ97:AQ130),AQ97:AQ130,""),1,3)</f>
        <v>6.5806589194007045E-2</v>
      </c>
      <c r="AR195" s="7">
        <f t="array" aca="1" ref="AR195" ca="1">_xlfn.T.TEST(IF(ISNUMBER(AR4:AR48),AR4:AR48,""), IF(ISNUMBER(AR97:AR130),AR97:AR130,""),1,3)</f>
        <v>1.9231386541673383E-2</v>
      </c>
      <c r="AS195" s="7" t="e">
        <f t="array" ref="AS195">_xlfn.T.TEST(IF(ISNUMBER(AS4:AS48),AS4:AS48,""), IF(ISNUMBER(AS97:AS130),AS97:AS130,""),1,3)</f>
        <v>#DIV/0!</v>
      </c>
      <c r="AT195" s="7">
        <f t="array" ref="AT195">_xlfn.T.TEST(IF(ISNUMBER(AT4:AT48),AT4:AT48,""), IF(ISNUMBER(AT97:AT130),AT97:AT130,""),1,3)</f>
        <v>0.25669909265943702</v>
      </c>
      <c r="AU195" s="7">
        <f t="array" ref="AU195">_xlfn.T.TEST(IF(ISNUMBER(AU4:AU48),AU4:AU48,""), IF(ISNUMBER(AU97:AU130),AU97:AU130,""),1,3)</f>
        <v>0.42068371927289022</v>
      </c>
      <c r="AV195" s="7">
        <f t="array" ref="AV195">_xlfn.T.TEST(IF(ISNUMBER(AV4:AV48),AV4:AV48,""), IF(ISNUMBER(AV97:AV130),AV97:AV130,""),1,3)</f>
        <v>0.29235270646108558</v>
      </c>
      <c r="AW195" s="7">
        <f t="array" ref="AW195">_xlfn.T.TEST(IF(ISNUMBER(AW4:AW48),AW4:AW48,""), IF(ISNUMBER(AW97:AW130),AW97:AW130,""),1,3)</f>
        <v>0.42530460631897127</v>
      </c>
      <c r="AX195" s="7" t="e">
        <f t="array" ref="AX195">_xlfn.T.TEST(IF(ISNUMBER(AX4:AX48),AX4:AX48,""), IF(ISNUMBER(AX97:AX130),AX97:AX130,""),1,3)</f>
        <v>#DIV/0!</v>
      </c>
      <c r="AY195" s="7">
        <f t="array" aca="1" ref="AY195" ca="1">_xlfn.T.TEST(IF(ISNUMBER(AY4:AY48),AY4:AY48,""), IF(ISNUMBER(AY97:AY130),AY97:AY130,""),1,3)</f>
        <v>4.1681483801224363E-2</v>
      </c>
      <c r="AZ195" s="7">
        <f t="array" aca="1" ref="AZ195" ca="1">_xlfn.T.TEST(IF(ISNUMBER(AZ4:AZ48),AZ4:AZ48,""), IF(ISNUMBER(AZ97:AZ130),AZ97:AZ130,""),1,3)</f>
        <v>9.5511126782918995E-2</v>
      </c>
      <c r="BA195" s="7">
        <f t="array" aca="1" ref="BA195" ca="1">_xlfn.T.TEST(IF(ISNUMBER(BA4:BA48),BA4:BA48,""), IF(ISNUMBER(BA97:BA130),BA97:BA130,""),1,3)</f>
        <v>6.4447054402248877E-2</v>
      </c>
      <c r="BB195" s="7">
        <f t="array" aca="1" ref="BB195" ca="1">_xlfn.T.TEST(IF(ISNUMBER(BB4:BB48),BB4:BB48,""), IF(ISNUMBER(BB97:BB130),BB97:BB130,""),1,3)</f>
        <v>0.14956440823789227</v>
      </c>
      <c r="BC195" s="7" t="e">
        <f t="array" ref="BC195">_xlfn.T.TEST(IF(ISNUMBER(BC4:BC48),BC4:BC48,""), IF(ISNUMBER(BC97:BC130),BC97:BC130,""),1,3)</f>
        <v>#DIV/0!</v>
      </c>
      <c r="BD195" s="7">
        <f t="array" aca="1" ref="BD195" ca="1">_xlfn.T.TEST(IF(ISNUMBER(BD4:BD48),BD4:BD48,""), IF(ISNUMBER(BD97:BD130),BD97:BD130,""),1,3)</f>
        <v>4.1694402605803572E-2</v>
      </c>
      <c r="BE195" s="7">
        <f t="array" aca="1" ref="BE195" ca="1">_xlfn.T.TEST(IF(ISNUMBER(BE4:BE48),BE4:BE48,""), IF(ISNUMBER(BE97:BE130),BE97:BE130,""),1,3)</f>
        <v>8.261684536412521E-2</v>
      </c>
      <c r="BF195" s="7">
        <f t="array" aca="1" ref="BF195" ca="1">_xlfn.T.TEST(IF(ISNUMBER(BF4:BF48),BF4:BF48,""), IF(ISNUMBER(BF97:BF130),BF97:BF130,""),1,3)</f>
        <v>9.3159331235643378E-2</v>
      </c>
      <c r="BG195" s="7">
        <f t="array" aca="1" ref="BG195" ca="1">_xlfn.T.TEST(IF(ISNUMBER(BG4:BG48),BG4:BG48,""), IF(ISNUMBER(BG97:BG130),BG97:BG130,""),1,3)</f>
        <v>0.12010420777861379</v>
      </c>
      <c r="BH195" s="7" t="e">
        <f t="array" ref="BH195">_xlfn.T.TEST(IF(ISNUMBER(BH4:BH48),BH4:BH48,""), IF(ISNUMBER(BH97:BH130),BH97:BH130,""),1,3)</f>
        <v>#DIV/0!</v>
      </c>
      <c r="BI195" s="7">
        <f t="array" aca="1" ref="BI195" ca="1">_xlfn.T.TEST(IF(ISNUMBER(BI4:BI48),BI4:BI48,""), IF(ISNUMBER(BI97:BI130),BI97:BI130,""),1,3)</f>
        <v>0.10623976724477786</v>
      </c>
      <c r="BJ195" s="7">
        <f t="array" aca="1" ref="BJ195" ca="1">_xlfn.T.TEST(IF(ISNUMBER(BJ4:BJ48),BJ4:BJ48,""), IF(ISNUMBER(BJ97:BJ130),BJ97:BJ130,""),1,3)</f>
        <v>0.16429959810856964</v>
      </c>
      <c r="BK195" s="7">
        <f t="array" aca="1" ref="BK195" ca="1">_xlfn.T.TEST(IF(ISNUMBER(BK4:BK48),BK4:BK48,""), IF(ISNUMBER(BK97:BK130),BK97:BK130,""),1,3)</f>
        <v>5.1980712134660989E-2</v>
      </c>
      <c r="BL195" s="7">
        <f t="array" aca="1" ref="BL195" ca="1">_xlfn.T.TEST(IF(ISNUMBER(BL4:BL48),BL4:BL48,""), IF(ISNUMBER(BL97:BL130),BL97:BL130,""),1,3)</f>
        <v>0.26797145741989525</v>
      </c>
      <c r="BM195" s="7" t="e">
        <f t="array" ref="BM195">_xlfn.T.TEST(IF(ISNUMBER(BM4:BM48),BM4:BM48,""), IF(ISNUMBER(BM97:BM130),BM97:BM130,""),1,3)</f>
        <v>#DIV/0!</v>
      </c>
      <c r="BN195" s="7">
        <f t="array" aca="1" ref="BN195" ca="1">_xlfn.T.TEST(IF(ISNUMBER(BN4:BN48),BN4:BN48,""), IF(ISNUMBER(BN97:BN130),BN97:BN130,""),1,3)</f>
        <v>1.1514254064903877E-2</v>
      </c>
      <c r="BO195" s="7">
        <f t="array" aca="1" ref="BO195" ca="1">_xlfn.T.TEST(IF(ISNUMBER(BO4:BO48),BO4:BO48,""), IF(ISNUMBER(BO97:BO130),BO97:BO130,""),1,3)</f>
        <v>3.7324411188909036E-2</v>
      </c>
      <c r="BP195" s="7">
        <f t="array" aca="1" ref="BP195" ca="1">_xlfn.T.TEST(IF(ISNUMBER(BP4:BP48),BP4:BP48,""), IF(ISNUMBER(BP97:BP130),BP97:BP130,""),1,3)</f>
        <v>0.40271458381976077</v>
      </c>
      <c r="BQ195" s="7">
        <f t="array" aca="1" ref="BQ195" ca="1">_xlfn.T.TEST(IF(ISNUMBER(BQ4:BQ48),BQ4:BQ48,""), IF(ISNUMBER(BQ97:BQ130),BQ97:BQ130,""),1,3)</f>
        <v>9.1292478086114869E-3</v>
      </c>
      <c r="BR195" s="7" t="e">
        <f t="array" ref="BR195">_xlfn.T.TEST(IF(ISNUMBER(BR4:BR48),BR4:BR48,""), IF(ISNUMBER(BR97:BR130),BR97:BR130,""),1,3)</f>
        <v>#DIV/0!</v>
      </c>
      <c r="BS195" s="7">
        <f t="array" ref="BS195">_xlfn.T.TEST(IF(ISNUMBER(BS4:BS48),BS4:BS48,""), IF(ISNUMBER(BS97:BS130),BS97:BS130,""),1,3)</f>
        <v>1.5690521310108715E-2</v>
      </c>
      <c r="BT195" s="7">
        <f t="array" ref="BT195">_xlfn.T.TEST(IF(ISNUMBER(BT4:BT48),BT4:BT48,""), IF(ISNUMBER(BT97:BT130),BT97:BT130,""),1,3)</f>
        <v>6.5023583951633143E-2</v>
      </c>
      <c r="BU195" s="7">
        <f t="array" ref="BU195">_xlfn.T.TEST(IF(ISNUMBER(BU4:BU48),BU4:BU48,""), IF(ISNUMBER(BU97:BU130),BU97:BU130,""),1,3)</f>
        <v>2.7306853551042572E-2</v>
      </c>
      <c r="BV195" s="7">
        <f t="array" ref="BV195">_xlfn.T.TEST(IF(ISNUMBER(BV4:BV48),BV4:BV48,""), IF(ISNUMBER(BV97:BV130),BV97:BV130,""),1,3)</f>
        <v>0.1144253294938091</v>
      </c>
      <c r="BW195" s="7" t="e">
        <f t="array" ref="BW195">_xlfn.T.TEST(IF(ISNUMBER(BW4:BW48),BW4:BW48,""), IF(ISNUMBER(BW97:BW130),BW97:BW130,""),1,3)</f>
        <v>#DIV/0!</v>
      </c>
      <c r="BX195" s="7">
        <f t="array" aca="1" ref="BX195" ca="1">_xlfn.T.TEST(IF(ISNUMBER(BX4:BX48),BX4:BX48,""), IF(ISNUMBER(BX97:BX130),BX97:BX130,""),1,3)</f>
        <v>0.1221680944601342</v>
      </c>
      <c r="BY195" s="7">
        <f t="array" aca="1" ref="BY195" ca="1">_xlfn.T.TEST(IF(ISNUMBER(BY4:BY48),BY4:BY48,""), IF(ISNUMBER(BY97:BY130),BY97:BY130,""),1,3)</f>
        <v>8.4509678573271116E-2</v>
      </c>
      <c r="BZ195" s="7">
        <f t="array" aca="1" ref="BZ195" ca="1">_xlfn.T.TEST(IF(ISNUMBER(BZ4:BZ48),BZ4:BZ48,""), IF(ISNUMBER(BZ97:BZ130),BZ97:BZ130,""),1,3)</f>
        <v>9.5049222373344341E-3</v>
      </c>
      <c r="CA195" s="7">
        <f t="array" aca="1" ref="CA195" ca="1">_xlfn.T.TEST(IF(ISNUMBER(CA4:CA48),CA4:CA48,""), IF(ISNUMBER(CA97:CA130),CA97:CA130,""),1,3)</f>
        <v>3.2245107217810362E-2</v>
      </c>
      <c r="CB195" s="7" t="e">
        <f t="array" ref="CB195">_xlfn.T.TEST(IF(ISNUMBER(CB4:CB48),CB4:CB48,""), IF(ISNUMBER(CB97:CB130),CB97:CB130,""),1,3)</f>
        <v>#DIV/0!</v>
      </c>
      <c r="CC195" s="7">
        <f t="array" aca="1" ref="CC195" ca="1">_xlfn.T.TEST(IF(ISNUMBER(CC4:CC48),CC4:CC48,""), IF(ISNUMBER(CC97:CC130),CC97:CC130,""),1,3)</f>
        <v>0.10038875266297911</v>
      </c>
      <c r="CD195" s="7">
        <f t="array" aca="1" ref="CD195" ca="1">_xlfn.T.TEST(IF(ISNUMBER(CD4:CD48),CD4:CD48,""), IF(ISNUMBER(CD97:CD130),CD97:CD130,""),1,3)</f>
        <v>6.4352916091328816E-2</v>
      </c>
      <c r="CE195" s="7">
        <f t="array" aca="1" ref="CE195" ca="1">_xlfn.T.TEST(IF(ISNUMBER(CE4:CE48),CE4:CE48,""), IF(ISNUMBER(CE97:CE130),CE97:CE130,""),1,3)</f>
        <v>7.6401881812064448E-3</v>
      </c>
      <c r="CF195" s="7">
        <f t="array" aca="1" ref="CF195" ca="1">_xlfn.T.TEST(IF(ISNUMBER(CF4:CF48),CF4:CF48,""), IF(ISNUMBER(CF97:CF130),CF97:CF130,""),1,3)</f>
        <v>5.8728248241425543E-2</v>
      </c>
      <c r="CG195" s="7" t="e">
        <f t="array" ref="CG195">_xlfn.T.TEST(IF(ISNUMBER(CG4:CG48),CG4:CG48,""), IF(ISNUMBER(CG97:CG130),CG97:CG130,""),1,3)</f>
        <v>#DIV/0!</v>
      </c>
      <c r="CH195" s="7">
        <f t="array" aca="1" ref="CH195" ca="1">_xlfn.T.TEST(IF(ISNUMBER(CH4:CH48),CH4:CH48,""), IF(ISNUMBER(CH97:CH130),CH97:CH130,""),1,3)</f>
        <v>0.14788338107267657</v>
      </c>
      <c r="CI195" s="7">
        <f t="array" aca="1" ref="CI195" ca="1">_xlfn.T.TEST(IF(ISNUMBER(CI4:CI48),CI4:CI48,""), IF(ISNUMBER(CI97:CI130),CI97:CI130,""),1,3)</f>
        <v>1.4738412409115097E-2</v>
      </c>
      <c r="CJ195" s="7">
        <f t="array" aca="1" ref="CJ195" ca="1">_xlfn.T.TEST(IF(ISNUMBER(CJ4:CJ48),CJ4:CJ48,""), IF(ISNUMBER(CJ97:CJ130),CJ97:CJ130,""),1,3)</f>
        <v>7.3846480736449241E-3</v>
      </c>
      <c r="CK195" s="7">
        <f t="array" aca="1" ref="CK195" ca="1">_xlfn.T.TEST(IF(ISNUMBER(CK4:CK48),CK4:CK48,""), IF(ISNUMBER(CK97:CK130),CK97:CK130,""),1,3)</f>
        <v>5.8053495022551874E-2</v>
      </c>
      <c r="CL195" s="7" t="e">
        <f t="array" ref="CL195">_xlfn.T.TEST(IF(ISNUMBER(CL4:CL48),CL4:CL48,""), IF(ISNUMBER(CL97:CL130),CL97:CL130,""),1,3)</f>
        <v>#DIV/0!</v>
      </c>
      <c r="CM195" s="7">
        <f t="array" aca="1" ref="CM195" ca="1">_xlfn.T.TEST(IF(ISNUMBER(CM4:CM48),CM4:CM48,""), IF(ISNUMBER(CM97:CM130),CM97:CM130,""),1,3)</f>
        <v>3.7924469607896354E-2</v>
      </c>
      <c r="CN195" s="7">
        <f t="array" aca="1" ref="CN195" ca="1">_xlfn.T.TEST(IF(ISNUMBER(CN4:CN48),CN4:CN48,""), IF(ISNUMBER(CN97:CN130),CN97:CN130,""),1,3)</f>
        <v>3.3823806200390816E-3</v>
      </c>
      <c r="CO195" s="7">
        <f t="array" aca="1" ref="CO195" ca="1">_xlfn.T.TEST(IF(ISNUMBER(CO4:CO48),CO4:CO48,""), IF(ISNUMBER(CO97:CO130),CO97:CO130,""),1,3)</f>
        <v>3.5711250115037837E-3</v>
      </c>
      <c r="CP195" s="7">
        <f t="array" aca="1" ref="CP195" ca="1">_xlfn.T.TEST(IF(ISNUMBER(CP4:CP48),CP4:CP48,""), IF(ISNUMBER(CP97:CP130),CP97:CP130,""),1,3)</f>
        <v>1.9791486337945234E-3</v>
      </c>
      <c r="CQ195" s="7" t="e">
        <f t="array" ref="CQ195">_xlfn.T.TEST(IF(ISNUMBER(CQ4:CQ48),CQ4:CQ48,""), IF(ISNUMBER(CQ97:CQ130),CQ97:CQ130,""),1,3)</f>
        <v>#DIV/0!</v>
      </c>
      <c r="CR195" s="7">
        <f t="array" ref="CR195">_xlfn.T.TEST(IF(ISNUMBER(CR4:CR48),CR4:CR48,""), IF(ISNUMBER(CR97:CR130),CR97:CR130,""),1,3)</f>
        <v>2.4208463245810549E-2</v>
      </c>
      <c r="CS195" s="7">
        <f t="array" ref="CS195">_xlfn.T.TEST(IF(ISNUMBER(CS4:CS48),CS4:CS48,""), IF(ISNUMBER(CS97:CS130),CS97:CS130,""),1,3)</f>
        <v>7.3531456393260225E-2</v>
      </c>
      <c r="CT195" s="7">
        <f t="array" ref="CT195">_xlfn.T.TEST(IF(ISNUMBER(CT4:CT48),CT4:CT48,""), IF(ISNUMBER(CT97:CT130),CT97:CT130,""),1,3)</f>
        <v>1.2273637722065591E-3</v>
      </c>
      <c r="CU195" s="7">
        <f t="array" ref="CU195">_xlfn.T.TEST(IF(ISNUMBER(CU4:CU48),CU4:CU48,""), IF(ISNUMBER(CU97:CU130),CU97:CU130,""),1,3)</f>
        <v>1.1465269063849877E-2</v>
      </c>
    </row>
    <row r="197" spans="1:99" s="90" customFormat="1" x14ac:dyDescent="0.35">
      <c r="A197" s="27" t="s">
        <v>366</v>
      </c>
      <c r="B197" s="27"/>
      <c r="C197" s="27"/>
      <c r="D197" s="27"/>
    </row>
    <row r="198" spans="1:99" x14ac:dyDescent="0.35">
      <c r="A198" s="29" t="s">
        <v>359</v>
      </c>
      <c r="F198" s="31">
        <f t="array" ref="F198">AVERAGEIF(F49:F96,"&lt;&gt;#N/A")</f>
        <v>4.0142093023255798</v>
      </c>
      <c r="G198" s="31">
        <f t="array" ref="G198">AVERAGEIF(G49:G96,"&lt;&gt;#N/A")</f>
        <v>4.0139782608695631</v>
      </c>
      <c r="H198" s="31">
        <f t="array" ref="H198">AVERAGEIF(H49:H96,"&lt;&gt;#N/A")</f>
        <v>3.9709999999999992</v>
      </c>
      <c r="I198" s="31">
        <f t="array" ref="I198">AVERAGEIF(I49:I96,"&lt;&gt;#N/A")</f>
        <v>3.9922142857142844</v>
      </c>
      <c r="J198" s="31" t="e">
        <f t="array" ref="J198">AVERAGEIF(J49:J96,"&lt;&gt;#N/A")</f>
        <v>#DIV/0!</v>
      </c>
      <c r="K198" s="31">
        <f t="array" aca="1" ref="K198" ca="1">AVERAGEIF(K49:K96,"&lt;&gt;#N/A")</f>
        <v>0.97699474375748374</v>
      </c>
      <c r="L198" s="31">
        <f t="array" aca="1" ref="L198" ca="1">AVERAGEIF(L49:L96,"&lt;&gt;#N/A")</f>
        <v>0.97974424014007822</v>
      </c>
      <c r="M198" s="31">
        <f t="array" aca="1" ref="M198" ca="1">AVERAGEIF(M49:M96,"&lt;&gt;#N/A")</f>
        <v>0.97694793008080438</v>
      </c>
      <c r="N198" s="31">
        <f t="array" aca="1" ref="N198" ca="1">AVERAGEIF(N49:N96,"&lt;&gt;#N/A")</f>
        <v>0.97490234316643087</v>
      </c>
      <c r="O198" s="31" t="e">
        <f t="array" ref="O198">AVERAGEIF(O49:O96,"&lt;&gt;#N/A")</f>
        <v>#DIV/0!</v>
      </c>
      <c r="P198" s="31">
        <f t="array" aca="1" ref="P198" ca="1">AVERAGEIF(P49:P96,"&lt;&gt;#N/A")</f>
        <v>0.82970002425762968</v>
      </c>
      <c r="Q198" s="31">
        <f t="array" aca="1" ref="Q198" ca="1">AVERAGEIF(Q49:Q96,"&lt;&gt;#N/A")</f>
        <v>0.81226388946970751</v>
      </c>
      <c r="R198" s="31">
        <f t="array" aca="1" ref="R198" ca="1">AVERAGEIF(R49:R96,"&lt;&gt;#N/A")</f>
        <v>0.83099124309182271</v>
      </c>
      <c r="S198" s="31">
        <f t="array" aca="1" ref="S198" ca="1">AVERAGEIF(S49:S96,"&lt;&gt;#N/A")</f>
        <v>0.80165104126821352</v>
      </c>
      <c r="T198" s="31" t="e">
        <f t="array" ref="T198">AVERAGEIF(T49:T96,"&lt;&gt;#N/A")</f>
        <v>#DIV/0!</v>
      </c>
      <c r="U198" s="31">
        <f t="array" aca="1" ref="U198" ca="1">AVERAGEIF(U49:U96,"&lt;&gt;#N/A")</f>
        <v>2.1780703399531602</v>
      </c>
      <c r="V198" s="31">
        <f t="array" aca="1" ref="V198" ca="1">AVERAGEIF(V49:V96,"&lt;&gt;#N/A")</f>
        <v>2.204308897694768</v>
      </c>
      <c r="W198" s="31">
        <f t="array" aca="1" ref="W198" ca="1">AVERAGEIF(W49:W96,"&lt;&gt;#N/A")</f>
        <v>2.4911486711449182</v>
      </c>
      <c r="X198" s="31">
        <f t="array" aca="1" ref="X198" ca="1">AVERAGEIF(X49:X96,"&lt;&gt;#N/A")</f>
        <v>2.4800583647446035</v>
      </c>
      <c r="Y198" s="31" t="e">
        <f t="array" ref="Y198">AVERAGEIF(Y49:Y96,"&lt;&gt;#N/A")</f>
        <v>#DIV/0!</v>
      </c>
      <c r="Z198" s="31">
        <f t="array" aca="1" ref="Z198" ca="1">AVERAGEIF(Z49:Z96,"&lt;&gt;#N/A")</f>
        <v>0.93239572857859121</v>
      </c>
      <c r="AA198" s="31">
        <f t="array" aca="1" ref="AA198" ca="1">AVERAGEIF(AA49:AA96,"&lt;&gt;#N/A")</f>
        <v>0.94934976695391449</v>
      </c>
      <c r="AB198" s="31">
        <f t="array" aca="1" ref="AB198" ca="1">AVERAGEIF(AB49:AB96,"&lt;&gt;#N/A")</f>
        <v>0.9183123963558546</v>
      </c>
      <c r="AC198" s="31">
        <f t="array" aca="1" ref="AC198" ca="1">AVERAGEIF(AC49:AC96,"&lt;&gt;#N/A")</f>
        <v>0.8903580328606473</v>
      </c>
      <c r="AD198" s="31" t="e">
        <f t="array" ref="AD198">AVERAGEIF(AD49:AD96,"&lt;&gt;#N/A")</f>
        <v>#DIV/0!</v>
      </c>
      <c r="AE198" s="31">
        <f t="array" aca="1" ref="AE198" ca="1">AVERAGEIF(AE49:AE96,"&lt;&gt;#N/A")</f>
        <v>0.81407085097595089</v>
      </c>
      <c r="AF198" s="31">
        <f t="array" aca="1" ref="AF198" ca="1">AVERAGEIF(AF49:AF96,"&lt;&gt;#N/A")</f>
        <v>0.80333245115290641</v>
      </c>
      <c r="AG198" s="31">
        <f t="array" aca="1" ref="AG198" ca="1">AVERAGEIF(AG49:AG96,"&lt;&gt;#N/A")</f>
        <v>0.78711112372921699</v>
      </c>
      <c r="AH198" s="31">
        <f t="array" aca="1" ref="AH198" ca="1">AVERAGEIF(AH49:AH96,"&lt;&gt;#N/A")</f>
        <v>0.75478624931768057</v>
      </c>
      <c r="AI198" s="31" t="e">
        <f t="array" ref="AI198">AVERAGEIF(AI49:AI96,"&lt;&gt;#N/A")</f>
        <v>#DIV/0!</v>
      </c>
      <c r="AJ198" s="31">
        <f t="array" aca="1" ref="AJ198" ca="1">AVERAGEIF(AJ49:AJ96,"&lt;&gt;#N/A")</f>
        <v>2.0912181965946033</v>
      </c>
      <c r="AK198" s="31">
        <f t="array" aca="1" ref="AK198" ca="1">AVERAGEIF(AK49:AK96,"&lt;&gt;#N/A")</f>
        <v>2.1501829642511687</v>
      </c>
      <c r="AL198" s="31">
        <f t="array" aca="1" ref="AL198" ca="1">AVERAGEIF(AL49:AL96,"&lt;&gt;#N/A")</f>
        <v>2.3539040644763718</v>
      </c>
      <c r="AM198" s="31">
        <f t="array" aca="1" ref="AM198" ca="1">AVERAGEIF(AM49:AM96,"&lt;&gt;#N/A")</f>
        <v>2.3242467120059382</v>
      </c>
      <c r="AN198" s="31" t="e">
        <f t="array" ref="AN198">AVERAGEIF(AN49:AN96,"&lt;&gt;#N/A")</f>
        <v>#DIV/0!</v>
      </c>
      <c r="AO198" s="31">
        <f t="array" aca="1" ref="AO198" ca="1">AVERAGEIF(AO49:AO96,"&lt;&gt;#N/A")</f>
        <v>0.52143894293585757</v>
      </c>
      <c r="AP198" s="31">
        <f t="array" aca="1" ref="AP198" ca="1">AVERAGEIF(AP49:AP96,"&lt;&gt;#N/A")</f>
        <v>0.47657670097618759</v>
      </c>
      <c r="AQ198" s="31">
        <f t="array" aca="1" ref="AQ198" ca="1">AVERAGEIF(AQ49:AQ96,"&lt;&gt;#N/A")</f>
        <v>0.44835503289483136</v>
      </c>
      <c r="AR198" s="31">
        <f t="array" aca="1" ref="AR198" ca="1">AVERAGEIF(AR49:AR96,"&lt;&gt;#N/A")</f>
        <v>0.5749383526951557</v>
      </c>
      <c r="AS198" s="31" t="e">
        <f t="array" ref="AS198">AVERAGEIF(AS49:AS96,"&lt;&gt;#N/A")</f>
        <v>#DIV/0!</v>
      </c>
      <c r="AT198" s="31">
        <f t="array" ref="AT198">AVERAGEIF(AT49:AT96,"&lt;&gt;#N/A")</f>
        <v>0.11867391259115918</v>
      </c>
      <c r="AU198" s="31">
        <f t="array" ref="AU198">AVERAGEIF(AU49:AU96,"&lt;&gt;#N/A")</f>
        <v>0.19097916680281438</v>
      </c>
      <c r="AV198" s="31">
        <f t="array" ref="AV198">AVERAGEIF(AV49:AV96,"&lt;&gt;#N/A")</f>
        <v>0.1930666654008544</v>
      </c>
      <c r="AW198" s="31">
        <f t="array" ref="AW198">AVERAGEIF(AW49:AW96,"&lt;&gt;#N/A")</f>
        <v>0.1168863629705315</v>
      </c>
      <c r="AX198" s="31" t="e">
        <f t="array" ref="AX198">AVERAGEIF(AX49:AX96,"&lt;&gt;#N/A")</f>
        <v>#DIV/0!</v>
      </c>
      <c r="AY198" s="31">
        <f t="array" aca="1" ref="AY198" ca="1">AVERAGEIF(AY49:AY96,"&lt;&gt;#N/A")</f>
        <v>0.35966187276722283</v>
      </c>
      <c r="AZ198" s="31">
        <f t="array" aca="1" ref="AZ198" ca="1">AVERAGEIF(AZ49:AZ96,"&lt;&gt;#N/A")</f>
        <v>0.35518524346890723</v>
      </c>
      <c r="BA198" s="31">
        <f t="array" aca="1" ref="BA198" ca="1">AVERAGEIF(BA49:BA96,"&lt;&gt;#N/A")</f>
        <v>0.35934583577639095</v>
      </c>
      <c r="BB198" s="31">
        <f t="array" aca="1" ref="BB198" ca="1">AVERAGEIF(BB49:BB96,"&lt;&gt;#N/A")</f>
        <v>0.32357577223191081</v>
      </c>
      <c r="BC198" s="31" t="e">
        <f t="array" ref="BC198">AVERAGEIF(BC49:BC96,"&lt;&gt;#N/A")</f>
        <v>#DIV/0!</v>
      </c>
      <c r="BD198" s="31">
        <f t="array" aca="1" ref="BD198" ca="1">AVERAGEIF(BD49:BD96,"&lt;&gt;#N/A")</f>
        <v>0.34161792802632002</v>
      </c>
      <c r="BE198" s="31">
        <f t="array" aca="1" ref="BE198" ca="1">AVERAGEIF(BE49:BE96,"&lt;&gt;#N/A")</f>
        <v>0.36000598702397923</v>
      </c>
      <c r="BF198" s="31">
        <f t="array" aca="1" ref="BF198" ca="1">AVERAGEIF(BF49:BF96,"&lt;&gt;#N/A")</f>
        <v>0.35261384022865938</v>
      </c>
      <c r="BG198" s="31">
        <f t="array" aca="1" ref="BG198" ca="1">AVERAGEIF(BG49:BG96,"&lt;&gt;#N/A")</f>
        <v>0.32724145806200544</v>
      </c>
      <c r="BH198" s="31" t="e">
        <f t="array" ref="BH198">AVERAGEIF(BH49:BH96,"&lt;&gt;#N/A")</f>
        <v>#DIV/0!</v>
      </c>
      <c r="BI198" s="31">
        <f t="array" aca="1" ref="BI198" ca="1">AVERAGEIF(BI49:BI96,"&lt;&gt;#N/A")</f>
        <v>0.67799593298369565</v>
      </c>
      <c r="BJ198" s="31">
        <f t="array" aca="1" ref="BJ198" ca="1">AVERAGEIF(BJ49:BJ96,"&lt;&gt;#N/A")</f>
        <v>0.82867717478759673</v>
      </c>
      <c r="BK198" s="31">
        <f t="array" aca="1" ref="BK198" ca="1">AVERAGEIF(BK49:BK96,"&lt;&gt;#N/A")</f>
        <v>0.91501339529989167</v>
      </c>
      <c r="BL198" s="31">
        <f t="array" aca="1" ref="BL198" ca="1">AVERAGEIF(BL49:BL96,"&lt;&gt;#N/A")</f>
        <v>0.95853758845129755</v>
      </c>
      <c r="BM198" s="31" t="e">
        <f t="array" ref="BM198">AVERAGEIF(BM49:BM96,"&lt;&gt;#N/A")</f>
        <v>#DIV/0!</v>
      </c>
      <c r="BN198" s="31">
        <f t="array" aca="1" ref="BN198" ca="1">AVERAGEIF(BN49:BN96,"&lt;&gt;#N/A")</f>
        <v>1.0077524177127815</v>
      </c>
      <c r="BO198" s="31">
        <f t="array" aca="1" ref="BO198" ca="1">AVERAGEIF(BO49:BO96,"&lt;&gt;#N/A")</f>
        <v>0.92613525475698655</v>
      </c>
      <c r="BP198" s="31">
        <f t="array" aca="1" ref="BP198" ca="1">AVERAGEIF(BP49:BP96,"&lt;&gt;#N/A")</f>
        <v>1.0732275989181561</v>
      </c>
      <c r="BQ198" s="31">
        <f t="array" aca="1" ref="BQ198" ca="1">AVERAGEIF(BQ49:BQ96,"&lt;&gt;#N/A")</f>
        <v>1.104830725417197</v>
      </c>
      <c r="BR198" s="31" t="e">
        <f t="array" ref="BR198">AVERAGEIF(BR49:BR96,"&lt;&gt;#N/A")</f>
        <v>#DIV/0!</v>
      </c>
      <c r="BS198" s="31">
        <f t="array" ref="BS198">AVERAGEIF(BS49:BS96,"&lt;&gt;#N/A")</f>
        <v>1.5982391316545721</v>
      </c>
      <c r="BT198" s="31">
        <f t="array" ref="BT198">AVERAGEIF(BT49:BT96,"&lt;&gt;#N/A")</f>
        <v>1.3051041616066941</v>
      </c>
      <c r="BU198" s="31">
        <f t="array" ref="BU198">AVERAGEIF(BU49:BU96,"&lt;&gt;#N/A")</f>
        <v>1.1541999941750116</v>
      </c>
      <c r="BV198" s="31">
        <f t="array" ref="BV198">AVERAGEIF(BV49:BV96,"&lt;&gt;#N/A")</f>
        <v>1.2851363640176978</v>
      </c>
      <c r="BW198" s="31" t="e">
        <f t="array" ref="BW198">AVERAGEIF(BW49:BW96,"&lt;&gt;#N/A")</f>
        <v>#DIV/0!</v>
      </c>
      <c r="BX198" s="31">
        <f t="array" aca="1" ref="BX198" ca="1">AVERAGEIF(BX49:BX96,"&lt;&gt;#N/A")</f>
        <v>7.565247666452618E-2</v>
      </c>
      <c r="BY198" s="31">
        <f t="array" aca="1" ref="BY198" ca="1">AVERAGEIF(BY49:BY96,"&lt;&gt;#N/A")</f>
        <v>7.7757390850353048E-2</v>
      </c>
      <c r="BZ198" s="31">
        <f t="array" aca="1" ref="BZ198" ca="1">AVERAGEIF(BZ49:BZ96,"&lt;&gt;#N/A")</f>
        <v>4.8571460605965108E-2</v>
      </c>
      <c r="CA198" s="31">
        <f t="array" aca="1" ref="CA198" ca="1">AVERAGEIF(CA49:CA96,"&lt;&gt;#N/A")</f>
        <v>4.5747981948638813E-2</v>
      </c>
      <c r="CB198" s="31" t="e">
        <f t="array" ref="CB198">AVERAGEIF(CB49:CB96,"&lt;&gt;#N/A")</f>
        <v>#DIV/0!</v>
      </c>
      <c r="CC198" s="31">
        <f t="array" aca="1" ref="CC198" ca="1">AVERAGEIF(CC49:CC96,"&lt;&gt;#N/A")</f>
        <v>7.4035803319788901E-2</v>
      </c>
      <c r="CD198" s="31">
        <f t="array" aca="1" ref="CD198" ca="1">AVERAGEIF(CD49:CD96,"&lt;&gt;#N/A")</f>
        <v>6.6632507856409756E-2</v>
      </c>
      <c r="CE198" s="31">
        <f t="array" aca="1" ref="CE198" ca="1">AVERAGEIF(CE49:CE96,"&lt;&gt;#N/A")</f>
        <v>4.556780308563186E-2</v>
      </c>
      <c r="CF198" s="31">
        <f t="array" aca="1" ref="CF198" ca="1">AVERAGEIF(CF49:CF96,"&lt;&gt;#N/A")</f>
        <v>4.2180407237575414E-2</v>
      </c>
      <c r="CG198" s="31" t="e">
        <f t="array" ref="CG198">AVERAGEIF(CG49:CG96,"&lt;&gt;#N/A")</f>
        <v>#DIV/0!</v>
      </c>
      <c r="CH198" s="31">
        <f t="array" aca="1" ref="CH198" ca="1">AVERAGEIF(CH49:CH96,"&lt;&gt;#N/A")</f>
        <v>0.23166727506678153</v>
      </c>
      <c r="CI198" s="31">
        <f t="array" aca="1" ref="CI198" ca="1">AVERAGEIF(CI49:CI96,"&lt;&gt;#N/A")</f>
        <v>0.16795833177436886</v>
      </c>
      <c r="CJ198" s="31">
        <f t="array" aca="1" ref="CJ198" ca="1">AVERAGEIF(CJ49:CJ96,"&lt;&gt;#N/A")</f>
        <v>0.15645727991567379</v>
      </c>
      <c r="CK198" s="31">
        <f t="array" aca="1" ref="CK198" ca="1">AVERAGEIF(CK49:CK96,"&lt;&gt;#N/A")</f>
        <v>0.11856236344990895</v>
      </c>
      <c r="CL198" s="31" t="e">
        <f t="array" ref="CL198">AVERAGEIF(CL49:CL96,"&lt;&gt;#N/A")</f>
        <v>#DIV/0!</v>
      </c>
      <c r="CM198" s="31">
        <f t="array" aca="1" ref="CM198" ca="1">AVERAGEIF(CM49:CM96,"&lt;&gt;#N/A")</f>
        <v>0.56767500932893611</v>
      </c>
      <c r="CN198" s="31">
        <f t="array" aca="1" ref="CN198" ca="1">AVERAGEIF(CN49:CN96,"&lt;&gt;#N/A")</f>
        <v>0.46608050211688512</v>
      </c>
      <c r="CO198" s="31">
        <f t="array" aca="1" ref="CO198" ca="1">AVERAGEIF(CO49:CO96,"&lt;&gt;#N/A")</f>
        <v>0.35997770439969706</v>
      </c>
      <c r="CP198" s="31">
        <f t="array" aca="1" ref="CP198" ca="1">AVERAGEIF(CP49:CP96,"&lt;&gt;#N/A")</f>
        <v>0.35581616641677638</v>
      </c>
      <c r="CQ198" s="31" t="e">
        <f t="array" ref="CQ198">AVERAGEIF(CQ49:CQ96,"&lt;&gt;#N/A")</f>
        <v>#DIV/0!</v>
      </c>
      <c r="CR198" s="31">
        <f t="array" ref="CR198">AVERAGEIF(CR49:CR96,"&lt;&gt;#N/A")</f>
        <v>3.0336086996693332</v>
      </c>
      <c r="CS198" s="31">
        <f t="array" ref="CS198">AVERAGEIF(CS49:CS96,"&lt;&gt;#N/A")</f>
        <v>3.0657499990393409</v>
      </c>
      <c r="CT198" s="31">
        <f t="array" ref="CT198">AVERAGEIF(CT49:CT96,"&lt;&gt;#N/A")</f>
        <v>3.2037555513699854</v>
      </c>
      <c r="CU198" s="31">
        <f t="array" ref="CU198">AVERAGEIF(CU49:CU96,"&lt;&gt;#N/A")</f>
        <v>3.0532727293367077</v>
      </c>
    </row>
    <row r="199" spans="1:99" x14ac:dyDescent="0.35">
      <c r="A199" s="29" t="s">
        <v>360</v>
      </c>
      <c r="F199" s="31">
        <f t="array" ref="F199">STDEV(IF(ISNUMBER(F49:F96),F49:F96,""))</f>
        <v>7.3858234203708645E-3</v>
      </c>
      <c r="G199" s="31">
        <f t="array" ref="G199">STDEV(IF(ISNUMBER(G49:G96),G49:G96,""))</f>
        <v>8.812841969244551E-3</v>
      </c>
      <c r="H199" s="31">
        <f t="array" ref="H199">STDEV(IF(ISNUMBER(H49:H96),H49:H96,""))</f>
        <v>0.20208252976744259</v>
      </c>
      <c r="I199" s="31">
        <f t="array" ref="I199">STDEV(IF(ISNUMBER(I49:I96),I49:I96,""))</f>
        <v>0.14948179360781397</v>
      </c>
      <c r="J199" s="31" t="e">
        <f t="array" ref="J199">STDEV(IF(ISNUMBER(J49:J96),J49:J96,""))</f>
        <v>#DIV/0!</v>
      </c>
      <c r="K199" s="31">
        <f t="array" aca="1" ref="K199" ca="1">STDEV(IF(ISNUMBER(K49:K96),K49:K96,""))</f>
        <v>4.4312616531602213E-2</v>
      </c>
      <c r="L199" s="31">
        <f t="array" aca="1" ref="L199" ca="1">STDEV(IF(ISNUMBER(L49:L96),L49:L96,""))</f>
        <v>3.6104744427101654E-2</v>
      </c>
      <c r="M199" s="31">
        <f t="array" aca="1" ref="M199" ca="1">STDEV(IF(ISNUMBER(M49:M96),M49:M96,""))</f>
        <v>8.5951604976538934E-2</v>
      </c>
      <c r="N199" s="31">
        <f t="array" aca="1" ref="N199" ca="1">STDEV(IF(ISNUMBER(N49:N96),N49:N96,""))</f>
        <v>4.8115684412005276E-2</v>
      </c>
      <c r="O199" s="31" t="e">
        <f t="array" ref="O199">STDEV(IF(ISNUMBER(O49:O96),O49:O96,""))</f>
        <v>#DIV/0!</v>
      </c>
      <c r="P199" s="31">
        <f t="array" aca="1" ref="P199" ca="1">STDEV(IF(ISNUMBER(P49:P96),P49:P96,""))</f>
        <v>0.19324956846281491</v>
      </c>
      <c r="Q199" s="31">
        <f t="array" aca="1" ref="Q199" ca="1">STDEV(IF(ISNUMBER(Q49:Q96),Q49:Q96,""))</f>
        <v>0.20161602045617757</v>
      </c>
      <c r="R199" s="31">
        <f t="array" aca="1" ref="R199" ca="1">STDEV(IF(ISNUMBER(R49:R96),R49:R96,""))</f>
        <v>0.19921010730463706</v>
      </c>
      <c r="S199" s="31">
        <f t="array" aca="1" ref="S199" ca="1">STDEV(IF(ISNUMBER(S49:S96),S49:S96,""))</f>
        <v>0.16385871208520905</v>
      </c>
      <c r="T199" s="31" t="e">
        <f t="array" ref="T199">STDEV(IF(ISNUMBER(T49:T96),T49:T96,""))</f>
        <v>#DIV/0!</v>
      </c>
      <c r="U199" s="31">
        <f t="array" aca="1" ref="U199" ca="1">STDEV(IF(ISNUMBER(U49:U96),U49:U96,""))</f>
        <v>0.68234245868133481</v>
      </c>
      <c r="V199" s="31">
        <f t="array" aca="1" ref="V199" ca="1">STDEV(IF(ISNUMBER(V49:V96),V49:V96,""))</f>
        <v>0.7915822932486497</v>
      </c>
      <c r="W199" s="31">
        <f t="array" aca="1" ref="W199" ca="1">STDEV(IF(ISNUMBER(W49:W96),W49:W96,""))</f>
        <v>0.64635712692925462</v>
      </c>
      <c r="X199" s="31">
        <f t="array" aca="1" ref="X199" ca="1">STDEV(IF(ISNUMBER(X49:X96),X49:X96,""))</f>
        <v>0.66897072521430112</v>
      </c>
      <c r="Y199" s="31" t="e">
        <f t="array" ref="Y199">STDEV(IF(ISNUMBER(Y49:Y96),Y49:Y96,""))</f>
        <v>#DIV/0!</v>
      </c>
      <c r="Z199" s="31">
        <f t="array" aca="1" ref="Z199" ca="1">STDEV(IF(ISNUMBER(Z49:Z96),Z49:Z96,""))</f>
        <v>0.142013244175242</v>
      </c>
      <c r="AA199" s="31">
        <f t="array" aca="1" ref="AA199" ca="1">STDEV(IF(ISNUMBER(AA49:AA96),AA49:AA96,""))</f>
        <v>0.10716974870087381</v>
      </c>
      <c r="AB199" s="31">
        <f t="array" aca="1" ref="AB199" ca="1">STDEV(IF(ISNUMBER(AB49:AB96),AB49:AB96,""))</f>
        <v>0.16441700418061891</v>
      </c>
      <c r="AC199" s="31">
        <f t="array" aca="1" ref="AC199" ca="1">STDEV(IF(ISNUMBER(AC49:AC96),AC49:AC96,""))</f>
        <v>0.16903342142635686</v>
      </c>
      <c r="AD199" s="31" t="e">
        <f t="array" ref="AD199">STDEV(IF(ISNUMBER(AD49:AD96),AD49:AD96,""))</f>
        <v>#DIV/0!</v>
      </c>
      <c r="AE199" s="31">
        <f t="array" aca="1" ref="AE199" ca="1">STDEV(IF(ISNUMBER(AE49:AE96),AE49:AE96,""))</f>
        <v>0.22308906403470583</v>
      </c>
      <c r="AF199" s="31">
        <f t="array" aca="1" ref="AF199" ca="1">STDEV(IF(ISNUMBER(AF49:AF96),AF49:AF96,""))</f>
        <v>0.21200372364111589</v>
      </c>
      <c r="AG199" s="31">
        <f t="array" aca="1" ref="AG199" ca="1">STDEV(IF(ISNUMBER(AG49:AG96),AG49:AG96,""))</f>
        <v>0.24109607281551515</v>
      </c>
      <c r="AH199" s="31">
        <f t="array" aca="1" ref="AH199" ca="1">STDEV(IF(ISNUMBER(AH49:AH96),AH49:AH96,""))</f>
        <v>0.21104157137077648</v>
      </c>
      <c r="AI199" s="31" t="e">
        <f t="array" ref="AI199">STDEV(IF(ISNUMBER(AI49:AI96),AI49:AI96,""))</f>
        <v>#DIV/0!</v>
      </c>
      <c r="AJ199" s="31">
        <f t="array" aca="1" ref="AJ199" ca="1">STDEV(IF(ISNUMBER(AJ49:AJ96),AJ49:AJ96,""))</f>
        <v>0.69977218666188146</v>
      </c>
      <c r="AK199" s="31">
        <f t="array" aca="1" ref="AK199" ca="1">STDEV(IF(ISNUMBER(AK49:AK96),AK49:AK96,""))</f>
        <v>0.75310805952632109</v>
      </c>
      <c r="AL199" s="31">
        <f t="array" aca="1" ref="AL199" ca="1">STDEV(IF(ISNUMBER(AL49:AL96),AL49:AL96,""))</f>
        <v>0.71475461844708943</v>
      </c>
      <c r="AM199" s="31">
        <f t="array" aca="1" ref="AM199" ca="1">STDEV(IF(ISNUMBER(AM49:AM96),AM49:AM96,""))</f>
        <v>0.7481658941341266</v>
      </c>
      <c r="AN199" s="31" t="e">
        <f t="array" ref="AN199">STDEV(IF(ISNUMBER(AN49:AN96),AN49:AN96,""))</f>
        <v>#DIV/0!</v>
      </c>
      <c r="AO199" s="31">
        <f t="array" aca="1" ref="AO199" ca="1">STDEV(IF(ISNUMBER(AO49:AO96),AO49:AO96,""))</f>
        <v>0.69363628023969814</v>
      </c>
      <c r="AP199" s="31">
        <f t="array" aca="1" ref="AP199" ca="1">STDEV(IF(ISNUMBER(AP49:AP96),AP49:AP96,""))</f>
        <v>0.50578243100370857</v>
      </c>
      <c r="AQ199" s="31">
        <f t="array" aca="1" ref="AQ199" ca="1">STDEV(IF(ISNUMBER(AQ49:AQ96),AQ49:AQ96,""))</f>
        <v>0.3751430610874143</v>
      </c>
      <c r="AR199" s="31">
        <f t="array" aca="1" ref="AR199" ca="1">STDEV(IF(ISNUMBER(AR49:AR96),AR49:AR96,""))</f>
        <v>0.4903121223073143</v>
      </c>
      <c r="AS199" s="31" t="e">
        <f t="array" ref="AS199">STDEV(IF(ISNUMBER(AS49:AS96),AS49:AS96,""))</f>
        <v>#DIV/0!</v>
      </c>
      <c r="AT199" s="31">
        <f t="array" ref="AT199">STDEV(IF(ISNUMBER(AT49:AT96),AT49:AT96,""))</f>
        <v>0.20818976767902367</v>
      </c>
      <c r="AU199" s="31">
        <f t="array" ref="AU199">STDEV(IF(ISNUMBER(AU49:AU96),AU49:AU96,""))</f>
        <v>0.46400002405428636</v>
      </c>
      <c r="AV199" s="31">
        <f t="array" ref="AV199">STDEV(IF(ISNUMBER(AV49:AV96),AV49:AV96,""))</f>
        <v>0.41670920528686245</v>
      </c>
      <c r="AW199" s="31">
        <f t="array" ref="AW199">STDEV(IF(ISNUMBER(AW49:AW96),AW49:AW96,""))</f>
        <v>0.20041540471937849</v>
      </c>
      <c r="AX199" s="31" t="e">
        <f t="array" ref="AX199">STDEV(IF(ISNUMBER(AX49:AX96),AX49:AX96,""))</f>
        <v>#DIV/0!</v>
      </c>
      <c r="AY199" s="31">
        <f t="array" aca="1" ref="AY199" ca="1">STDEV(IF(ISNUMBER(AY49:AY96),AY49:AY96,""))</f>
        <v>0.29115397710667429</v>
      </c>
      <c r="AZ199" s="31">
        <f t="array" aca="1" ref="AZ199" ca="1">STDEV(IF(ISNUMBER(AZ49:AZ96),AZ49:AZ96,""))</f>
        <v>0.26960761806046757</v>
      </c>
      <c r="BA199" s="31">
        <f t="array" aca="1" ref="BA199" ca="1">STDEV(IF(ISNUMBER(BA49:BA96),BA49:BA96,""))</f>
        <v>0.24324854714396466</v>
      </c>
      <c r="BB199" s="31">
        <f t="array" aca="1" ref="BB199" ca="1">STDEV(IF(ISNUMBER(BB49:BB96),BB49:BB96,""))</f>
        <v>0.20194389767488163</v>
      </c>
      <c r="BC199" s="31" t="e">
        <f t="array" ref="BC199">STDEV(IF(ISNUMBER(BC49:BC96),BC49:BC96,""))</f>
        <v>#DIV/0!</v>
      </c>
      <c r="BD199" s="31">
        <f t="array" aca="1" ref="BD199" ca="1">STDEV(IF(ISNUMBER(BD49:BD96),BD49:BD96,""))</f>
        <v>0.29802675998301298</v>
      </c>
      <c r="BE199" s="31">
        <f t="array" aca="1" ref="BE199" ca="1">STDEV(IF(ISNUMBER(BE49:BE96),BE49:BE96,""))</f>
        <v>0.26814437317685441</v>
      </c>
      <c r="BF199" s="31">
        <f t="array" aca="1" ref="BF199" ca="1">STDEV(IF(ISNUMBER(BF49:BF96),BF49:BF96,""))</f>
        <v>0.24199803782879972</v>
      </c>
      <c r="BG199" s="31">
        <f t="array" aca="1" ref="BG199" ca="1">STDEV(IF(ISNUMBER(BG49:BG96),BG49:BG96,""))</f>
        <v>0.21197167565647843</v>
      </c>
      <c r="BH199" s="31" t="e">
        <f t="array" ref="BH199">STDEV(IF(ISNUMBER(BH49:BH96),BH49:BH96,""))</f>
        <v>#DIV/0!</v>
      </c>
      <c r="BI199" s="31">
        <f t="array" aca="1" ref="BI199" ca="1">STDEV(IF(ISNUMBER(BI49:BI96),BI49:BI96,""))</f>
        <v>0.55565354090819097</v>
      </c>
      <c r="BJ199" s="31">
        <f t="array" aca="1" ref="BJ199" ca="1">STDEV(IF(ISNUMBER(BJ49:BJ96),BJ49:BJ96,""))</f>
        <v>0.60153082905794442</v>
      </c>
      <c r="BK199" s="31">
        <f t="array" aca="1" ref="BK199" ca="1">STDEV(IF(ISNUMBER(BK49:BK96),BK49:BK96,""))</f>
        <v>0.62928144088006266</v>
      </c>
      <c r="BL199" s="31">
        <f t="array" aca="1" ref="BL199" ca="1">STDEV(IF(ISNUMBER(BL49:BL96),BL49:BL96,""))</f>
        <v>0.57444728346894547</v>
      </c>
      <c r="BM199" s="31" t="e">
        <f t="array" ref="BM199">STDEV(IF(ISNUMBER(BM49:BM96),BM49:BM96,""))</f>
        <v>#DIV/0!</v>
      </c>
      <c r="BN199" s="31">
        <f t="array" aca="1" ref="BN199" ca="1">STDEV(IF(ISNUMBER(BN49:BN96),BN49:BN96,""))</f>
        <v>1.0241029116020448</v>
      </c>
      <c r="BO199" s="31">
        <f t="array" aca="1" ref="BO199" ca="1">STDEV(IF(ISNUMBER(BO49:BO96),BO49:BO96,""))</f>
        <v>0.67408902916746949</v>
      </c>
      <c r="BP199" s="31">
        <f t="array" aca="1" ref="BP199" ca="1">STDEV(IF(ISNUMBER(BP49:BP96),BP49:BP96,""))</f>
        <v>0.96515205730836551</v>
      </c>
      <c r="BQ199" s="31">
        <f t="array" aca="1" ref="BQ199" ca="1">STDEV(IF(ISNUMBER(BQ49:BQ96),BQ49:BQ96,""))</f>
        <v>0.88984789848689949</v>
      </c>
      <c r="BR199" s="31" t="e">
        <f t="array" ref="BR199">STDEV(IF(ISNUMBER(BR49:BR96),BR49:BR96,""))</f>
        <v>#DIV/0!</v>
      </c>
      <c r="BS199" s="31">
        <f t="array" ref="BS199">STDEV(IF(ISNUMBER(BS49:BS96),BS49:BS96,""))</f>
        <v>1.631696407054364</v>
      </c>
      <c r="BT199" s="31">
        <f t="array" ref="BT199">STDEV(IF(ISNUMBER(BT49:BT96),BT49:BT96,""))</f>
        <v>1.4208804452548363</v>
      </c>
      <c r="BU199" s="31">
        <f t="array" ref="BU199">STDEV(IF(ISNUMBER(BU49:BU96),BU49:BU96,""))</f>
        <v>1.3623719905774199</v>
      </c>
      <c r="BV199" s="31">
        <f t="array" ref="BV199">STDEV(IF(ISNUMBER(BV49:BV96),BV49:BV96,""))</f>
        <v>1.34308948971701</v>
      </c>
      <c r="BW199" s="31" t="e">
        <f t="array" ref="BW199">STDEV(IF(ISNUMBER(BW49:BW96),BW49:BW96,""))</f>
        <v>#DIV/0!</v>
      </c>
      <c r="BX199" s="31">
        <f t="array" aca="1" ref="BX199" ca="1">STDEV(IF(ISNUMBER(BX49:BX96),BX49:BX96,""))</f>
        <v>8.7627383938606987E-2</v>
      </c>
      <c r="BY199" s="31">
        <f t="array" aca="1" ref="BY199" ca="1">STDEV(IF(ISNUMBER(BY49:BY96),BY49:BY96,""))</f>
        <v>0.15343601684964972</v>
      </c>
      <c r="BZ199" s="31">
        <f t="array" aca="1" ref="BZ199" ca="1">STDEV(IF(ISNUMBER(BZ49:BZ96),BZ49:BZ96,""))</f>
        <v>5.9798974090596833E-2</v>
      </c>
      <c r="CA199" s="31">
        <f t="array" aca="1" ref="CA199" ca="1">STDEV(IF(ISNUMBER(CA49:CA96),CA49:CA96,""))</f>
        <v>7.1922047752773888E-2</v>
      </c>
      <c r="CB199" s="31" t="e">
        <f t="array" ref="CB199">STDEV(IF(ISNUMBER(CB49:CB96),CB49:CB96,""))</f>
        <v>#DIV/0!</v>
      </c>
      <c r="CC199" s="31">
        <f t="array" aca="1" ref="CC199" ca="1">STDEV(IF(ISNUMBER(CC49:CC96),CC49:CC96,""))</f>
        <v>9.7356375533107761E-2</v>
      </c>
      <c r="CD199" s="31">
        <f t="array" aca="1" ref="CD199" ca="1">STDEV(IF(ISNUMBER(CD49:CD96),CD49:CD96,""))</f>
        <v>0.14094950478537016</v>
      </c>
      <c r="CE199" s="31">
        <f t="array" aca="1" ref="CE199" ca="1">STDEV(IF(ISNUMBER(CE49:CE96),CE49:CE96,""))</f>
        <v>6.2650456287505291E-2</v>
      </c>
      <c r="CF199" s="31">
        <f t="array" aca="1" ref="CF199" ca="1">STDEV(IF(ISNUMBER(CF49:CF96),CF49:CF96,""))</f>
        <v>7.2411976755384438E-2</v>
      </c>
      <c r="CG199" s="31" t="e">
        <f t="array" ref="CG199">STDEV(IF(ISNUMBER(CG49:CG96),CG49:CG96,""))</f>
        <v>#DIV/0!</v>
      </c>
      <c r="CH199" s="31">
        <f t="array" aca="1" ref="CH199" ca="1">STDEV(IF(ISNUMBER(CH49:CH96),CH49:CH96,""))</f>
        <v>0.29961924404185314</v>
      </c>
      <c r="CI199" s="31">
        <f t="array" aca="1" ref="CI199" ca="1">STDEV(IF(ISNUMBER(CI49:CI96),CI49:CI96,""))</f>
        <v>0.29738319891352338</v>
      </c>
      <c r="CJ199" s="31">
        <f t="array" aca="1" ref="CJ199" ca="1">STDEV(IF(ISNUMBER(CJ49:CJ96),CJ49:CJ96,""))</f>
        <v>0.20500409580116771</v>
      </c>
      <c r="CK199" s="31">
        <f t="array" aca="1" ref="CK199" ca="1">STDEV(IF(ISNUMBER(CK49:CK96),CK49:CK96,""))</f>
        <v>0.19998308655273384</v>
      </c>
      <c r="CL199" s="31" t="e">
        <f t="array" ref="CL199">STDEV(IF(ISNUMBER(CL49:CL96),CL49:CL96,""))</f>
        <v>#DIV/0!</v>
      </c>
      <c r="CM199" s="31">
        <f t="array" aca="1" ref="CM199" ca="1">STDEV(IF(ISNUMBER(CM49:CM96),CM49:CM96,""))</f>
        <v>0.66859470450562497</v>
      </c>
      <c r="CN199" s="31">
        <f t="array" aca="1" ref="CN199" ca="1">STDEV(IF(ISNUMBER(CN49:CN96),CN49:CN96,""))</f>
        <v>0.8020592549047072</v>
      </c>
      <c r="CO199" s="31">
        <f t="array" aca="1" ref="CO199" ca="1">STDEV(IF(ISNUMBER(CO49:CO96),CO49:CO96,""))</f>
        <v>0.45972629932183112</v>
      </c>
      <c r="CP199" s="31">
        <f t="array" aca="1" ref="CP199" ca="1">STDEV(IF(ISNUMBER(CP49:CP96),CP49:CP96,""))</f>
        <v>0.59801441842714442</v>
      </c>
      <c r="CQ199" s="31" t="e">
        <f t="array" ref="CQ199">STDEV(IF(ISNUMBER(CQ49:CQ96),CQ49:CQ96,""))</f>
        <v>#DIV/0!</v>
      </c>
      <c r="CR199" s="31">
        <f t="array" ref="CR199">STDEV(IF(ISNUMBER(CR49:CR96),CR49:CR96,""))</f>
        <v>1.3369434199408454</v>
      </c>
      <c r="CS199" s="31">
        <f t="array" ref="CS199">STDEV(IF(ISNUMBER(CS49:CS96),CS49:CS96,""))</f>
        <v>1.4421124342094505</v>
      </c>
      <c r="CT199" s="31">
        <f t="array" ref="CT199">STDEV(IF(ISNUMBER(CT49:CT96),CT49:CT96,""))</f>
        <v>1.1378557441071158</v>
      </c>
      <c r="CU199" s="31">
        <f t="array" ref="CU199">STDEV(IF(ISNUMBER(CU49:CU96),CU49:CU96,""))</f>
        <v>1.4150108276524085</v>
      </c>
    </row>
    <row r="201" spans="1:99" x14ac:dyDescent="0.35">
      <c r="A201" s="28" t="s">
        <v>361</v>
      </c>
      <c r="F201" s="30">
        <f t="shared" ref="F201:AK201" si="216">AVERAGEIF(F131:F168,"&lt;&gt;#N/A")</f>
        <v>3.8209166666666659</v>
      </c>
      <c r="G201" s="30">
        <f t="shared" si="216"/>
        <v>3.9679500000000005</v>
      </c>
      <c r="H201" s="30">
        <f t="shared" si="216"/>
        <v>3.8606250000000006</v>
      </c>
      <c r="I201" s="30">
        <f t="shared" si="216"/>
        <v>3.9696470588235298</v>
      </c>
      <c r="J201" s="30" t="e">
        <f t="shared" si="216"/>
        <v>#DIV/0!</v>
      </c>
      <c r="K201" s="30">
        <f t="shared" ca="1" si="216"/>
        <v>0.94354246848242695</v>
      </c>
      <c r="L201" s="30">
        <f t="shared" ca="1" si="216"/>
        <v>0.93762823017718022</v>
      </c>
      <c r="M201" s="30">
        <f t="shared" ca="1" si="216"/>
        <v>0.94636829493490138</v>
      </c>
      <c r="N201" s="30">
        <f t="shared" ca="1" si="216"/>
        <v>0.95952166904024239</v>
      </c>
      <c r="O201" s="30" t="e">
        <f t="shared" si="216"/>
        <v>#DIV/0!</v>
      </c>
      <c r="P201" s="30">
        <f t="shared" ca="1" si="216"/>
        <v>0.7471306443181599</v>
      </c>
      <c r="Q201" s="30">
        <f t="shared" ca="1" si="216"/>
        <v>0.73841044027943048</v>
      </c>
      <c r="R201" s="30">
        <f t="shared" ca="1" si="216"/>
        <v>0.80199902898385489</v>
      </c>
      <c r="S201" s="30">
        <f t="shared" ca="1" si="216"/>
        <v>0.76738830602353925</v>
      </c>
      <c r="T201" s="30" t="e">
        <f t="shared" si="216"/>
        <v>#DIV/0!</v>
      </c>
      <c r="U201" s="30">
        <f t="shared" ca="1" si="216"/>
        <v>2.1080292205014666</v>
      </c>
      <c r="V201" s="30">
        <f t="shared" ca="1" si="216"/>
        <v>1.808516530562962</v>
      </c>
      <c r="W201" s="30">
        <f t="shared" ca="1" si="216"/>
        <v>1.9402881645520891</v>
      </c>
      <c r="X201" s="30">
        <f t="shared" ca="1" si="216"/>
        <v>2.1915993362495656</v>
      </c>
      <c r="Y201" s="30" t="e">
        <f t="shared" si="216"/>
        <v>#DIV/0!</v>
      </c>
      <c r="Z201" s="30">
        <f t="shared" ca="1" si="216"/>
        <v>0.74813573208833539</v>
      </c>
      <c r="AA201" s="30">
        <f t="shared" ca="1" si="216"/>
        <v>0.81519948001991605</v>
      </c>
      <c r="AB201" s="30">
        <f t="shared" ca="1" si="216"/>
        <v>0.83139971398673351</v>
      </c>
      <c r="AC201" s="30">
        <f t="shared" ca="1" si="216"/>
        <v>0.83355310844667241</v>
      </c>
      <c r="AD201" s="30" t="e">
        <f t="shared" si="216"/>
        <v>#DIV/0!</v>
      </c>
      <c r="AE201" s="30">
        <f t="shared" ca="1" si="216"/>
        <v>0.6436413248642765</v>
      </c>
      <c r="AF201" s="30">
        <f t="shared" ca="1" si="216"/>
        <v>0.68569617524981341</v>
      </c>
      <c r="AG201" s="30">
        <f t="shared" ca="1" si="216"/>
        <v>0.75359406496252213</v>
      </c>
      <c r="AH201" s="30">
        <f t="shared" ca="1" si="216"/>
        <v>0.70434174381662495</v>
      </c>
      <c r="AI201" s="30" t="e">
        <f t="shared" si="216"/>
        <v>#DIV/0!</v>
      </c>
      <c r="AJ201" s="30">
        <f t="shared" ca="1" si="216"/>
        <v>1.8836358445316632</v>
      </c>
      <c r="AK201" s="30">
        <f t="shared" ca="1" si="216"/>
        <v>1.6465708204855036</v>
      </c>
      <c r="AL201" s="30">
        <f t="shared" ref="AL201:BQ201" ca="1" si="217">AVERAGEIF(AL131:AL168,"&lt;&gt;#N/A")</f>
        <v>1.8062388397616493</v>
      </c>
      <c r="AM201" s="30">
        <f t="shared" ca="1" si="217"/>
        <v>1.9567868542310554</v>
      </c>
      <c r="AN201" s="30" t="e">
        <f t="shared" si="217"/>
        <v>#DIV/0!</v>
      </c>
      <c r="AO201" s="30">
        <f t="shared" ca="1" si="217"/>
        <v>0.66178636341863895</v>
      </c>
      <c r="AP201" s="30">
        <f t="shared" ca="1" si="217"/>
        <v>0.58801624139088982</v>
      </c>
      <c r="AQ201" s="30">
        <f t="shared" ca="1" si="217"/>
        <v>0.53000067913490723</v>
      </c>
      <c r="AR201" s="30">
        <f t="shared" ca="1" si="217"/>
        <v>0.80318993450903764</v>
      </c>
      <c r="AS201" s="30" t="e">
        <f t="shared" si="217"/>
        <v>#DIV/0!</v>
      </c>
      <c r="AT201" s="30">
        <f t="shared" si="217"/>
        <v>0.48462069593042389</v>
      </c>
      <c r="AU201" s="30">
        <f t="shared" si="217"/>
        <v>0.54829629986167505</v>
      </c>
      <c r="AV201" s="30">
        <f t="shared" si="217"/>
        <v>0.31311111665693009</v>
      </c>
      <c r="AW201" s="30">
        <f t="shared" si="217"/>
        <v>0.33132000662386418</v>
      </c>
      <c r="AX201" s="30" t="e">
        <f t="shared" si="217"/>
        <v>#DIV/0!</v>
      </c>
      <c r="AY201" s="30">
        <f t="shared" ca="1" si="217"/>
        <v>0.29505002795567892</v>
      </c>
      <c r="AZ201" s="30">
        <f t="shared" ca="1" si="217"/>
        <v>0.24882881999397188</v>
      </c>
      <c r="BA201" s="30">
        <f t="shared" ca="1" si="217"/>
        <v>0.30399964070281366</v>
      </c>
      <c r="BB201" s="30">
        <f t="shared" ca="1" si="217"/>
        <v>0.22164715299417792</v>
      </c>
      <c r="BC201" s="30" t="e">
        <f t="shared" si="217"/>
        <v>#DIV/0!</v>
      </c>
      <c r="BD201" s="30">
        <f t="shared" ca="1" si="217"/>
        <v>0.29208377041877348</v>
      </c>
      <c r="BE201" s="30">
        <f t="shared" ca="1" si="217"/>
        <v>0.23372239280167748</v>
      </c>
      <c r="BF201" s="30">
        <f t="shared" ca="1" si="217"/>
        <v>0.30660242990191416</v>
      </c>
      <c r="BG201" s="30">
        <f t="shared" ca="1" si="217"/>
        <v>0.23229069886491938</v>
      </c>
      <c r="BH201" s="30" t="e">
        <f t="shared" si="217"/>
        <v>#DIV/0!</v>
      </c>
      <c r="BI201" s="30">
        <f t="shared" ca="1" si="217"/>
        <v>0.69416165308876365</v>
      </c>
      <c r="BJ201" s="30">
        <f t="shared" ca="1" si="217"/>
        <v>0.3735315594118836</v>
      </c>
      <c r="BK201" s="30">
        <f t="shared" ca="1" si="217"/>
        <v>0.52732910963661872</v>
      </c>
      <c r="BL201" s="30">
        <f t="shared" ca="1" si="217"/>
        <v>0.56376140849580714</v>
      </c>
      <c r="BM201" s="30" t="e">
        <f t="shared" si="217"/>
        <v>#DIV/0!</v>
      </c>
      <c r="BN201" s="30">
        <f t="shared" ca="1" si="217"/>
        <v>1.0242079732273279</v>
      </c>
      <c r="BO201" s="30">
        <f t="shared" ca="1" si="217"/>
        <v>0.8214337621403065</v>
      </c>
      <c r="BP201" s="30">
        <f t="shared" ca="1" si="217"/>
        <v>0.74841468727012084</v>
      </c>
      <c r="BQ201" s="30">
        <f t="shared" ca="1" si="217"/>
        <v>0.98866376975067194</v>
      </c>
      <c r="BR201" s="30" t="e">
        <f t="shared" ref="BR201:CU201" si="218">AVERAGEIF(BR131:BR168,"&lt;&gt;#N/A")</f>
        <v>#DIV/0!</v>
      </c>
      <c r="BS201" s="30">
        <f t="shared" si="218"/>
        <v>1.5192068900273279</v>
      </c>
      <c r="BT201" s="30">
        <f t="shared" si="218"/>
        <v>1.9954814764332989</v>
      </c>
      <c r="BU201" s="30">
        <f t="shared" si="218"/>
        <v>1.5962592552325998</v>
      </c>
      <c r="BV201" s="30">
        <f t="shared" si="218"/>
        <v>1.8566399949584527</v>
      </c>
      <c r="BW201" s="30" t="e">
        <f t="shared" si="218"/>
        <v>#DIV/0!</v>
      </c>
      <c r="BX201" s="30">
        <f t="shared" ca="1" si="218"/>
        <v>6.3476612209320604E-2</v>
      </c>
      <c r="BY201" s="30">
        <f t="shared" ca="1" si="218"/>
        <v>5.4386976348977947E-2</v>
      </c>
      <c r="BZ201" s="30">
        <f t="shared" ca="1" si="218"/>
        <v>6.4435414284569628E-2</v>
      </c>
      <c r="CA201" s="30">
        <f t="shared" ca="1" si="218"/>
        <v>0.13620536046136139</v>
      </c>
      <c r="CB201" s="30" t="e">
        <f t="shared" si="218"/>
        <v>#DIV/0!</v>
      </c>
      <c r="CC201" s="30">
        <f t="shared" ca="1" si="218"/>
        <v>6.8260697504275561E-2</v>
      </c>
      <c r="CD201" s="30">
        <f t="shared" ca="1" si="218"/>
        <v>6.700263794820395E-2</v>
      </c>
      <c r="CE201" s="30">
        <f t="shared" ca="1" si="218"/>
        <v>6.7461423501233991E-2</v>
      </c>
      <c r="CF201" s="30">
        <f t="shared" ca="1" si="218"/>
        <v>0.14151189641045606</v>
      </c>
      <c r="CG201" s="30" t="e">
        <f t="shared" si="218"/>
        <v>#DIV/0!</v>
      </c>
      <c r="CH201" s="30">
        <f t="shared" ca="1" si="218"/>
        <v>0.19039653769306827</v>
      </c>
      <c r="CI201" s="30">
        <f t="shared" ca="1" si="218"/>
        <v>0.1992963805128492</v>
      </c>
      <c r="CJ201" s="30">
        <f t="shared" ca="1" si="218"/>
        <v>0.19295139006545162</v>
      </c>
      <c r="CK201" s="30">
        <f t="shared" ca="1" si="218"/>
        <v>0.29224432816566459</v>
      </c>
      <c r="CL201" s="30" t="e">
        <f t="shared" si="218"/>
        <v>#DIV/0!</v>
      </c>
      <c r="CM201" s="30">
        <f t="shared" ca="1" si="218"/>
        <v>0.44645003914577863</v>
      </c>
      <c r="CN201" s="30">
        <f t="shared" ca="1" si="218"/>
        <v>0.5181910785964523</v>
      </c>
      <c r="CO201" s="30">
        <f t="shared" ca="1" si="218"/>
        <v>0.43775447076818214</v>
      </c>
      <c r="CP201" s="30">
        <f t="shared" ca="1" si="218"/>
        <v>0.66259475855370176</v>
      </c>
      <c r="CQ201" s="30" t="e">
        <f t="shared" si="218"/>
        <v>#DIV/0!</v>
      </c>
      <c r="CR201" s="30">
        <f t="shared" si="218"/>
        <v>3.0276551724348595</v>
      </c>
      <c r="CS201" s="30">
        <f t="shared" si="218"/>
        <v>3.424666674785247</v>
      </c>
      <c r="CT201" s="30">
        <f t="shared" si="218"/>
        <v>3.0107407258608272</v>
      </c>
      <c r="CU201" s="30">
        <f t="shared" si="218"/>
        <v>2.9377199960520866</v>
      </c>
    </row>
    <row r="202" spans="1:99" x14ac:dyDescent="0.35">
      <c r="A202" s="28" t="s">
        <v>362</v>
      </c>
      <c r="F202" s="30">
        <f t="array" ref="F202">STDEV(IF(ISNUMBER(F131:F168),F131:F168,""))</f>
        <v>0.37754330781429873</v>
      </c>
      <c r="G202" s="30">
        <f t="array" ref="G202">STDEV(IF(ISNUMBER(G131:G168),G131:G168,""))</f>
        <v>0.20977292861317293</v>
      </c>
      <c r="H202" s="30">
        <f t="array" ref="H202">STDEV(IF(ISNUMBER(H131:H168),H131:H168,""))</f>
        <v>0.35690978186553574</v>
      </c>
      <c r="I202" s="30">
        <f t="array" ref="I202">STDEV(IF(ISNUMBER(I131:I168),I131:I168,""))</f>
        <v>0.19935613270491273</v>
      </c>
      <c r="J202" s="30" t="e">
        <f t="array" ref="J202">STDEV(IF(ISNUMBER(J131:J168),J131:J168,""))</f>
        <v>#DIV/0!</v>
      </c>
      <c r="K202" s="30">
        <f t="array" aca="1" ref="K202" ca="1">STDEV(IF(ISNUMBER(K131:K168),K131:K168,""))</f>
        <v>7.6410809202985305E-2</v>
      </c>
      <c r="L202" s="30">
        <f t="array" aca="1" ref="L202" ca="1">STDEV(IF(ISNUMBER(L131:L168),L131:L168,""))</f>
        <v>7.1678043596151958E-2</v>
      </c>
      <c r="M202" s="30">
        <f t="array" aca="1" ref="M202" ca="1">STDEV(IF(ISNUMBER(M131:M168),M131:M168,""))</f>
        <v>6.4285401607056369E-2</v>
      </c>
      <c r="N202" s="30">
        <f t="array" aca="1" ref="N202" ca="1">STDEV(IF(ISNUMBER(N131:N168),N131:N168,""))</f>
        <v>5.8103988146046531E-2</v>
      </c>
      <c r="O202" s="30" t="e">
        <f t="array" ref="O202">STDEV(IF(ISNUMBER(O131:O168),O131:O168,""))</f>
        <v>#DIV/0!</v>
      </c>
      <c r="P202" s="30">
        <f t="array" aca="1" ref="P202" ca="1">STDEV(IF(ISNUMBER(P131:P168),P131:P168,""))</f>
        <v>0.18325957269553173</v>
      </c>
      <c r="Q202" s="30">
        <f t="array" aca="1" ref="Q202" ca="1">STDEV(IF(ISNUMBER(Q131:Q168),Q131:Q168,""))</f>
        <v>0.21459820144392608</v>
      </c>
      <c r="R202" s="30">
        <f t="array" aca="1" ref="R202" ca="1">STDEV(IF(ISNUMBER(R131:R168),R131:R168,""))</f>
        <v>0.12366749368557176</v>
      </c>
      <c r="S202" s="30">
        <f t="array" aca="1" ref="S202" ca="1">STDEV(IF(ISNUMBER(S131:S168),S131:S168,""))</f>
        <v>0.17678816303032116</v>
      </c>
      <c r="T202" s="30" t="e">
        <f t="array" ref="T202">STDEV(IF(ISNUMBER(T131:T168),T131:T168,""))</f>
        <v>#DIV/0!</v>
      </c>
      <c r="U202" s="30">
        <f t="array" aca="1" ref="U202" ca="1">STDEV(IF(ISNUMBER(U131:U168),U131:U168,""))</f>
        <v>0.80465297266314906</v>
      </c>
      <c r="V202" s="30">
        <f t="array" aca="1" ref="V202" ca="1">STDEV(IF(ISNUMBER(V131:V168),V131:V168,""))</f>
        <v>0.75973115985035966</v>
      </c>
      <c r="W202" s="30">
        <f t="array" aca="1" ref="W202" ca="1">STDEV(IF(ISNUMBER(W131:W168),W131:W168,""))</f>
        <v>0.76370744253938239</v>
      </c>
      <c r="X202" s="30">
        <f t="array" aca="1" ref="X202" ca="1">STDEV(IF(ISNUMBER(X131:X168),X131:X168,""))</f>
        <v>1.0240041293440596</v>
      </c>
      <c r="Y202" s="30" t="e">
        <f t="array" ref="Y202">STDEV(IF(ISNUMBER(Y131:Y168),Y131:Y168,""))</f>
        <v>#DIV/0!</v>
      </c>
      <c r="Z202" s="30">
        <f t="array" aca="1" ref="Z202" ca="1">STDEV(IF(ISNUMBER(Z131:Z168),Z131:Z168,""))</f>
        <v>0.28294355078480171</v>
      </c>
      <c r="AA202" s="30">
        <f t="array" aca="1" ref="AA202" ca="1">STDEV(IF(ISNUMBER(AA131:AA168),AA131:AA168,""))</f>
        <v>0.24461696430853658</v>
      </c>
      <c r="AB202" s="30">
        <f t="array" aca="1" ref="AB202" ca="1">STDEV(IF(ISNUMBER(AB131:AB168),AB131:AB168,""))</f>
        <v>0.19870648296652071</v>
      </c>
      <c r="AC202" s="30">
        <f t="array" aca="1" ref="AC202" ca="1">STDEV(IF(ISNUMBER(AC131:AC168),AC131:AC168,""))</f>
        <v>0.20488018123630389</v>
      </c>
      <c r="AD202" s="30" t="e">
        <f t="array" ref="AD202">STDEV(IF(ISNUMBER(AD131:AD168),AD131:AD168,""))</f>
        <v>#DIV/0!</v>
      </c>
      <c r="AE202" s="30">
        <f t="array" aca="1" ref="AE202" ca="1">STDEV(IF(ISNUMBER(AE131:AE168),AE131:AE168,""))</f>
        <v>0.27584711618621055</v>
      </c>
      <c r="AF202" s="30">
        <f t="array" aca="1" ref="AF202" ca="1">STDEV(IF(ISNUMBER(AF131:AF168),AF131:AF168,""))</f>
        <v>0.28932473544632298</v>
      </c>
      <c r="AG202" s="30">
        <f t="array" aca="1" ref="AG202" ca="1">STDEV(IF(ISNUMBER(AG131:AG168),AG131:AG168,""))</f>
        <v>0.20020241107916517</v>
      </c>
      <c r="AH202" s="30">
        <f t="array" aca="1" ref="AH202" ca="1">STDEV(IF(ISNUMBER(AH131:AH168),AH131:AH168,""))</f>
        <v>0.22608205226444422</v>
      </c>
      <c r="AI202" s="30" t="e">
        <f t="array" ref="AI202">STDEV(IF(ISNUMBER(AI131:AI168),AI131:AI168,""))</f>
        <v>#DIV/0!</v>
      </c>
      <c r="AJ202" s="30">
        <f t="array" aca="1" ref="AJ202" ca="1">STDEV(IF(ISNUMBER(AJ131:AJ168),AJ131:AJ168,""))</f>
        <v>0.96404010176961652</v>
      </c>
      <c r="AK202" s="30">
        <f t="array" aca="1" ref="AK202" ca="1">STDEV(IF(ISNUMBER(AK131:AK168),AK131:AK168,""))</f>
        <v>0.86673423044941644</v>
      </c>
      <c r="AL202" s="30">
        <f t="array" aca="1" ref="AL202" ca="1">STDEV(IF(ISNUMBER(AL131:AL168),AL131:AL168,""))</f>
        <v>0.77097835905282086</v>
      </c>
      <c r="AM202" s="30">
        <f t="array" aca="1" ref="AM202" ca="1">STDEV(IF(ISNUMBER(AM131:AM168),AM131:AM168,""))</f>
        <v>1.119388534988877</v>
      </c>
      <c r="AN202" s="30" t="e">
        <f t="array" ref="AN202">STDEV(IF(ISNUMBER(AN131:AN168),AN131:AN168,""))</f>
        <v>#DIV/0!</v>
      </c>
      <c r="AO202" s="30">
        <f t="array" aca="1" ref="AO202" ca="1">STDEV(IF(ISNUMBER(AO131:AO168),AO131:AO168,""))</f>
        <v>0.69207669414670858</v>
      </c>
      <c r="AP202" s="30">
        <f t="array" aca="1" ref="AP202" ca="1">STDEV(IF(ISNUMBER(AP131:AP168),AP131:AP168,""))</f>
        <v>0.49071804688234028</v>
      </c>
      <c r="AQ202" s="30">
        <f t="array" aca="1" ref="AQ202" ca="1">STDEV(IF(ISNUMBER(AQ131:AQ168),AQ131:AQ168,""))</f>
        <v>0.39687837617370425</v>
      </c>
      <c r="AR202" s="30">
        <f t="array" aca="1" ref="AR202" ca="1">STDEV(IF(ISNUMBER(AR131:AR168),AR131:AR168,""))</f>
        <v>1.0890785677715036</v>
      </c>
      <c r="AS202" s="30" t="e">
        <f t="array" ref="AS202">STDEV(IF(ISNUMBER(AS131:AS168),AS131:AS168,""))</f>
        <v>#DIV/0!</v>
      </c>
      <c r="AT202" s="30">
        <f t="array" ref="AT202">STDEV(IF(ISNUMBER(AT131:AT168),AT131:AT168,""))</f>
        <v>0.85847725108455675</v>
      </c>
      <c r="AU202" s="30">
        <f t="array" ref="AU202">STDEV(IF(ISNUMBER(AU131:AU168),AU131:AU168,""))</f>
        <v>0.92126768430191797</v>
      </c>
      <c r="AV202" s="30">
        <f t="array" ref="AV202">STDEV(IF(ISNUMBER(AV131:AV168),AV131:AV168,""))</f>
        <v>0.534723767133505</v>
      </c>
      <c r="AW202" s="30">
        <f t="array" ref="AW202">STDEV(IF(ISNUMBER(AW131:AW168),AW131:AW168,""))</f>
        <v>0.62730527687792903</v>
      </c>
      <c r="AX202" s="30" t="e">
        <f t="array" ref="AX202">STDEV(IF(ISNUMBER(AX131:AX168),AX131:AX168,""))</f>
        <v>#DIV/0!</v>
      </c>
      <c r="AY202" s="30">
        <f t="array" aca="1" ref="AY202" ca="1">STDEV(IF(ISNUMBER(AY131:AY168),AY131:AY168,""))</f>
        <v>0.23423527281460532</v>
      </c>
      <c r="AZ202" s="30">
        <f t="array" aca="1" ref="AZ202" ca="1">STDEV(IF(ISNUMBER(AZ131:AZ168),AZ131:AZ168,""))</f>
        <v>0.26909960542121758</v>
      </c>
      <c r="BA202" s="30">
        <f t="array" aca="1" ref="BA202" ca="1">STDEV(IF(ISNUMBER(BA131:BA168),BA131:BA168,""))</f>
        <v>0.26498427219582915</v>
      </c>
      <c r="BB202" s="30">
        <f t="array" aca="1" ref="BB202" ca="1">STDEV(IF(ISNUMBER(BB131:BB168),BB131:BB168,""))</f>
        <v>0.24856956483411144</v>
      </c>
      <c r="BC202" s="30" t="e">
        <f t="array" ref="BC202">STDEV(IF(ISNUMBER(BC131:BC168),BC131:BC168,""))</f>
        <v>#DIV/0!</v>
      </c>
      <c r="BD202" s="30">
        <f t="array" aca="1" ref="BD202" ca="1">STDEV(IF(ISNUMBER(BD131:BD168),BD131:BD168,""))</f>
        <v>0.25169251421984029</v>
      </c>
      <c r="BE202" s="30">
        <f t="array" aca="1" ref="BE202" ca="1">STDEV(IF(ISNUMBER(BE131:BE168),BE131:BE168,""))</f>
        <v>0.27488877596841227</v>
      </c>
      <c r="BF202" s="30">
        <f t="array" aca="1" ref="BF202" ca="1">STDEV(IF(ISNUMBER(BF131:BF168),BF131:BF168,""))</f>
        <v>0.26628572532928874</v>
      </c>
      <c r="BG202" s="30">
        <f t="array" aca="1" ref="BG202" ca="1">STDEV(IF(ISNUMBER(BG131:BG168),BG131:BG168,""))</f>
        <v>0.25626416617480674</v>
      </c>
      <c r="BH202" s="30" t="e">
        <f t="array" ref="BH202">STDEV(IF(ISNUMBER(BH131:BH168),BH131:BH168,""))</f>
        <v>#DIV/0!</v>
      </c>
      <c r="BI202" s="30">
        <f t="array" aca="1" ref="BI202" ca="1">STDEV(IF(ISNUMBER(BI131:BI168),BI131:BI168,""))</f>
        <v>0.51085586542387396</v>
      </c>
      <c r="BJ202" s="30">
        <f t="array" aca="1" ref="BJ202" ca="1">STDEV(IF(ISNUMBER(BJ131:BJ168),BJ131:BJ168,""))</f>
        <v>0.39151743556661284</v>
      </c>
      <c r="BK202" s="30">
        <f t="array" aca="1" ref="BK202" ca="1">STDEV(IF(ISNUMBER(BK131:BK168),BK131:BK168,""))</f>
        <v>0.40854807925732084</v>
      </c>
      <c r="BL202" s="30">
        <f t="array" aca="1" ref="BL202" ca="1">STDEV(IF(ISNUMBER(BL131:BL168),BL131:BL168,""))</f>
        <v>0.51755131213504402</v>
      </c>
      <c r="BM202" s="30" t="e">
        <f t="array" ref="BM202">STDEV(IF(ISNUMBER(BM131:BM168),BM131:BM168,""))</f>
        <v>#DIV/0!</v>
      </c>
      <c r="BN202" s="30">
        <f t="array" aca="1" ref="BN202" ca="1">STDEV(IF(ISNUMBER(BN131:BN168),BN131:BN168,""))</f>
        <v>0.9607938763241104</v>
      </c>
      <c r="BO202" s="30">
        <f t="array" aca="1" ref="BO202" ca="1">STDEV(IF(ISNUMBER(BO131:BO168),BO131:BO168,""))</f>
        <v>0.89481455030510504</v>
      </c>
      <c r="BP202" s="30">
        <f t="array" aca="1" ref="BP202" ca="1">STDEV(IF(ISNUMBER(BP131:BP168),BP131:BP168,""))</f>
        <v>0.62857587075833965</v>
      </c>
      <c r="BQ202" s="30">
        <f t="array" aca="1" ref="BQ202" ca="1">STDEV(IF(ISNUMBER(BQ131:BQ168),BQ131:BQ168,""))</f>
        <v>1.0446227828171217</v>
      </c>
      <c r="BR202" s="30" t="e">
        <f t="array" ref="BR202">STDEV(IF(ISNUMBER(BR131:BR168),BR131:BR168,""))</f>
        <v>#DIV/0!</v>
      </c>
      <c r="BS202" s="30">
        <f t="array" ref="BS202">STDEV(IF(ISNUMBER(BS131:BS168),BS131:BS168,""))</f>
        <v>1.5645774020553864</v>
      </c>
      <c r="BT202" s="30">
        <f t="array" ref="BT202">STDEV(IF(ISNUMBER(BT131:BT168),BT131:BT168,""))</f>
        <v>1.6349391744245154</v>
      </c>
      <c r="BU202" s="30">
        <f t="array" ref="BU202">STDEV(IF(ISNUMBER(BU131:BU168),BU131:BU168,""))</f>
        <v>1.5502967578708775</v>
      </c>
      <c r="BV202" s="30">
        <f t="array" ref="BV202">STDEV(IF(ISNUMBER(BV131:BV168),BV131:BV168,""))</f>
        <v>1.7309271730996871</v>
      </c>
      <c r="BW202" s="30" t="e">
        <f t="array" ref="BW202">STDEV(IF(ISNUMBER(BW131:BW168),BW131:BW168,""))</f>
        <v>#DIV/0!</v>
      </c>
      <c r="BX202" s="30">
        <f t="array" aca="1" ref="BX202" ca="1">STDEV(IF(ISNUMBER(BX131:BX168),BX131:BX168,""))</f>
        <v>9.9397077840990278E-2</v>
      </c>
      <c r="BY202" s="30">
        <f t="array" aca="1" ref="BY202" ca="1">STDEV(IF(ISNUMBER(BY131:BY168),BY131:BY168,""))</f>
        <v>8.8055402640213803E-2</v>
      </c>
      <c r="BZ202" s="30">
        <f t="array" aca="1" ref="BZ202" ca="1">STDEV(IF(ISNUMBER(BZ131:BZ168),BZ131:BZ168,""))</f>
        <v>8.3563127912340038E-2</v>
      </c>
      <c r="CA202" s="30">
        <f t="array" aca="1" ref="CA202" ca="1">STDEV(IF(ISNUMBER(CA131:CA168),CA131:CA168,""))</f>
        <v>0.25816044219513701</v>
      </c>
      <c r="CB202" s="30" t="e">
        <f t="array" ref="CB202">STDEV(IF(ISNUMBER(CB131:CB168),CB131:CB168,""))</f>
        <v>#DIV/0!</v>
      </c>
      <c r="CC202" s="30">
        <f t="array" aca="1" ref="CC202" ca="1">STDEV(IF(ISNUMBER(CC131:CC168),CC131:CC168,""))</f>
        <v>0.11649555268882655</v>
      </c>
      <c r="CD202" s="30">
        <f t="array" aca="1" ref="CD202" ca="1">STDEV(IF(ISNUMBER(CD131:CD168),CD131:CD168,""))</f>
        <v>0.1222509899939143</v>
      </c>
      <c r="CE202" s="30">
        <f t="array" aca="1" ref="CE202" ca="1">STDEV(IF(ISNUMBER(CE131:CE168),CE131:CE168,""))</f>
        <v>9.8026216596039606E-2</v>
      </c>
      <c r="CF202" s="30">
        <f t="array" aca="1" ref="CF202" ca="1">STDEV(IF(ISNUMBER(CF131:CF168),CF131:CF168,""))</f>
        <v>0.26309700357074245</v>
      </c>
      <c r="CG202" s="30" t="e">
        <f t="array" ref="CG202">STDEV(IF(ISNUMBER(CG131:CG168),CG131:CG168,""))</f>
        <v>#DIV/0!</v>
      </c>
      <c r="CH202" s="30">
        <f t="array" aca="1" ref="CH202" ca="1">STDEV(IF(ISNUMBER(CH131:CH168),CH131:CH168,""))</f>
        <v>0.26911278753608581</v>
      </c>
      <c r="CI202" s="30">
        <f t="array" aca="1" ref="CI202" ca="1">STDEV(IF(ISNUMBER(CI131:CI168),CI131:CI168,""))</f>
        <v>0.29801192643758173</v>
      </c>
      <c r="CJ202" s="30">
        <f t="array" aca="1" ref="CJ202" ca="1">STDEV(IF(ISNUMBER(CJ131:CJ168),CJ131:CJ168,""))</f>
        <v>0.2594188029267408</v>
      </c>
      <c r="CK202" s="30">
        <f t="array" aca="1" ref="CK202" ca="1">STDEV(IF(ISNUMBER(CK131:CK168),CK131:CK168,""))</f>
        <v>0.50597657976611166</v>
      </c>
      <c r="CL202" s="30" t="e">
        <f t="array" ref="CL202">STDEV(IF(ISNUMBER(CL131:CL168),CL131:CL168,""))</f>
        <v>#DIV/0!</v>
      </c>
      <c r="CM202" s="30">
        <f t="array" aca="1" ref="CM202" ca="1">STDEV(IF(ISNUMBER(CM131:CM168),CM131:CM168,""))</f>
        <v>0.37579086770666903</v>
      </c>
      <c r="CN202" s="30">
        <f t="array" aca="1" ref="CN202" ca="1">STDEV(IF(ISNUMBER(CN131:CN168),CN131:CN168,""))</f>
        <v>0.53358946063779467</v>
      </c>
      <c r="CO202" s="30">
        <f t="array" aca="1" ref="CO202" ca="1">STDEV(IF(ISNUMBER(CO131:CO168),CO131:CO168,""))</f>
        <v>0.42488430750291195</v>
      </c>
      <c r="CP202" s="30">
        <f t="array" aca="1" ref="CP202" ca="1">STDEV(IF(ISNUMBER(CP131:CP168),CP131:CP168,""))</f>
        <v>1.0288932811992624</v>
      </c>
      <c r="CQ202" s="30" t="e">
        <f t="array" ref="CQ202">STDEV(IF(ISNUMBER(CQ131:CQ168),CQ131:CQ168,""))</f>
        <v>#DIV/0!</v>
      </c>
      <c r="CR202" s="30">
        <f t="array" ref="CR202">STDEV(IF(ISNUMBER(CR131:CR168),CR131:CR168,""))</f>
        <v>1.4393618191176663</v>
      </c>
      <c r="CS202" s="30">
        <f t="array" ref="CS202">STDEV(IF(ISNUMBER(CS131:CS168),CS131:CS168,""))</f>
        <v>1.1697010435383743</v>
      </c>
      <c r="CT202" s="30">
        <f t="array" ref="CT202">STDEV(IF(ISNUMBER(CT131:CT168),CT131:CT168,""))</f>
        <v>1.2473080143460593</v>
      </c>
      <c r="CU202" s="30">
        <f t="array" ref="CU202">STDEV(IF(ISNUMBER(CU131:CU168),CU131:CU168,""))</f>
        <v>1.6609323078408</v>
      </c>
    </row>
    <row r="203" spans="1:99" x14ac:dyDescent="0.35">
      <c r="A203" s="36" t="s">
        <v>367</v>
      </c>
      <c r="F203" s="34">
        <f>ABS(1-F198/F201)*100</f>
        <v>5.0588027042092198</v>
      </c>
      <c r="G203" s="34">
        <f t="shared" ref="G203:BR203" si="219">ABS(1-G198/G201)*100</f>
        <v>1.160001029991875</v>
      </c>
      <c r="H203" s="34">
        <f t="shared" si="219"/>
        <v>2.8589930386918816</v>
      </c>
      <c r="I203" s="34">
        <f t="shared" si="219"/>
        <v>0.5684945426217114</v>
      </c>
      <c r="J203" s="34" t="e">
        <f t="shared" si="219"/>
        <v>#DIV/0!</v>
      </c>
      <c r="K203" s="34">
        <f t="shared" ca="1" si="219"/>
        <v>3.5453915846374917</v>
      </c>
      <c r="L203" s="34">
        <f t="shared" ca="1" si="219"/>
        <v>4.4917600182472706</v>
      </c>
      <c r="M203" s="34">
        <f t="shared" ca="1" si="219"/>
        <v>3.2312615827864821</v>
      </c>
      <c r="N203" s="34">
        <f t="shared" ca="1" si="219"/>
        <v>1.6029522440668798</v>
      </c>
      <c r="O203" s="34" t="e">
        <f t="shared" si="219"/>
        <v>#DIV/0!</v>
      </c>
      <c r="P203" s="34">
        <f t="shared" ca="1" si="219"/>
        <v>11.051531692268291</v>
      </c>
      <c r="Q203" s="34">
        <f t="shared" ca="1" si="219"/>
        <v>10.00167998197985</v>
      </c>
      <c r="R203" s="34">
        <f t="shared" ca="1" si="219"/>
        <v>3.6149936670997418</v>
      </c>
      <c r="S203" s="34">
        <f t="shared" ca="1" si="219"/>
        <v>4.4648497997340275</v>
      </c>
      <c r="T203" s="34" t="e">
        <f t="shared" si="219"/>
        <v>#DIV/0!</v>
      </c>
      <c r="U203" s="34">
        <f t="shared" ca="1" si="219"/>
        <v>3.3225876933068221</v>
      </c>
      <c r="V203" s="34">
        <f t="shared" ca="1" si="219"/>
        <v>21.884918409266739</v>
      </c>
      <c r="W203" s="34">
        <f t="shared" ca="1" si="219"/>
        <v>28.390654370661174</v>
      </c>
      <c r="X203" s="34">
        <f t="shared" ca="1" si="219"/>
        <v>13.162033028750187</v>
      </c>
      <c r="Y203" s="34" t="e">
        <f t="shared" si="219"/>
        <v>#DIV/0!</v>
      </c>
      <c r="Z203" s="34">
        <f t="shared" ca="1" si="219"/>
        <v>24.629220151791852</v>
      </c>
      <c r="AA203" s="34">
        <f t="shared" ca="1" si="219"/>
        <v>16.4561300910939</v>
      </c>
      <c r="AB203" s="34">
        <f t="shared" ca="1" si="219"/>
        <v>10.453778237709122</v>
      </c>
      <c r="AC203" s="34">
        <f t="shared" ca="1" si="219"/>
        <v>6.8147936632173334</v>
      </c>
      <c r="AD203" s="34" t="e">
        <f t="shared" si="219"/>
        <v>#DIV/0!</v>
      </c>
      <c r="AE203" s="34">
        <f t="shared" ca="1" si="219"/>
        <v>26.478959558355353</v>
      </c>
      <c r="AF203" s="34">
        <f t="shared" ca="1" si="219"/>
        <v>17.155743337818041</v>
      </c>
      <c r="AG203" s="34">
        <f t="shared" ca="1" si="219"/>
        <v>4.4476277514687856</v>
      </c>
      <c r="AH203" s="34">
        <f t="shared" ca="1" si="219"/>
        <v>7.1619360834289658</v>
      </c>
      <c r="AI203" s="34" t="e">
        <f t="shared" si="219"/>
        <v>#DIV/0!</v>
      </c>
      <c r="AJ203" s="34">
        <f t="shared" ca="1" si="219"/>
        <v>11.020301650426067</v>
      </c>
      <c r="AK203" s="34">
        <f t="shared" ca="1" si="219"/>
        <v>30.585513693068567</v>
      </c>
      <c r="AL203" s="34">
        <f t="shared" ca="1" si="219"/>
        <v>30.320753416363932</v>
      </c>
      <c r="AM203" s="34">
        <f t="shared" ca="1" si="219"/>
        <v>18.778737039261273</v>
      </c>
      <c r="AN203" s="34" t="e">
        <f t="shared" si="219"/>
        <v>#DIV/0!</v>
      </c>
      <c r="AO203" s="34">
        <f t="shared" ca="1" si="219"/>
        <v>21.207360598634629</v>
      </c>
      <c r="AP203" s="34">
        <f t="shared" ca="1" si="219"/>
        <v>18.951779316690953</v>
      </c>
      <c r="AQ203" s="34">
        <f t="shared" ca="1" si="219"/>
        <v>15.404819173692729</v>
      </c>
      <c r="AR203" s="34">
        <f t="shared" ca="1" si="219"/>
        <v>28.41813274881293</v>
      </c>
      <c r="AS203" s="34" t="e">
        <f t="shared" si="219"/>
        <v>#DIV/0!</v>
      </c>
      <c r="AT203" s="34">
        <f t="shared" si="219"/>
        <v>75.512000707415723</v>
      </c>
      <c r="AU203" s="34">
        <f t="shared" si="219"/>
        <v>65.168620169241535</v>
      </c>
      <c r="AV203" s="34">
        <f t="shared" si="219"/>
        <v>38.339249189803162</v>
      </c>
      <c r="AW203" s="34">
        <f t="shared" si="219"/>
        <v>64.721006690299745</v>
      </c>
      <c r="AX203" s="34" t="e">
        <f t="shared" si="219"/>
        <v>#DIV/0!</v>
      </c>
      <c r="AY203" s="34">
        <f t="shared" ca="1" si="219"/>
        <v>21.898606571645416</v>
      </c>
      <c r="AZ203" s="34">
        <f t="shared" ca="1" si="219"/>
        <v>42.74280747604395</v>
      </c>
      <c r="BA203" s="34">
        <f t="shared" ca="1" si="219"/>
        <v>18.206006739226076</v>
      </c>
      <c r="BB203" s="34">
        <f t="shared" ca="1" si="219"/>
        <v>45.986884045566903</v>
      </c>
      <c r="BC203" s="34" t="e">
        <f t="shared" si="219"/>
        <v>#DIV/0!</v>
      </c>
      <c r="BD203" s="34">
        <f t="shared" ca="1" si="219"/>
        <v>16.958887354996556</v>
      </c>
      <c r="BE203" s="34">
        <f t="shared" ca="1" si="219"/>
        <v>54.031448466924736</v>
      </c>
      <c r="BF203" s="34">
        <f t="shared" ca="1" si="219"/>
        <v>15.006864212219329</v>
      </c>
      <c r="BG203" s="34">
        <f t="shared" ca="1" si="219"/>
        <v>40.875833453969413</v>
      </c>
      <c r="BH203" s="34" t="e">
        <f t="shared" si="219"/>
        <v>#DIV/0!</v>
      </c>
      <c r="BI203" s="34">
        <f t="shared" ca="1" si="219"/>
        <v>2.3288120329229556</v>
      </c>
      <c r="BJ203" s="34">
        <f t="shared" ca="1" si="219"/>
        <v>121.84930668035894</v>
      </c>
      <c r="BK203" s="34">
        <f t="shared" ca="1" si="219"/>
        <v>73.518468557600642</v>
      </c>
      <c r="BL203" s="34">
        <f t="shared" ca="1" si="219"/>
        <v>70.025399753560194</v>
      </c>
      <c r="BM203" s="34" t="e">
        <f t="shared" si="219"/>
        <v>#DIV/0!</v>
      </c>
      <c r="BN203" s="34">
        <f t="shared" ca="1" si="219"/>
        <v>1.6066615321001843</v>
      </c>
      <c r="BO203" s="34">
        <f t="shared" ca="1" si="219"/>
        <v>12.746188121592738</v>
      </c>
      <c r="BP203" s="34">
        <f t="shared" ca="1" si="219"/>
        <v>43.400125247782917</v>
      </c>
      <c r="BQ203" s="34">
        <f t="shared" ca="1" si="219"/>
        <v>11.749895082715621</v>
      </c>
      <c r="BR203" s="34" t="e">
        <f t="shared" si="219"/>
        <v>#DIV/0!</v>
      </c>
      <c r="BS203" s="34">
        <f t="shared" ref="BS203:CU203" si="220">ABS(1-BS198/BS201)*100</f>
        <v>5.2022040017092541</v>
      </c>
      <c r="BT203" s="34">
        <f t="shared" si="220"/>
        <v>34.597029487869634</v>
      </c>
      <c r="BU203" s="34">
        <f t="shared" si="220"/>
        <v>27.693450146553623</v>
      </c>
      <c r="BV203" s="34">
        <f t="shared" si="220"/>
        <v>30.781607230945372</v>
      </c>
      <c r="BW203" s="34" t="e">
        <f t="shared" si="220"/>
        <v>#DIV/0!</v>
      </c>
      <c r="BX203" s="34">
        <f t="shared" ca="1" si="220"/>
        <v>19.181654520336444</v>
      </c>
      <c r="BY203" s="34">
        <f t="shared" ca="1" si="220"/>
        <v>42.9706081680606</v>
      </c>
      <c r="BZ203" s="34">
        <f t="shared" ca="1" si="220"/>
        <v>24.619929668712427</v>
      </c>
      <c r="CA203" s="34">
        <f t="shared" ca="1" si="220"/>
        <v>66.412495225093167</v>
      </c>
      <c r="CB203" s="34" t="e">
        <f t="shared" si="220"/>
        <v>#DIV/0!</v>
      </c>
      <c r="CC203" s="34">
        <f t="shared" ca="1" si="220"/>
        <v>8.4603674246833016</v>
      </c>
      <c r="CD203" s="34">
        <f t="shared" ca="1" si="220"/>
        <v>0.55241122309291901</v>
      </c>
      <c r="CE203" s="34">
        <f t="shared" ca="1" si="220"/>
        <v>32.453540526315251</v>
      </c>
      <c r="CF203" s="34">
        <f t="shared" ca="1" si="220"/>
        <v>70.193030898808047</v>
      </c>
      <c r="CG203" s="34" t="e">
        <f t="shared" si="220"/>
        <v>#DIV/0!</v>
      </c>
      <c r="CH203" s="34">
        <f t="shared" ca="1" si="220"/>
        <v>21.676201612575753</v>
      </c>
      <c r="CI203" s="34">
        <f t="shared" ca="1" si="220"/>
        <v>15.724344144052271</v>
      </c>
      <c r="CJ203" s="34">
        <f t="shared" ca="1" si="220"/>
        <v>18.913629042733792</v>
      </c>
      <c r="CK203" s="34">
        <f t="shared" ca="1" si="220"/>
        <v>59.430397094755769</v>
      </c>
      <c r="CL203" s="34" t="e">
        <f t="shared" si="220"/>
        <v>#DIV/0!</v>
      </c>
      <c r="CM203" s="34">
        <f t="shared" ca="1" si="220"/>
        <v>27.153087591862459</v>
      </c>
      <c r="CN203" s="34">
        <f t="shared" ca="1" si="220"/>
        <v>10.056247324965806</v>
      </c>
      <c r="CO203" s="34">
        <f t="shared" ca="1" si="220"/>
        <v>17.767212344399486</v>
      </c>
      <c r="CP203" s="34">
        <f t="shared" ca="1" si="220"/>
        <v>46.299580275363994</v>
      </c>
      <c r="CQ203" s="34" t="e">
        <f t="shared" si="220"/>
        <v>#DIV/0!</v>
      </c>
      <c r="CR203" s="34">
        <f t="shared" si="220"/>
        <v>0.19663821985664853</v>
      </c>
      <c r="CS203" s="34">
        <f t="shared" si="220"/>
        <v>10.480338959364943</v>
      </c>
      <c r="CT203" s="34">
        <f t="shared" si="220"/>
        <v>6.4108750332186659</v>
      </c>
      <c r="CU203" s="34">
        <f t="shared" si="220"/>
        <v>3.933415486837033</v>
      </c>
    </row>
    <row r="204" spans="1:99" x14ac:dyDescent="0.35">
      <c r="A204" s="33" t="s">
        <v>363</v>
      </c>
      <c r="B204" s="6">
        <f>B183</f>
        <v>0.05</v>
      </c>
    </row>
    <row r="205" spans="1:99" x14ac:dyDescent="0.35">
      <c r="A205" s="34" t="s">
        <v>364</v>
      </c>
      <c r="B205" s="7"/>
      <c r="F205" s="7">
        <f t="array" ref="F205">_xlfn.T.TEST(IF(ISNUMBER(F49:F96),F49:F96,""), IF(ISNUMBER(F131:F168),F131:F168,""),1,3)</f>
        <v>9.8228414881841881E-3</v>
      </c>
      <c r="G205" s="7">
        <f t="array" ref="G205">_xlfn.T.TEST(IF(ISNUMBER(G49:G96),G49:G96,""), IF(ISNUMBER(G131:G168),G131:G168,""),1,3)</f>
        <v>0.16947539143929968</v>
      </c>
      <c r="H205" s="7">
        <f t="array" ref="H205">_xlfn.T.TEST(IF(ISNUMBER(H49:H96),H49:H96,""), IF(ISNUMBER(H131:H168),H131:H168,""),1,3)</f>
        <v>8.6020869995198132E-2</v>
      </c>
      <c r="I205" s="7">
        <f t="array" ref="I205">_xlfn.T.TEST(IF(ISNUMBER(I49:I96),I49:I96,""), IF(ISNUMBER(I131:I168),I131:I168,""),1,3)</f>
        <v>0.33868612329703407</v>
      </c>
      <c r="J205" s="7" t="e">
        <f t="array" ref="J205">_xlfn.T.TEST(IF(ISNUMBER(J49:J96),J49:J96,""), IF(ISNUMBER(J131:J168),J131:J168,""),1,3)</f>
        <v>#DIV/0!</v>
      </c>
      <c r="K205" s="7">
        <f t="array" aca="1" ref="K205" ca="1">_xlfn.T.TEST(IF(ISNUMBER(K49:K96),K49:K96,""), IF(ISNUMBER(K131:K168),K131:K168,""),1,3)</f>
        <v>2.8916617632030205E-2</v>
      </c>
      <c r="L205" s="7">
        <f t="array" aca="1" ref="L205" ca="1">_xlfn.T.TEST(IF(ISNUMBER(L49:L96),L49:L96,""), IF(ISNUMBER(L131:L168),L131:L168,""),1,3)</f>
        <v>1.0082162824621653E-2</v>
      </c>
      <c r="M205" s="7">
        <f t="array" aca="1" ref="M205" ca="1">_xlfn.T.TEST(IF(ISNUMBER(M49:M96),M49:M96,""), IF(ISNUMBER(M131:M168),M131:M168,""),1,3)</f>
        <v>5.1272941997426276E-2</v>
      </c>
      <c r="N205" s="7">
        <f t="array" aca="1" ref="N205" ca="1">_xlfn.T.TEST(IF(ISNUMBER(N49:N96),N49:N96,""), IF(ISNUMBER(N131:N168),N131:N168,""),1,3)</f>
        <v>0.17167979905166425</v>
      </c>
      <c r="O205" s="7" t="e">
        <f t="array" ref="O205">_xlfn.T.TEST(IF(ISNUMBER(O49:O96),O49:O96,""), IF(ISNUMBER(O131:O168),O131:O168,""),1,3)</f>
        <v>#DIV/0!</v>
      </c>
      <c r="P205" s="7">
        <f t="array" aca="1" ref="P205" ca="1">_xlfn.T.TEST(IF(ISNUMBER(P49:P96),P49:P96,""), IF(ISNUMBER(P131:P168),P131:P168,""),1,3)</f>
        <v>4.4560081766663789E-2</v>
      </c>
      <c r="Q205" s="7">
        <f t="array" aca="1" ref="Q205" ca="1">_xlfn.T.TEST(IF(ISNUMBER(Q49:Q96),Q49:Q96,""), IF(ISNUMBER(Q131:Q168),Q131:Q168,""),1,3)</f>
        <v>9.9731376102390523E-2</v>
      </c>
      <c r="R205" s="7">
        <f t="array" aca="1" ref="R205" ca="1">_xlfn.T.TEST(IF(ISNUMBER(R49:R96),R49:R96,""), IF(ISNUMBER(R131:R168),R131:R168,""),1,3)</f>
        <v>0.23129077718624474</v>
      </c>
      <c r="S205" s="7">
        <f t="array" aca="1" ref="S205" ca="1">_xlfn.T.TEST(IF(ISNUMBER(S49:S96),S49:S96,""), IF(ISNUMBER(S131:S168),S131:S168,""),1,3)</f>
        <v>0.24848123799052851</v>
      </c>
      <c r="T205" s="7" t="e">
        <f t="array" ref="T205">_xlfn.T.TEST(IF(ISNUMBER(T49:T96),T49:T96,""), IF(ISNUMBER(T131:T168),T131:T168,""),1,3)</f>
        <v>#DIV/0!</v>
      </c>
      <c r="U205" s="7">
        <f t="array" aca="1" ref="U205" ca="1">_xlfn.T.TEST(IF(ISNUMBER(U49:U96),U49:U96,""), IF(ISNUMBER(U131:U168),U131:U168,""),1,3)</f>
        <v>0.36025219617655568</v>
      </c>
      <c r="V205" s="7">
        <f t="array" aca="1" ref="V205" ca="1">_xlfn.T.TEST(IF(ISNUMBER(V49:V96),V49:V96,""), IF(ISNUMBER(V131:V168),V131:V168,""),1,3)</f>
        <v>3.1211878188540369E-2</v>
      </c>
      <c r="W205" s="7">
        <f t="array" aca="1" ref="W205" ca="1">_xlfn.T.TEST(IF(ISNUMBER(W49:W96),W49:W96,""), IF(ISNUMBER(W131:W168),W131:W168,""),1,3)</f>
        <v>2.3072164074779498E-3</v>
      </c>
      <c r="X205" s="7">
        <f t="array" aca="1" ref="X205" ca="1">_xlfn.T.TEST(IF(ISNUMBER(X49:X96),X49:X96,""), IF(ISNUMBER(X131:X168),X131:X168,""),1,3)</f>
        <v>0.14762132837888958</v>
      </c>
      <c r="Y205" s="7" t="e">
        <f t="array" ref="Y205">_xlfn.T.TEST(IF(ISNUMBER(Y49:Y96),Y49:Y96,""), IF(ISNUMBER(Y131:Y168),Y131:Y168,""),1,3)</f>
        <v>#DIV/0!</v>
      </c>
      <c r="Z205" s="7">
        <f t="array" aca="1" ref="Z205" ca="1">_xlfn.T.TEST(IF(ISNUMBER(Z49:Z96),Z49:Z96,""), IF(ISNUMBER(Z131:Z168),Z131:Z168,""),1,3)</f>
        <v>2.8044917864774432E-3</v>
      </c>
      <c r="AA205" s="7">
        <f t="array" aca="1" ref="AA205" ca="1">_xlfn.T.TEST(IF(ISNUMBER(AA49:AA96),AA49:AA96,""), IF(ISNUMBER(AA131:AA168),AA131:AA168,""),1,3)</f>
        <v>1.3839243010673281E-2</v>
      </c>
      <c r="AB205" s="7">
        <f t="array" aca="1" ref="AB205" ca="1">_xlfn.T.TEST(IF(ISNUMBER(AB49:AB96),AB49:AB96,""), IF(ISNUMBER(AB131:AB168),AB131:AB168,""),1,3)</f>
        <v>3.7442250259993301E-2</v>
      </c>
      <c r="AC205" s="7">
        <f t="array" aca="1" ref="AC205" ca="1">_xlfn.T.TEST(IF(ISNUMBER(AC49:AC96),AC49:AC96,""), IF(ISNUMBER(AC131:AC168),AC131:AC168,""),1,3)</f>
        <v>0.16051531085360091</v>
      </c>
      <c r="AD205" s="7" t="e">
        <f t="array" ref="AD205">_xlfn.T.TEST(IF(ISNUMBER(AD49:AD96),AD49:AD96,""), IF(ISNUMBER(AD131:AD168),AD131:AD168,""),1,3)</f>
        <v>#DIV/0!</v>
      </c>
      <c r="AE205" s="7">
        <f t="array" aca="1" ref="AE205" ca="1">_xlfn.T.TEST(IF(ISNUMBER(AE49:AE96),AE49:AE96,""), IF(ISNUMBER(AE131:AE168),AE131:AE168,""),1,3)</f>
        <v>6.6546278286522464E-3</v>
      </c>
      <c r="AF205" s="7">
        <f t="array" aca="1" ref="AF205" ca="1">_xlfn.T.TEST(IF(ISNUMBER(AF49:AF96),AF49:AF96,""), IF(ISNUMBER(AF131:AF168),AF131:AF168,""),1,3)</f>
        <v>5.6336239980626229E-2</v>
      </c>
      <c r="AG205" s="7">
        <f t="array" aca="1" ref="AG205" ca="1">_xlfn.T.TEST(IF(ISNUMBER(AG49:AG96),AG49:AG96,""), IF(ISNUMBER(AG131:AG168),AG131:AG168,""),1,3)</f>
        <v>0.27124670142901264</v>
      </c>
      <c r="AH205" s="7">
        <f t="array" aca="1" ref="AH205" ca="1">_xlfn.T.TEST(IF(ISNUMBER(AH49:AH96),AH49:AH96,""), IF(ISNUMBER(AH131:AH168),AH131:AH168,""),1,3)</f>
        <v>0.21780844123148452</v>
      </c>
      <c r="AI205" s="7" t="e">
        <f t="array" ref="AI205">_xlfn.T.TEST(IF(ISNUMBER(AI49:AI96),AI49:AI96,""), IF(ISNUMBER(AI131:AI168),AI131:AI168,""),1,3)</f>
        <v>#DIV/0!</v>
      </c>
      <c r="AJ205" s="7">
        <f t="array" aca="1" ref="AJ205" ca="1">_xlfn.T.TEST(IF(ISNUMBER(AJ49:AJ96),AJ49:AJ96,""), IF(ISNUMBER(AJ131:AJ168),AJ131:AJ168,""),1,3)</f>
        <v>0.17990849355388072</v>
      </c>
      <c r="AK205" s="7">
        <f t="array" aca="1" ref="AK205" ca="1">_xlfn.T.TEST(IF(ISNUMBER(AK49:AK96),AK49:AK96,""), IF(ISNUMBER(AK131:AK168),AK131:AK168,""),1,3)</f>
        <v>1.5557952776209265E-2</v>
      </c>
      <c r="AL205" s="7">
        <f t="array" aca="1" ref="AL205" ca="1">_xlfn.T.TEST(IF(ISNUMBER(AL49:AL96),AL49:AL96,""), IF(ISNUMBER(AL131:AL168),AL131:AL168,""),1,3)</f>
        <v>3.1205802489823486E-3</v>
      </c>
      <c r="AM205" s="7">
        <f t="array" aca="1" ref="AM205" ca="1">_xlfn.T.TEST(IF(ISNUMBER(AM49:AM96),AM49:AM96,""), IF(ISNUMBER(AM131:AM168),AM131:AM168,""),1,3)</f>
        <v>0.11300725065291213</v>
      </c>
      <c r="AN205" s="7" t="e">
        <f t="array" ref="AN205">_xlfn.T.TEST(IF(ISNUMBER(AN49:AN96),AN49:AN96,""), IF(ISNUMBER(AN131:AN168),AN131:AN168,""),1,3)</f>
        <v>#DIV/0!</v>
      </c>
      <c r="AO205" s="7">
        <f t="array" aca="1" ref="AO205" ca="1">_xlfn.T.TEST(IF(ISNUMBER(AO49:AO96),AO49:AO96,""), IF(ISNUMBER(AO131:AO168),AO131:AO168,""),1,3)</f>
        <v>0.21520088562777162</v>
      </c>
      <c r="AP205" s="7">
        <f t="array" aca="1" ref="AP205" ca="1">_xlfn.T.TEST(IF(ISNUMBER(AP49:AP96),AP49:AP96,""), IF(ISNUMBER(AP131:AP168),AP131:AP168,""),1,3)</f>
        <v>0.20314129798110458</v>
      </c>
      <c r="AQ205" s="7">
        <f t="array" aca="1" ref="AQ205" ca="1">_xlfn.T.TEST(IF(ISNUMBER(AQ49:AQ96),AQ49:AQ96,""), IF(ISNUMBER(AQ131:AQ168),AQ131:AQ168,""),1,3)</f>
        <v>0.20646987739409534</v>
      </c>
      <c r="AR205" s="7">
        <f t="array" aca="1" ref="AR205" ca="1">_xlfn.T.TEST(IF(ISNUMBER(AR49:AR96),AR49:AR96,""), IF(ISNUMBER(AR131:AR168),AR131:AR168,""),1,3)</f>
        <v>0.20830936066132899</v>
      </c>
      <c r="AS205" s="7" t="e">
        <f t="array" ref="AS205">_xlfn.T.TEST(IF(ISNUMBER(AS49:AS96),AS49:AS96,""), IF(ISNUMBER(AS131:AS168),AS131:AS168,""),1,3)</f>
        <v>#DIV/0!</v>
      </c>
      <c r="AT205" s="7">
        <f t="array" ref="AT205">_xlfn.T.TEST(IF(ISNUMBER(AT49:AT96),AT49:AT96,""), IF(ISNUMBER(AT131:AT168),AT131:AT168,""),1,3)</f>
        <v>1.5812449187755588E-2</v>
      </c>
      <c r="AU205" s="7">
        <f t="array" ref="AU205">_xlfn.T.TEST(IF(ISNUMBER(AU49:AU96),AU49:AU96,""), IF(ISNUMBER(AU131:AU168),AU131:AU168,""),1,3)</f>
        <v>3.403268144902457E-2</v>
      </c>
      <c r="AV205" s="7">
        <f t="array" ref="AV205">_xlfn.T.TEST(IF(ISNUMBER(AV49:AV96),AV49:AV96,""), IF(ISNUMBER(AV131:AV168),AV131:AV168,""),1,3)</f>
        <v>0.16165211557083686</v>
      </c>
      <c r="AW205" s="7">
        <f t="array" ref="AW205">_xlfn.T.TEST(IF(ISNUMBER(AW49:AW96),AW49:AW96,""), IF(ISNUMBER(AW131:AW168),AW131:AW168,""),1,3)</f>
        <v>5.4115003430548217E-2</v>
      </c>
      <c r="AX205" s="7" t="e">
        <f t="array" ref="AX205">_xlfn.T.TEST(IF(ISNUMBER(AX49:AX96),AX49:AX96,""), IF(ISNUMBER(AX131:AX168),AX131:AX168,""),1,3)</f>
        <v>#DIV/0!</v>
      </c>
      <c r="AY205" s="7">
        <f t="array" aca="1" ref="AY205" ca="1">_xlfn.T.TEST(IF(ISNUMBER(AY49:AY96),AY49:AY96,""), IF(ISNUMBER(AY131:AY168),AY131:AY168,""),1,3)</f>
        <v>0.163135594418236</v>
      </c>
      <c r="AZ205" s="7">
        <f t="array" aca="1" ref="AZ205" ca="1">_xlfn.T.TEST(IF(ISNUMBER(AZ49:AZ96),AZ49:AZ96,""), IF(ISNUMBER(AZ131:AZ168),AZ131:AZ168,""),1,3)</f>
        <v>7.4449616908254412E-2</v>
      </c>
      <c r="BA205" s="7">
        <f t="array" aca="1" ref="BA205" ca="1">_xlfn.T.TEST(IF(ISNUMBER(BA49:BA96),BA49:BA96,""), IF(ISNUMBER(BA131:BA168),BA131:BA168,""),1,3)</f>
        <v>0.20080576389157057</v>
      </c>
      <c r="BB205" s="7">
        <f t="array" aca="1" ref="BB205" ca="1">_xlfn.T.TEST(IF(ISNUMBER(BB49:BB96),BB49:BB96,""), IF(ISNUMBER(BB131:BB168),BB131:BB168,""),1,3)</f>
        <v>7.2818721079527998E-2</v>
      </c>
      <c r="BC205" s="7" t="e">
        <f t="array" ref="BC205">_xlfn.T.TEST(IF(ISNUMBER(BC49:BC96),BC49:BC96,""), IF(ISNUMBER(BC131:BC168),BC131:BC168,""),1,3)</f>
        <v>#DIV/0!</v>
      </c>
      <c r="BD205" s="7">
        <f t="array" aca="1" ref="BD205" ca="1">_xlfn.T.TEST(IF(ISNUMBER(BD49:BD96),BD49:BD96,""), IF(ISNUMBER(BD131:BD168),BD131:BD168,""),1,3)</f>
        <v>0.23664256101547915</v>
      </c>
      <c r="BE205" s="7">
        <f t="array" aca="1" ref="BE205" ca="1">_xlfn.T.TEST(IF(ISNUMBER(BE49:BE96),BE49:BE96,""), IF(ISNUMBER(BE131:BE168),BE131:BE168,""),1,3)</f>
        <v>4.6357026097217827E-2</v>
      </c>
      <c r="BF205" s="7">
        <f t="array" aca="1" ref="BF205" ca="1">_xlfn.T.TEST(IF(ISNUMBER(BF49:BF96),BF49:BF96,""), IF(ISNUMBER(BF131:BF168),BF131:BF168,""),1,3)</f>
        <v>0.2429389218214813</v>
      </c>
      <c r="BG205" s="7">
        <f t="array" aca="1" ref="BG205" ca="1">_xlfn.T.TEST(IF(ISNUMBER(BG49:BG96),BG49:BG96,""), IF(ISNUMBER(BG131:BG168),BG131:BG168,""),1,3)</f>
        <v>9.4175121152052843E-2</v>
      </c>
      <c r="BH205" s="7" t="e">
        <f t="array" ref="BH205">_xlfn.T.TEST(IF(ISNUMBER(BH49:BH96),BH49:BH96,""), IF(ISNUMBER(BH131:BH168),BH131:BH168,""),1,3)</f>
        <v>#DIV/0!</v>
      </c>
      <c r="BI205" s="7">
        <f t="array" aca="1" ref="BI205" ca="1">_xlfn.T.TEST(IF(ISNUMBER(BI49:BI96),BI49:BI96,""), IF(ISNUMBER(BI131:BI168),BI131:BI168,""),1,3)</f>
        <v>0.45235379900203937</v>
      </c>
      <c r="BJ205" s="7">
        <f t="array" aca="1" ref="BJ205" ca="1">_xlfn.T.TEST(IF(ISNUMBER(BJ49:BJ96),BJ49:BJ96,""), IF(ISNUMBER(BJ131:BJ168),BJ131:BJ168,""),1,3)</f>
        <v>2.9412111655232085E-4</v>
      </c>
      <c r="BK205" s="7">
        <f t="array" aca="1" ref="BK205" ca="1">_xlfn.T.TEST(IF(ISNUMBER(BK49:BK96),BK49:BK96,""), IF(ISNUMBER(BK131:BK168),BK131:BK168,""),1,3)</f>
        <v>1.5742452163776373E-3</v>
      </c>
      <c r="BL205" s="7">
        <f t="array" aca="1" ref="BL205" ca="1">_xlfn.T.TEST(IF(ISNUMBER(BL49:BL96),BL49:BL96,""), IF(ISNUMBER(BL131:BL168),BL131:BL168,""),1,3)</f>
        <v>7.4717441154967552E-3</v>
      </c>
      <c r="BM205" s="7" t="e">
        <f t="array" ref="BM205">_xlfn.T.TEST(IF(ISNUMBER(BM49:BM96),BM49:BM96,""), IF(ISNUMBER(BM131:BM168),BM131:BM168,""),1,3)</f>
        <v>#DIV/0!</v>
      </c>
      <c r="BN205" s="7">
        <f t="array" aca="1" ref="BN205" ca="1">_xlfn.T.TEST(IF(ISNUMBER(BN49:BN96),BN49:BN96,""), IF(ISNUMBER(BN131:BN168),BN131:BN168,""),1,3)</f>
        <v>0.47396356224269409</v>
      </c>
      <c r="BO205" s="7">
        <f t="array" aca="1" ref="BO205" ca="1">_xlfn.T.TEST(IF(ISNUMBER(BO49:BO96),BO49:BO96,""), IF(ISNUMBER(BO131:BO168),BO131:BO168,""),1,3)</f>
        <v>0.32142506425936901</v>
      </c>
      <c r="BP205" s="7">
        <f t="array" aca="1" ref="BP205" ca="1">_xlfn.T.TEST(IF(ISNUMBER(BP49:BP96),BP49:BP96,""), IF(ISNUMBER(BP131:BP168),BP131:BP168,""),1,3)</f>
        <v>4.9480266353162189E-2</v>
      </c>
      <c r="BQ205" s="7">
        <f t="array" aca="1" ref="BQ205" ca="1">_xlfn.T.TEST(IF(ISNUMBER(BQ49:BQ96),BQ49:BQ96,""), IF(ISNUMBER(BQ131:BQ168),BQ131:BQ168,""),1,3)</f>
        <v>0.34508532269864312</v>
      </c>
      <c r="BR205" s="7" t="e">
        <f t="array" ref="BR205">_xlfn.T.TEST(IF(ISNUMBER(BR49:BR96),BR49:BR96,""), IF(ISNUMBER(BR131:BR168),BR131:BR168,""),1,3)</f>
        <v>#DIV/0!</v>
      </c>
      <c r="BS205" s="7">
        <f t="array" ref="BS205">_xlfn.T.TEST(IF(ISNUMBER(BS49:BS96),BS49:BS96,""), IF(ISNUMBER(BS131:BS168),BS131:BS168,""),1,3)</f>
        <v>0.41736850931052882</v>
      </c>
      <c r="BT205" s="7">
        <f t="array" ref="BT205">_xlfn.T.TEST(IF(ISNUMBER(BT49:BT96),BT49:BT96,""), IF(ISNUMBER(BT131:BT168),BT131:BT168,""),1,3)</f>
        <v>3.6116420758729978E-2</v>
      </c>
      <c r="BU205" s="7">
        <f t="array" ref="BU205">_xlfn.T.TEST(IF(ISNUMBER(BU49:BU96),BU49:BU96,""), IF(ISNUMBER(BU131:BU168),BU131:BU168,""),1,3)</f>
        <v>0.11322498550569851</v>
      </c>
      <c r="BV205" s="7">
        <f t="array" ref="BV205">_xlfn.T.TEST(IF(ISNUMBER(BV49:BV96),BV49:BV96,""), IF(ISNUMBER(BV131:BV168),BV131:BV168,""),1,3)</f>
        <v>8.0899701449069342E-2</v>
      </c>
      <c r="BW205" s="7" t="e">
        <f t="array" ref="BW205">_xlfn.T.TEST(IF(ISNUMBER(BW49:BW96),BW49:BW96,""), IF(ISNUMBER(BW131:BW168),BW131:BW168,""),1,3)</f>
        <v>#DIV/0!</v>
      </c>
      <c r="BX205" s="7">
        <f t="array" aca="1" ref="BX205" ca="1">_xlfn.T.TEST(IF(ISNUMBER(BX49:BX96),BX49:BX96,""), IF(ISNUMBER(BX131:BX168),BX131:BX168,""),1,3)</f>
        <v>0.30940593739628452</v>
      </c>
      <c r="BY205" s="7">
        <f t="array" aca="1" ref="BY205" ca="1">_xlfn.T.TEST(IF(ISNUMBER(BY49:BY96),BY49:BY96,""), IF(ISNUMBER(BY131:BY168),BY131:BY168,""),1,3)</f>
        <v>0.21947926039511223</v>
      </c>
      <c r="BZ205" s="7">
        <f t="array" aca="1" ref="BZ205" ca="1">_xlfn.T.TEST(IF(ISNUMBER(BZ49:BZ96),BZ49:BZ96,""), IF(ISNUMBER(BZ131:BZ168),BZ131:BZ168,""),1,3)</f>
        <v>0.20815985187544883</v>
      </c>
      <c r="CA205" s="7">
        <f t="array" aca="1" ref="CA205" ca="1">_xlfn.T.TEST(IF(ISNUMBER(CA49:CA96),CA49:CA96,""), IF(ISNUMBER(CA131:CA168),CA131:CA168,""),1,3)</f>
        <v>8.6473600017394625E-2</v>
      </c>
      <c r="CB205" s="7" t="e">
        <f t="array" ref="CB205">_xlfn.T.TEST(IF(ISNUMBER(CB49:CB96),CB49:CB96,""), IF(ISNUMBER(CB131:CB168),CB131:CB168,""),1,3)</f>
        <v>#DIV/0!</v>
      </c>
      <c r="CC205" s="7">
        <f t="array" aca="1" ref="CC205" ca="1">_xlfn.T.TEST(IF(ISNUMBER(CC49:CC96),CC49:CC96,""), IF(ISNUMBER(CC131:CC168),CC131:CC168,""),1,3)</f>
        <v>0.41890296641289237</v>
      </c>
      <c r="CD205" s="7">
        <f t="array" aca="1" ref="CD205" ca="1">_xlfn.T.TEST(IF(ISNUMBER(CD49:CD96),CD49:CD96,""), IF(ISNUMBER(CD131:CD168),CD131:CD168,""),1,3)</f>
        <v>0.49572582152931699</v>
      </c>
      <c r="CE205" s="7">
        <f t="array" aca="1" ref="CE205" ca="1">_xlfn.T.TEST(IF(ISNUMBER(CE49:CE96),CE49:CE96,""), IF(ISNUMBER(CE131:CE168),CE131:CE168,""),1,3)</f>
        <v>0.16476318864196354</v>
      </c>
      <c r="CF205" s="7">
        <f t="array" aca="1" ref="CF205" ca="1">_xlfn.T.TEST(IF(ISNUMBER(CF49:CF96),CF49:CF96,""), IF(ISNUMBER(CF131:CF168),CF131:CF168,""),1,3)</f>
        <v>7.1801317675286011E-2</v>
      </c>
      <c r="CG205" s="7" t="e">
        <f t="array" ref="CG205">_xlfn.T.TEST(IF(ISNUMBER(CG49:CG96),CG49:CG96,""), IF(ISNUMBER(CG131:CG168),CG131:CG168,""),1,3)</f>
        <v>#DIV/0!</v>
      </c>
      <c r="CH205" s="7">
        <f t="array" aca="1" ref="CH205" ca="1">_xlfn.T.TEST(IF(ISNUMBER(CH49:CH96),CH49:CH96,""), IF(ISNUMBER(CH131:CH168),CH131:CH168,""),1,3)</f>
        <v>0.28300736423076944</v>
      </c>
      <c r="CI205" s="7">
        <f t="array" aca="1" ref="CI205" ca="1">_xlfn.T.TEST(IF(ISNUMBER(CI49:CI96),CI49:CI96,""), IF(ISNUMBER(CI131:CI168),CI131:CI168,""),1,3)</f>
        <v>0.34836495418768287</v>
      </c>
      <c r="CJ205" s="7">
        <f t="array" aca="1" ref="CJ205" ca="1">_xlfn.T.TEST(IF(ISNUMBER(CJ49:CJ96),CJ49:CJ96,""), IF(ISNUMBER(CJ131:CJ168),CJ131:CJ168,""),1,3)</f>
        <v>0.27757295300966611</v>
      </c>
      <c r="CK205" s="7">
        <f t="array" aca="1" ref="CK205" ca="1">_xlfn.T.TEST(IF(ISNUMBER(CK49:CK96),CK49:CK96,""), IF(ISNUMBER(CK131:CK168),CK131:CK168,""),1,3)</f>
        <v>9.3346385474141341E-2</v>
      </c>
      <c r="CL205" s="7" t="e">
        <f t="array" ref="CL205">_xlfn.T.TEST(IF(ISNUMBER(CL49:CL96),CL49:CL96,""), IF(ISNUMBER(CL131:CL168),CL131:CL168,""),1,3)</f>
        <v>#DIV/0!</v>
      </c>
      <c r="CM205" s="7">
        <f t="array" aca="1" ref="CM205" ca="1">_xlfn.T.TEST(IF(ISNUMBER(CM49:CM96),CM49:CM96,""), IF(ISNUMBER(CM131:CM168),CM131:CM168,""),1,3)</f>
        <v>0.17279259646104861</v>
      </c>
      <c r="CN205" s="7">
        <f t="array" aca="1" ref="CN205" ca="1">_xlfn.T.TEST(IF(ISNUMBER(CN49:CN96),CN49:CN96,""), IF(ISNUMBER(CN131:CN168),CN131:CN168,""),1,3)</f>
        <v>0.37881197086537349</v>
      </c>
      <c r="CO205" s="7">
        <f t="array" aca="1" ref="CO205" ca="1">_xlfn.T.TEST(IF(ISNUMBER(CO49:CO96),CO49:CO96,""), IF(ISNUMBER(CO131:CO168),CO131:CO168,""),1,3)</f>
        <v>0.24338753051870199</v>
      </c>
      <c r="CP205" s="7">
        <f t="array" aca="1" ref="CP205" ca="1">_xlfn.T.TEST(IF(ISNUMBER(CP49:CP96),CP49:CP96,""), IF(ISNUMBER(CP131:CP168),CP131:CP168,""),1,3)</f>
        <v>0.13107026208502842</v>
      </c>
      <c r="CQ205" s="7" t="e">
        <f t="array" ref="CQ205">_xlfn.T.TEST(IF(ISNUMBER(CQ49:CQ96),CQ49:CQ96,""), IF(ISNUMBER(CQ131:CQ168),CQ131:CQ168,""),1,3)</f>
        <v>#DIV/0!</v>
      </c>
      <c r="CR205" s="7">
        <f t="array" ref="CR205">_xlfn.T.TEST(IF(ISNUMBER(CR49:CR96),CR49:CR96,""), IF(ISNUMBER(CR131:CR168),CR131:CR168,""),1,3)</f>
        <v>0.49288044579147727</v>
      </c>
      <c r="CS205" s="7">
        <f t="array" ref="CS205">_xlfn.T.TEST(IF(ISNUMBER(CS49:CS96),CS49:CS96,""), IF(ISNUMBER(CS131:CS168),CS131:CS168,""),1,3)</f>
        <v>0.12304974830141563</v>
      </c>
      <c r="CT205" s="7">
        <f t="array" ref="CT205">_xlfn.T.TEST(IF(ISNUMBER(CT49:CT96),CT49:CT96,""), IF(ISNUMBER(CT131:CT168),CT131:CT168,""),1,3)</f>
        <v>0.25717217606804149</v>
      </c>
      <c r="CU205" s="7">
        <f t="array" ref="CU205">_xlfn.T.TEST(IF(ISNUMBER(CU49:CU96),CU49:CU96,""), IF(ISNUMBER(CU131:CU168),CU131:CU168,""),1,3)</f>
        <v>0.38556825352857033</v>
      </c>
    </row>
    <row r="206" spans="1:99" x14ac:dyDescent="0.35">
      <c r="A206" s="34"/>
      <c r="B206" s="7"/>
    </row>
    <row r="207" spans="1:99" x14ac:dyDescent="0.35">
      <c r="A207" s="7"/>
    </row>
    <row r="208" spans="1:99" x14ac:dyDescent="0.35">
      <c r="C208" s="84" t="s">
        <v>402</v>
      </c>
      <c r="D208" s="85"/>
    </row>
    <row r="209" spans="1:6" x14ac:dyDescent="0.35">
      <c r="B209" s="17" t="s">
        <v>405</v>
      </c>
      <c r="C209" s="2" t="s">
        <v>406</v>
      </c>
      <c r="D209" s="52" t="s">
        <v>396</v>
      </c>
    </row>
    <row r="210" spans="1:6" x14ac:dyDescent="0.35">
      <c r="A210" s="6">
        <v>1</v>
      </c>
      <c r="B210" s="6" t="s">
        <v>273</v>
      </c>
      <c r="C210" s="51">
        <f ca="1">INDIRECT("Graphique_Interactif_All_Param!"&amp;LEFT(ADDRESS(1,COLUMN()-2+A210*5+$I$226,4),LEN(ADDRESS(1,COLUMN()-2+A210*5+$I$226,4))-1)&amp;ROW()-A210-$I$225+1)</f>
        <v>0.84063954329276491</v>
      </c>
      <c r="D210" s="51">
        <f ca="1">INDIRECT("Graphique_Interactif_All_Param!"&amp;LEFT(ADDRESS(1,COLUMN()-3+A210*5+$I$226,4),LEN(ADDRESS(1,COLUMN()-3+A210*5+$I$226,4))-1)&amp;ROW()-A210-$I$225+2+1)</f>
        <v>0.30972651406969554</v>
      </c>
    </row>
    <row r="211" spans="1:6" x14ac:dyDescent="0.35">
      <c r="A211" s="6">
        <f>1+A210</f>
        <v>2</v>
      </c>
      <c r="B211" s="6" t="s">
        <v>368</v>
      </c>
      <c r="C211" s="51">
        <f t="shared" ref="C211:C228" ca="1" si="221">INDIRECT("Graphique_Interactif_All_Param!"&amp;LEFT(ADDRESS(1,COLUMN()-2+A211*5+$I$226,4),LEN(ADDRESS(1,COLUMN()-2+A211*5+$I$226,4))-1)&amp;ROW()-A211-$I$225+1)</f>
        <v>2.0671287345289224</v>
      </c>
      <c r="D211" s="51">
        <f t="shared" ref="D211:D228" ca="1" si="222">INDIRECT("Graphique_Interactif_All_Param!"&amp;LEFT(ADDRESS(1,COLUMN()-3+A211*5+$I$226,4),LEN(ADDRESS(1,COLUMN()-3+A211*5+$I$226,4))-1)&amp;ROW()-A211-$I$225+2+1)</f>
        <v>8.2168738911590114E-2</v>
      </c>
    </row>
    <row r="212" spans="1:6" x14ac:dyDescent="0.35">
      <c r="A212" s="6">
        <f t="shared" ref="A212:A228" si="223">1+A211</f>
        <v>3</v>
      </c>
      <c r="B212" s="6" t="s">
        <v>369</v>
      </c>
      <c r="C212" s="51">
        <f t="shared" ca="1" si="221"/>
        <v>13.431948903738554</v>
      </c>
      <c r="D212" s="51">
        <f t="shared" ca="1" si="222"/>
        <v>5.0856811528467535E-2</v>
      </c>
    </row>
    <row r="213" spans="1:6" x14ac:dyDescent="0.35">
      <c r="A213" s="6">
        <f t="shared" si="223"/>
        <v>4</v>
      </c>
      <c r="B213" s="6" t="s">
        <v>370</v>
      </c>
      <c r="C213" s="51">
        <f t="shared" ca="1" si="221"/>
        <v>10.638102023883778</v>
      </c>
      <c r="D213" s="51">
        <f t="shared" ca="1" si="222"/>
        <v>0.10904766747906582</v>
      </c>
    </row>
    <row r="214" spans="1:6" x14ac:dyDescent="0.35">
      <c r="A214" s="6">
        <f t="shared" si="223"/>
        <v>5</v>
      </c>
      <c r="B214" s="6" t="s">
        <v>381</v>
      </c>
      <c r="C214" s="51">
        <f t="shared" ca="1" si="221"/>
        <v>1.1080547946482167</v>
      </c>
      <c r="D214" s="51">
        <f t="shared" ca="1" si="222"/>
        <v>0.36404348204034209</v>
      </c>
    </row>
    <row r="215" spans="1:6" x14ac:dyDescent="0.35">
      <c r="A215" s="6">
        <f t="shared" si="223"/>
        <v>6</v>
      </c>
      <c r="B215" s="6" t="s">
        <v>382</v>
      </c>
      <c r="C215" s="51">
        <f t="shared" ca="1" si="221"/>
        <v>13.980158888963546</v>
      </c>
      <c r="D215" s="51">
        <f t="shared" ca="1" si="222"/>
        <v>4.9538597677758409E-2</v>
      </c>
    </row>
    <row r="216" spans="1:6" x14ac:dyDescent="0.35">
      <c r="A216" s="6">
        <f t="shared" si="223"/>
        <v>7</v>
      </c>
      <c r="B216" s="6" t="s">
        <v>383</v>
      </c>
      <c r="C216" s="51">
        <f t="shared" ca="1" si="221"/>
        <v>9.9740855530008545</v>
      </c>
      <c r="D216" s="51">
        <f t="shared" ca="1" si="222"/>
        <v>0.12591671561515824</v>
      </c>
    </row>
    <row r="217" spans="1:6" x14ac:dyDescent="0.35">
      <c r="A217" s="6">
        <f t="shared" si="223"/>
        <v>8</v>
      </c>
      <c r="B217" s="6" t="s">
        <v>393</v>
      </c>
      <c r="C217" s="51">
        <f t="shared" ca="1" si="221"/>
        <v>53.7140727863761</v>
      </c>
      <c r="D217" s="51">
        <f t="shared" ca="1" si="222"/>
        <v>0.17229035121450165</v>
      </c>
    </row>
    <row r="218" spans="1:6" x14ac:dyDescent="0.35">
      <c r="A218" s="6">
        <f t="shared" si="223"/>
        <v>9</v>
      </c>
      <c r="B218" s="6" t="s">
        <v>384</v>
      </c>
      <c r="C218" s="51">
        <f t="shared" ca="1" si="221"/>
        <v>25.235640594388553</v>
      </c>
      <c r="D218" s="51">
        <f t="shared" ca="1" si="222"/>
        <v>0.25669909265943702</v>
      </c>
    </row>
    <row r="219" spans="1:6" x14ac:dyDescent="0.35">
      <c r="A219" s="6">
        <f t="shared" si="223"/>
        <v>10</v>
      </c>
      <c r="B219" s="6" t="s">
        <v>385</v>
      </c>
      <c r="C219" s="51">
        <f t="shared" ca="1" si="221"/>
        <v>36.196701795079257</v>
      </c>
      <c r="D219" s="51">
        <f t="shared" ca="1" si="222"/>
        <v>4.1681483801224363E-2</v>
      </c>
    </row>
    <row r="220" spans="1:6" x14ac:dyDescent="0.35">
      <c r="A220" s="6">
        <f t="shared" si="223"/>
        <v>11</v>
      </c>
      <c r="B220" s="6" t="s">
        <v>386</v>
      </c>
      <c r="C220" s="51">
        <f t="shared" ca="1" si="221"/>
        <v>37.024735037450775</v>
      </c>
      <c r="D220" s="51">
        <f t="shared" ca="1" si="222"/>
        <v>4.1694402605803572E-2</v>
      </c>
    </row>
    <row r="221" spans="1:6" x14ac:dyDescent="0.35">
      <c r="A221" s="6">
        <f t="shared" si="223"/>
        <v>12</v>
      </c>
      <c r="B221" s="6" t="s">
        <v>387</v>
      </c>
      <c r="C221" s="51">
        <f t="shared" ca="1" si="221"/>
        <v>22.18717006477473</v>
      </c>
      <c r="D221" s="51">
        <f t="shared" ca="1" si="222"/>
        <v>0.10623976724477786</v>
      </c>
    </row>
    <row r="222" spans="1:6" x14ac:dyDescent="0.35">
      <c r="A222" s="6">
        <f t="shared" si="223"/>
        <v>13</v>
      </c>
      <c r="B222" s="6" t="s">
        <v>394</v>
      </c>
      <c r="C222" s="51">
        <f t="shared" ca="1" si="221"/>
        <v>72.495586260140215</v>
      </c>
      <c r="D222" s="51">
        <f t="shared" ca="1" si="222"/>
        <v>1.1514254064903877E-2</v>
      </c>
    </row>
    <row r="223" spans="1:6" x14ac:dyDescent="0.35">
      <c r="A223" s="6">
        <f t="shared" si="223"/>
        <v>14</v>
      </c>
      <c r="B223" s="6" t="s">
        <v>388</v>
      </c>
      <c r="C223" s="51">
        <f t="shared" ca="1" si="221"/>
        <v>68.101108619685817</v>
      </c>
      <c r="D223" s="51">
        <f t="shared" ca="1" si="222"/>
        <v>1.5690521310108715E-2</v>
      </c>
    </row>
    <row r="224" spans="1:6" x14ac:dyDescent="0.35">
      <c r="A224" s="6">
        <f t="shared" si="223"/>
        <v>15</v>
      </c>
      <c r="B224" s="6" t="s">
        <v>389</v>
      </c>
      <c r="C224" s="51">
        <f t="shared" ca="1" si="221"/>
        <v>72.587547533409463</v>
      </c>
      <c r="D224" s="51">
        <f t="shared" ca="1" si="222"/>
        <v>0.1221680944601342</v>
      </c>
      <c r="F224" s="35" t="s">
        <v>354</v>
      </c>
    </row>
    <row r="225" spans="1:9" x14ac:dyDescent="0.35">
      <c r="A225" s="6">
        <f t="shared" si="223"/>
        <v>16</v>
      </c>
      <c r="B225" s="6" t="s">
        <v>390</v>
      </c>
      <c r="C225" s="51">
        <f t="shared" ca="1" si="221"/>
        <v>96.868799950035296</v>
      </c>
      <c r="D225" s="51">
        <f t="shared" ca="1" si="222"/>
        <v>0.10038875266297911</v>
      </c>
      <c r="G225" s="7">
        <v>2</v>
      </c>
      <c r="H225" s="37" t="s">
        <v>399</v>
      </c>
      <c r="I225" s="37">
        <f>INDEX(B237:B239, $G$225,1)</f>
        <v>17</v>
      </c>
    </row>
    <row r="226" spans="1:9" x14ac:dyDescent="0.35">
      <c r="A226" s="6">
        <f t="shared" si="223"/>
        <v>17</v>
      </c>
      <c r="B226" s="6" t="s">
        <v>391</v>
      </c>
      <c r="C226" s="51">
        <f t="shared" ca="1" si="221"/>
        <v>66.748710775098758</v>
      </c>
      <c r="D226" s="51">
        <f t="shared" ca="1" si="222"/>
        <v>0.14788338107267657</v>
      </c>
      <c r="H226" s="37" t="s">
        <v>400</v>
      </c>
      <c r="I226" s="37">
        <f>G228-1</f>
        <v>0</v>
      </c>
    </row>
    <row r="227" spans="1:9" x14ac:dyDescent="0.35">
      <c r="A227" s="6">
        <f t="shared" si="223"/>
        <v>18</v>
      </c>
      <c r="B227" s="6" t="s">
        <v>395</v>
      </c>
      <c r="C227" s="51">
        <f t="shared" ca="1" si="221"/>
        <v>86.625083593807943</v>
      </c>
      <c r="D227" s="51">
        <f t="shared" ca="1" si="222"/>
        <v>3.7924469607896354E-2</v>
      </c>
      <c r="F227" s="35" t="s">
        <v>401</v>
      </c>
    </row>
    <row r="228" spans="1:9" x14ac:dyDescent="0.35">
      <c r="A228" s="6">
        <f t="shared" si="223"/>
        <v>19</v>
      </c>
      <c r="B228" s="6" t="s">
        <v>392</v>
      </c>
      <c r="C228" s="51">
        <f t="shared" ca="1" si="221"/>
        <v>17.719120891773088</v>
      </c>
      <c r="D228" s="51">
        <f t="shared" ca="1" si="222"/>
        <v>2.4208463245810549E-2</v>
      </c>
      <c r="G228" s="7">
        <v>1</v>
      </c>
    </row>
    <row r="230" spans="1:9" x14ac:dyDescent="0.35">
      <c r="B230" s="86"/>
      <c r="C230" s="87"/>
    </row>
    <row r="231" spans="1:9" x14ac:dyDescent="0.35">
      <c r="B231" s="7"/>
      <c r="C231" s="7"/>
      <c r="D231" s="7"/>
    </row>
    <row r="232" spans="1:9" x14ac:dyDescent="0.35">
      <c r="A232" s="6" t="s">
        <v>269</v>
      </c>
      <c r="B232" s="7"/>
      <c r="C232" s="7"/>
      <c r="D232" s="7"/>
    </row>
    <row r="233" spans="1:9" x14ac:dyDescent="0.35">
      <c r="A233" s="6" t="s">
        <v>270</v>
      </c>
      <c r="B233" s="7"/>
      <c r="C233" s="7"/>
      <c r="D233" s="7"/>
    </row>
    <row r="234" spans="1:9" x14ac:dyDescent="0.35">
      <c r="A234" s="6" t="s">
        <v>271</v>
      </c>
      <c r="B234" s="7"/>
      <c r="C234" s="7"/>
      <c r="D234" s="7"/>
    </row>
    <row r="235" spans="1:9" x14ac:dyDescent="0.35">
      <c r="A235" s="6" t="s">
        <v>272</v>
      </c>
      <c r="B235" s="7"/>
      <c r="C235" s="7"/>
      <c r="D235" s="7"/>
    </row>
    <row r="236" spans="1:9" x14ac:dyDescent="0.35">
      <c r="B236" s="7"/>
      <c r="C236" s="7"/>
      <c r="D236" s="7"/>
    </row>
    <row r="237" spans="1:9" x14ac:dyDescent="0.35">
      <c r="A237" s="6" t="s">
        <v>397</v>
      </c>
      <c r="B237" s="6">
        <v>28</v>
      </c>
      <c r="C237" s="7"/>
      <c r="D237" s="7"/>
    </row>
    <row r="238" spans="1:9" x14ac:dyDescent="0.35">
      <c r="A238" s="6" t="s">
        <v>365</v>
      </c>
      <c r="B238" s="6">
        <v>17</v>
      </c>
      <c r="C238" s="7"/>
      <c r="D238" s="7"/>
    </row>
    <row r="239" spans="1:9" x14ac:dyDescent="0.35">
      <c r="A239" s="6" t="s">
        <v>398</v>
      </c>
      <c r="B239" s="6">
        <v>7</v>
      </c>
      <c r="C239" s="7"/>
      <c r="D239" s="7"/>
    </row>
  </sheetData>
  <mergeCells count="29">
    <mergeCell ref="CR2:CU2"/>
    <mergeCell ref="AY2:BB2"/>
    <mergeCell ref="A1:M1"/>
    <mergeCell ref="A2:D2"/>
    <mergeCell ref="F2:I2"/>
    <mergeCell ref="K2:N2"/>
    <mergeCell ref="P2:S2"/>
    <mergeCell ref="U2:X2"/>
    <mergeCell ref="Z2:AC2"/>
    <mergeCell ref="AE2:AH2"/>
    <mergeCell ref="AJ2:AM2"/>
    <mergeCell ref="AO2:AR2"/>
    <mergeCell ref="AT2:AW2"/>
    <mergeCell ref="C208:D208"/>
    <mergeCell ref="B230:C230"/>
    <mergeCell ref="CZ2:DC2"/>
    <mergeCell ref="CX3:CY3"/>
    <mergeCell ref="CY11:CY16"/>
    <mergeCell ref="CY17:CY22"/>
    <mergeCell ref="CY23:CY28"/>
    <mergeCell ref="CY5:CY10"/>
    <mergeCell ref="BD2:BG2"/>
    <mergeCell ref="BI2:BL2"/>
    <mergeCell ref="BN2:BQ2"/>
    <mergeCell ref="BS2:BV2"/>
    <mergeCell ref="BX2:CA2"/>
    <mergeCell ref="CC2:CF2"/>
    <mergeCell ref="CH2:CK2"/>
    <mergeCell ref="CM2:CP2"/>
  </mergeCells>
  <conditionalFormatting sqref="A184:XFD184">
    <cfRule type="cellIs" dxfId="8" priority="8" operator="lessThan">
      <formula>$B$183</formula>
    </cfRule>
    <cfRule type="cellIs" dxfId="7" priority="9" operator="lessThan">
      <formula>0.05</formula>
    </cfRule>
  </conditionalFormatting>
  <conditionalFormatting sqref="A195">
    <cfRule type="cellIs" dxfId="6" priority="6" operator="lessThan">
      <formula>$B$183</formula>
    </cfRule>
    <cfRule type="cellIs" dxfId="5" priority="7" operator="lessThan">
      <formula>0.05</formula>
    </cfRule>
  </conditionalFormatting>
  <conditionalFormatting sqref="A195:XFD195">
    <cfRule type="cellIs" dxfId="4" priority="5" operator="lessThan">
      <formula>$B$194</formula>
    </cfRule>
  </conditionalFormatting>
  <conditionalFormatting sqref="A205:A206">
    <cfRule type="cellIs" dxfId="3" priority="3" operator="lessThan">
      <formula>$B$183</formula>
    </cfRule>
    <cfRule type="cellIs" dxfId="2" priority="4" operator="lessThan">
      <formula>0.05</formula>
    </cfRule>
  </conditionalFormatting>
  <conditionalFormatting sqref="A205:A206">
    <cfRule type="cellIs" dxfId="1" priority="2" operator="lessThan">
      <formula>$B$194</formula>
    </cfRule>
  </conditionalFormatting>
  <conditionalFormatting sqref="A205:XFD206">
    <cfRule type="cellIs" dxfId="0" priority="1" operator="lessThan">
      <formula>$B$204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altText="Visages Stims">
                <anchor moveWithCells="1">
                  <from>
                    <xdr:col>108</xdr:col>
                    <xdr:colOff>838200</xdr:colOff>
                    <xdr:row>3</xdr:row>
                    <xdr:rowOff>184150</xdr:rowOff>
                  </from>
                  <to>
                    <xdr:col>110</xdr:col>
                    <xdr:colOff>508000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108</xdr:col>
                    <xdr:colOff>850900</xdr:colOff>
                    <xdr:row>7</xdr:row>
                    <xdr:rowOff>0</xdr:rowOff>
                  </from>
                  <to>
                    <xdr:col>110</xdr:col>
                    <xdr:colOff>488950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108</xdr:col>
                    <xdr:colOff>869950</xdr:colOff>
                    <xdr:row>10</xdr:row>
                    <xdr:rowOff>0</xdr:rowOff>
                  </from>
                  <to>
                    <xdr:col>110</xdr:col>
                    <xdr:colOff>469900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Drop Down 4">
              <controlPr defaultSize="0" autoLine="0" autoPict="0">
                <anchor moveWithCells="1">
                  <from>
                    <xdr:col>4</xdr:col>
                    <xdr:colOff>679450</xdr:colOff>
                    <xdr:row>224</xdr:row>
                    <xdr:rowOff>0</xdr:rowOff>
                  </from>
                  <to>
                    <xdr:col>6</xdr:col>
                    <xdr:colOff>0</xdr:colOff>
                    <xdr:row>225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Drop Down 5">
              <controlPr defaultSize="0" autoLine="0" autoPict="0">
                <anchor moveWithCells="1">
                  <from>
                    <xdr:col>4</xdr:col>
                    <xdr:colOff>666750</xdr:colOff>
                    <xdr:row>226</xdr:row>
                    <xdr:rowOff>184150</xdr:rowOff>
                  </from>
                  <to>
                    <xdr:col>6</xdr:col>
                    <xdr:colOff>12700</xdr:colOff>
                    <xdr:row>228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Data_EyeTracking</vt:lpstr>
      <vt:lpstr>Data_Netteyage</vt:lpstr>
      <vt:lpstr>Data_Ponderation_TTT</vt:lpstr>
      <vt:lpstr>Graphique_interactif_Param</vt:lpstr>
      <vt:lpstr>Graphique_Interactif_All_Param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yamofid</dc:creator>
  <cp:lastModifiedBy>Yassine Mofid</cp:lastModifiedBy>
  <dcterms:created xsi:type="dcterms:W3CDTF">2019-03-11T01:16:05Z</dcterms:created>
  <dcterms:modified xsi:type="dcterms:W3CDTF">2023-11-05T17:22:50Z</dcterms:modified>
</cp:coreProperties>
</file>